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95" windowWidth="13140" windowHeight="460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Database!$A$1:$G$260</definedName>
    <definedName name="_xlnm.Print_Area" localSheetId="3">Summary!$A$1:$H$48</definedName>
  </definedNames>
  <calcPr calcId="145621"/>
</workbook>
</file>

<file path=xl/calcChain.xml><?xml version="1.0" encoding="utf-8"?>
<calcChain xmlns="http://schemas.openxmlformats.org/spreadsheetml/2006/main">
  <c r="K32" i="2" l="1"/>
  <c r="M32" i="2" s="1"/>
  <c r="K31" i="2"/>
  <c r="J30" i="2" s="1"/>
  <c r="K30" i="2" s="1"/>
  <c r="J29" i="2" s="1"/>
  <c r="K29" i="2" s="1"/>
  <c r="K28" i="2"/>
  <c r="M28" i="2" s="1"/>
  <c r="K27" i="2"/>
  <c r="J26" i="2" s="1"/>
  <c r="K26" i="2" s="1"/>
  <c r="J25" i="2" s="1"/>
  <c r="K25" i="2" s="1"/>
  <c r="J24" i="2" s="1"/>
  <c r="K24" i="2" s="1"/>
  <c r="J23" i="2" s="1"/>
  <c r="K23" i="2" s="1"/>
  <c r="J22" i="2" s="1"/>
  <c r="K22" i="2" s="1"/>
  <c r="K21" i="2"/>
  <c r="M21" i="2" s="1"/>
  <c r="K20" i="2"/>
  <c r="J19" i="2" s="1"/>
  <c r="K19" i="2" s="1"/>
  <c r="J18" i="2" s="1"/>
  <c r="K18" i="2" s="1"/>
  <c r="K17" i="2"/>
  <c r="M17" i="2" s="1"/>
  <c r="K16" i="2"/>
  <c r="J15" i="2" s="1"/>
  <c r="K15" i="2" s="1"/>
  <c r="J14" i="2" s="1"/>
  <c r="K14" i="2" s="1"/>
  <c r="J13" i="2" s="1"/>
  <c r="K13" i="2" s="1"/>
  <c r="J12" i="2" s="1"/>
  <c r="K12" i="2" s="1"/>
  <c r="J11" i="2" s="1"/>
  <c r="K11" i="2" s="1"/>
  <c r="K10" i="2"/>
  <c r="M10" i="2" s="1"/>
  <c r="K9" i="2"/>
  <c r="J8" i="2" s="1"/>
  <c r="K8" i="2" s="1"/>
  <c r="J7" i="2" s="1"/>
  <c r="K7" i="2" s="1"/>
  <c r="J6" i="2" s="1"/>
  <c r="K6" i="2" s="1"/>
  <c r="J5" i="2" s="1"/>
  <c r="K5" i="2" s="1"/>
  <c r="J4" i="2" s="1"/>
  <c r="K4" i="2" s="1"/>
  <c r="M9" i="2" l="1"/>
  <c r="M8" i="2" s="1"/>
  <c r="M16" i="2"/>
  <c r="M15" i="2" s="1"/>
  <c r="M20" i="2"/>
  <c r="M19" i="2" s="1"/>
  <c r="M27" i="2"/>
  <c r="M26" i="2" s="1"/>
  <c r="M31" i="2"/>
  <c r="M30" i="2" s="1"/>
  <c r="H27" i="5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  <c r="M29" i="2" l="1"/>
  <c r="L29" i="2" s="1"/>
  <c r="L30" i="2"/>
  <c r="M25" i="2"/>
  <c r="L26" i="2"/>
  <c r="M18" i="2"/>
  <c r="L18" i="2" s="1"/>
  <c r="L19" i="2"/>
  <c r="M14" i="2"/>
  <c r="L15" i="2"/>
  <c r="M7" i="2"/>
  <c r="L8" i="2"/>
  <c r="M6" i="2" l="1"/>
  <c r="L7" i="2"/>
  <c r="M13" i="2"/>
  <c r="L14" i="2"/>
  <c r="M24" i="2"/>
  <c r="L25" i="2"/>
  <c r="M23" i="2" l="1"/>
  <c r="L24" i="2"/>
  <c r="M12" i="2"/>
  <c r="L13" i="2"/>
  <c r="M5" i="2"/>
  <c r="L6" i="2"/>
  <c r="M4" i="2" l="1"/>
  <c r="L4" i="2" s="1"/>
  <c r="L5" i="2"/>
  <c r="M11" i="2"/>
  <c r="L11" i="2" s="1"/>
  <c r="L12" i="2"/>
  <c r="M22" i="2"/>
  <c r="L22" i="2" s="1"/>
  <c r="L23" i="2"/>
</calcChain>
</file>

<file path=xl/sharedStrings.xml><?xml version="1.0" encoding="utf-8"?>
<sst xmlns="http://schemas.openxmlformats.org/spreadsheetml/2006/main" count="397" uniqueCount="244">
  <si>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</si>
  <si>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</si>
  <si>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</si>
  <si>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</si>
  <si>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</si>
  <si>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</si>
  <si>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</si>
  <si>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</si>
  <si>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</si>
  <si>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</si>
  <si>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</si>
  <si>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</si>
  <si>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</si>
  <si>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</si>
  <si>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</si>
  <si>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</si>
  <si>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</si>
  <si>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</si>
  <si>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</si>
  <si>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</si>
  <si>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</si>
  <si>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</si>
  <si>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</si>
  <si>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</si>
  <si>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</si>
  <si>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</si>
  <si>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</si>
  <si>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</si>
  <si>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</si>
  <si>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</si>
  <si>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</si>
  <si>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</si>
  <si>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</si>
  <si>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</si>
  <si>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</si>
  <si>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</si>
  <si>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</si>
  <si>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</si>
  <si>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</si>
  <si>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</si>
  <si>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</si>
  <si>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</si>
  <si>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</si>
  <si>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</si>
  <si>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</si>
  <si>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</si>
  <si>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</si>
  <si>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</si>
  <si>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</si>
  <si>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</si>
  <si>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</si>
  <si>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</si>
  <si>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</si>
  <si>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</si>
  <si>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</si>
  <si>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</si>
  <si>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</si>
  <si>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</si>
  <si>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</si>
  <si>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</si>
  <si>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</si>
  <si>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</si>
  <si>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</si>
  <si>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</si>
  <si>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</si>
  <si>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</si>
  <si>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</si>
  <si>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</si>
  <si>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</si>
  <si>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</si>
  <si>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</si>
  <si>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</si>
  <si>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</si>
  <si>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</si>
  <si>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</si>
  <si>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</si>
  <si>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</si>
  <si>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</si>
  <si>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</si>
  <si>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</si>
  <si>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</si>
  <si>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</si>
  <si>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</si>
  <si>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</si>
  <si>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</si>
  <si>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</si>
  <si>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</si>
  <si>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</si>
  <si>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</si>
  <si>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</si>
  <si>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</si>
  <si>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</si>
  <si>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</si>
  <si>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</si>
  <si>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</si>
  <si>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</si>
  <si>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</si>
  <si>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</si>
  <si>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</si>
  <si>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</si>
  <si>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</si>
  <si>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</si>
  <si>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</si>
  <si>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</si>
  <si>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=SUM(K9,K10)</t>
  </si>
  <si>
    <t>=I8*SUM(M9,M10)</t>
  </si>
  <si>
    <t>=I8*J8</t>
  </si>
  <si>
    <t>=I13*J13</t>
  </si>
  <si>
    <t>=100*(1-(M8/K8))</t>
  </si>
  <si>
    <t>=100*(1-(M13/K13))</t>
  </si>
  <si>
    <t>=SUM(K8)</t>
  </si>
  <si>
    <t>=SUM(K13)</t>
  </si>
  <si>
    <t>=I7*SUM(M8)</t>
  </si>
  <si>
    <t>=I12*SUM(M13)</t>
  </si>
  <si>
    <t>=I7*J7</t>
  </si>
  <si>
    <t>=I12*J12</t>
  </si>
  <si>
    <t>=100*(1-(M7/K7))</t>
  </si>
  <si>
    <t>=100*(1-(M12/K12))</t>
  </si>
  <si>
    <t>=SUM(K7)</t>
  </si>
  <si>
    <t>=SUM(K12)</t>
  </si>
  <si>
    <t>=I6*SUM(M7)</t>
  </si>
  <si>
    <t>=I11*SUM(M12)</t>
  </si>
  <si>
    <t>=I6*J6</t>
  </si>
  <si>
    <t>=I11*J11</t>
  </si>
  <si>
    <t>=100*(1-(M6/K6))</t>
  </si>
  <si>
    <t>=100*(1-(M11/K11))</t>
  </si>
  <si>
    <t>=SUM(K6)</t>
  </si>
  <si>
    <t>=I5*SUM(M6)</t>
  </si>
  <si>
    <t>=I4*J4</t>
  </si>
  <si>
    <t>=I5*J5</t>
  </si>
  <si>
    <t>=100*(1-(M4/K4))</t>
  </si>
  <si>
    <t>=100*(1-(M5/K5))</t>
  </si>
  <si>
    <t>11</t>
  </si>
  <si>
    <t>12</t>
  </si>
  <si>
    <t>13</t>
  </si>
  <si>
    <t>14</t>
  </si>
  <si>
    <t>30</t>
  </si>
  <si>
    <t>31</t>
  </si>
  <si>
    <t>33</t>
  </si>
  <si>
    <t>35</t>
  </si>
  <si>
    <t>36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</si>
  <si>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</si>
  <si>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</si>
  <si>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</si>
  <si>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</si>
  <si>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</si>
  <si>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</si>
  <si>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</si>
  <si>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</si>
  <si>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</si>
  <si>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</si>
  <si>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3</t>
  </si>
  <si>
    <t>29</t>
  </si>
  <si>
    <t>34</t>
  </si>
  <si>
    <t>=I14*J14</t>
  </si>
  <si>
    <t>=I22*J22</t>
  </si>
  <si>
    <t>=I30*J30</t>
  </si>
  <si>
    <t>=100*(1-(M14/K14))</t>
  </si>
  <si>
    <t>=100*(1-(M22/K22))</t>
  </si>
  <si>
    <t>=100*(1-(M30/K30))</t>
  </si>
  <si>
    <t>=SUM(K30)</t>
  </si>
  <si>
    <t>=I29*SUM(M30)</t>
  </si>
  <si>
    <t>=I29*J29</t>
  </si>
  <si>
    <t>=100*(1-(M29/K29))</t>
  </si>
  <si>
    <t>=I19*J19</t>
  </si>
  <si>
    <t>=100*(1-(M19/K19))</t>
  </si>
  <si>
    <t>SGSN-MME 2010B to 2011A 10 kPPS GSM or 50 kPPS WCDMA SW Upgrade License</t>
  </si>
  <si>
    <t>SGSN-MME 2010B to 2011A 5k IP Sessions SW Upgrade License</t>
  </si>
  <si>
    <t>SW Upgrade from GGSN 2010B to GGSN-MPG 2011A License for 1 k IP Session</t>
  </si>
  <si>
    <t>SW Upgrade from GGSN 2010B to GGSN-MPG 2011A License for 1 kPPS</t>
  </si>
  <si>
    <t>39</t>
  </si>
  <si>
    <t>Phase 2 : Normal Expansion</t>
  </si>
  <si>
    <t>2.1</t>
  </si>
  <si>
    <t>PS Core SW</t>
  </si>
  <si>
    <t>2.1.1</t>
  </si>
  <si>
    <t>SW Upgrade</t>
  </si>
  <si>
    <t>2.1.1.1</t>
  </si>
  <si>
    <t>SGSN 11A to 12A SW upgrade</t>
  </si>
  <si>
    <t>2.1.1.1.1</t>
  </si>
  <si>
    <t>FY12/13 SGSN 11A to 12A upgrade</t>
  </si>
  <si>
    <t>2.1.1.1.1.1</t>
  </si>
  <si>
    <t>2.1.1.1.1.2</t>
  </si>
  <si>
    <t>2.1.1.2</t>
  </si>
  <si>
    <t>GGSN 11A to 12A SW upgrade</t>
  </si>
  <si>
    <t>2.1.1.2.1</t>
  </si>
  <si>
    <t>FY12/13 GGSN 11A to 12A upgrade</t>
  </si>
  <si>
    <t>2.1.1.2.1.1</t>
  </si>
  <si>
    <t>2.1.1.2.1.2</t>
  </si>
  <si>
    <t>Phase 3 : Normal Expansion</t>
  </si>
  <si>
    <t>3.1</t>
  </si>
  <si>
    <t>3.1.1</t>
  </si>
  <si>
    <t>3.1.1.1</t>
  </si>
  <si>
    <t>SGSN 11A to 13A SW upgrade</t>
  </si>
  <si>
    <t>3.1.1.1.1</t>
  </si>
  <si>
    <t>FY13/13 SGSN 11A to 13A upgrade</t>
  </si>
  <si>
    <t>3.1.1.1.1.1</t>
  </si>
  <si>
    <t>SGSN-MME 3010B to 3011A 10 kPPS GSM or 50 kPPS WCDMA SW Upgrade License</t>
  </si>
  <si>
    <t>3.1.1.1.1.2</t>
  </si>
  <si>
    <t>SGSN-MME 3010B to 3011A 5k IP Sessions SW Upgrade License</t>
  </si>
  <si>
    <t>3.1.1.2</t>
  </si>
  <si>
    <t>GGSN 11A to 13A SW upgrade</t>
  </si>
  <si>
    <t>3.1.1.2.1</t>
  </si>
  <si>
    <t>FY13/13 GGSN 11A to 13A upgrade</t>
  </si>
  <si>
    <t>3.1.1.2.1.1</t>
  </si>
  <si>
    <t>SW Upgrade from GGSN 3010B to GGSN-MPG 3011A License for 1 k IP Session</t>
  </si>
  <si>
    <t>3.1.1.2.1.2</t>
  </si>
  <si>
    <t>SW Upgrade from GGSN 3010B to GGSN-MPG 3011A License for 1 kPPS</t>
  </si>
  <si>
    <t>=SUM(K16,K17)</t>
  </si>
  <si>
    <t>=SUM(K20,K21)</t>
  </si>
  <si>
    <t>=SUM(K27,K28)</t>
  </si>
  <si>
    <t>=SUM(K31,K32)</t>
  </si>
  <si>
    <t>=I15*SUM(M16,M17)</t>
  </si>
  <si>
    <t>=I19*SUM(M20,M21)</t>
  </si>
  <si>
    <t>=I26*SUM(M27,M28)</t>
  </si>
  <si>
    <t>=I30*SUM(M31,M32)</t>
  </si>
  <si>
    <t>=I15*J15</t>
  </si>
  <si>
    <t>=I26*J26</t>
  </si>
  <si>
    <t>=100*(1-(M15/K15))</t>
  </si>
  <si>
    <t>=100*(1-(M26/K26))</t>
  </si>
  <si>
    <t>=SUM(K15)</t>
  </si>
  <si>
    <t>=SUM(K19)</t>
  </si>
  <si>
    <t>=SUM(K26)</t>
  </si>
  <si>
    <t>=I14*SUM(M15)</t>
  </si>
  <si>
    <t>=I18*SUM(M19)</t>
  </si>
  <si>
    <t>=I25*SUM(M26)</t>
  </si>
  <si>
    <t>=I18*J18</t>
  </si>
  <si>
    <t>=I25*J25</t>
  </si>
  <si>
    <t>=100*(1-(M18/K18))</t>
  </si>
  <si>
    <t>=100*(1-(M25/K25))</t>
  </si>
  <si>
    <t>=SUM(K14,K18)</t>
  </si>
  <si>
    <t>=SUM(K25,K29)</t>
  </si>
  <si>
    <t>=I13*SUM(M14,M18)</t>
  </si>
  <si>
    <t>=I24*SUM(M25,M29)</t>
  </si>
  <si>
    <t>=I24*J24</t>
  </si>
  <si>
    <t>=100*(1-(M24/K24))</t>
  </si>
  <si>
    <t>=SUM(K24)</t>
  </si>
  <si>
    <t>=I23*SUM(M24)</t>
  </si>
  <si>
    <t>=I23*J23</t>
  </si>
  <si>
    <t>=100*(1-(M23/K23))</t>
  </si>
  <si>
    <t>=SUM(K5)</t>
  </si>
  <si>
    <t>=SUM(K23)</t>
  </si>
  <si>
    <t>=I4*SUM(M5)</t>
  </si>
  <si>
    <t>=I22*SUM(M23)</t>
  </si>
  <si>
    <t>Phase 3 Area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</si>
</sst>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60"/>
  <sheetViews>
    <sheetView tabSelected="1" zoomScale="70" zoomScaleNormal="70" workbookViewId="0">
      <selection activeCell="H23" sqref="H23"/>
    </sheetView>
  </sheetViews>
  <sheetFormatPr defaultRowHeight="15" x14ac:dyDescent="0.25"/>
  <cols>
    <col min="1" max="1" width="12.7109375" style="91" bestFit="1" customWidth="1"/>
    <col min="2" max="2" width="8.5703125" style="120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style="91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9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3" t="s">
        <v>65</v>
      </c>
      <c r="O1" s="83" t="s">
        <v>85</v>
      </c>
      <c r="P1" s="83" t="s">
        <v>86</v>
      </c>
      <c r="Q1" s="83" t="s">
        <v>87</v>
      </c>
      <c r="R1" s="83" t="s">
        <v>100</v>
      </c>
      <c r="S1" s="83" t="s">
        <v>101</v>
      </c>
      <c r="T1" s="83" t="s">
        <v>102</v>
      </c>
      <c r="U1" s="83" t="s">
        <v>103</v>
      </c>
    </row>
    <row r="2" spans="1:21" x14ac:dyDescent="0.25">
      <c r="A2" s="90" t="s">
        <v>84</v>
      </c>
      <c r="B2" s="89">
        <v>0</v>
      </c>
      <c r="C2" s="83"/>
      <c r="D2" s="83"/>
      <c r="E2" s="82">
        <v>1</v>
      </c>
      <c r="F2" s="82">
        <v>62</v>
      </c>
      <c r="G2" s="93" t="s">
        <v>84</v>
      </c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</row>
    <row r="3" spans="1:21" x14ac:dyDescent="0.25">
      <c r="A3" s="90" t="s">
        <v>59</v>
      </c>
      <c r="B3" s="89">
        <v>1</v>
      </c>
      <c r="C3" s="83" t="s">
        <v>84</v>
      </c>
      <c r="D3" s="83" t="s">
        <v>59</v>
      </c>
      <c r="E3" s="82">
        <v>2</v>
      </c>
      <c r="F3" s="82">
        <v>17</v>
      </c>
      <c r="G3" s="93" t="s">
        <v>84</v>
      </c>
      <c r="H3" s="82" t="s">
        <v>74</v>
      </c>
      <c r="I3" s="82">
        <v>1</v>
      </c>
      <c r="J3" s="82"/>
      <c r="K3" s="82"/>
      <c r="L3" s="82"/>
      <c r="M3" s="82"/>
      <c r="N3" s="83">
        <v>3</v>
      </c>
      <c r="O3" s="83" t="s">
        <v>88</v>
      </c>
      <c r="P3" s="83"/>
      <c r="Q3" s="83"/>
      <c r="R3" s="83"/>
      <c r="S3" s="83"/>
      <c r="T3" s="83"/>
      <c r="U3" s="83"/>
    </row>
    <row r="4" spans="1:21" x14ac:dyDescent="0.25">
      <c r="A4" s="83" t="s">
        <v>2</v>
      </c>
      <c r="B4" s="89">
        <v>2</v>
      </c>
      <c r="C4" s="86" t="s">
        <v>59</v>
      </c>
      <c r="D4" s="83" t="s">
        <v>59</v>
      </c>
      <c r="E4" s="88">
        <v>3</v>
      </c>
      <c r="F4" s="88">
        <v>16</v>
      </c>
      <c r="G4" s="93" t="s">
        <v>84</v>
      </c>
      <c r="H4" s="82" t="s">
        <v>75</v>
      </c>
      <c r="I4" s="82">
        <v>1</v>
      </c>
      <c r="J4" s="82">
        <f>SUM(K5)</f>
        <v>2022341.0420985599</v>
      </c>
      <c r="K4" s="82">
        <f t="shared" ref="K4:K32" si="0">I4*J4</f>
        <v>2022341.0420985599</v>
      </c>
      <c r="L4" s="82">
        <f>100*(1-(M4/K4))</f>
        <v>100</v>
      </c>
      <c r="M4" s="82">
        <f>I4*SUM(M5)</f>
        <v>0</v>
      </c>
      <c r="N4" s="91">
        <v>4</v>
      </c>
      <c r="O4" s="91" t="s">
        <v>89</v>
      </c>
      <c r="P4" s="119" t="s">
        <v>132</v>
      </c>
      <c r="Q4" s="119" t="s">
        <v>75</v>
      </c>
      <c r="R4" s="91" t="s">
        <v>239</v>
      </c>
      <c r="S4" s="91" t="s">
        <v>128</v>
      </c>
      <c r="T4" s="91" t="s">
        <v>130</v>
      </c>
      <c r="U4" s="91" t="s">
        <v>241</v>
      </c>
    </row>
    <row r="5" spans="1:21" x14ac:dyDescent="0.25">
      <c r="A5" s="84" t="s">
        <v>62</v>
      </c>
      <c r="B5" s="89">
        <v>3</v>
      </c>
      <c r="C5" s="87" t="s">
        <v>2</v>
      </c>
      <c r="D5" s="83" t="s">
        <v>59</v>
      </c>
      <c r="E5" s="89">
        <v>4</v>
      </c>
      <c r="F5" s="89">
        <v>15</v>
      </c>
      <c r="G5" s="93" t="s">
        <v>84</v>
      </c>
      <c r="H5" s="82" t="s">
        <v>76</v>
      </c>
      <c r="I5">
        <v>1</v>
      </c>
      <c r="J5">
        <f>SUM(K6)</f>
        <v>2022341.0420985599</v>
      </c>
      <c r="K5">
        <f t="shared" si="0"/>
        <v>2022341.0420985599</v>
      </c>
      <c r="L5">
        <f>100*(1-(M5/K5))</f>
        <v>100</v>
      </c>
      <c r="M5">
        <f>I5*SUM(M6)</f>
        <v>0</v>
      </c>
      <c r="N5" s="91">
        <v>5</v>
      </c>
      <c r="O5" s="91" t="s">
        <v>90</v>
      </c>
      <c r="P5" s="119" t="s">
        <v>133</v>
      </c>
      <c r="Q5" s="119" t="s">
        <v>75</v>
      </c>
      <c r="R5" s="91" t="s">
        <v>126</v>
      </c>
      <c r="S5" s="91" t="s">
        <v>129</v>
      </c>
      <c r="T5" s="91" t="s">
        <v>131</v>
      </c>
      <c r="U5" s="91" t="s">
        <v>127</v>
      </c>
    </row>
    <row r="6" spans="1:21" x14ac:dyDescent="0.25">
      <c r="A6" s="85" t="s">
        <v>63</v>
      </c>
      <c r="B6" s="89">
        <v>4</v>
      </c>
      <c r="C6" s="84" t="s">
        <v>62</v>
      </c>
      <c r="D6" s="83" t="s">
        <v>59</v>
      </c>
      <c r="E6" s="88">
        <v>5</v>
      </c>
      <c r="F6" s="88">
        <v>14</v>
      </c>
      <c r="G6" s="93" t="s">
        <v>84</v>
      </c>
      <c r="H6" s="82" t="s">
        <v>77</v>
      </c>
      <c r="I6">
        <v>1</v>
      </c>
      <c r="J6">
        <f>SUM(K7)</f>
        <v>2022341.0420985599</v>
      </c>
      <c r="K6">
        <f t="shared" si="0"/>
        <v>2022341.0420985599</v>
      </c>
      <c r="L6">
        <f>100*(1-(M6/K6))</f>
        <v>100</v>
      </c>
      <c r="M6">
        <f>I6*SUM(M7)</f>
        <v>0</v>
      </c>
      <c r="N6" s="91">
        <v>6</v>
      </c>
      <c r="O6" s="91" t="s">
        <v>91</v>
      </c>
      <c r="P6" s="119" t="s">
        <v>134</v>
      </c>
      <c r="Q6" s="119" t="s">
        <v>75</v>
      </c>
      <c r="R6" s="91" t="s">
        <v>118</v>
      </c>
      <c r="S6" s="91" t="s">
        <v>122</v>
      </c>
      <c r="T6" s="91" t="s">
        <v>124</v>
      </c>
      <c r="U6" s="91" t="s">
        <v>120</v>
      </c>
    </row>
    <row r="7" spans="1:21" x14ac:dyDescent="0.25">
      <c r="A7" s="85" t="s">
        <v>64</v>
      </c>
      <c r="B7" s="89">
        <v>5</v>
      </c>
      <c r="C7" s="84" t="s">
        <v>63</v>
      </c>
      <c r="D7" s="83" t="s">
        <v>59</v>
      </c>
      <c r="E7" s="88">
        <v>6</v>
      </c>
      <c r="F7" s="88">
        <v>13</v>
      </c>
      <c r="G7" s="93" t="s">
        <v>84</v>
      </c>
      <c r="H7" s="82" t="s">
        <v>77</v>
      </c>
      <c r="I7">
        <v>2</v>
      </c>
      <c r="J7">
        <f>SUM(K8)</f>
        <v>1011170.52104928</v>
      </c>
      <c r="K7">
        <f t="shared" si="0"/>
        <v>2022341.0420985599</v>
      </c>
      <c r="L7">
        <f>100*(1-(M7/K7))</f>
        <v>100</v>
      </c>
      <c r="M7">
        <f>I7*SUM(M8)</f>
        <v>0</v>
      </c>
      <c r="N7" s="91">
        <v>7</v>
      </c>
      <c r="O7" s="91" t="s">
        <v>92</v>
      </c>
      <c r="P7" s="119" t="s">
        <v>135</v>
      </c>
      <c r="Q7" s="119" t="s">
        <v>75</v>
      </c>
      <c r="R7" s="91" t="s">
        <v>110</v>
      </c>
      <c r="S7" s="91" t="s">
        <v>114</v>
      </c>
      <c r="T7" s="91" t="s">
        <v>116</v>
      </c>
      <c r="U7" s="91" t="s">
        <v>112</v>
      </c>
    </row>
    <row r="8" spans="1:21" x14ac:dyDescent="0.25">
      <c r="A8" s="85" t="s">
        <v>1</v>
      </c>
      <c r="B8" s="89">
        <v>6</v>
      </c>
      <c r="C8" s="85" t="s">
        <v>64</v>
      </c>
      <c r="D8" s="83" t="s">
        <v>59</v>
      </c>
      <c r="E8" s="88">
        <v>7</v>
      </c>
      <c r="F8" s="88">
        <v>12</v>
      </c>
      <c r="G8" s="93" t="s">
        <v>84</v>
      </c>
      <c r="H8" s="82" t="s">
        <v>78</v>
      </c>
      <c r="I8">
        <v>1</v>
      </c>
      <c r="J8">
        <f>SUM(K9,K10)</f>
        <v>1011170.52104928</v>
      </c>
      <c r="K8">
        <f t="shared" si="0"/>
        <v>1011170.52104928</v>
      </c>
      <c r="L8">
        <f>100*(1-(M8/K8))</f>
        <v>100</v>
      </c>
      <c r="M8">
        <f>I8*SUM(M9,M10)</f>
        <v>0</v>
      </c>
      <c r="N8" s="91">
        <v>8</v>
      </c>
      <c r="O8" s="91" t="s">
        <v>93</v>
      </c>
      <c r="P8" s="119" t="s">
        <v>88</v>
      </c>
      <c r="Q8" s="119" t="s">
        <v>75</v>
      </c>
      <c r="R8" s="91" t="s">
        <v>104</v>
      </c>
      <c r="S8" s="91" t="s">
        <v>106</v>
      </c>
      <c r="T8" s="91" t="s">
        <v>108</v>
      </c>
      <c r="U8" s="91" t="s">
        <v>105</v>
      </c>
    </row>
    <row r="9" spans="1:21" x14ac:dyDescent="0.25">
      <c r="A9" s="85" t="s">
        <v>79</v>
      </c>
      <c r="B9" s="89">
        <v>7</v>
      </c>
      <c r="C9" s="85" t="s">
        <v>1</v>
      </c>
      <c r="D9" s="83" t="s">
        <v>59</v>
      </c>
      <c r="E9" s="88">
        <v>8</v>
      </c>
      <c r="F9" s="88">
        <v>9</v>
      </c>
      <c r="G9" s="93" t="s">
        <v>59</v>
      </c>
      <c r="H9" s="82" t="s">
        <v>80</v>
      </c>
      <c r="I9">
        <v>1</v>
      </c>
      <c r="J9">
        <v>1009039.92104928</v>
      </c>
      <c r="K9">
        <f t="shared" si="0"/>
        <v>1009039.92104928</v>
      </c>
      <c r="L9">
        <v>100</v>
      </c>
      <c r="M9">
        <f>(1-(L9/100))*K9</f>
        <v>0</v>
      </c>
      <c r="N9" s="91">
        <v>9</v>
      </c>
      <c r="O9" s="91" t="s">
        <v>94</v>
      </c>
      <c r="P9" s="119" t="s">
        <v>89</v>
      </c>
      <c r="Q9" s="119" t="s">
        <v>75</v>
      </c>
    </row>
    <row r="10" spans="1:21" x14ac:dyDescent="0.25">
      <c r="A10" s="85" t="s">
        <v>81</v>
      </c>
      <c r="B10" s="89">
        <v>7</v>
      </c>
      <c r="C10" s="85" t="s">
        <v>1</v>
      </c>
      <c r="D10" s="83" t="s">
        <v>83</v>
      </c>
      <c r="E10" s="88">
        <v>10</v>
      </c>
      <c r="F10" s="88">
        <v>11</v>
      </c>
      <c r="G10" s="93" t="s">
        <v>59</v>
      </c>
      <c r="H10" s="82" t="s">
        <v>82</v>
      </c>
      <c r="I10">
        <v>1060</v>
      </c>
      <c r="J10">
        <v>2.0099999999999998</v>
      </c>
      <c r="K10">
        <f t="shared" si="0"/>
        <v>2130.6</v>
      </c>
      <c r="L10">
        <v>100</v>
      </c>
      <c r="M10">
        <f>(1-(L10/100))*K10</f>
        <v>0</v>
      </c>
      <c r="N10" s="91">
        <v>10</v>
      </c>
      <c r="O10" s="91" t="s">
        <v>95</v>
      </c>
      <c r="P10" s="119" t="s">
        <v>90</v>
      </c>
      <c r="Q10" s="119" t="s">
        <v>75</v>
      </c>
    </row>
    <row r="11" spans="1:21" x14ac:dyDescent="0.25">
      <c r="A11" s="85" t="s">
        <v>83</v>
      </c>
      <c r="B11" s="89">
        <v>1</v>
      </c>
      <c r="C11" s="85" t="s">
        <v>84</v>
      </c>
      <c r="D11" s="83" t="s">
        <v>83</v>
      </c>
      <c r="E11" s="88">
        <v>18</v>
      </c>
      <c r="F11" s="88">
        <v>39</v>
      </c>
      <c r="G11" s="93" t="s">
        <v>84</v>
      </c>
      <c r="H11" s="82" t="s">
        <v>171</v>
      </c>
      <c r="I11">
        <v>1</v>
      </c>
      <c r="J11">
        <f>SUM(K12)</f>
        <v>700357.82502324996</v>
      </c>
      <c r="K11">
        <f t="shared" si="0"/>
        <v>700357.82502324996</v>
      </c>
      <c r="L11">
        <f>100*(1-(M11/K11))</f>
        <v>27.83</v>
      </c>
      <c r="M11">
        <f>I11*SUM(M12)</f>
        <v>505448.24231927952</v>
      </c>
      <c r="N11" s="91">
        <v>11</v>
      </c>
      <c r="O11" s="91" t="s">
        <v>96</v>
      </c>
      <c r="P11" s="119"/>
      <c r="Q11" s="119"/>
      <c r="R11" s="91" t="s">
        <v>119</v>
      </c>
      <c r="S11" s="91" t="s">
        <v>123</v>
      </c>
      <c r="T11" s="91" t="s">
        <v>125</v>
      </c>
      <c r="U11" s="91" t="s">
        <v>121</v>
      </c>
    </row>
    <row r="12" spans="1:21" x14ac:dyDescent="0.25">
      <c r="A12" s="85" t="s">
        <v>172</v>
      </c>
      <c r="B12" s="89">
        <v>2</v>
      </c>
      <c r="C12" s="85" t="s">
        <v>83</v>
      </c>
      <c r="D12" s="83" t="s">
        <v>59</v>
      </c>
      <c r="E12" s="88">
        <v>19</v>
      </c>
      <c r="F12" s="88">
        <v>38</v>
      </c>
      <c r="G12" s="93" t="s">
        <v>84</v>
      </c>
      <c r="H12" s="82" t="s">
        <v>173</v>
      </c>
      <c r="I12">
        <v>1</v>
      </c>
      <c r="J12">
        <f>SUM(K13)</f>
        <v>700357.82502324996</v>
      </c>
      <c r="K12">
        <f t="shared" si="0"/>
        <v>700357.82502324996</v>
      </c>
      <c r="L12">
        <f>100*(1-(M12/K12))</f>
        <v>27.83</v>
      </c>
      <c r="M12">
        <f>I12*SUM(M13)</f>
        <v>505448.24231927952</v>
      </c>
      <c r="N12" s="91">
        <v>12</v>
      </c>
      <c r="O12" s="91" t="s">
        <v>97</v>
      </c>
      <c r="P12" s="119" t="s">
        <v>132</v>
      </c>
      <c r="Q12" s="119" t="s">
        <v>173</v>
      </c>
      <c r="R12" s="91" t="s">
        <v>111</v>
      </c>
      <c r="S12" s="91" t="s">
        <v>115</v>
      </c>
      <c r="T12" s="91" t="s">
        <v>117</v>
      </c>
      <c r="U12" s="91" t="s">
        <v>113</v>
      </c>
    </row>
    <row r="13" spans="1:21" x14ac:dyDescent="0.25">
      <c r="A13" s="85" t="s">
        <v>174</v>
      </c>
      <c r="B13" s="89">
        <v>3</v>
      </c>
      <c r="C13" s="85" t="s">
        <v>172</v>
      </c>
      <c r="D13" s="83" t="s">
        <v>59</v>
      </c>
      <c r="E13" s="88">
        <v>20</v>
      </c>
      <c r="F13" s="88">
        <v>37</v>
      </c>
      <c r="G13" s="93" t="s">
        <v>84</v>
      </c>
      <c r="H13" s="82" t="s">
        <v>175</v>
      </c>
      <c r="I13">
        <v>1</v>
      </c>
      <c r="J13">
        <f>SUM(K14,K18)</f>
        <v>700357.82502324996</v>
      </c>
      <c r="K13">
        <f t="shared" si="0"/>
        <v>700357.82502324996</v>
      </c>
      <c r="L13">
        <f>100*(1-(M13/K13))</f>
        <v>27.83</v>
      </c>
      <c r="M13">
        <f>I13*SUM(M14,M18)</f>
        <v>505448.24231927952</v>
      </c>
      <c r="N13" s="91">
        <v>13</v>
      </c>
      <c r="O13" s="91" t="s">
        <v>98</v>
      </c>
      <c r="P13" s="119" t="s">
        <v>133</v>
      </c>
      <c r="Q13" s="119" t="s">
        <v>173</v>
      </c>
      <c r="R13" s="91" t="s">
        <v>229</v>
      </c>
      <c r="S13" s="91" t="s">
        <v>107</v>
      </c>
      <c r="T13" s="91" t="s">
        <v>109</v>
      </c>
      <c r="U13" s="91" t="s">
        <v>231</v>
      </c>
    </row>
    <row r="14" spans="1:21" x14ac:dyDescent="0.25">
      <c r="A14" s="85" t="s">
        <v>176</v>
      </c>
      <c r="B14" s="89">
        <v>4</v>
      </c>
      <c r="C14" s="85" t="s">
        <v>174</v>
      </c>
      <c r="D14" s="83" t="s">
        <v>59</v>
      </c>
      <c r="E14" s="88">
        <v>21</v>
      </c>
      <c r="F14" s="88">
        <v>28</v>
      </c>
      <c r="G14" s="93" t="s">
        <v>84</v>
      </c>
      <c r="H14" s="82" t="s">
        <v>177</v>
      </c>
      <c r="I14">
        <v>1</v>
      </c>
      <c r="J14">
        <f>SUM(K15)</f>
        <v>458806.82541925</v>
      </c>
      <c r="K14">
        <f t="shared" si="0"/>
        <v>458806.82541925</v>
      </c>
      <c r="L14">
        <f>100*(1-(M14/K14))</f>
        <v>27.83</v>
      </c>
      <c r="M14">
        <f>I14*SUM(M15)</f>
        <v>331120.88590507273</v>
      </c>
      <c r="N14" s="91">
        <v>14</v>
      </c>
      <c r="O14" s="91" t="s">
        <v>99</v>
      </c>
      <c r="P14" s="119" t="s">
        <v>134</v>
      </c>
      <c r="Q14" s="119" t="s">
        <v>173</v>
      </c>
      <c r="R14" s="91" t="s">
        <v>219</v>
      </c>
      <c r="S14" s="91" t="s">
        <v>154</v>
      </c>
      <c r="T14" s="91" t="s">
        <v>157</v>
      </c>
      <c r="U14" s="91" t="s">
        <v>222</v>
      </c>
    </row>
    <row r="15" spans="1:21" x14ac:dyDescent="0.25">
      <c r="A15" s="84" t="s">
        <v>178</v>
      </c>
      <c r="B15" s="89">
        <v>5</v>
      </c>
      <c r="C15" s="87" t="s">
        <v>176</v>
      </c>
      <c r="D15" s="83" t="s">
        <v>59</v>
      </c>
      <c r="E15" s="89">
        <v>22</v>
      </c>
      <c r="F15" s="89">
        <v>27</v>
      </c>
      <c r="G15" s="93" t="s">
        <v>84</v>
      </c>
      <c r="H15" s="82" t="s">
        <v>179</v>
      </c>
      <c r="I15">
        <v>1</v>
      </c>
      <c r="J15">
        <f>SUM(K16,K17)</f>
        <v>458806.82541925</v>
      </c>
      <c r="K15">
        <f t="shared" si="0"/>
        <v>458806.82541925</v>
      </c>
      <c r="L15">
        <f>100*(1-(M15/K15))</f>
        <v>27.83</v>
      </c>
      <c r="M15">
        <f>I15*SUM(M16,M17)</f>
        <v>331120.88590507273</v>
      </c>
      <c r="N15" s="91">
        <v>15</v>
      </c>
      <c r="O15" s="91" t="s">
        <v>152</v>
      </c>
      <c r="P15" s="119" t="s">
        <v>135</v>
      </c>
      <c r="Q15" s="119" t="s">
        <v>173</v>
      </c>
      <c r="R15" s="91" t="s">
        <v>207</v>
      </c>
      <c r="S15" s="91" t="s">
        <v>215</v>
      </c>
      <c r="T15" s="91" t="s">
        <v>217</v>
      </c>
      <c r="U15" s="91" t="s">
        <v>211</v>
      </c>
    </row>
    <row r="16" spans="1:21" x14ac:dyDescent="0.25">
      <c r="A16" s="85" t="s">
        <v>180</v>
      </c>
      <c r="B16" s="89">
        <v>6</v>
      </c>
      <c r="C16" s="85" t="s">
        <v>178</v>
      </c>
      <c r="D16" s="83" t="s">
        <v>59</v>
      </c>
      <c r="E16" s="88">
        <v>23</v>
      </c>
      <c r="F16" s="88">
        <v>24</v>
      </c>
      <c r="G16" s="93" t="s">
        <v>59</v>
      </c>
      <c r="H16" s="82" t="s">
        <v>166</v>
      </c>
      <c r="I16">
        <v>57</v>
      </c>
      <c r="J16">
        <v>2410.54374125</v>
      </c>
      <c r="K16">
        <f t="shared" si="0"/>
        <v>137400.99325125001</v>
      </c>
      <c r="L16">
        <v>27.83</v>
      </c>
      <c r="M16">
        <f>(1-(L16/100))*K16</f>
        <v>99162.296829427127</v>
      </c>
      <c r="N16" s="91">
        <v>16</v>
      </c>
      <c r="O16" s="91" t="s">
        <v>136</v>
      </c>
      <c r="P16" s="119" t="s">
        <v>88</v>
      </c>
      <c r="Q16" s="119" t="s">
        <v>173</v>
      </c>
    </row>
    <row r="17" spans="1:21" x14ac:dyDescent="0.25">
      <c r="A17" s="85" t="s">
        <v>181</v>
      </c>
      <c r="B17" s="89">
        <v>6</v>
      </c>
      <c r="C17" s="85" t="s">
        <v>178</v>
      </c>
      <c r="D17" s="83" t="s">
        <v>83</v>
      </c>
      <c r="E17" s="88">
        <v>25</v>
      </c>
      <c r="F17" s="88">
        <v>26</v>
      </c>
      <c r="G17" s="93" t="s">
        <v>59</v>
      </c>
      <c r="H17" s="82" t="s">
        <v>167</v>
      </c>
      <c r="I17">
        <v>400</v>
      </c>
      <c r="J17">
        <v>803.51458042000002</v>
      </c>
      <c r="K17">
        <f t="shared" si="0"/>
        <v>321405.83216799999</v>
      </c>
      <c r="L17">
        <v>27.83</v>
      </c>
      <c r="M17">
        <f>(1-(L17/100))*K17</f>
        <v>231958.58907564561</v>
      </c>
      <c r="N17" s="91">
        <v>17</v>
      </c>
      <c r="O17" s="91" t="s">
        <v>137</v>
      </c>
      <c r="P17" s="119" t="s">
        <v>89</v>
      </c>
      <c r="Q17" s="119" t="s">
        <v>173</v>
      </c>
    </row>
    <row r="18" spans="1:21" x14ac:dyDescent="0.25">
      <c r="A18" s="85" t="s">
        <v>182</v>
      </c>
      <c r="B18" s="89">
        <v>4</v>
      </c>
      <c r="C18" s="85" t="s">
        <v>174</v>
      </c>
      <c r="D18" s="83" t="s">
        <v>83</v>
      </c>
      <c r="E18" s="88">
        <v>29</v>
      </c>
      <c r="F18" s="88">
        <v>36</v>
      </c>
      <c r="G18" s="93" t="s">
        <v>84</v>
      </c>
      <c r="H18" s="82" t="s">
        <v>183</v>
      </c>
      <c r="I18">
        <v>1</v>
      </c>
      <c r="J18">
        <f>SUM(K19)</f>
        <v>241550.99960400001</v>
      </c>
      <c r="K18">
        <f t="shared" si="0"/>
        <v>241550.99960400001</v>
      </c>
      <c r="L18">
        <f>100*(1-(M18/K18))</f>
        <v>27.830000000000009</v>
      </c>
      <c r="M18">
        <f>I18*SUM(M19)</f>
        <v>174327.35641420679</v>
      </c>
      <c r="N18" s="91">
        <v>18</v>
      </c>
      <c r="O18" s="91" t="s">
        <v>138</v>
      </c>
      <c r="P18" s="119" t="s">
        <v>90</v>
      </c>
      <c r="Q18" s="119" t="s">
        <v>173</v>
      </c>
      <c r="R18" s="91" t="s">
        <v>220</v>
      </c>
      <c r="S18" s="91" t="s">
        <v>225</v>
      </c>
      <c r="T18" s="91" t="s">
        <v>227</v>
      </c>
      <c r="U18" s="91" t="s">
        <v>223</v>
      </c>
    </row>
    <row r="19" spans="1:21" x14ac:dyDescent="0.25">
      <c r="A19" s="85" t="s">
        <v>184</v>
      </c>
      <c r="B19" s="89">
        <v>5</v>
      </c>
      <c r="C19" s="85" t="s">
        <v>182</v>
      </c>
      <c r="D19" s="83" t="s">
        <v>59</v>
      </c>
      <c r="E19" s="82">
        <v>30</v>
      </c>
      <c r="F19" s="82">
        <v>35</v>
      </c>
      <c r="G19" s="93" t="s">
        <v>84</v>
      </c>
      <c r="H19" s="82" t="s">
        <v>185</v>
      </c>
      <c r="I19">
        <v>1</v>
      </c>
      <c r="J19">
        <f>SUM(K20,K21)</f>
        <v>241550.99960400001</v>
      </c>
      <c r="K19">
        <f t="shared" si="0"/>
        <v>241550.99960400001</v>
      </c>
      <c r="L19">
        <f>100*(1-(M19/K19))</f>
        <v>27.830000000000009</v>
      </c>
      <c r="M19">
        <f>I19*SUM(M20,M21)</f>
        <v>174327.35641420679</v>
      </c>
      <c r="N19" s="91">
        <v>19</v>
      </c>
      <c r="O19" s="91" t="s">
        <v>153</v>
      </c>
      <c r="P19" s="119" t="s">
        <v>91</v>
      </c>
      <c r="Q19" s="119" t="s">
        <v>173</v>
      </c>
      <c r="R19" s="91" t="s">
        <v>208</v>
      </c>
      <c r="S19" s="91" t="s">
        <v>164</v>
      </c>
      <c r="T19" s="91" t="s">
        <v>165</v>
      </c>
      <c r="U19" s="91" t="s">
        <v>212</v>
      </c>
    </row>
    <row r="20" spans="1:21" x14ac:dyDescent="0.25">
      <c r="A20" s="90" t="s">
        <v>186</v>
      </c>
      <c r="B20" s="89">
        <v>6</v>
      </c>
      <c r="C20" s="83" t="s">
        <v>184</v>
      </c>
      <c r="D20" s="83" t="s">
        <v>59</v>
      </c>
      <c r="E20" s="82">
        <v>31</v>
      </c>
      <c r="F20" s="82">
        <v>32</v>
      </c>
      <c r="G20" s="93" t="s">
        <v>59</v>
      </c>
      <c r="H20" s="82" t="s">
        <v>168</v>
      </c>
      <c r="I20">
        <v>1800</v>
      </c>
      <c r="J20">
        <v>33.108366230000001</v>
      </c>
      <c r="K20">
        <f t="shared" si="0"/>
        <v>59595.059214000001</v>
      </c>
      <c r="L20">
        <v>27.83</v>
      </c>
      <c r="M20">
        <f>(1-(L20/100))*K20</f>
        <v>43009.754234743799</v>
      </c>
      <c r="N20" s="91">
        <v>20</v>
      </c>
      <c r="O20" s="91" t="s">
        <v>139</v>
      </c>
      <c r="P20" s="119" t="s">
        <v>92</v>
      </c>
      <c r="Q20" s="119" t="s">
        <v>173</v>
      </c>
    </row>
    <row r="21" spans="1:21" x14ac:dyDescent="0.25">
      <c r="A21" s="90" t="s">
        <v>187</v>
      </c>
      <c r="B21" s="89">
        <v>6</v>
      </c>
      <c r="C21" s="83" t="s">
        <v>184</v>
      </c>
      <c r="D21" s="83" t="s">
        <v>83</v>
      </c>
      <c r="E21" s="82">
        <v>33</v>
      </c>
      <c r="F21" s="82">
        <v>34</v>
      </c>
      <c r="G21" s="93" t="s">
        <v>59</v>
      </c>
      <c r="H21" s="82" t="s">
        <v>169</v>
      </c>
      <c r="I21">
        <v>3000</v>
      </c>
      <c r="J21">
        <v>60.651980129999998</v>
      </c>
      <c r="K21">
        <f t="shared" si="0"/>
        <v>181955.94039</v>
      </c>
      <c r="L21">
        <v>27.83</v>
      </c>
      <c r="M21">
        <f>(1-(L21/100))*K21</f>
        <v>131317.60217946299</v>
      </c>
      <c r="N21" s="91">
        <v>21</v>
      </c>
      <c r="O21" s="91" t="s">
        <v>140</v>
      </c>
      <c r="P21" s="119" t="s">
        <v>93</v>
      </c>
      <c r="Q21" s="119" t="s">
        <v>173</v>
      </c>
    </row>
    <row r="22" spans="1:21" x14ac:dyDescent="0.25">
      <c r="A22" s="90" t="s">
        <v>151</v>
      </c>
      <c r="B22" s="89">
        <v>1</v>
      </c>
      <c r="C22" s="83" t="s">
        <v>84</v>
      </c>
      <c r="D22" s="83" t="s">
        <v>151</v>
      </c>
      <c r="E22" s="82">
        <v>40</v>
      </c>
      <c r="F22" s="82">
        <v>61</v>
      </c>
      <c r="G22" s="93" t="s">
        <v>84</v>
      </c>
      <c r="H22" s="82" t="s">
        <v>188</v>
      </c>
      <c r="I22">
        <v>1</v>
      </c>
      <c r="J22">
        <f>SUM(K23)</f>
        <v>700357.82502324996</v>
      </c>
      <c r="K22">
        <f t="shared" si="0"/>
        <v>700357.82502324996</v>
      </c>
      <c r="L22">
        <f>100*(1-(M22/K22))</f>
        <v>27.83</v>
      </c>
      <c r="M22">
        <f>I22*SUM(M23)</f>
        <v>505448.24231927952</v>
      </c>
      <c r="N22" s="91">
        <v>22</v>
      </c>
      <c r="O22" s="91" t="s">
        <v>141</v>
      </c>
      <c r="P22" s="119"/>
      <c r="Q22" s="119"/>
      <c r="R22" s="91" t="s">
        <v>240</v>
      </c>
      <c r="S22" s="91" t="s">
        <v>155</v>
      </c>
      <c r="T22" s="91" t="s">
        <v>158</v>
      </c>
      <c r="U22" s="91" t="s">
        <v>242</v>
      </c>
    </row>
    <row r="23" spans="1:21" x14ac:dyDescent="0.25">
      <c r="A23" s="83" t="s">
        <v>189</v>
      </c>
      <c r="B23" s="89">
        <v>2</v>
      </c>
      <c r="C23" s="83" t="s">
        <v>151</v>
      </c>
      <c r="D23" s="83" t="s">
        <v>59</v>
      </c>
      <c r="E23" s="82">
        <v>41</v>
      </c>
      <c r="F23" s="82">
        <v>60</v>
      </c>
      <c r="G23" s="93" t="s">
        <v>84</v>
      </c>
      <c r="H23" s="82" t="s">
        <v>243</v>
      </c>
      <c r="I23">
        <v>1</v>
      </c>
      <c r="J23">
        <f>SUM(K24)</f>
        <v>700357.82502324996</v>
      </c>
      <c r="K23">
        <f t="shared" si="0"/>
        <v>700357.82502324996</v>
      </c>
      <c r="L23">
        <f>100*(1-(M23/K23))</f>
        <v>27.83</v>
      </c>
      <c r="M23">
        <f>I23*SUM(M24)</f>
        <v>505448.24231927952</v>
      </c>
      <c r="N23" s="91">
        <v>23</v>
      </c>
      <c r="O23" s="91" t="s">
        <v>170</v>
      </c>
      <c r="P23" s="119" t="s">
        <v>132</v>
      </c>
      <c r="Q23" s="119" t="s">
        <v>243</v>
      </c>
      <c r="R23" s="91" t="s">
        <v>235</v>
      </c>
      <c r="S23" s="91" t="s">
        <v>237</v>
      </c>
      <c r="T23" s="91" t="s">
        <v>238</v>
      </c>
      <c r="U23" s="91" t="s">
        <v>236</v>
      </c>
    </row>
    <row r="24" spans="1:21" x14ac:dyDescent="0.25">
      <c r="A24" s="91" t="s">
        <v>190</v>
      </c>
      <c r="B24" s="120">
        <v>3</v>
      </c>
      <c r="C24" s="91" t="s">
        <v>189</v>
      </c>
      <c r="D24" s="91" t="s">
        <v>59</v>
      </c>
      <c r="E24">
        <v>42</v>
      </c>
      <c r="F24">
        <v>59</v>
      </c>
      <c r="G24" s="94" t="s">
        <v>84</v>
      </c>
      <c r="H24" t="s">
        <v>175</v>
      </c>
      <c r="I24">
        <v>1</v>
      </c>
      <c r="J24">
        <f>SUM(K25,K29)</f>
        <v>700357.82502324996</v>
      </c>
      <c r="K24">
        <f t="shared" si="0"/>
        <v>700357.82502324996</v>
      </c>
      <c r="L24">
        <f>100*(1-(M24/K24))</f>
        <v>27.83</v>
      </c>
      <c r="M24">
        <f>I24*SUM(M25,M29)</f>
        <v>505448.24231927952</v>
      </c>
      <c r="N24" s="91">
        <v>24</v>
      </c>
      <c r="O24" s="91" t="s">
        <v>142</v>
      </c>
      <c r="P24" s="119" t="s">
        <v>133</v>
      </c>
      <c r="Q24" s="119" t="s">
        <v>243</v>
      </c>
      <c r="R24" s="91" t="s">
        <v>230</v>
      </c>
      <c r="S24" s="91" t="s">
        <v>233</v>
      </c>
      <c r="T24" s="91" t="s">
        <v>234</v>
      </c>
      <c r="U24" s="91" t="s">
        <v>232</v>
      </c>
    </row>
    <row r="25" spans="1:21" x14ac:dyDescent="0.25">
      <c r="A25" s="85" t="s">
        <v>191</v>
      </c>
      <c r="B25" s="89">
        <v>4</v>
      </c>
      <c r="C25" s="92" t="s">
        <v>190</v>
      </c>
      <c r="D25" s="83" t="s">
        <v>59</v>
      </c>
      <c r="E25" s="82">
        <v>43</v>
      </c>
      <c r="F25" s="82">
        <v>50</v>
      </c>
      <c r="G25" s="93" t="s">
        <v>84</v>
      </c>
      <c r="H25" s="82" t="s">
        <v>192</v>
      </c>
      <c r="I25">
        <v>1</v>
      </c>
      <c r="J25">
        <f>SUM(K26)</f>
        <v>458806.82541925</v>
      </c>
      <c r="K25">
        <f t="shared" si="0"/>
        <v>458806.82541925</v>
      </c>
      <c r="L25">
        <f>100*(1-(M25/K25))</f>
        <v>27.83</v>
      </c>
      <c r="M25">
        <f>I25*SUM(M26)</f>
        <v>331120.88590507273</v>
      </c>
      <c r="N25" s="91">
        <v>25</v>
      </c>
      <c r="O25" s="91" t="s">
        <v>143</v>
      </c>
      <c r="P25" s="119" t="s">
        <v>134</v>
      </c>
      <c r="Q25" s="119" t="s">
        <v>243</v>
      </c>
      <c r="R25" s="91" t="s">
        <v>221</v>
      </c>
      <c r="S25" s="91" t="s">
        <v>226</v>
      </c>
      <c r="T25" s="91" t="s">
        <v>228</v>
      </c>
      <c r="U25" s="91" t="s">
        <v>224</v>
      </c>
    </row>
    <row r="26" spans="1:21" x14ac:dyDescent="0.25">
      <c r="A26" s="90" t="s">
        <v>193</v>
      </c>
      <c r="B26" s="89">
        <v>5</v>
      </c>
      <c r="C26" s="83" t="s">
        <v>191</v>
      </c>
      <c r="D26" s="83" t="s">
        <v>59</v>
      </c>
      <c r="E26" s="82">
        <v>44</v>
      </c>
      <c r="F26" s="82">
        <v>49</v>
      </c>
      <c r="G26" s="93" t="s">
        <v>84</v>
      </c>
      <c r="H26" s="82" t="s">
        <v>194</v>
      </c>
      <c r="I26">
        <v>1</v>
      </c>
      <c r="J26">
        <f>SUM(K27,K28)</f>
        <v>458806.82541925</v>
      </c>
      <c r="K26">
        <f t="shared" si="0"/>
        <v>458806.82541925</v>
      </c>
      <c r="L26">
        <f>100*(1-(M26/K26))</f>
        <v>27.83</v>
      </c>
      <c r="M26">
        <f>I26*SUM(M27,M28)</f>
        <v>331120.88590507273</v>
      </c>
      <c r="N26" s="91">
        <v>26</v>
      </c>
      <c r="O26" s="91" t="s">
        <v>144</v>
      </c>
      <c r="P26" s="119" t="s">
        <v>135</v>
      </c>
      <c r="Q26" s="119" t="s">
        <v>243</v>
      </c>
      <c r="R26" s="91" t="s">
        <v>209</v>
      </c>
      <c r="S26" s="91" t="s">
        <v>216</v>
      </c>
      <c r="T26" s="91" t="s">
        <v>218</v>
      </c>
      <c r="U26" s="91" t="s">
        <v>213</v>
      </c>
    </row>
    <row r="27" spans="1:21" x14ac:dyDescent="0.25">
      <c r="A27" s="90" t="s">
        <v>195</v>
      </c>
      <c r="B27" s="89">
        <v>6</v>
      </c>
      <c r="C27" s="83" t="s">
        <v>193</v>
      </c>
      <c r="D27" s="83" t="s">
        <v>59</v>
      </c>
      <c r="E27" s="82">
        <v>45</v>
      </c>
      <c r="F27" s="82">
        <v>46</v>
      </c>
      <c r="G27" s="93" t="s">
        <v>59</v>
      </c>
      <c r="H27" s="82" t="s">
        <v>196</v>
      </c>
      <c r="I27">
        <v>57</v>
      </c>
      <c r="J27">
        <v>2410.54374125</v>
      </c>
      <c r="K27">
        <f t="shared" si="0"/>
        <v>137400.99325125001</v>
      </c>
      <c r="L27">
        <v>27.83</v>
      </c>
      <c r="M27">
        <f>(1-(L27/100))*K27</f>
        <v>99162.296829427127</v>
      </c>
      <c r="N27" s="91">
        <v>27</v>
      </c>
      <c r="O27" s="91" t="s">
        <v>145</v>
      </c>
      <c r="P27" s="119" t="s">
        <v>88</v>
      </c>
      <c r="Q27" s="119" t="s">
        <v>243</v>
      </c>
    </row>
    <row r="28" spans="1:21" x14ac:dyDescent="0.25">
      <c r="A28" s="90" t="s">
        <v>197</v>
      </c>
      <c r="B28" s="89">
        <v>6</v>
      </c>
      <c r="C28" s="83" t="s">
        <v>193</v>
      </c>
      <c r="D28" s="83" t="s">
        <v>83</v>
      </c>
      <c r="E28" s="82">
        <v>47</v>
      </c>
      <c r="F28" s="82">
        <v>48</v>
      </c>
      <c r="G28" s="93" t="s">
        <v>59</v>
      </c>
      <c r="H28" s="82" t="s">
        <v>198</v>
      </c>
      <c r="I28">
        <v>400</v>
      </c>
      <c r="J28">
        <v>803.51458042000002</v>
      </c>
      <c r="K28">
        <f t="shared" si="0"/>
        <v>321405.83216799999</v>
      </c>
      <c r="L28">
        <v>27.83</v>
      </c>
      <c r="M28">
        <f>(1-(L28/100))*K28</f>
        <v>231958.58907564561</v>
      </c>
      <c r="N28" s="91">
        <v>28</v>
      </c>
      <c r="O28" s="91" t="s">
        <v>146</v>
      </c>
      <c r="P28" s="119" t="s">
        <v>89</v>
      </c>
      <c r="Q28" s="119" t="s">
        <v>243</v>
      </c>
    </row>
    <row r="29" spans="1:21" x14ac:dyDescent="0.25">
      <c r="A29" s="91" t="s">
        <v>199</v>
      </c>
      <c r="B29" s="120">
        <v>4</v>
      </c>
      <c r="C29" s="91" t="s">
        <v>190</v>
      </c>
      <c r="D29" s="91" t="s">
        <v>83</v>
      </c>
      <c r="E29">
        <v>51</v>
      </c>
      <c r="F29">
        <v>58</v>
      </c>
      <c r="G29" s="94" t="s">
        <v>84</v>
      </c>
      <c r="H29" t="s">
        <v>200</v>
      </c>
      <c r="I29">
        <v>1</v>
      </c>
      <c r="J29">
        <f>SUM(K30)</f>
        <v>241550.99960400001</v>
      </c>
      <c r="K29">
        <f t="shared" si="0"/>
        <v>241550.99960400001</v>
      </c>
      <c r="L29">
        <f>100*(1-(M29/K29))</f>
        <v>27.830000000000009</v>
      </c>
      <c r="M29">
        <f>I29*SUM(M30)</f>
        <v>174327.35641420679</v>
      </c>
      <c r="N29" s="91">
        <v>29</v>
      </c>
      <c r="O29" s="91" t="s">
        <v>147</v>
      </c>
      <c r="P29" s="119" t="s">
        <v>90</v>
      </c>
      <c r="Q29" s="119" t="s">
        <v>243</v>
      </c>
      <c r="R29" s="91" t="s">
        <v>160</v>
      </c>
      <c r="S29" s="91" t="s">
        <v>162</v>
      </c>
      <c r="T29" s="91" t="s">
        <v>163</v>
      </c>
      <c r="U29" s="91" t="s">
        <v>161</v>
      </c>
    </row>
    <row r="30" spans="1:21" x14ac:dyDescent="0.25">
      <c r="A30" s="91" t="s">
        <v>201</v>
      </c>
      <c r="B30" s="120">
        <v>5</v>
      </c>
      <c r="C30" s="91" t="s">
        <v>199</v>
      </c>
      <c r="D30" s="91" t="s">
        <v>59</v>
      </c>
      <c r="E30">
        <v>52</v>
      </c>
      <c r="F30">
        <v>57</v>
      </c>
      <c r="G30" s="94" t="s">
        <v>84</v>
      </c>
      <c r="H30" t="s">
        <v>202</v>
      </c>
      <c r="I30">
        <v>1</v>
      </c>
      <c r="J30">
        <f>SUM(K31,K32)</f>
        <v>241550.99960400001</v>
      </c>
      <c r="K30">
        <f t="shared" si="0"/>
        <v>241550.99960400001</v>
      </c>
      <c r="L30">
        <f>100*(1-(M30/K30))</f>
        <v>27.830000000000009</v>
      </c>
      <c r="M30">
        <f>I30*SUM(M31,M32)</f>
        <v>174327.35641420679</v>
      </c>
      <c r="N30" s="91">
        <v>30</v>
      </c>
      <c r="O30" s="91" t="s">
        <v>148</v>
      </c>
      <c r="P30" s="119" t="s">
        <v>91</v>
      </c>
      <c r="Q30" s="119" t="s">
        <v>243</v>
      </c>
      <c r="R30" s="91" t="s">
        <v>210</v>
      </c>
      <c r="S30" s="91" t="s">
        <v>156</v>
      </c>
      <c r="T30" s="91" t="s">
        <v>159</v>
      </c>
      <c r="U30" s="91" t="s">
        <v>214</v>
      </c>
    </row>
    <row r="31" spans="1:21" x14ac:dyDescent="0.25">
      <c r="A31" s="91" t="s">
        <v>203</v>
      </c>
      <c r="B31" s="120">
        <v>6</v>
      </c>
      <c r="C31" s="91" t="s">
        <v>201</v>
      </c>
      <c r="D31" s="91" t="s">
        <v>59</v>
      </c>
      <c r="E31">
        <v>53</v>
      </c>
      <c r="F31">
        <v>54</v>
      </c>
      <c r="G31" s="94" t="s">
        <v>59</v>
      </c>
      <c r="H31" t="s">
        <v>204</v>
      </c>
      <c r="I31">
        <v>1800</v>
      </c>
      <c r="J31">
        <v>33.108366230000001</v>
      </c>
      <c r="K31">
        <f t="shared" si="0"/>
        <v>59595.059214000001</v>
      </c>
      <c r="L31">
        <v>27.83</v>
      </c>
      <c r="M31">
        <f>(1-(L31/100))*K31</f>
        <v>43009.754234743799</v>
      </c>
      <c r="N31" s="91">
        <v>31</v>
      </c>
      <c r="O31" s="91" t="s">
        <v>149</v>
      </c>
      <c r="P31" s="119" t="s">
        <v>92</v>
      </c>
      <c r="Q31" s="119" t="s">
        <v>243</v>
      </c>
    </row>
    <row r="32" spans="1:21" x14ac:dyDescent="0.25">
      <c r="A32" s="91" t="s">
        <v>205</v>
      </c>
      <c r="B32" s="120">
        <v>6</v>
      </c>
      <c r="C32" s="91" t="s">
        <v>201</v>
      </c>
      <c r="D32" s="91" t="s">
        <v>83</v>
      </c>
      <c r="E32">
        <v>55</v>
      </c>
      <c r="F32">
        <v>56</v>
      </c>
      <c r="G32" s="94" t="s">
        <v>59</v>
      </c>
      <c r="H32" t="s">
        <v>206</v>
      </c>
      <c r="I32">
        <v>3000</v>
      </c>
      <c r="J32">
        <v>60.651980129999998</v>
      </c>
      <c r="K32">
        <f t="shared" si="0"/>
        <v>181955.94039</v>
      </c>
      <c r="L32">
        <v>27.83</v>
      </c>
      <c r="M32">
        <f>(1-(L32/100))*K32</f>
        <v>131317.60217946299</v>
      </c>
      <c r="N32" s="91">
        <v>32</v>
      </c>
      <c r="O32" s="91" t="s">
        <v>150</v>
      </c>
      <c r="P32" s="119" t="s">
        <v>93</v>
      </c>
      <c r="Q32" s="119" t="s">
        <v>243</v>
      </c>
    </row>
    <row r="33" spans="7:17" x14ac:dyDescent="0.25">
      <c r="G33" s="94"/>
      <c r="P33" s="119"/>
      <c r="Q33" s="119"/>
    </row>
    <row r="34" spans="7:17" x14ac:dyDescent="0.25">
      <c r="G34" s="94"/>
      <c r="P34" s="119"/>
      <c r="Q34" s="119"/>
    </row>
    <row r="35" spans="7:17" x14ac:dyDescent="0.25">
      <c r="G35" s="94"/>
      <c r="P35" s="119"/>
      <c r="Q35" s="119"/>
    </row>
    <row r="36" spans="7:17" x14ac:dyDescent="0.25">
      <c r="G36" s="94"/>
      <c r="P36" s="119"/>
      <c r="Q36" s="119"/>
    </row>
    <row r="37" spans="7:17" x14ac:dyDescent="0.25">
      <c r="G37" s="94"/>
      <c r="P37" s="119"/>
      <c r="Q37" s="119"/>
    </row>
    <row r="38" spans="7:17" x14ac:dyDescent="0.25">
      <c r="G38" s="94"/>
      <c r="P38" s="119"/>
      <c r="Q38" s="119"/>
    </row>
    <row r="39" spans="7:17" x14ac:dyDescent="0.25">
      <c r="G39" s="94"/>
      <c r="P39" s="119"/>
      <c r="Q39" s="119"/>
    </row>
    <row r="40" spans="7:17" x14ac:dyDescent="0.25">
      <c r="G40" s="94"/>
      <c r="P40" s="119"/>
      <c r="Q40" s="119"/>
    </row>
    <row r="41" spans="7:17" x14ac:dyDescent="0.25">
      <c r="G41" s="94"/>
      <c r="P41" s="119"/>
      <c r="Q41" s="119"/>
    </row>
    <row r="42" spans="7:17" x14ac:dyDescent="0.25">
      <c r="G42" s="94"/>
      <c r="P42" s="119"/>
      <c r="Q42" s="119"/>
    </row>
    <row r="43" spans="7:17" x14ac:dyDescent="0.25">
      <c r="G43" s="94"/>
      <c r="P43" s="119"/>
      <c r="Q43" s="119"/>
    </row>
    <row r="44" spans="7:17" x14ac:dyDescent="0.25">
      <c r="G44" s="94"/>
      <c r="P44" s="119"/>
      <c r="Q44" s="119"/>
    </row>
    <row r="45" spans="7:17" x14ac:dyDescent="0.25">
      <c r="G45" s="94"/>
      <c r="P45" s="119"/>
      <c r="Q45" s="119"/>
    </row>
    <row r="46" spans="7:17" x14ac:dyDescent="0.25">
      <c r="G46" s="94"/>
      <c r="P46" s="119"/>
      <c r="Q46" s="119"/>
    </row>
    <row r="47" spans="7:17" x14ac:dyDescent="0.25">
      <c r="G47" s="94"/>
      <c r="P47" s="119"/>
      <c r="Q47" s="119"/>
    </row>
    <row r="48" spans="7:17" x14ac:dyDescent="0.25">
      <c r="G48" s="94"/>
      <c r="P48" s="119"/>
      <c r="Q48" s="119"/>
    </row>
    <row r="49" spans="7:17" x14ac:dyDescent="0.25">
      <c r="G49" s="94"/>
      <c r="P49" s="119"/>
      <c r="Q49" s="119"/>
    </row>
    <row r="50" spans="7:17" x14ac:dyDescent="0.25">
      <c r="G50" s="94"/>
      <c r="P50" s="119"/>
      <c r="Q50" s="119"/>
    </row>
    <row r="51" spans="7:17" x14ac:dyDescent="0.25">
      <c r="G51" s="94"/>
      <c r="P51" s="119"/>
      <c r="Q51" s="119"/>
    </row>
    <row r="52" spans="7:17" x14ac:dyDescent="0.25">
      <c r="G52" s="94"/>
      <c r="P52" s="119"/>
      <c r="Q52" s="119"/>
    </row>
    <row r="53" spans="7:17" x14ac:dyDescent="0.25">
      <c r="G53" s="94"/>
      <c r="P53" s="119"/>
      <c r="Q53" s="119"/>
    </row>
    <row r="54" spans="7:17" x14ac:dyDescent="0.25">
      <c r="G54" s="94"/>
      <c r="P54" s="119"/>
      <c r="Q54" s="119"/>
    </row>
    <row r="55" spans="7:17" x14ac:dyDescent="0.25">
      <c r="G55" s="94"/>
      <c r="P55" s="119"/>
      <c r="Q55" s="119"/>
    </row>
    <row r="56" spans="7:17" x14ac:dyDescent="0.25">
      <c r="G56" s="94"/>
      <c r="P56" s="119"/>
      <c r="Q56" s="119"/>
    </row>
    <row r="57" spans="7:17" x14ac:dyDescent="0.25">
      <c r="G57" s="94"/>
      <c r="P57" s="119"/>
      <c r="Q57" s="119"/>
    </row>
    <row r="58" spans="7:17" x14ac:dyDescent="0.25">
      <c r="G58" s="94"/>
      <c r="P58" s="119"/>
      <c r="Q58" s="119"/>
    </row>
    <row r="59" spans="7:17" x14ac:dyDescent="0.25">
      <c r="G59" s="94"/>
      <c r="P59" s="119"/>
      <c r="Q59" s="119"/>
    </row>
    <row r="60" spans="7:17" x14ac:dyDescent="0.25">
      <c r="G60" s="94"/>
      <c r="P60" s="119"/>
      <c r="Q60" s="119"/>
    </row>
    <row r="61" spans="7:17" x14ac:dyDescent="0.25">
      <c r="G61" s="94"/>
      <c r="P61" s="119"/>
      <c r="Q61" s="119"/>
    </row>
    <row r="62" spans="7:17" x14ac:dyDescent="0.25">
      <c r="G62" s="94"/>
      <c r="P62" s="119"/>
      <c r="Q62" s="119"/>
    </row>
    <row r="63" spans="7:17" x14ac:dyDescent="0.25">
      <c r="G63" s="94"/>
      <c r="P63" s="119"/>
      <c r="Q63" s="119"/>
    </row>
    <row r="64" spans="7:17" x14ac:dyDescent="0.25">
      <c r="G64" s="94"/>
      <c r="P64" s="119"/>
      <c r="Q64" s="119"/>
    </row>
    <row r="65" spans="7:17" x14ac:dyDescent="0.25">
      <c r="G65" s="94"/>
      <c r="P65" s="119"/>
      <c r="Q65" s="119"/>
    </row>
    <row r="66" spans="7:17" x14ac:dyDescent="0.25">
      <c r="G66" s="94"/>
      <c r="P66" s="119"/>
      <c r="Q66" s="119"/>
    </row>
    <row r="67" spans="7:17" x14ac:dyDescent="0.25">
      <c r="G67" s="94"/>
      <c r="P67" s="119"/>
      <c r="Q67" s="119"/>
    </row>
    <row r="68" spans="7:17" x14ac:dyDescent="0.25">
      <c r="G68" s="94"/>
      <c r="P68" s="119"/>
      <c r="Q68" s="119"/>
    </row>
    <row r="69" spans="7:17" x14ac:dyDescent="0.25">
      <c r="G69" s="94"/>
      <c r="P69" s="119"/>
      <c r="Q69" s="119"/>
    </row>
    <row r="70" spans="7:17" x14ac:dyDescent="0.25">
      <c r="G70" s="94"/>
      <c r="P70" s="119"/>
      <c r="Q70" s="119"/>
    </row>
    <row r="71" spans="7:17" x14ac:dyDescent="0.25">
      <c r="G71" s="94"/>
      <c r="P71" s="119"/>
      <c r="Q71" s="119"/>
    </row>
    <row r="72" spans="7:17" x14ac:dyDescent="0.25">
      <c r="G72" s="94"/>
      <c r="P72" s="119"/>
      <c r="Q72" s="119"/>
    </row>
    <row r="73" spans="7:17" x14ac:dyDescent="0.25">
      <c r="G73" s="94"/>
      <c r="P73" s="119"/>
      <c r="Q73" s="119"/>
    </row>
    <row r="74" spans="7:17" x14ac:dyDescent="0.25">
      <c r="G74" s="94"/>
      <c r="P74" s="119"/>
      <c r="Q74" s="119"/>
    </row>
    <row r="75" spans="7:17" x14ac:dyDescent="0.25">
      <c r="G75" s="94"/>
      <c r="P75" s="119"/>
      <c r="Q75" s="119"/>
    </row>
    <row r="76" spans="7:17" x14ac:dyDescent="0.25">
      <c r="G76" s="94"/>
      <c r="P76" s="119"/>
      <c r="Q76" s="119"/>
    </row>
    <row r="77" spans="7:17" x14ac:dyDescent="0.25">
      <c r="G77" s="94"/>
      <c r="P77" s="119"/>
      <c r="Q77" s="119"/>
    </row>
    <row r="78" spans="7:17" x14ac:dyDescent="0.25">
      <c r="G78" s="94"/>
      <c r="P78" s="119"/>
      <c r="Q78" s="119"/>
    </row>
    <row r="79" spans="7:17" x14ac:dyDescent="0.25">
      <c r="G79" s="94"/>
      <c r="P79" s="119"/>
      <c r="Q79" s="119"/>
    </row>
    <row r="80" spans="7:17" x14ac:dyDescent="0.25">
      <c r="G80" s="94"/>
      <c r="P80" s="119"/>
      <c r="Q80" s="119"/>
    </row>
    <row r="81" spans="7:17" x14ac:dyDescent="0.25">
      <c r="G81" s="94"/>
      <c r="P81" s="119"/>
      <c r="Q81" s="119"/>
    </row>
    <row r="82" spans="7:17" x14ac:dyDescent="0.25">
      <c r="G82" s="94"/>
      <c r="P82" s="119"/>
      <c r="Q82" s="119"/>
    </row>
    <row r="83" spans="7:17" x14ac:dyDescent="0.25">
      <c r="G83" s="94"/>
      <c r="P83" s="119"/>
      <c r="Q83" s="119"/>
    </row>
    <row r="84" spans="7:17" x14ac:dyDescent="0.25">
      <c r="G84" s="94"/>
      <c r="P84" s="119"/>
      <c r="Q84" s="119"/>
    </row>
    <row r="85" spans="7:17" x14ac:dyDescent="0.25">
      <c r="G85" s="94"/>
      <c r="P85" s="119"/>
      <c r="Q85" s="119"/>
    </row>
    <row r="86" spans="7:17" x14ac:dyDescent="0.25">
      <c r="G86" s="94"/>
      <c r="P86" s="119"/>
      <c r="Q86" s="119"/>
    </row>
    <row r="87" spans="7:17" x14ac:dyDescent="0.25">
      <c r="G87" s="94"/>
      <c r="P87" s="119"/>
      <c r="Q87" s="119"/>
    </row>
    <row r="88" spans="7:17" x14ac:dyDescent="0.25">
      <c r="G88" s="94"/>
      <c r="P88" s="119"/>
      <c r="Q88" s="119"/>
    </row>
    <row r="89" spans="7:17" x14ac:dyDescent="0.25">
      <c r="G89" s="94"/>
      <c r="P89" s="119"/>
      <c r="Q89" s="119"/>
    </row>
    <row r="90" spans="7:17" x14ac:dyDescent="0.25">
      <c r="G90" s="94"/>
      <c r="P90" s="119"/>
      <c r="Q90" s="119"/>
    </row>
    <row r="91" spans="7:17" x14ac:dyDescent="0.25">
      <c r="G91" s="94"/>
      <c r="P91" s="119"/>
      <c r="Q91" s="119"/>
    </row>
    <row r="92" spans="7:17" x14ac:dyDescent="0.25">
      <c r="G92" s="94"/>
      <c r="P92" s="119"/>
      <c r="Q92" s="119"/>
    </row>
    <row r="93" spans="7:17" x14ac:dyDescent="0.25">
      <c r="G93" s="94"/>
      <c r="P93" s="119"/>
      <c r="Q93" s="119"/>
    </row>
    <row r="94" spans="7:17" x14ac:dyDescent="0.25">
      <c r="G94" s="94"/>
      <c r="P94" s="119"/>
      <c r="Q94" s="119"/>
    </row>
    <row r="95" spans="7:17" x14ac:dyDescent="0.25">
      <c r="G95" s="94"/>
      <c r="P95" s="119"/>
      <c r="Q95" s="119"/>
    </row>
    <row r="96" spans="7:17" x14ac:dyDescent="0.25">
      <c r="G96" s="94"/>
      <c r="P96" s="119"/>
      <c r="Q96" s="119"/>
    </row>
    <row r="97" spans="7:17" x14ac:dyDescent="0.25">
      <c r="G97" s="94"/>
      <c r="P97" s="119"/>
      <c r="Q97" s="119"/>
    </row>
    <row r="98" spans="7:17" x14ac:dyDescent="0.25">
      <c r="G98" s="94"/>
      <c r="P98" s="119"/>
      <c r="Q98" s="119"/>
    </row>
    <row r="99" spans="7:17" x14ac:dyDescent="0.25">
      <c r="G99" s="94"/>
      <c r="P99" s="119"/>
      <c r="Q99" s="119"/>
    </row>
    <row r="100" spans="7:17" x14ac:dyDescent="0.25">
      <c r="G100" s="94"/>
      <c r="P100" s="119"/>
      <c r="Q100" s="119"/>
    </row>
    <row r="101" spans="7:17" x14ac:dyDescent="0.25">
      <c r="G101" s="94"/>
      <c r="P101" s="119"/>
      <c r="Q101" s="119"/>
    </row>
    <row r="102" spans="7:17" x14ac:dyDescent="0.25">
      <c r="G102" s="94"/>
      <c r="P102" s="119"/>
      <c r="Q102" s="119"/>
    </row>
    <row r="103" spans="7:17" x14ac:dyDescent="0.25">
      <c r="G103" s="94"/>
      <c r="P103" s="119"/>
      <c r="Q103" s="119"/>
    </row>
    <row r="104" spans="7:17" x14ac:dyDescent="0.25">
      <c r="G104" s="94"/>
      <c r="P104" s="119"/>
      <c r="Q104" s="119"/>
    </row>
    <row r="105" spans="7:17" x14ac:dyDescent="0.25">
      <c r="G105" s="94"/>
      <c r="P105" s="119"/>
      <c r="Q105" s="119"/>
    </row>
    <row r="106" spans="7:17" x14ac:dyDescent="0.25">
      <c r="G106" s="94"/>
      <c r="P106" s="119"/>
      <c r="Q106" s="119"/>
    </row>
    <row r="107" spans="7:17" x14ac:dyDescent="0.25">
      <c r="G107" s="94"/>
      <c r="P107" s="119"/>
      <c r="Q107" s="119"/>
    </row>
    <row r="108" spans="7:17" x14ac:dyDescent="0.25">
      <c r="G108" s="94"/>
      <c r="P108" s="119"/>
      <c r="Q108" s="119"/>
    </row>
    <row r="109" spans="7:17" x14ac:dyDescent="0.25">
      <c r="G109" s="94"/>
      <c r="P109" s="119"/>
      <c r="Q109" s="119"/>
    </row>
    <row r="110" spans="7:17" x14ac:dyDescent="0.25">
      <c r="G110" s="94"/>
      <c r="P110" s="119"/>
      <c r="Q110" s="119"/>
    </row>
    <row r="111" spans="7:17" x14ac:dyDescent="0.25">
      <c r="G111" s="94"/>
      <c r="P111" s="119"/>
      <c r="Q111" s="119"/>
    </row>
    <row r="112" spans="7:17" x14ac:dyDescent="0.25">
      <c r="G112" s="94"/>
      <c r="P112" s="119"/>
      <c r="Q112" s="119"/>
    </row>
    <row r="113" spans="7:17" x14ac:dyDescent="0.25">
      <c r="G113" s="94"/>
      <c r="P113" s="119"/>
      <c r="Q113" s="119"/>
    </row>
    <row r="114" spans="7:17" x14ac:dyDescent="0.25">
      <c r="G114" s="94"/>
      <c r="P114" s="119"/>
      <c r="Q114" s="119"/>
    </row>
    <row r="115" spans="7:17" x14ac:dyDescent="0.25">
      <c r="G115" s="94"/>
      <c r="P115" s="119"/>
      <c r="Q115" s="119"/>
    </row>
    <row r="116" spans="7:17" x14ac:dyDescent="0.25">
      <c r="G116" s="94"/>
      <c r="P116" s="119"/>
      <c r="Q116" s="119"/>
    </row>
    <row r="117" spans="7:17" x14ac:dyDescent="0.25">
      <c r="G117" s="94"/>
      <c r="P117" s="119"/>
      <c r="Q117" s="119"/>
    </row>
    <row r="118" spans="7:17" x14ac:dyDescent="0.25">
      <c r="G118" s="94"/>
      <c r="P118" s="119"/>
      <c r="Q118" s="119"/>
    </row>
    <row r="119" spans="7:17" x14ac:dyDescent="0.25">
      <c r="G119" s="94"/>
      <c r="P119" s="119"/>
      <c r="Q119" s="119"/>
    </row>
    <row r="120" spans="7:17" x14ac:dyDescent="0.25">
      <c r="G120" s="94"/>
      <c r="P120" s="119"/>
      <c r="Q120" s="119"/>
    </row>
    <row r="121" spans="7:17" x14ac:dyDescent="0.25">
      <c r="G121" s="94"/>
      <c r="P121" s="119"/>
      <c r="Q121" s="119"/>
    </row>
    <row r="122" spans="7:17" x14ac:dyDescent="0.25">
      <c r="G122" s="94"/>
      <c r="P122" s="119"/>
      <c r="Q122" s="119"/>
    </row>
    <row r="123" spans="7:17" x14ac:dyDescent="0.25">
      <c r="G123" s="94"/>
      <c r="P123" s="119"/>
      <c r="Q123" s="119"/>
    </row>
    <row r="124" spans="7:17" x14ac:dyDescent="0.25">
      <c r="G124" s="94"/>
      <c r="P124" s="119"/>
      <c r="Q124" s="119"/>
    </row>
    <row r="125" spans="7:17" x14ac:dyDescent="0.25">
      <c r="G125" s="94"/>
      <c r="P125" s="119"/>
      <c r="Q125" s="119"/>
    </row>
    <row r="126" spans="7:17" x14ac:dyDescent="0.25">
      <c r="G126" s="94"/>
      <c r="P126" s="119"/>
      <c r="Q126" s="119"/>
    </row>
    <row r="127" spans="7:17" x14ac:dyDescent="0.25">
      <c r="G127" s="94"/>
      <c r="P127" s="119"/>
      <c r="Q127" s="119"/>
    </row>
    <row r="128" spans="7:17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  <c r="P260" s="119"/>
      <c r="Q260" s="119"/>
    </row>
    <row r="261" spans="7:17" x14ac:dyDescent="0.25">
      <c r="G261" s="94"/>
      <c r="P261" s="119"/>
      <c r="Q261" s="119"/>
    </row>
    <row r="262" spans="7:17" x14ac:dyDescent="0.25">
      <c r="G262" s="94"/>
      <c r="P262" s="119"/>
      <c r="Q262" s="119"/>
    </row>
    <row r="263" spans="7:17" x14ac:dyDescent="0.25">
      <c r="G263" s="94"/>
      <c r="P263" s="119"/>
      <c r="Q263" s="119"/>
    </row>
    <row r="264" spans="7:17" x14ac:dyDescent="0.25">
      <c r="G264" s="94"/>
      <c r="P264" s="119"/>
      <c r="Q264" s="119"/>
    </row>
    <row r="265" spans="7:17" x14ac:dyDescent="0.25">
      <c r="G265" s="94"/>
      <c r="P265" s="119"/>
      <c r="Q265" s="119"/>
    </row>
    <row r="266" spans="7:17" x14ac:dyDescent="0.25">
      <c r="G266" s="94"/>
      <c r="P266" s="119"/>
      <c r="Q266" s="119"/>
    </row>
    <row r="267" spans="7:17" x14ac:dyDescent="0.25">
      <c r="G267" s="94"/>
      <c r="P267" s="119"/>
      <c r="Q267" s="119"/>
    </row>
    <row r="268" spans="7:17" x14ac:dyDescent="0.25">
      <c r="G268" s="94"/>
      <c r="P268" s="119"/>
      <c r="Q268" s="119"/>
    </row>
    <row r="269" spans="7:17" x14ac:dyDescent="0.25">
      <c r="G269" s="94"/>
      <c r="P269" s="119"/>
      <c r="Q269" s="119"/>
    </row>
    <row r="270" spans="7:17" x14ac:dyDescent="0.25">
      <c r="G270" s="94"/>
      <c r="P270" s="119"/>
      <c r="Q270" s="119"/>
    </row>
    <row r="271" spans="7:17" x14ac:dyDescent="0.25">
      <c r="G271" s="94"/>
      <c r="P271" s="119"/>
      <c r="Q271" s="119"/>
    </row>
    <row r="272" spans="7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</sheetData>
  <autoFilter ref="A1:G26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2012-05-17T05:26:15Z</dcterms:modified>
</cp:coreProperties>
</file>
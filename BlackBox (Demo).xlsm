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95" windowWidth="13140" windowHeight="46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Database!$A$1:$G$260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2" i="2" l="1"/>
  <c r="L11" i="2"/>
  <c r="L4" i="2"/>
  <c r="K22" i="2"/>
  <c r="K11" i="2"/>
  <c r="K4" i="2"/>
  <c r="M22" i="2"/>
  <c r="M11" i="2"/>
  <c r="M4" i="2"/>
  <c r="J22" i="2"/>
  <c r="J11" i="2"/>
  <c r="J4" i="2"/>
  <c r="L23" i="2"/>
  <c r="L12" i="2"/>
  <c r="L5" i="2"/>
  <c r="K23" i="2"/>
  <c r="K12" i="2"/>
  <c r="K5" i="2"/>
  <c r="M23" i="2"/>
  <c r="M12" i="2"/>
  <c r="M5" i="2"/>
  <c r="J23" i="2"/>
  <c r="J12" i="2"/>
  <c r="J5" i="2"/>
  <c r="L24" i="2"/>
  <c r="L13" i="2"/>
  <c r="L6" i="2"/>
  <c r="K24" i="2"/>
  <c r="K13" i="2"/>
  <c r="K6" i="2"/>
  <c r="M24" i="2"/>
  <c r="M13" i="2"/>
  <c r="M6" i="2"/>
  <c r="J24" i="2"/>
  <c r="J13" i="2"/>
  <c r="J6" i="2"/>
  <c r="L29" i="2"/>
  <c r="L25" i="2"/>
  <c r="L18" i="2"/>
  <c r="L14" i="2"/>
  <c r="L7" i="2"/>
  <c r="K29" i="2"/>
  <c r="K25" i="2"/>
  <c r="K18" i="2"/>
  <c r="K14" i="2"/>
  <c r="K7" i="2"/>
  <c r="M29" i="2"/>
  <c r="M25" i="2"/>
  <c r="M18" i="2"/>
  <c r="M14" i="2"/>
  <c r="M7" i="2"/>
  <c r="J29" i="2"/>
  <c r="J25" i="2"/>
  <c r="J18" i="2"/>
  <c r="J14" i="2"/>
  <c r="J7" i="2"/>
  <c r="L30" i="2"/>
  <c r="L26" i="2"/>
  <c r="L19" i="2"/>
  <c r="L15" i="2"/>
  <c r="L8" i="2"/>
  <c r="K30" i="2"/>
  <c r="K26" i="2"/>
  <c r="K19" i="2"/>
  <c r="K15" i="2"/>
  <c r="K8" i="2"/>
  <c r="M30" i="2"/>
  <c r="M26" i="2"/>
  <c r="M19" i="2"/>
  <c r="M15" i="2"/>
  <c r="M8" i="2"/>
  <c r="J30" i="2"/>
  <c r="J26" i="2"/>
  <c r="J19" i="2"/>
  <c r="J15" i="2"/>
  <c r="J8" i="2"/>
  <c r="M32" i="2"/>
  <c r="K32" i="2"/>
  <c r="M31" i="2"/>
  <c r="K31" i="2"/>
  <c r="M28" i="2"/>
  <c r="K28" i="2"/>
  <c r="M27" i="2"/>
  <c r="K27" i="2"/>
  <c r="M21" i="2"/>
  <c r="K21" i="2"/>
  <c r="M20" i="2"/>
  <c r="K20" i="2"/>
  <c r="M17" i="2"/>
  <c r="K17" i="2"/>
  <c r="M16" i="2"/>
  <c r="K16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</calcChain>
</file>

<file path=xl/sharedStrings.xml><?xml version="1.0" encoding="utf-8"?>
<sst xmlns="http://schemas.openxmlformats.org/spreadsheetml/2006/main" count="397" uniqueCount="244">
  <si>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</si>
  <si>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</si>
  <si>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</si>
  <si>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</si>
  <si>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</si>
  <si>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</si>
  <si>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</si>
  <si>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</si>
  <si>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</si>
  <si>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</si>
  <si>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</si>
  <si>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</si>
  <si>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</si>
  <si>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</si>
  <si>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</si>
  <si>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</si>
  <si>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</si>
  <si>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</si>
  <si>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</si>
  <si>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</si>
  <si>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</si>
  <si>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</si>
  <si>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</si>
  <si>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</si>
  <si>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</si>
  <si>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</si>
  <si>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</si>
  <si>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</si>
  <si>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</si>
  <si>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</si>
  <si>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</si>
  <si>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</si>
  <si>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</si>
  <si>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</si>
  <si>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</si>
  <si>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</si>
  <si>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</si>
  <si>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</si>
  <si>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</si>
  <si>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</si>
  <si>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</si>
  <si>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</si>
  <si>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</si>
  <si>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</si>
  <si>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</si>
  <si>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</si>
  <si>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</si>
  <si>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</si>
  <si>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</si>
  <si>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</si>
  <si>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</si>
  <si>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</si>
  <si>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</si>
  <si>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</si>
  <si>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</si>
  <si>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</si>
  <si>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</si>
  <si>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</si>
  <si>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</si>
  <si>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</si>
  <si>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</si>
  <si>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</si>
  <si>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</si>
  <si>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</si>
  <si>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</si>
  <si>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</si>
  <si>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</si>
  <si>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</si>
  <si>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</si>
  <si>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</si>
  <si>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</si>
  <si>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</si>
  <si>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</si>
  <si>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</si>
  <si>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</si>
  <si>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</si>
  <si>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</si>
  <si>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</si>
  <si>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</si>
  <si>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</si>
  <si>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</si>
  <si>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</si>
  <si>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</si>
  <si>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</si>
  <si>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</si>
  <si>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</si>
  <si>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</si>
  <si>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</si>
  <si>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</si>
  <si>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</si>
  <si>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</si>
  <si>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</si>
  <si>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</si>
  <si>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</si>
  <si>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</si>
  <si>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</si>
  <si>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</si>
  <si>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</si>
  <si>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</si>
  <si>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</si>
  <si>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</si>
  <si>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</si>
  <si>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</si>
  <si>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</si>
  <si>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</si>
  <si>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=I8*SUM(M9,M10)</t>
  </si>
  <si>
    <t>=I8*J8</t>
  </si>
  <si>
    <t>=I13*J13</t>
  </si>
  <si>
    <t>=100*(1-(M8/K8))</t>
  </si>
  <si>
    <t>=100*(1-(M13/K13))</t>
  </si>
  <si>
    <t>=SUM(K8)</t>
  </si>
  <si>
    <t>=SUM(K13)</t>
  </si>
  <si>
    <t>=I7*SUM(M8)</t>
  </si>
  <si>
    <t>=I12*SUM(M13)</t>
  </si>
  <si>
    <t>=I7*J7</t>
  </si>
  <si>
    <t>=I12*J12</t>
  </si>
  <si>
    <t>=100*(1-(M7/K7))</t>
  </si>
  <si>
    <t>=100*(1-(M12/K12))</t>
  </si>
  <si>
    <t>=SUM(K7)</t>
  </si>
  <si>
    <t>=SUM(K12)</t>
  </si>
  <si>
    <t>=I6*SUM(M7)</t>
  </si>
  <si>
    <t>=I11*SUM(M12)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</si>
  <si>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</si>
  <si>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</si>
  <si>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</si>
  <si>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</si>
  <si>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</si>
  <si>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</si>
  <si>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</si>
  <si>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</si>
  <si>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</si>
  <si>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</si>
  <si>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11</t>
  </si>
  <si>
    <t>12</t>
  </si>
  <si>
    <t>13</t>
  </si>
  <si>
    <t>14</t>
  </si>
  <si>
    <t>30</t>
  </si>
  <si>
    <t>31</t>
  </si>
  <si>
    <t>33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</si>
  <si>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</si>
  <si>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</si>
  <si>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</si>
  <si>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</si>
  <si>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</si>
  <si>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</si>
  <si>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</si>
  <si>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</si>
  <si>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</si>
  <si>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</si>
  <si>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</si>
  <si>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</si>
  <si>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3</t>
  </si>
  <si>
    <t>29</t>
  </si>
  <si>
    <t>34</t>
  </si>
  <si>
    <t>=I14*J14</t>
  </si>
  <si>
    <t>=I22*J22</t>
  </si>
  <si>
    <t>=I30*J30</t>
  </si>
  <si>
    <t>=100*(1-(M14/K14))</t>
  </si>
  <si>
    <t>=100*(1-(M22/K22))</t>
  </si>
  <si>
    <t>=100*(1-(M30/K30))</t>
  </si>
  <si>
    <t>=SUM(K30)</t>
  </si>
  <si>
    <t>=I29*SUM(M30)</t>
  </si>
  <si>
    <t>=I29*J29</t>
  </si>
  <si>
    <t>=100*(1-(M29/K29))</t>
  </si>
  <si>
    <t>=I19*J19</t>
  </si>
  <si>
    <t>=100*(1-(M19/K19))</t>
  </si>
  <si>
    <t>SGSN-MME 2010B to 2011A 10 kPPS GSM or 50 kPPS WCDMA SW Upgrade License</t>
  </si>
  <si>
    <t>SGSN-MME 2010B to 2011A 5k IP Sessions SW Upgrade License</t>
  </si>
  <si>
    <t>SW Upgrade from GGSN 2010B to GGSN-MPG 2011A License for 1 k IP Session</t>
  </si>
  <si>
    <t>SW Upgrade from GGSN 2010B to GGSN-MPG 2011A License for 1 kPPS</t>
  </si>
  <si>
    <t>39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</si>
  <si>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</si>
  <si>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</si>
  <si>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</si>
  <si>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</si>
  <si>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</si>
  <si>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</si>
  <si>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</si>
  <si>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</si>
  <si>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</si>
  <si>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</si>
  <si>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</si>
  <si>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</si>
  <si>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</si>
  <si>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</si>
  <si>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</si>
  <si>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</si>
  <si>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</si>
  <si>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Phase 3 : Normal Expansion</t>
  </si>
  <si>
    <t>3.1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</si>
  <si>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</si>
  <si>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</si>
  <si>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</si>
  <si>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</si>
  <si>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</si>
  <si>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</si>
  <si>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</si>
  <si>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</si>
  <si>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</si>
  <si>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</si>
  <si>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</si>
  <si>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</si>
  <si>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</si>
  <si>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</si>
  <si>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</si>
  <si>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</si>
  <si>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</si>
  <si>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=SUM(K16,K17)</t>
  </si>
  <si>
    <t>=SUM(K20,K21)</t>
  </si>
  <si>
    <t>=SUM(K27,K28)</t>
  </si>
  <si>
    <t>=SUM(K31,K32)</t>
  </si>
  <si>
    <t>=I15*SUM(M16,M17)</t>
  </si>
  <si>
    <t>=I19*SUM(M20,M21)</t>
  </si>
  <si>
    <t>=I26*SUM(M27,M28)</t>
  </si>
  <si>
    <t>=I30*SUM(M31,M32)</t>
  </si>
  <si>
    <t>=I15*J15</t>
  </si>
  <si>
    <t>=I26*J26</t>
  </si>
  <si>
    <t>=100*(1-(M15/K15))</t>
  </si>
  <si>
    <t>=100*(1-(M26/K26))</t>
  </si>
  <si>
    <t>=SUM(K15)</t>
  </si>
  <si>
    <t>=SUM(K19)</t>
  </si>
  <si>
    <t>=SUM(K26)</t>
  </si>
  <si>
    <t>=I14*SUM(M15)</t>
  </si>
  <si>
    <t>=I18*SUM(M19)</t>
  </si>
  <si>
    <t>=I25*SUM(M26)</t>
  </si>
  <si>
    <t>=I18*J18</t>
  </si>
  <si>
    <t>=I25*J25</t>
  </si>
  <si>
    <t>=100*(1-(M18/K18))</t>
  </si>
  <si>
    <t>=100*(1-(M25/K25))</t>
  </si>
  <si>
    <t>=SUM(K14,K18)</t>
  </si>
  <si>
    <t>=SUM(K25,K29)</t>
  </si>
  <si>
    <t>=I13*SUM(M14,M18)</t>
  </si>
  <si>
    <t>=I24*SUM(M25,M29)</t>
  </si>
  <si>
    <t>=I24*J24</t>
  </si>
  <si>
    <t>=100*(1-(M24/K24))</t>
  </si>
  <si>
    <t>=SUM(K24)</t>
  </si>
  <si>
    <t>=I23*SUM(M24)</t>
  </si>
  <si>
    <t>=I23*J23</t>
  </si>
  <si>
    <t>=100*(1-(M23/K23))</t>
  </si>
  <si>
    <t>=SUM(K5)</t>
  </si>
  <si>
    <t>=SUM(K23)</t>
  </si>
  <si>
    <t>=I4*SUM(M5)</t>
  </si>
  <si>
    <t>=I22*SUM(M23)</t>
  </si>
  <si>
    <t>Phase 3 Area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</si>
</sst>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60"/>
  <sheetViews>
    <sheetView tabSelected="1" zoomScale="70" zoomScaleNormal="70" workbookViewId="0">
      <selection activeCell="H23" sqref="H23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85</v>
      </c>
      <c r="P1" s="83" t="s">
        <v>86</v>
      </c>
      <c r="Q1" s="83" t="s">
        <v>87</v>
      </c>
      <c r="R1" s="83" t="s">
        <v>100</v>
      </c>
      <c r="S1" s="83" t="s">
        <v>101</v>
      </c>
      <c r="T1" s="83" t="s">
        <v>102</v>
      </c>
      <c r="U1" s="83" t="s">
        <v>103</v>
      </c>
    </row>
    <row r="2" spans="1:21" x14ac:dyDescent="0.25">
      <c r="A2" s="90" t="s">
        <v>84</v>
      </c>
      <c r="B2" s="89">
        <v>0</v>
      </c>
      <c r="C2" s="83"/>
      <c r="D2" s="83"/>
      <c r="E2" s="82">
        <v>1</v>
      </c>
      <c r="F2" s="82">
        <v>62</v>
      </c>
      <c r="G2" s="93" t="s">
        <v>84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9">
        <v>1</v>
      </c>
      <c r="C3" s="83" t="s">
        <v>84</v>
      </c>
      <c r="D3" s="83" t="s">
        <v>59</v>
      </c>
      <c r="E3" s="82">
        <v>2</v>
      </c>
      <c r="F3" s="82">
        <v>17</v>
      </c>
      <c r="G3" s="93" t="s">
        <v>84</v>
      </c>
      <c r="H3" s="82" t="s">
        <v>74</v>
      </c>
      <c r="I3" s="82">
        <v>1</v>
      </c>
      <c r="J3" s="82"/>
      <c r="K3" s="82"/>
      <c r="L3" s="82"/>
      <c r="M3" s="82"/>
      <c r="N3" s="83">
        <v>3</v>
      </c>
      <c r="O3" s="83" t="s">
        <v>88</v>
      </c>
      <c r="P3" s="83"/>
      <c r="Q3" s="83"/>
      <c r="R3" s="83"/>
      <c r="S3" s="83"/>
      <c r="T3" s="83"/>
      <c r="U3" s="83"/>
    </row>
    <row r="4" spans="1:21" x14ac:dyDescent="0.25">
      <c r="A4" s="83" t="s">
        <v>2</v>
      </c>
      <c r="B4" s="89">
        <v>2</v>
      </c>
      <c r="C4" s="86" t="s">
        <v>59</v>
      </c>
      <c r="D4" s="83" t="s">
        <v>59</v>
      </c>
      <c r="E4" s="88">
        <v>3</v>
      </c>
      <c r="F4" s="88">
        <v>16</v>
      </c>
      <c r="G4" s="93" t="s">
        <v>84</v>
      </c>
      <c r="H4" s="82" t="s">
        <v>75</v>
      </c>
      <c r="I4" s="82">
        <v>1</v>
      </c>
      <c r="J4" s="82">
        <f>SUM(K5)</f>
        <v>2022341.0420985599</v>
      </c>
      <c r="K4" s="82">
        <f t="shared" ref="K4:K32" si="0">I4*J4</f>
        <v>2022341.0420985599</v>
      </c>
      <c r="L4" s="82">
        <f>100*(1-(M4/K4))</f>
        <v>100</v>
      </c>
      <c r="M4" s="82">
        <f>I4*SUM(M5)</f>
        <v>0</v>
      </c>
      <c r="N4" s="91">
        <v>4</v>
      </c>
      <c r="O4" s="91" t="s">
        <v>89</v>
      </c>
      <c r="P4" s="119" t="s">
        <v>132</v>
      </c>
      <c r="Q4" s="119" t="s">
        <v>75</v>
      </c>
      <c r="R4" s="91" t="s">
        <v>239</v>
      </c>
      <c r="S4" s="91" t="s">
        <v>128</v>
      </c>
      <c r="T4" s="91" t="s">
        <v>130</v>
      </c>
      <c r="U4" s="91" t="s">
        <v>241</v>
      </c>
    </row>
    <row r="5" spans="1:2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84</v>
      </c>
      <c r="H5" s="82" t="s">
        <v>76</v>
      </c>
      <c r="I5">
        <v>1</v>
      </c>
      <c r="J5">
        <f>SUM(K6)</f>
        <v>2022341.0420985599</v>
      </c>
      <c r="K5">
        <f t="shared" si="0"/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90</v>
      </c>
      <c r="P5" s="119" t="s">
        <v>133</v>
      </c>
      <c r="Q5" s="119" t="s">
        <v>75</v>
      </c>
      <c r="R5" s="91" t="s">
        <v>126</v>
      </c>
      <c r="S5" s="91" t="s">
        <v>129</v>
      </c>
      <c r="T5" s="91" t="s">
        <v>131</v>
      </c>
      <c r="U5" s="91" t="s">
        <v>127</v>
      </c>
    </row>
    <row r="6" spans="1:2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84</v>
      </c>
      <c r="H6" s="82" t="s">
        <v>77</v>
      </c>
      <c r="I6">
        <v>1</v>
      </c>
      <c r="J6">
        <f>SUM(K7)</f>
        <v>2022341.0420985599</v>
      </c>
      <c r="K6">
        <f t="shared" si="0"/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134</v>
      </c>
      <c r="Q6" s="119" t="s">
        <v>75</v>
      </c>
      <c r="R6" s="91" t="s">
        <v>118</v>
      </c>
      <c r="S6" s="91" t="s">
        <v>122</v>
      </c>
      <c r="T6" s="91" t="s">
        <v>124</v>
      </c>
      <c r="U6" s="91" t="s">
        <v>120</v>
      </c>
    </row>
    <row r="7" spans="1:2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84</v>
      </c>
      <c r="H7" s="82" t="s">
        <v>77</v>
      </c>
      <c r="I7">
        <v>2</v>
      </c>
      <c r="J7">
        <f>SUM(K8)</f>
        <v>1011170.52104928</v>
      </c>
      <c r="K7">
        <f t="shared" si="0"/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92</v>
      </c>
      <c r="P7" s="119" t="s">
        <v>135</v>
      </c>
      <c r="Q7" s="119" t="s">
        <v>75</v>
      </c>
      <c r="R7" s="91" t="s">
        <v>110</v>
      </c>
      <c r="S7" s="91" t="s">
        <v>114</v>
      </c>
      <c r="T7" s="91" t="s">
        <v>116</v>
      </c>
      <c r="U7" s="91" t="s">
        <v>112</v>
      </c>
    </row>
    <row r="8" spans="1:2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84</v>
      </c>
      <c r="H8" s="82" t="s">
        <v>78</v>
      </c>
      <c r="I8">
        <v>1</v>
      </c>
      <c r="J8">
        <f>SUM(K9,K10)</f>
        <v>1011170.52104928</v>
      </c>
      <c r="K8">
        <f t="shared" si="0"/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93</v>
      </c>
      <c r="P8" s="119" t="s">
        <v>88</v>
      </c>
      <c r="Q8" s="119" t="s">
        <v>75</v>
      </c>
      <c r="R8" s="91" t="s">
        <v>104</v>
      </c>
      <c r="S8" s="91" t="s">
        <v>106</v>
      </c>
      <c r="T8" s="91" t="s">
        <v>108</v>
      </c>
      <c r="U8" s="91" t="s">
        <v>105</v>
      </c>
    </row>
    <row r="9" spans="1:2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94</v>
      </c>
      <c r="P9" s="119" t="s">
        <v>89</v>
      </c>
      <c r="Q9" s="119" t="s">
        <v>75</v>
      </c>
    </row>
    <row r="10" spans="1:21" x14ac:dyDescent="0.25">
      <c r="A10" s="85" t="s">
        <v>81</v>
      </c>
      <c r="B10" s="89">
        <v>7</v>
      </c>
      <c r="C10" s="85" t="s">
        <v>1</v>
      </c>
      <c r="D10" s="83" t="s">
        <v>83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95</v>
      </c>
      <c r="P10" s="119" t="s">
        <v>90</v>
      </c>
      <c r="Q10" s="119" t="s">
        <v>75</v>
      </c>
    </row>
    <row r="11" spans="1:21" x14ac:dyDescent="0.25">
      <c r="A11" s="85" t="s">
        <v>83</v>
      </c>
      <c r="B11" s="89">
        <v>1</v>
      </c>
      <c r="C11" s="85" t="s">
        <v>84</v>
      </c>
      <c r="D11" s="83" t="s">
        <v>83</v>
      </c>
      <c r="E11" s="88">
        <v>18</v>
      </c>
      <c r="F11" s="88">
        <v>39</v>
      </c>
      <c r="G11" s="93" t="s">
        <v>84</v>
      </c>
      <c r="H11" s="82" t="s">
        <v>171</v>
      </c>
      <c r="I11">
        <v>1</v>
      </c>
      <c r="J11">
        <f>SUM(K12)</f>
        <v>700357.82502324996</v>
      </c>
      <c r="K11">
        <f t="shared" si="0"/>
        <v>700357.82502324996</v>
      </c>
      <c r="L11">
        <f>100*(1-(M11/K11))</f>
        <v>27.83</v>
      </c>
      <c r="M11">
        <f>I11*SUM(M12)</f>
        <v>505448.24231927952</v>
      </c>
      <c r="N11" s="91">
        <v>11</v>
      </c>
      <c r="O11" s="91" t="s">
        <v>96</v>
      </c>
      <c r="P11" s="119"/>
      <c r="Q11" s="119"/>
      <c r="R11" s="91" t="s">
        <v>119</v>
      </c>
      <c r="S11" s="91" t="s">
        <v>123</v>
      </c>
      <c r="T11" s="91" t="s">
        <v>125</v>
      </c>
      <c r="U11" s="91" t="s">
        <v>121</v>
      </c>
    </row>
    <row r="12" spans="1:21" x14ac:dyDescent="0.25">
      <c r="A12" s="85" t="s">
        <v>172</v>
      </c>
      <c r="B12" s="89">
        <v>2</v>
      </c>
      <c r="C12" s="85" t="s">
        <v>83</v>
      </c>
      <c r="D12" s="83" t="s">
        <v>59</v>
      </c>
      <c r="E12" s="88">
        <v>19</v>
      </c>
      <c r="F12" s="88">
        <v>38</v>
      </c>
      <c r="G12" s="93" t="s">
        <v>84</v>
      </c>
      <c r="H12" s="82" t="s">
        <v>173</v>
      </c>
      <c r="I12">
        <v>1</v>
      </c>
      <c r="J12">
        <f>SUM(K13)</f>
        <v>700357.82502324996</v>
      </c>
      <c r="K12">
        <f t="shared" si="0"/>
        <v>700357.82502324996</v>
      </c>
      <c r="L12">
        <f>100*(1-(M12/K12))</f>
        <v>27.83</v>
      </c>
      <c r="M12">
        <f>I12*SUM(M13)</f>
        <v>505448.24231927952</v>
      </c>
      <c r="N12" s="91">
        <v>12</v>
      </c>
      <c r="O12" s="91" t="s">
        <v>97</v>
      </c>
      <c r="P12" s="119" t="s">
        <v>132</v>
      </c>
      <c r="Q12" s="119" t="s">
        <v>173</v>
      </c>
      <c r="R12" s="91" t="s">
        <v>111</v>
      </c>
      <c r="S12" s="91" t="s">
        <v>115</v>
      </c>
      <c r="T12" s="91" t="s">
        <v>117</v>
      </c>
      <c r="U12" s="91" t="s">
        <v>113</v>
      </c>
    </row>
    <row r="13" spans="1:21" x14ac:dyDescent="0.25">
      <c r="A13" s="85" t="s">
        <v>174</v>
      </c>
      <c r="B13" s="89">
        <v>3</v>
      </c>
      <c r="C13" s="85" t="s">
        <v>172</v>
      </c>
      <c r="D13" s="83" t="s">
        <v>59</v>
      </c>
      <c r="E13" s="88">
        <v>20</v>
      </c>
      <c r="F13" s="88">
        <v>37</v>
      </c>
      <c r="G13" s="93" t="s">
        <v>84</v>
      </c>
      <c r="H13" s="82" t="s">
        <v>175</v>
      </c>
      <c r="I13">
        <v>1</v>
      </c>
      <c r="J13">
        <f>SUM(K14,K18)</f>
        <v>700357.82502324996</v>
      </c>
      <c r="K13">
        <f t="shared" si="0"/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98</v>
      </c>
      <c r="P13" s="119" t="s">
        <v>133</v>
      </c>
      <c r="Q13" s="119" t="s">
        <v>173</v>
      </c>
      <c r="R13" s="91" t="s">
        <v>229</v>
      </c>
      <c r="S13" s="91" t="s">
        <v>107</v>
      </c>
      <c r="T13" s="91" t="s">
        <v>109</v>
      </c>
      <c r="U13" s="91" t="s">
        <v>231</v>
      </c>
    </row>
    <row r="14" spans="1:21" x14ac:dyDescent="0.25">
      <c r="A14" s="85" t="s">
        <v>176</v>
      </c>
      <c r="B14" s="89">
        <v>4</v>
      </c>
      <c r="C14" s="85" t="s">
        <v>174</v>
      </c>
      <c r="D14" s="83" t="s">
        <v>59</v>
      </c>
      <c r="E14" s="88">
        <v>21</v>
      </c>
      <c r="F14" s="88">
        <v>28</v>
      </c>
      <c r="G14" s="93" t="s">
        <v>84</v>
      </c>
      <c r="H14" s="82" t="s">
        <v>177</v>
      </c>
      <c r="I14">
        <v>1</v>
      </c>
      <c r="J14">
        <f>SUM(K15)</f>
        <v>458806.82541925</v>
      </c>
      <c r="K14">
        <f t="shared" si="0"/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99</v>
      </c>
      <c r="P14" s="119" t="s">
        <v>134</v>
      </c>
      <c r="Q14" s="119" t="s">
        <v>173</v>
      </c>
      <c r="R14" s="91" t="s">
        <v>219</v>
      </c>
      <c r="S14" s="91" t="s">
        <v>154</v>
      </c>
      <c r="T14" s="91" t="s">
        <v>157</v>
      </c>
      <c r="U14" s="91" t="s">
        <v>222</v>
      </c>
    </row>
    <row r="15" spans="1:21" x14ac:dyDescent="0.25">
      <c r="A15" s="84" t="s">
        <v>178</v>
      </c>
      <c r="B15" s="89">
        <v>5</v>
      </c>
      <c r="C15" s="87" t="s">
        <v>176</v>
      </c>
      <c r="D15" s="83" t="s">
        <v>59</v>
      </c>
      <c r="E15" s="89">
        <v>22</v>
      </c>
      <c r="F15" s="89">
        <v>27</v>
      </c>
      <c r="G15" s="93" t="s">
        <v>84</v>
      </c>
      <c r="H15" s="82" t="s">
        <v>179</v>
      </c>
      <c r="I15">
        <v>1</v>
      </c>
      <c r="J15">
        <f>SUM(K16,K17)</f>
        <v>458806.82541925</v>
      </c>
      <c r="K15">
        <f t="shared" si="0"/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152</v>
      </c>
      <c r="P15" s="119" t="s">
        <v>135</v>
      </c>
      <c r="Q15" s="119" t="s">
        <v>173</v>
      </c>
      <c r="R15" s="91" t="s">
        <v>207</v>
      </c>
      <c r="S15" s="91" t="s">
        <v>215</v>
      </c>
      <c r="T15" s="91" t="s">
        <v>217</v>
      </c>
      <c r="U15" s="91" t="s">
        <v>211</v>
      </c>
    </row>
    <row r="16" spans="1:21" x14ac:dyDescent="0.25">
      <c r="A16" s="85" t="s">
        <v>180</v>
      </c>
      <c r="B16" s="89">
        <v>6</v>
      </c>
      <c r="C16" s="85" t="s">
        <v>178</v>
      </c>
      <c r="D16" s="83" t="s">
        <v>59</v>
      </c>
      <c r="E16" s="88">
        <v>23</v>
      </c>
      <c r="F16" s="88">
        <v>24</v>
      </c>
      <c r="G16" s="93" t="s">
        <v>59</v>
      </c>
      <c r="H16" s="82" t="s">
        <v>166</v>
      </c>
      <c r="I16">
        <v>57</v>
      </c>
      <c r="J16">
        <v>2410.54374125</v>
      </c>
      <c r="K16">
        <f t="shared" si="0"/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136</v>
      </c>
      <c r="P16" s="119" t="s">
        <v>88</v>
      </c>
      <c r="Q16" s="119" t="s">
        <v>173</v>
      </c>
    </row>
    <row r="17" spans="1:21" x14ac:dyDescent="0.25">
      <c r="A17" s="85" t="s">
        <v>181</v>
      </c>
      <c r="B17" s="89">
        <v>6</v>
      </c>
      <c r="C17" s="85" t="s">
        <v>178</v>
      </c>
      <c r="D17" s="83" t="s">
        <v>83</v>
      </c>
      <c r="E17" s="88">
        <v>25</v>
      </c>
      <c r="F17" s="88">
        <v>26</v>
      </c>
      <c r="G17" s="93" t="s">
        <v>59</v>
      </c>
      <c r="H17" s="82" t="s">
        <v>167</v>
      </c>
      <c r="I17">
        <v>400</v>
      </c>
      <c r="J17">
        <v>803.51458042000002</v>
      </c>
      <c r="K17">
        <f t="shared" si="0"/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137</v>
      </c>
      <c r="P17" s="119" t="s">
        <v>89</v>
      </c>
      <c r="Q17" s="119" t="s">
        <v>173</v>
      </c>
    </row>
    <row r="18" spans="1:21" x14ac:dyDescent="0.25">
      <c r="A18" s="85" t="s">
        <v>182</v>
      </c>
      <c r="B18" s="89">
        <v>4</v>
      </c>
      <c r="C18" s="85" t="s">
        <v>174</v>
      </c>
      <c r="D18" s="83" t="s">
        <v>83</v>
      </c>
      <c r="E18" s="88">
        <v>29</v>
      </c>
      <c r="F18" s="88">
        <v>36</v>
      </c>
      <c r="G18" s="93" t="s">
        <v>84</v>
      </c>
      <c r="H18" s="82" t="s">
        <v>183</v>
      </c>
      <c r="I18">
        <v>1</v>
      </c>
      <c r="J18">
        <f>SUM(K19)</f>
        <v>241550.99960400001</v>
      </c>
      <c r="K18">
        <f t="shared" si="0"/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138</v>
      </c>
      <c r="P18" s="119" t="s">
        <v>90</v>
      </c>
      <c r="Q18" s="119" t="s">
        <v>173</v>
      </c>
      <c r="R18" s="91" t="s">
        <v>220</v>
      </c>
      <c r="S18" s="91" t="s">
        <v>225</v>
      </c>
      <c r="T18" s="91" t="s">
        <v>227</v>
      </c>
      <c r="U18" s="91" t="s">
        <v>223</v>
      </c>
    </row>
    <row r="19" spans="1:21" x14ac:dyDescent="0.25">
      <c r="A19" s="85" t="s">
        <v>184</v>
      </c>
      <c r="B19" s="89">
        <v>5</v>
      </c>
      <c r="C19" s="85" t="s">
        <v>182</v>
      </c>
      <c r="D19" s="83" t="s">
        <v>59</v>
      </c>
      <c r="E19" s="82">
        <v>30</v>
      </c>
      <c r="F19" s="82">
        <v>35</v>
      </c>
      <c r="G19" s="93" t="s">
        <v>84</v>
      </c>
      <c r="H19" s="82" t="s">
        <v>185</v>
      </c>
      <c r="I19">
        <v>1</v>
      </c>
      <c r="J19">
        <f>SUM(K20,K21)</f>
        <v>241550.99960400001</v>
      </c>
      <c r="K19">
        <f t="shared" si="0"/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153</v>
      </c>
      <c r="P19" s="119" t="s">
        <v>91</v>
      </c>
      <c r="Q19" s="119" t="s">
        <v>173</v>
      </c>
      <c r="R19" s="91" t="s">
        <v>208</v>
      </c>
      <c r="S19" s="91" t="s">
        <v>164</v>
      </c>
      <c r="T19" s="91" t="s">
        <v>165</v>
      </c>
      <c r="U19" s="91" t="s">
        <v>212</v>
      </c>
    </row>
    <row r="20" spans="1:21" x14ac:dyDescent="0.25">
      <c r="A20" s="90" t="s">
        <v>186</v>
      </c>
      <c r="B20" s="89">
        <v>6</v>
      </c>
      <c r="C20" s="83" t="s">
        <v>184</v>
      </c>
      <c r="D20" s="83" t="s">
        <v>59</v>
      </c>
      <c r="E20" s="82">
        <v>31</v>
      </c>
      <c r="F20" s="82">
        <v>32</v>
      </c>
      <c r="G20" s="93" t="s">
        <v>59</v>
      </c>
      <c r="H20" s="82" t="s">
        <v>168</v>
      </c>
      <c r="I20">
        <v>1800</v>
      </c>
      <c r="J20">
        <v>33.108366230000001</v>
      </c>
      <c r="K20">
        <f t="shared" si="0"/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139</v>
      </c>
      <c r="P20" s="119" t="s">
        <v>92</v>
      </c>
      <c r="Q20" s="119" t="s">
        <v>173</v>
      </c>
    </row>
    <row r="21" spans="1:21" x14ac:dyDescent="0.25">
      <c r="A21" s="90" t="s">
        <v>187</v>
      </c>
      <c r="B21" s="89">
        <v>6</v>
      </c>
      <c r="C21" s="83" t="s">
        <v>184</v>
      </c>
      <c r="D21" s="83" t="s">
        <v>83</v>
      </c>
      <c r="E21" s="82">
        <v>33</v>
      </c>
      <c r="F21" s="82">
        <v>34</v>
      </c>
      <c r="G21" s="93" t="s">
        <v>59</v>
      </c>
      <c r="H21" s="82" t="s">
        <v>169</v>
      </c>
      <c r="I21">
        <v>3000</v>
      </c>
      <c r="J21">
        <v>60.651980129999998</v>
      </c>
      <c r="K21">
        <f t="shared" si="0"/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140</v>
      </c>
      <c r="P21" s="119" t="s">
        <v>93</v>
      </c>
      <c r="Q21" s="119" t="s">
        <v>173</v>
      </c>
    </row>
    <row r="22" spans="1:21" x14ac:dyDescent="0.25">
      <c r="A22" s="90" t="s">
        <v>151</v>
      </c>
      <c r="B22" s="89">
        <v>1</v>
      </c>
      <c r="C22" s="83" t="s">
        <v>84</v>
      </c>
      <c r="D22" s="83" t="s">
        <v>151</v>
      </c>
      <c r="E22" s="82">
        <v>40</v>
      </c>
      <c r="F22" s="82">
        <v>61</v>
      </c>
      <c r="G22" s="93" t="s">
        <v>84</v>
      </c>
      <c r="H22" s="82" t="s">
        <v>188</v>
      </c>
      <c r="I22">
        <v>1</v>
      </c>
      <c r="J22">
        <f>SUM(K23)</f>
        <v>700357.82502324996</v>
      </c>
      <c r="K22">
        <f t="shared" si="0"/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141</v>
      </c>
      <c r="P22" s="119"/>
      <c r="Q22" s="119"/>
      <c r="R22" s="91" t="s">
        <v>240</v>
      </c>
      <c r="S22" s="91" t="s">
        <v>155</v>
      </c>
      <c r="T22" s="91" t="s">
        <v>158</v>
      </c>
      <c r="U22" s="91" t="s">
        <v>242</v>
      </c>
    </row>
    <row r="23" spans="1:21" x14ac:dyDescent="0.25">
      <c r="A23" s="83" t="s">
        <v>189</v>
      </c>
      <c r="B23" s="89">
        <v>2</v>
      </c>
      <c r="C23" s="83" t="s">
        <v>151</v>
      </c>
      <c r="D23" s="83" t="s">
        <v>59</v>
      </c>
      <c r="E23" s="82">
        <v>41</v>
      </c>
      <c r="F23" s="82">
        <v>60</v>
      </c>
      <c r="G23" s="93" t="s">
        <v>84</v>
      </c>
      <c r="H23" s="82" t="s">
        <v>243</v>
      </c>
      <c r="I23">
        <v>1</v>
      </c>
      <c r="J23">
        <f>SUM(K24)</f>
        <v>700357.82502324996</v>
      </c>
      <c r="K23">
        <f t="shared" si="0"/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170</v>
      </c>
      <c r="P23" s="119" t="s">
        <v>132</v>
      </c>
      <c r="Q23" s="119" t="s">
        <v>243</v>
      </c>
      <c r="R23" s="91" t="s">
        <v>235</v>
      </c>
      <c r="S23" s="91" t="s">
        <v>237</v>
      </c>
      <c r="T23" s="91" t="s">
        <v>238</v>
      </c>
      <c r="U23" s="91" t="s">
        <v>236</v>
      </c>
    </row>
    <row r="24" spans="1:21" x14ac:dyDescent="0.25">
      <c r="A24" s="91" t="s">
        <v>190</v>
      </c>
      <c r="B24" s="120">
        <v>3</v>
      </c>
      <c r="C24" s="91" t="s">
        <v>189</v>
      </c>
      <c r="D24" s="91" t="s">
        <v>59</v>
      </c>
      <c r="E24">
        <v>42</v>
      </c>
      <c r="F24">
        <v>59</v>
      </c>
      <c r="G24" s="94" t="s">
        <v>84</v>
      </c>
      <c r="H24" t="s">
        <v>175</v>
      </c>
      <c r="I24">
        <v>1</v>
      </c>
      <c r="J24">
        <f>SUM(K25,K29)</f>
        <v>700357.82502324996</v>
      </c>
      <c r="K24">
        <f t="shared" si="0"/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142</v>
      </c>
      <c r="P24" s="119" t="s">
        <v>133</v>
      </c>
      <c r="Q24" s="119" t="s">
        <v>243</v>
      </c>
      <c r="R24" s="91" t="s">
        <v>230</v>
      </c>
      <c r="S24" s="91" t="s">
        <v>233</v>
      </c>
      <c r="T24" s="91" t="s">
        <v>234</v>
      </c>
      <c r="U24" s="91" t="s">
        <v>232</v>
      </c>
    </row>
    <row r="25" spans="1:21" x14ac:dyDescent="0.25">
      <c r="A25" s="85" t="s">
        <v>191</v>
      </c>
      <c r="B25" s="89">
        <v>4</v>
      </c>
      <c r="C25" s="92" t="s">
        <v>190</v>
      </c>
      <c r="D25" s="83" t="s">
        <v>59</v>
      </c>
      <c r="E25" s="82">
        <v>43</v>
      </c>
      <c r="F25" s="82">
        <v>50</v>
      </c>
      <c r="G25" s="93" t="s">
        <v>84</v>
      </c>
      <c r="H25" s="82" t="s">
        <v>192</v>
      </c>
      <c r="I25">
        <v>1</v>
      </c>
      <c r="J25">
        <f>SUM(K26)</f>
        <v>458806.82541925</v>
      </c>
      <c r="K25">
        <f t="shared" si="0"/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143</v>
      </c>
      <c r="P25" s="119" t="s">
        <v>134</v>
      </c>
      <c r="Q25" s="119" t="s">
        <v>243</v>
      </c>
      <c r="R25" s="91" t="s">
        <v>221</v>
      </c>
      <c r="S25" s="91" t="s">
        <v>226</v>
      </c>
      <c r="T25" s="91" t="s">
        <v>228</v>
      </c>
      <c r="U25" s="91" t="s">
        <v>224</v>
      </c>
    </row>
    <row r="26" spans="1:21" x14ac:dyDescent="0.25">
      <c r="A26" s="90" t="s">
        <v>193</v>
      </c>
      <c r="B26" s="89">
        <v>5</v>
      </c>
      <c r="C26" s="83" t="s">
        <v>191</v>
      </c>
      <c r="D26" s="83" t="s">
        <v>59</v>
      </c>
      <c r="E26" s="82">
        <v>44</v>
      </c>
      <c r="F26" s="82">
        <v>49</v>
      </c>
      <c r="G26" s="93" t="s">
        <v>84</v>
      </c>
      <c r="H26" s="82" t="s">
        <v>194</v>
      </c>
      <c r="I26">
        <v>1</v>
      </c>
      <c r="J26">
        <f>SUM(K27,K28)</f>
        <v>458806.82541925</v>
      </c>
      <c r="K26">
        <f t="shared" si="0"/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144</v>
      </c>
      <c r="P26" s="119" t="s">
        <v>135</v>
      </c>
      <c r="Q26" s="119" t="s">
        <v>243</v>
      </c>
      <c r="R26" s="91" t="s">
        <v>209</v>
      </c>
      <c r="S26" s="91" t="s">
        <v>216</v>
      </c>
      <c r="T26" s="91" t="s">
        <v>218</v>
      </c>
      <c r="U26" s="91" t="s">
        <v>213</v>
      </c>
    </row>
    <row r="27" spans="1:21" x14ac:dyDescent="0.25">
      <c r="A27" s="90" t="s">
        <v>195</v>
      </c>
      <c r="B27" s="89">
        <v>6</v>
      </c>
      <c r="C27" s="83" t="s">
        <v>193</v>
      </c>
      <c r="D27" s="83" t="s">
        <v>59</v>
      </c>
      <c r="E27" s="82">
        <v>45</v>
      </c>
      <c r="F27" s="82">
        <v>46</v>
      </c>
      <c r="G27" s="93" t="s">
        <v>59</v>
      </c>
      <c r="H27" s="82" t="s">
        <v>196</v>
      </c>
      <c r="I27">
        <v>57</v>
      </c>
      <c r="J27">
        <v>2410.54374125</v>
      </c>
      <c r="K27">
        <f t="shared" si="0"/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145</v>
      </c>
      <c r="P27" s="119" t="s">
        <v>88</v>
      </c>
      <c r="Q27" s="119" t="s">
        <v>243</v>
      </c>
    </row>
    <row r="28" spans="1:21" x14ac:dyDescent="0.25">
      <c r="A28" s="90" t="s">
        <v>197</v>
      </c>
      <c r="B28" s="89">
        <v>6</v>
      </c>
      <c r="C28" s="83" t="s">
        <v>193</v>
      </c>
      <c r="D28" s="83" t="s">
        <v>83</v>
      </c>
      <c r="E28" s="82">
        <v>47</v>
      </c>
      <c r="F28" s="82">
        <v>48</v>
      </c>
      <c r="G28" s="93" t="s">
        <v>59</v>
      </c>
      <c r="H28" s="82" t="s">
        <v>198</v>
      </c>
      <c r="I28">
        <v>400</v>
      </c>
      <c r="J28">
        <v>803.51458042000002</v>
      </c>
      <c r="K28">
        <f t="shared" si="0"/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146</v>
      </c>
      <c r="P28" s="119" t="s">
        <v>89</v>
      </c>
      <c r="Q28" s="119" t="s">
        <v>243</v>
      </c>
    </row>
    <row r="29" spans="1:21" x14ac:dyDescent="0.25">
      <c r="A29" s="91" t="s">
        <v>199</v>
      </c>
      <c r="B29" s="120">
        <v>4</v>
      </c>
      <c r="C29" s="91" t="s">
        <v>190</v>
      </c>
      <c r="D29" s="91" t="s">
        <v>83</v>
      </c>
      <c r="E29">
        <v>51</v>
      </c>
      <c r="F29">
        <v>58</v>
      </c>
      <c r="G29" s="94" t="s">
        <v>84</v>
      </c>
      <c r="H29" t="s">
        <v>200</v>
      </c>
      <c r="I29">
        <v>1</v>
      </c>
      <c r="J29">
        <f>SUM(K30)</f>
        <v>241550.99960400001</v>
      </c>
      <c r="K29">
        <f t="shared" si="0"/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147</v>
      </c>
      <c r="P29" s="119" t="s">
        <v>90</v>
      </c>
      <c r="Q29" s="119" t="s">
        <v>243</v>
      </c>
      <c r="R29" s="91" t="s">
        <v>160</v>
      </c>
      <c r="S29" s="91" t="s">
        <v>162</v>
      </c>
      <c r="T29" s="91" t="s">
        <v>163</v>
      </c>
      <c r="U29" s="91" t="s">
        <v>161</v>
      </c>
    </row>
    <row r="30" spans="1:21" x14ac:dyDescent="0.25">
      <c r="A30" s="91" t="s">
        <v>201</v>
      </c>
      <c r="B30" s="120">
        <v>5</v>
      </c>
      <c r="C30" s="91" t="s">
        <v>199</v>
      </c>
      <c r="D30" s="91" t="s">
        <v>59</v>
      </c>
      <c r="E30">
        <v>52</v>
      </c>
      <c r="F30">
        <v>57</v>
      </c>
      <c r="G30" s="94" t="s">
        <v>84</v>
      </c>
      <c r="H30" t="s">
        <v>202</v>
      </c>
      <c r="I30">
        <v>1</v>
      </c>
      <c r="J30">
        <f>SUM(K31,K32)</f>
        <v>241550.99960400001</v>
      </c>
      <c r="K30">
        <f t="shared" si="0"/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148</v>
      </c>
      <c r="P30" s="119" t="s">
        <v>91</v>
      </c>
      <c r="Q30" s="119" t="s">
        <v>243</v>
      </c>
      <c r="R30" s="91" t="s">
        <v>210</v>
      </c>
      <c r="S30" s="91" t="s">
        <v>156</v>
      </c>
      <c r="T30" s="91" t="s">
        <v>159</v>
      </c>
      <c r="U30" s="91" t="s">
        <v>214</v>
      </c>
    </row>
    <row r="31" spans="1:21" x14ac:dyDescent="0.25">
      <c r="A31" s="91" t="s">
        <v>203</v>
      </c>
      <c r="B31" s="120">
        <v>6</v>
      </c>
      <c r="C31" s="91" t="s">
        <v>201</v>
      </c>
      <c r="D31" s="91" t="s">
        <v>59</v>
      </c>
      <c r="E31">
        <v>53</v>
      </c>
      <c r="F31">
        <v>54</v>
      </c>
      <c r="G31" s="94" t="s">
        <v>59</v>
      </c>
      <c r="H31" t="s">
        <v>204</v>
      </c>
      <c r="I31">
        <v>1800</v>
      </c>
      <c r="J31">
        <v>33.108366230000001</v>
      </c>
      <c r="K31">
        <f t="shared" si="0"/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149</v>
      </c>
      <c r="P31" s="119" t="s">
        <v>92</v>
      </c>
      <c r="Q31" s="119" t="s">
        <v>243</v>
      </c>
    </row>
    <row r="32" spans="1:21" x14ac:dyDescent="0.25">
      <c r="A32" s="91" t="s">
        <v>205</v>
      </c>
      <c r="B32" s="120">
        <v>6</v>
      </c>
      <c r="C32" s="91" t="s">
        <v>201</v>
      </c>
      <c r="D32" s="91" t="s">
        <v>83</v>
      </c>
      <c r="E32">
        <v>55</v>
      </c>
      <c r="F32">
        <v>56</v>
      </c>
      <c r="G32" s="94" t="s">
        <v>59</v>
      </c>
      <c r="H32" t="s">
        <v>206</v>
      </c>
      <c r="I32">
        <v>3000</v>
      </c>
      <c r="J32">
        <v>60.651980129999998</v>
      </c>
      <c r="K32">
        <f t="shared" si="0"/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150</v>
      </c>
      <c r="P32" s="119" t="s">
        <v>93</v>
      </c>
      <c r="Q32" s="119" t="s">
        <v>243</v>
      </c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</sheetData>
  <autoFilter ref="A1:G26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2012-05-14T02:05:54Z</dcterms:modified>
</cp:coreProperties>
</file>
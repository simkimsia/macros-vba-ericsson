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915" windowWidth="13140" windowHeight="5085" activeTab="1"/>
  </bookViews>
  <sheets>
    <sheet name="Sheet1" sheetId="1" r:id="rId1"/>
    <sheet name="Database" sheetId="2" r:id="rId2"/>
    <sheet name="detail Template" sheetId="4" r:id="rId3"/>
    <sheet name="Summary" sheetId="5" r:id="rId4"/>
  </sheets>
  <functionGroups builtInGroupCount="17"/>
  <definedNames>
    <definedName name="_xlnm._FilterDatabase" localSheetId="1" hidden="1">Database!$A$1:$G$258</definedName>
    <definedName name="_xlnm.Print_Area" localSheetId="3">Summary!$A$1:$H$56</definedName>
  </definedNames>
  <calcPr calcId="144525"/>
</workbook>
</file>

<file path=xl/calcChain.xml><?xml version="1.0" encoding="utf-8"?>
<calcChain xmlns="http://schemas.openxmlformats.org/spreadsheetml/2006/main">
  <c r="L2" i="2" l="1"/>
  <c r="K2" i="2"/>
  <c r="M2" i="2"/>
  <c r="J2" i="2"/>
  <c r="L3" i="2"/>
  <c r="K3" i="2"/>
  <c r="M3" i="2"/>
  <c r="J3" i="2"/>
  <c r="L4" i="2"/>
  <c r="K4" i="2"/>
  <c r="M4" i="2"/>
  <c r="J4" i="2"/>
  <c r="L10" i="2"/>
  <c r="L5" i="2"/>
  <c r="K10" i="2"/>
  <c r="K5" i="2"/>
  <c r="M10" i="2"/>
  <c r="M5" i="2"/>
  <c r="J10" i="2"/>
  <c r="J5" i="2"/>
  <c r="L11" i="2"/>
  <c r="L6" i="2"/>
  <c r="K11" i="2"/>
  <c r="K6" i="2"/>
  <c r="M11" i="2"/>
  <c r="M6" i="2"/>
  <c r="J11" i="2"/>
  <c r="J6" i="2"/>
  <c r="L12" i="2"/>
  <c r="L7" i="2"/>
  <c r="K12" i="2"/>
  <c r="K7" i="2"/>
  <c r="M12" i="2"/>
  <c r="M7" i="2"/>
  <c r="J12" i="2"/>
  <c r="J7" i="2"/>
  <c r="M13" i="2"/>
  <c r="K13" i="2"/>
  <c r="M9" i="2"/>
  <c r="K9" i="2"/>
  <c r="M8" i="2"/>
  <c r="K8" i="2"/>
  <c r="H34" i="4" l="1"/>
  <c r="H32" i="4"/>
  <c r="H31" i="4"/>
  <c r="H30" i="4"/>
  <c r="H23" i="4"/>
  <c r="F23" i="4"/>
  <c r="F22" i="4"/>
  <c r="H22" i="4" s="1"/>
  <c r="F21" i="4"/>
  <c r="H21" i="4" s="1"/>
  <c r="F20" i="4"/>
  <c r="H20" i="4" s="1"/>
  <c r="H19" i="4"/>
  <c r="F19" i="4"/>
  <c r="F18" i="4"/>
  <c r="H18" i="4" s="1"/>
  <c r="F17" i="4"/>
  <c r="H17" i="4" s="1"/>
  <c r="F16" i="4"/>
  <c r="H16" i="4" s="1"/>
  <c r="H15" i="4"/>
  <c r="F15" i="4"/>
  <c r="F14" i="4"/>
  <c r="H14" i="4" s="1"/>
  <c r="F13" i="4"/>
  <c r="H13" i="4" s="1"/>
  <c r="F12" i="4"/>
  <c r="H12" i="4" s="1"/>
  <c r="H11" i="4"/>
  <c r="F11" i="4"/>
  <c r="H35" i="5"/>
  <c r="G27" i="5"/>
  <c r="G36" i="5" s="1"/>
  <c r="F27" i="5"/>
  <c r="F36" i="5" s="1"/>
  <c r="E27" i="5"/>
  <c r="E36" i="5" s="1"/>
  <c r="H36" i="5" s="1"/>
  <c r="H25" i="5"/>
  <c r="H21" i="5"/>
  <c r="H17" i="5"/>
  <c r="H27" i="5" l="1"/>
</calcChain>
</file>

<file path=xl/sharedStrings.xml><?xml version="1.0" encoding="utf-8"?>
<sst xmlns="http://schemas.openxmlformats.org/spreadsheetml/2006/main" count="250" uniqueCount="181">
  <si>
    <t xml:space="preserve"> </t>
  </si>
  <si>
    <t>GGSN3-U/I PIC (3rd generation)</t>
  </si>
  <si>
    <t>1.1.1.1.1.8</t>
  </si>
  <si>
    <t>Flexible PIC Concentrator Type 3 (FPC3 M320)</t>
  </si>
  <si>
    <t>1.1.1.1.1.5</t>
  </si>
  <si>
    <t>8-Port Gigabit Ethernet PIC 1000Base-T</t>
  </si>
  <si>
    <t>1.1.1.1.1.2</t>
  </si>
  <si>
    <t>1-Port 10 Gigabit Ethernet PIC (S)</t>
  </si>
  <si>
    <t>1.1.1.1.1.1</t>
  </si>
  <si>
    <t>GGSN</t>
  </si>
  <si>
    <t>1.1</t>
  </si>
  <si>
    <t>1st Year Support (SGD)</t>
  </si>
  <si>
    <t>Total Net 
(SGD)</t>
  </si>
  <si>
    <t>Discount
(%)</t>
  </si>
  <si>
    <t>Total Gross (SGD)</t>
  </si>
  <si>
    <t>Unit Gross (SGD)</t>
  </si>
  <si>
    <t>Product
Unit</t>
  </si>
  <si>
    <t>Qty</t>
  </si>
  <si>
    <t>Name</t>
  </si>
  <si>
    <t>Item No</t>
  </si>
  <si>
    <t>Date:</t>
  </si>
  <si>
    <t>01</t>
  </si>
  <si>
    <t>Revision:</t>
  </si>
  <si>
    <t>Singtel FY xxxxxx</t>
  </si>
  <si>
    <t>Project name:</t>
  </si>
  <si>
    <t>yyyyyyyyyyy</t>
  </si>
  <si>
    <t>DD month YYYY</t>
  </si>
  <si>
    <t>Rev 02</t>
  </si>
  <si>
    <t>xxxxxxxxxx</t>
  </si>
  <si>
    <t>Rev 01</t>
  </si>
  <si>
    <t>Description of Change</t>
  </si>
  <si>
    <t>Date</t>
  </si>
  <si>
    <t>Rev no.</t>
  </si>
  <si>
    <t>Revision History:</t>
  </si>
  <si>
    <t>etc.</t>
  </si>
  <si>
    <t>Conditions</t>
  </si>
  <si>
    <t>Offer validation period</t>
  </si>
  <si>
    <t>Incoterms</t>
  </si>
  <si>
    <t>Payment terms</t>
  </si>
  <si>
    <t>Terms and Conditions:</t>
  </si>
  <si>
    <t>Grand Total after Incentive</t>
  </si>
  <si>
    <t>Payment Terms incentive</t>
  </si>
  <si>
    <t>Total before payment terms incentive</t>
  </si>
  <si>
    <t>Incentive RAN 2</t>
  </si>
  <si>
    <t>Incentive RAN 1</t>
  </si>
  <si>
    <t>Incentive core 2</t>
  </si>
  <si>
    <t>Incentive core 1</t>
  </si>
  <si>
    <t>Total Incentive</t>
  </si>
  <si>
    <t>Grand Total</t>
  </si>
  <si>
    <t>VAS</t>
  </si>
  <si>
    <t>RAN</t>
  </si>
  <si>
    <t>CORE</t>
  </si>
  <si>
    <t>Services</t>
  </si>
  <si>
    <t>SW</t>
  </si>
  <si>
    <t>HW</t>
  </si>
  <si>
    <t>Currency: SGD</t>
  </si>
  <si>
    <t>Price Summary Table</t>
  </si>
  <si>
    <t>Tel:</t>
  </si>
  <si>
    <t>Address:</t>
  </si>
  <si>
    <r>
      <t xml:space="preserve">Address: </t>
    </r>
    <r>
      <rPr>
        <sz val="10"/>
        <rFont val="Arial"/>
        <family val="2"/>
      </rPr>
      <t>xxxxxxxxx</t>
    </r>
  </si>
  <si>
    <r>
      <t xml:space="preserve">Attn: </t>
    </r>
    <r>
      <rPr>
        <sz val="10"/>
        <rFont val="Arial"/>
        <family val="2"/>
      </rPr>
      <t>xxxxxxx</t>
    </r>
  </si>
  <si>
    <r>
      <t xml:space="preserve">Contact person: </t>
    </r>
    <r>
      <rPr>
        <sz val="10"/>
        <rFont val="Arial"/>
        <family val="2"/>
      </rPr>
      <t>xxxxxxxxxxx</t>
    </r>
  </si>
  <si>
    <t>Item_No</t>
  </si>
  <si>
    <t>Parent</t>
  </si>
  <si>
    <t>Right</t>
  </si>
  <si>
    <t>Bottom</t>
  </si>
  <si>
    <t>Quantity</t>
  </si>
  <si>
    <t>Unit Gross</t>
  </si>
  <si>
    <t>Unit</t>
  </si>
  <si>
    <t>Total Gross</t>
  </si>
  <si>
    <t>Discount</t>
  </si>
  <si>
    <t>Total Net</t>
  </si>
  <si>
    <t>Left</t>
  </si>
  <si>
    <t>1</t>
  </si>
  <si>
    <t>Level</t>
  </si>
  <si>
    <t>Title</t>
  </si>
  <si>
    <t>1.1.1</t>
  </si>
  <si>
    <t>new GGSN (M320)</t>
  </si>
  <si>
    <t>1.1.1.1</t>
  </si>
  <si>
    <t>New GGSN HW for Telenai site</t>
  </si>
  <si>
    <t>1.1.1.1.1</t>
  </si>
  <si>
    <t>PRODUCT PACKAGE/GGSN-MPG 2011A HW (FAP1302515)</t>
  </si>
  <si>
    <t>1.1.1.1.1.3</t>
  </si>
  <si>
    <t>CB+RE Redundancy kit (M320)</t>
  </si>
  <si>
    <t>1.1.1.1.1.4</t>
  </si>
  <si>
    <t>Flexible PIC Concentrator Type 2 (FPC2 M320)</t>
  </si>
  <si>
    <t>1.1.1.1.1.6</t>
  </si>
  <si>
    <t>GGSN-MPG 2011A HW Base M320</t>
  </si>
  <si>
    <t>1.1.1.1.1.7</t>
  </si>
  <si>
    <t>GGSN3-C PIC (3rd generation)</t>
  </si>
  <si>
    <t>1.1.1.1.1.9</t>
  </si>
  <si>
    <t>Multi Services 400 PIC (MS-PIC 400)</t>
  </si>
  <si>
    <t>CurrentRow</t>
  </si>
  <si>
    <t>29 March, 2012</t>
  </si>
  <si>
    <t>total gross</t>
  </si>
  <si>
    <t>total net 
(before payment terms incentives)</t>
  </si>
  <si>
    <t>total net 
(after payment terms incentives)</t>
  </si>
  <si>
    <t>Sub total for gross</t>
  </si>
  <si>
    <t>Sub total for Net</t>
  </si>
  <si>
    <t>Sub total for Support</t>
  </si>
  <si>
    <t>Net total with support</t>
  </si>
  <si>
    <t>Phase 1 : Immediate Expansion</t>
  </si>
  <si>
    <t>UDC HW</t>
  </si>
  <si>
    <t>EVO 1</t>
  </si>
  <si>
    <t>HLR BC_OLP</t>
  </si>
  <si>
    <t>PRODUCT PACKAGE/HLR-FE Blade HW 1.0 (FAP1302383)</t>
  </si>
  <si>
    <t>1.1.1.1.1.1.1</t>
  </si>
  <si>
    <t>HLR Blade Server 1.0 Base Configuration  (incl 3 blades)</t>
  </si>
  <si>
    <t>1.1.1.1.1.1.2</t>
  </si>
  <si>
    <t>Power Cable (6.0 mm2)</t>
  </si>
  <si>
    <t>1.1.2</t>
  </si>
  <si>
    <t>EVO 2</t>
  </si>
  <si>
    <t>1.1.2.1</t>
  </si>
  <si>
    <t>CUDB BC_OLP 1</t>
  </si>
  <si>
    <t>1.1.2.1.1</t>
  </si>
  <si>
    <t>CUDB BC_OLP</t>
  </si>
  <si>
    <t>1.1.2.1.1.1</t>
  </si>
  <si>
    <t>PRODUCT PACKAGE/EBS based CUDB HW v1.0 (FAP1302595)</t>
  </si>
  <si>
    <t/>
  </si>
  <si>
    <t>2</t>
  </si>
  <si>
    <t>0</t>
  </si>
  <si>
    <t>RowInInput</t>
  </si>
  <si>
    <t>RowInOutput</t>
  </si>
  <si>
    <t>OutputSheetName</t>
  </si>
  <si>
    <t>15</t>
  </si>
  <si>
    <t>16</t>
  </si>
  <si>
    <t>17</t>
  </si>
  <si>
    <t>18</t>
  </si>
  <si>
    <t>19</t>
  </si>
  <si>
    <t>20</t>
  </si>
  <si>
    <t>22</t>
  </si>
  <si>
    <t>23</t>
  </si>
  <si>
    <t>25</t>
  </si>
  <si>
    <t>26</t>
  </si>
  <si>
    <t>27</t>
  </si>
  <si>
    <t>28</t>
  </si>
  <si>
    <t>Unit Gross Formula</t>
  </si>
  <si>
    <t>Total Gross Formula</t>
  </si>
  <si>
    <t>Discount Formula</t>
  </si>
  <si>
    <t>Total Net Formula</t>
  </si>
  <si>
    <t>=SUM(K8,K9)</t>
  </si>
  <si>
    <t>=SUM(K13)</t>
  </si>
  <si>
    <t>=SUM(K7)</t>
  </si>
  <si>
    <t>=SUM(K12)</t>
  </si>
  <si>
    <t>=SUM(K6)</t>
  </si>
  <si>
    <t>=SUM(K11)</t>
  </si>
  <si>
    <t>=SUM(K4,K10)</t>
  </si>
  <si>
    <t>=SUM(K5)</t>
  </si>
  <si>
    <t>=SUM(K3)</t>
  </si>
  <si>
    <t>=I7*SUM(M8,M9)</t>
  </si>
  <si>
    <t>=I12*SUM(M13)</t>
  </si>
  <si>
    <t>=I7*J7</t>
  </si>
  <si>
    <t>=I12*J12</t>
  </si>
  <si>
    <t>=100*(1-(M7/K7))</t>
  </si>
  <si>
    <t>=100*(1-(M12/K12))</t>
  </si>
  <si>
    <t>=I6*SUM(M7)</t>
  </si>
  <si>
    <t>=I11*SUM(M12)</t>
  </si>
  <si>
    <t>=I6*J6</t>
  </si>
  <si>
    <t>=I11*J11</t>
  </si>
  <si>
    <t>=100*(1-(M6/K6))</t>
  </si>
  <si>
    <t>=100*(1-(M11/K11))</t>
  </si>
  <si>
    <t>=I5*SUM(M6)</t>
  </si>
  <si>
    <t>=I10*SUM(M11)</t>
  </si>
  <si>
    <t>=I5*J5</t>
  </si>
  <si>
    <t>=I10*J10</t>
  </si>
  <si>
    <t>=100*(1-(M5/K5))</t>
  </si>
  <si>
    <t>=100*(1-(M10/K10))</t>
  </si>
  <si>
    <t>=I3*SUM(M4,M10)</t>
  </si>
  <si>
    <t>=I4*SUM(M5)</t>
  </si>
  <si>
    <t>=I3*J3</t>
  </si>
  <si>
    <t>=I4*J4</t>
  </si>
  <si>
    <t>=100*(1-(M3/K3))</t>
  </si>
  <si>
    <t>=100*(1-(M4/K4))</t>
  </si>
  <si>
    <t>=I2*SUM(M3)</t>
  </si>
  <si>
    <t>=I2*J2</t>
  </si>
  <si>
    <t>=100*(1-(M2/K2))</t>
  </si>
  <si>
    <t>11</t>
  </si>
  <si>
    <t>12</t>
  </si>
  <si>
    <t>13</t>
  </si>
  <si>
    <t>14</t>
  </si>
  <si>
    <t>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</si>
</sst>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#,##0"/>
  </numFmts>
  <fonts count="18" x14ac:knownFonts="1">
    <font>
      <sz val="11"/>
      <color theme="1"/>
      <name val="Calibri"/>
      <family val="2"/>
      <scheme val="minor"/>
    </font>
    <font>
      <sz val="10"/>
      <name val="Arial"/>
    </font>
    <font>
      <sz val="8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8"/>
      <color indexed="10"/>
      <name val="Arial"/>
      <family val="2"/>
    </font>
    <font>
      <sz val="10"/>
      <color indexed="62"/>
      <name val="Arial"/>
      <family val="2"/>
    </font>
    <font>
      <sz val="12"/>
      <color indexed="62"/>
      <name val="Arial"/>
      <family val="2"/>
    </font>
    <font>
      <b/>
      <sz val="12"/>
      <color indexed="62"/>
      <name val="Arial"/>
      <family val="2"/>
    </font>
    <font>
      <sz val="10"/>
      <color indexed="9"/>
      <name val="Arial"/>
      <family val="2"/>
    </font>
    <font>
      <b/>
      <sz val="12"/>
      <color indexed="9"/>
      <name val="Arial"/>
      <family val="2"/>
    </font>
    <font>
      <i/>
      <sz val="10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</borders>
  <cellStyleXfs count="8">
    <xf numFmtId="0" fontId="0" fillId="0" borderId="0"/>
    <xf numFmtId="0" fontId="1" fillId="0" borderId="0"/>
    <xf numFmtId="164" fontId="2" fillId="0" borderId="0" applyFill="0" applyBorder="0"/>
    <xf numFmtId="164" fontId="2" fillId="3" borderId="0" applyFill="0" applyBorder="0"/>
    <xf numFmtId="164" fontId="2" fillId="0" borderId="0" applyFill="0" applyBorder="0"/>
    <xf numFmtId="164" fontId="5" fillId="0" borderId="0" applyFill="0" applyBorder="0"/>
    <xf numFmtId="49" fontId="3" fillId="0" borderId="2" applyFill="0" applyBorder="0">
      <alignment wrapText="1"/>
    </xf>
    <xf numFmtId="49" fontId="2" fillId="2" borderId="0" applyFill="0" applyBorder="0"/>
  </cellStyleXfs>
  <cellXfs count="132">
    <xf numFmtId="0" fontId="0" fillId="0" borderId="0" xfId="0"/>
    <xf numFmtId="0" fontId="1" fillId="0" borderId="0" xfId="1"/>
    <xf numFmtId="0" fontId="1" fillId="2" borderId="0" xfId="1" applyFill="1"/>
    <xf numFmtId="0" fontId="3" fillId="2" borderId="0" xfId="1" applyFont="1" applyFill="1" applyAlignment="1">
      <alignment horizontal="left" wrapText="1"/>
    </xf>
    <xf numFmtId="0" fontId="4" fillId="0" borderId="0" xfId="1" applyFont="1"/>
    <xf numFmtId="0" fontId="4" fillId="2" borderId="0" xfId="1" applyFont="1" applyFill="1"/>
    <xf numFmtId="0" fontId="2" fillId="2" borderId="1" xfId="1" applyFont="1" applyFill="1" applyBorder="1" applyAlignment="1"/>
    <xf numFmtId="0" fontId="2" fillId="2" borderId="1" xfId="1" applyFont="1" applyFill="1" applyBorder="1" applyAlignment="1">
      <alignment horizontal="left" wrapText="1"/>
    </xf>
    <xf numFmtId="49" fontId="2" fillId="2" borderId="1" xfId="1" applyNumberFormat="1" applyFont="1" applyFill="1" applyBorder="1" applyAlignment="1"/>
    <xf numFmtId="0" fontId="2" fillId="2" borderId="0" xfId="1" applyFont="1" applyFill="1" applyBorder="1" applyAlignment="1"/>
    <xf numFmtId="0" fontId="2" fillId="2" borderId="0" xfId="1" applyFont="1" applyFill="1" applyBorder="1" applyAlignment="1">
      <alignment horizontal="left" wrapText="1"/>
    </xf>
    <xf numFmtId="49" fontId="2" fillId="2" borderId="0" xfId="1" applyNumberFormat="1" applyFont="1" applyFill="1" applyBorder="1" applyAlignment="1"/>
    <xf numFmtId="0" fontId="2" fillId="2" borderId="0" xfId="1" applyFont="1" applyFill="1" applyAlignment="1"/>
    <xf numFmtId="0" fontId="2" fillId="2" borderId="0" xfId="1" applyFont="1" applyFill="1" applyAlignment="1">
      <alignment horizontal="left" wrapText="1"/>
    </xf>
    <xf numFmtId="49" fontId="2" fillId="2" borderId="0" xfId="1" applyNumberFormat="1" applyFont="1" applyFill="1" applyAlignment="1"/>
    <xf numFmtId="164" fontId="5" fillId="2" borderId="0" xfId="5" applyFill="1"/>
    <xf numFmtId="0" fontId="3" fillId="2" borderId="0" xfId="1" applyFont="1" applyFill="1" applyAlignment="1"/>
    <xf numFmtId="49" fontId="3" fillId="2" borderId="0" xfId="1" applyNumberFormat="1" applyFont="1" applyFill="1" applyAlignment="1"/>
    <xf numFmtId="0" fontId="2" fillId="2" borderId="0" xfId="1" applyFont="1" applyFill="1" applyAlignment="1">
      <alignment wrapText="1"/>
    </xf>
    <xf numFmtId="0" fontId="3" fillId="2" borderId="0" xfId="1" applyFont="1" applyFill="1" applyAlignment="1">
      <alignment wrapText="1"/>
    </xf>
    <xf numFmtId="49" fontId="3" fillId="4" borderId="2" xfId="6" applyFont="1" applyFill="1" applyBorder="1" applyAlignment="1">
      <alignment horizontal="center" wrapText="1"/>
    </xf>
    <xf numFmtId="49" fontId="3" fillId="2" borderId="2" xfId="6" applyFont="1" applyFill="1" applyBorder="1" applyAlignment="1">
      <alignment horizontal="center" wrapText="1"/>
    </xf>
    <xf numFmtId="49" fontId="3" fillId="2" borderId="2" xfId="6" applyFont="1" applyFill="1" applyBorder="1" applyAlignment="1">
      <alignment horizontal="right" wrapText="1"/>
    </xf>
    <xf numFmtId="49" fontId="3" fillId="2" borderId="2" xfId="6" applyFill="1" applyBorder="1" applyAlignment="1">
      <alignment wrapText="1"/>
    </xf>
    <xf numFmtId="49" fontId="3" fillId="2" borderId="2" xfId="6" applyFill="1" applyBorder="1">
      <alignment wrapText="1"/>
    </xf>
    <xf numFmtId="0" fontId="1" fillId="2" borderId="3" xfId="1" applyFill="1" applyBorder="1"/>
    <xf numFmtId="0" fontId="6" fillId="2" borderId="0" xfId="1" applyFont="1" applyFill="1"/>
    <xf numFmtId="0" fontId="6" fillId="2" borderId="0" xfId="1" applyFont="1" applyFill="1" applyBorder="1"/>
    <xf numFmtId="0" fontId="7" fillId="2" borderId="0" xfId="1" applyFont="1" applyFill="1"/>
    <xf numFmtId="0" fontId="8" fillId="2" borderId="0" xfId="1" applyFont="1" applyFill="1"/>
    <xf numFmtId="0" fontId="7" fillId="2" borderId="0" xfId="1" quotePrefix="1" applyFont="1" applyFill="1"/>
    <xf numFmtId="0" fontId="1" fillId="2" borderId="0" xfId="1" applyFill="1" applyBorder="1"/>
    <xf numFmtId="2" fontId="0" fillId="0" borderId="0" xfId="0" applyNumberFormat="1"/>
    <xf numFmtId="19" fontId="0" fillId="0" borderId="0" xfId="0" applyNumberFormat="1"/>
    <xf numFmtId="0" fontId="1" fillId="2" borderId="4" xfId="1" applyFill="1" applyBorder="1"/>
    <xf numFmtId="0" fontId="1" fillId="2" borderId="5" xfId="1" applyFill="1" applyBorder="1"/>
    <xf numFmtId="0" fontId="1" fillId="2" borderId="6" xfId="1" applyFill="1" applyBorder="1"/>
    <xf numFmtId="0" fontId="1" fillId="2" borderId="7" xfId="1" applyFill="1" applyBorder="1"/>
    <xf numFmtId="0" fontId="4" fillId="2" borderId="0" xfId="1" applyFont="1" applyFill="1" applyBorder="1"/>
    <xf numFmtId="0" fontId="4" fillId="2" borderId="8" xfId="1" applyFont="1" applyFill="1" applyBorder="1"/>
    <xf numFmtId="0" fontId="4" fillId="2" borderId="9" xfId="1" applyFont="1" applyFill="1" applyBorder="1"/>
    <xf numFmtId="0" fontId="4" fillId="2" borderId="10" xfId="1" applyFont="1" applyFill="1" applyBorder="1"/>
    <xf numFmtId="0" fontId="9" fillId="5" borderId="0" xfId="1" applyFont="1" applyFill="1"/>
    <xf numFmtId="0" fontId="9" fillId="5" borderId="0" xfId="1" applyFont="1" applyFill="1" applyBorder="1"/>
    <xf numFmtId="0" fontId="9" fillId="5" borderId="8" xfId="1" applyFont="1" applyFill="1" applyBorder="1"/>
    <xf numFmtId="0" fontId="9" fillId="5" borderId="9" xfId="1" applyFont="1" applyFill="1" applyBorder="1"/>
    <xf numFmtId="0" fontId="10" fillId="5" borderId="10" xfId="1" applyFont="1" applyFill="1" applyBorder="1"/>
    <xf numFmtId="0" fontId="1" fillId="2" borderId="11" xfId="1" applyFill="1" applyBorder="1"/>
    <xf numFmtId="0" fontId="1" fillId="2" borderId="12" xfId="1" applyFill="1" applyBorder="1"/>
    <xf numFmtId="0" fontId="1" fillId="2" borderId="13" xfId="1" applyFill="1" applyBorder="1"/>
    <xf numFmtId="0" fontId="4" fillId="2" borderId="0" xfId="1" applyFont="1" applyFill="1" applyBorder="1" applyAlignment="1">
      <alignment horizontal="center"/>
    </xf>
    <xf numFmtId="0" fontId="4" fillId="6" borderId="14" xfId="1" applyFont="1" applyFill="1" applyBorder="1" applyAlignment="1">
      <alignment horizontal="center"/>
    </xf>
    <xf numFmtId="0" fontId="4" fillId="6" borderId="15" xfId="1" applyFont="1" applyFill="1" applyBorder="1" applyAlignment="1">
      <alignment horizontal="center"/>
    </xf>
    <xf numFmtId="0" fontId="4" fillId="6" borderId="15" xfId="1" applyFont="1" applyFill="1" applyBorder="1"/>
    <xf numFmtId="0" fontId="4" fillId="6" borderId="16" xfId="1" applyFont="1" applyFill="1" applyBorder="1"/>
    <xf numFmtId="0" fontId="1" fillId="7" borderId="14" xfId="1" applyFill="1" applyBorder="1" applyAlignment="1">
      <alignment horizontal="center"/>
    </xf>
    <xf numFmtId="0" fontId="1" fillId="7" borderId="15" xfId="1" applyFill="1" applyBorder="1" applyAlignment="1">
      <alignment horizontal="center"/>
    </xf>
    <xf numFmtId="0" fontId="1" fillId="7" borderId="15" xfId="1" applyFill="1" applyBorder="1"/>
    <xf numFmtId="0" fontId="11" fillId="7" borderId="15" xfId="1" applyFont="1" applyFill="1" applyBorder="1"/>
    <xf numFmtId="0" fontId="1" fillId="7" borderId="16" xfId="1" applyFill="1" applyBorder="1"/>
    <xf numFmtId="0" fontId="12" fillId="2" borderId="0" xfId="1" applyFont="1" applyFill="1"/>
    <xf numFmtId="0" fontId="12" fillId="7" borderId="17" xfId="1" applyFont="1" applyFill="1" applyBorder="1" applyAlignment="1">
      <alignment horizontal="center"/>
    </xf>
    <xf numFmtId="0" fontId="12" fillId="7" borderId="0" xfId="1" applyFont="1" applyFill="1" applyBorder="1" applyAlignment="1">
      <alignment horizontal="center"/>
    </xf>
    <xf numFmtId="0" fontId="12" fillId="7" borderId="0" xfId="1" applyFont="1" applyFill="1" applyBorder="1"/>
    <xf numFmtId="0" fontId="13" fillId="7" borderId="18" xfId="1" applyFont="1" applyFill="1" applyBorder="1"/>
    <xf numFmtId="0" fontId="12" fillId="7" borderId="18" xfId="1" applyFont="1" applyFill="1" applyBorder="1"/>
    <xf numFmtId="0" fontId="4" fillId="7" borderId="17" xfId="1" applyFont="1" applyFill="1" applyBorder="1" applyAlignment="1">
      <alignment horizontal="center"/>
    </xf>
    <xf numFmtId="0" fontId="4" fillId="7" borderId="0" xfId="1" applyFont="1" applyFill="1" applyBorder="1" applyAlignment="1">
      <alignment horizontal="center"/>
    </xf>
    <xf numFmtId="0" fontId="4" fillId="7" borderId="0" xfId="1" applyFont="1" applyFill="1" applyBorder="1"/>
    <xf numFmtId="0" fontId="4" fillId="7" borderId="18" xfId="1" applyFont="1" applyFill="1" applyBorder="1"/>
    <xf numFmtId="0" fontId="4" fillId="7" borderId="19" xfId="1" applyFont="1" applyFill="1" applyBorder="1" applyAlignment="1">
      <alignment horizontal="center"/>
    </xf>
    <xf numFmtId="0" fontId="4" fillId="7" borderId="20" xfId="1" applyFont="1" applyFill="1" applyBorder="1" applyAlignment="1">
      <alignment horizontal="center"/>
    </xf>
    <xf numFmtId="0" fontId="4" fillId="7" borderId="20" xfId="1" applyFont="1" applyFill="1" applyBorder="1"/>
    <xf numFmtId="0" fontId="4" fillId="7" borderId="21" xfId="1" applyFont="1" applyFill="1" applyBorder="1"/>
    <xf numFmtId="0" fontId="1" fillId="2" borderId="22" xfId="1" applyFill="1" applyBorder="1" applyAlignment="1">
      <alignment horizontal="center"/>
    </xf>
    <xf numFmtId="0" fontId="1" fillId="2" borderId="15" xfId="1" applyFill="1" applyBorder="1" applyAlignment="1">
      <alignment horizontal="center"/>
    </xf>
    <xf numFmtId="0" fontId="1" fillId="2" borderId="15" xfId="1" applyFill="1" applyBorder="1"/>
    <xf numFmtId="0" fontId="11" fillId="2" borderId="15" xfId="1" applyFont="1" applyFill="1" applyBorder="1"/>
    <xf numFmtId="0" fontId="1" fillId="2" borderId="16" xfId="1" applyFill="1" applyBorder="1"/>
    <xf numFmtId="0" fontId="4" fillId="2" borderId="23" xfId="1" applyFont="1" applyFill="1" applyBorder="1" applyAlignment="1">
      <alignment horizontal="center"/>
    </xf>
    <xf numFmtId="0" fontId="4" fillId="2" borderId="18" xfId="1" applyFont="1" applyFill="1" applyBorder="1"/>
    <xf numFmtId="0" fontId="4" fillId="2" borderId="24" xfId="1" applyFont="1" applyFill="1" applyBorder="1" applyAlignment="1">
      <alignment horizontal="center"/>
    </xf>
    <xf numFmtId="0" fontId="4" fillId="2" borderId="20" xfId="1" applyFont="1" applyFill="1" applyBorder="1" applyAlignment="1">
      <alignment horizontal="center"/>
    </xf>
    <xf numFmtId="0" fontId="4" fillId="2" borderId="20" xfId="1" applyFont="1" applyFill="1" applyBorder="1"/>
    <xf numFmtId="0" fontId="4" fillId="2" borderId="21" xfId="1" applyFont="1" applyFill="1" applyBorder="1"/>
    <xf numFmtId="0" fontId="14" fillId="2" borderId="0" xfId="1" applyFont="1" applyFill="1"/>
    <xf numFmtId="0" fontId="15" fillId="2" borderId="0" xfId="1" applyFont="1" applyFill="1" applyBorder="1"/>
    <xf numFmtId="0" fontId="14" fillId="2" borderId="0" xfId="1" applyFont="1" applyFill="1" applyBorder="1"/>
    <xf numFmtId="0" fontId="7" fillId="2" borderId="0" xfId="1" applyFont="1" applyFill="1" applyBorder="1"/>
    <xf numFmtId="0" fontId="8" fillId="2" borderId="0" xfId="1" applyFont="1" applyFill="1" applyBorder="1"/>
    <xf numFmtId="0" fontId="0" fillId="0" borderId="0" xfId="0" applyFont="1"/>
    <xf numFmtId="49" fontId="0" fillId="0" borderId="0" xfId="0" applyNumberFormat="1" applyFont="1"/>
    <xf numFmtId="49" fontId="17" fillId="0" borderId="0" xfId="1" applyNumberFormat="1" applyFont="1" applyFill="1" applyAlignment="1">
      <alignment horizontal="left"/>
    </xf>
    <xf numFmtId="49" fontId="17" fillId="0" borderId="0" xfId="1" applyNumberFormat="1" applyFont="1" applyFill="1" applyAlignment="1"/>
    <xf numFmtId="49" fontId="0" fillId="0" borderId="0" xfId="0" quotePrefix="1" applyNumberFormat="1" applyFont="1"/>
    <xf numFmtId="49" fontId="0" fillId="0" borderId="0" xfId="0" quotePrefix="1" applyNumberFormat="1" applyFont="1" applyFill="1" applyAlignment="1">
      <alignment horizontal="left"/>
    </xf>
    <xf numFmtId="1" fontId="0" fillId="0" borderId="0" xfId="0" quotePrefix="1" applyNumberFormat="1" applyFont="1"/>
    <xf numFmtId="1" fontId="0" fillId="0" borderId="0" xfId="0" applyNumberFormat="1" applyFont="1"/>
    <xf numFmtId="49" fontId="0" fillId="0" borderId="0" xfId="0" applyNumberFormat="1" applyFont="1" applyFill="1"/>
    <xf numFmtId="49" fontId="0" fillId="0" borderId="0" xfId="0" applyNumberFormat="1"/>
    <xf numFmtId="49" fontId="0" fillId="0" borderId="0" xfId="0" applyNumberFormat="1" applyFont="1" applyAlignment="1">
      <alignment horizontal="left"/>
    </xf>
    <xf numFmtId="0" fontId="0" fillId="0" borderId="0" xfId="0" quotePrefix="1" applyFont="1"/>
    <xf numFmtId="0" fontId="0" fillId="0" borderId="0" xfId="0" quotePrefix="1"/>
    <xf numFmtId="0" fontId="4" fillId="2" borderId="0" xfId="1" applyFont="1" applyFill="1" applyBorder="1" applyAlignment="1">
      <alignment horizontal="center" wrapText="1"/>
    </xf>
    <xf numFmtId="2" fontId="1" fillId="2" borderId="3" xfId="1" applyNumberFormat="1" applyFill="1" applyBorder="1"/>
    <xf numFmtId="2" fontId="1" fillId="2" borderId="3" xfId="1" applyNumberFormat="1" applyFill="1" applyBorder="1" applyAlignment="1">
      <alignment horizontal="center"/>
    </xf>
    <xf numFmtId="2" fontId="1" fillId="2" borderId="0" xfId="1" applyNumberFormat="1" applyFill="1" applyBorder="1"/>
    <xf numFmtId="2" fontId="1" fillId="2" borderId="0" xfId="1" applyNumberFormat="1" applyFill="1" applyBorder="1" applyAlignment="1">
      <alignment horizontal="center"/>
    </xf>
    <xf numFmtId="2" fontId="6" fillId="2" borderId="0" xfId="1" applyNumberFormat="1" applyFont="1" applyFill="1"/>
    <xf numFmtId="2" fontId="6" fillId="2" borderId="0" xfId="1" applyNumberFormat="1" applyFont="1" applyFill="1" applyAlignment="1">
      <alignment horizontal="center"/>
    </xf>
    <xf numFmtId="2" fontId="1" fillId="2" borderId="0" xfId="1" applyNumberFormat="1" applyFill="1"/>
    <xf numFmtId="2" fontId="1" fillId="2" borderId="0" xfId="1" applyNumberFormat="1" applyFill="1" applyAlignment="1">
      <alignment horizontal="center"/>
    </xf>
    <xf numFmtId="2" fontId="3" fillId="2" borderId="2" xfId="6" applyNumberFormat="1" applyFont="1" applyFill="1" applyBorder="1" applyAlignment="1">
      <alignment horizontal="center" wrapText="1"/>
    </xf>
    <xf numFmtId="2" fontId="2" fillId="2" borderId="0" xfId="1" applyNumberFormat="1" applyFont="1" applyFill="1" applyAlignment="1"/>
    <xf numFmtId="2" fontId="2" fillId="2" borderId="0" xfId="1" applyNumberFormat="1" applyFont="1" applyFill="1" applyAlignment="1">
      <alignment horizontal="center"/>
    </xf>
    <xf numFmtId="2" fontId="2" fillId="2" borderId="0" xfId="4" applyNumberFormat="1" applyFill="1"/>
    <xf numFmtId="2" fontId="2" fillId="2" borderId="0" xfId="2" applyNumberFormat="1" applyFill="1"/>
    <xf numFmtId="2" fontId="3" fillId="2" borderId="0" xfId="1" applyNumberFormat="1" applyFont="1" applyFill="1" applyAlignment="1">
      <alignment horizontal="center"/>
    </xf>
    <xf numFmtId="2" fontId="2" fillId="2" borderId="0" xfId="3" applyNumberFormat="1" applyFill="1"/>
    <xf numFmtId="2" fontId="2" fillId="2" borderId="0" xfId="4" applyNumberFormat="1" applyFill="1" applyBorder="1"/>
    <xf numFmtId="2" fontId="2" fillId="2" borderId="0" xfId="2" applyNumberFormat="1" applyFill="1" applyBorder="1"/>
    <xf numFmtId="2" fontId="2" fillId="2" borderId="0" xfId="1" applyNumberFormat="1" applyFont="1" applyFill="1" applyBorder="1" applyAlignment="1">
      <alignment horizontal="center"/>
    </xf>
    <xf numFmtId="2" fontId="2" fillId="2" borderId="0" xfId="3" applyNumberFormat="1" applyFill="1" applyBorder="1"/>
    <xf numFmtId="2" fontId="2" fillId="2" borderId="1" xfId="4" applyNumberFormat="1" applyFill="1" applyBorder="1"/>
    <xf numFmtId="2" fontId="2" fillId="2" borderId="1" xfId="2" applyNumberFormat="1" applyFill="1" applyBorder="1"/>
    <xf numFmtId="2" fontId="2" fillId="2" borderId="1" xfId="1" applyNumberFormat="1" applyFont="1" applyFill="1" applyBorder="1" applyAlignment="1">
      <alignment horizontal="center"/>
    </xf>
    <xf numFmtId="2" fontId="2" fillId="2" borderId="1" xfId="3" applyNumberFormat="1" applyFill="1" applyBorder="1"/>
    <xf numFmtId="2" fontId="4" fillId="2" borderId="0" xfId="1" applyNumberFormat="1" applyFont="1" applyFill="1"/>
    <xf numFmtId="2" fontId="4" fillId="2" borderId="0" xfId="1" applyNumberFormat="1" applyFont="1" applyFill="1" applyAlignment="1">
      <alignment horizontal="center"/>
    </xf>
    <xf numFmtId="2" fontId="1" fillId="0" borderId="0" xfId="1" applyNumberFormat="1"/>
    <xf numFmtId="2" fontId="1" fillId="0" borderId="0" xfId="1" applyNumberFormat="1" applyAlignment="1">
      <alignment horizontal="center"/>
    </xf>
    <xf numFmtId="49" fontId="0" fillId="0" borderId="0" xfId="0" quotePrefix="1" applyNumberFormat="1"/>
  </cellXfs>
  <cellStyles count="8">
    <cellStyle name="Normal" xfId="0" builtinId="0"/>
    <cellStyle name="Normal 2" xfId="1"/>
    <cellStyle name="VerdiColumnHeader" xfId="6"/>
    <cellStyle name="VerdiCost" xfId="5"/>
    <cellStyle name="VerdiItemNo" xfId="7"/>
    <cellStyle name="VerdiTotalGross" xfId="2"/>
    <cellStyle name="VerdiTotalNetPrice" xfId="3"/>
    <cellStyle name="VerdiUnitGrossPrice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666750</xdr:colOff>
      <xdr:row>3</xdr:row>
      <xdr:rowOff>19050</xdr:rowOff>
    </xdr:from>
    <xdr:to>
      <xdr:col>1</xdr:col>
      <xdr:colOff>542925</xdr:colOff>
      <xdr:row>7</xdr:row>
      <xdr:rowOff>123825</xdr:rowOff>
    </xdr:to>
    <xdr:sp macro="[0]!ThisWorkbook.Choose" textlink="">
      <xdr:nvSpPr>
        <xdr:cNvPr id="2" name="Oval 1"/>
        <xdr:cNvSpPr/>
      </xdr:nvSpPr>
      <xdr:spPr>
        <a:xfrm>
          <a:off x="666750" y="590550"/>
          <a:ext cx="866775" cy="8667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1100"/>
            <a:t>Go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6"/>
  <sheetViews>
    <sheetView workbookViewId="0">
      <selection activeCell="I13" sqref="I13"/>
    </sheetView>
  </sheetViews>
  <sheetFormatPr defaultRowHeight="15" x14ac:dyDescent="0.25"/>
  <cols>
    <col min="1" max="1" width="17" customWidth="1"/>
  </cols>
  <sheetData>
    <row r="1" spans="1:6" x14ac:dyDescent="0.25">
      <c r="A1" s="33"/>
    </row>
    <row r="2" spans="1:6" x14ac:dyDescent="0.25">
      <c r="A2" t="s">
        <v>0</v>
      </c>
    </row>
    <row r="4" spans="1:6" x14ac:dyDescent="0.25">
      <c r="F4" s="32"/>
    </row>
    <row r="5" spans="1:6" x14ac:dyDescent="0.25">
      <c r="F5" s="32"/>
    </row>
    <row r="6" spans="1:6" x14ac:dyDescent="0.25">
      <c r="F6" s="32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U657"/>
  <sheetViews>
    <sheetView tabSelected="1" topLeftCell="I1" workbookViewId="0">
      <selection activeCell="M5" sqref="M5"/>
    </sheetView>
  </sheetViews>
  <sheetFormatPr defaultRowHeight="15" x14ac:dyDescent="0.25"/>
  <cols>
    <col min="1" max="1" width="12.7109375" style="99" bestFit="1" customWidth="1"/>
    <col min="2" max="2" width="8.5703125" style="99" bestFit="1" customWidth="1"/>
    <col min="3" max="3" width="10.85546875" style="99" bestFit="1" customWidth="1"/>
    <col min="4" max="4" width="7" style="99" bestFit="1" customWidth="1"/>
    <col min="5" max="5" width="7.140625" bestFit="1" customWidth="1"/>
    <col min="6" max="6" width="7.85546875" bestFit="1" customWidth="1"/>
    <col min="7" max="7" width="9.42578125" customWidth="1"/>
    <col min="8" max="8" width="73.28515625" bestFit="1" customWidth="1"/>
    <col min="9" max="9" width="8.7109375" bestFit="1" customWidth="1"/>
    <col min="10" max="10" width="10" bestFit="1" customWidth="1"/>
    <col min="11" max="11" width="10.7109375" bestFit="1" customWidth="1"/>
    <col min="12" max="12" width="8.7109375" bestFit="1" customWidth="1"/>
    <col min="14" max="14" width="11.5703125" bestFit="1" customWidth="1"/>
    <col min="15" max="15" width="11.28515625" style="99" bestFit="1" customWidth="1"/>
    <col min="16" max="16" width="12.85546875" style="99" bestFit="1" customWidth="1"/>
    <col min="17" max="17" width="18" style="99" bestFit="1" customWidth="1"/>
    <col min="18" max="18" width="18" style="99" customWidth="1"/>
    <col min="19" max="19" width="18.7109375" style="99" bestFit="1" customWidth="1"/>
    <col min="20" max="20" width="18.5703125" style="99" bestFit="1" customWidth="1"/>
    <col min="21" max="21" width="17" style="99" bestFit="1" customWidth="1"/>
  </cols>
  <sheetData>
    <row r="1" spans="1:21" x14ac:dyDescent="0.25">
      <c r="A1" s="98" t="s">
        <v>62</v>
      </c>
      <c r="B1" s="91" t="s">
        <v>74</v>
      </c>
      <c r="C1" s="91" t="s">
        <v>63</v>
      </c>
      <c r="D1" s="91" t="s">
        <v>68</v>
      </c>
      <c r="E1" s="90" t="s">
        <v>72</v>
      </c>
      <c r="F1" s="90" t="s">
        <v>64</v>
      </c>
      <c r="G1" s="90" t="s">
        <v>65</v>
      </c>
      <c r="H1" s="90" t="s">
        <v>75</v>
      </c>
      <c r="I1" s="90" t="s">
        <v>66</v>
      </c>
      <c r="J1" s="90" t="s">
        <v>67</v>
      </c>
      <c r="K1" s="90" t="s">
        <v>69</v>
      </c>
      <c r="L1" s="90" t="s">
        <v>70</v>
      </c>
      <c r="M1" s="90" t="s">
        <v>71</v>
      </c>
      <c r="N1" s="90" t="s">
        <v>92</v>
      </c>
      <c r="O1" s="91" t="s">
        <v>121</v>
      </c>
      <c r="P1" s="91" t="s">
        <v>122</v>
      </c>
      <c r="Q1" s="91" t="s">
        <v>123</v>
      </c>
      <c r="R1" s="91" t="s">
        <v>136</v>
      </c>
      <c r="S1" s="91" t="s">
        <v>137</v>
      </c>
      <c r="T1" s="91" t="s">
        <v>138</v>
      </c>
      <c r="U1" s="91" t="s">
        <v>139</v>
      </c>
    </row>
    <row r="2" spans="1:21" x14ac:dyDescent="0.25">
      <c r="A2" s="91" t="s">
        <v>73</v>
      </c>
      <c r="B2" s="91">
        <v>1</v>
      </c>
      <c r="C2" s="94" t="s">
        <v>118</v>
      </c>
      <c r="D2" s="91" t="s">
        <v>73</v>
      </c>
      <c r="E2" s="96">
        <v>1</v>
      </c>
      <c r="F2" s="96">
        <v>24</v>
      </c>
      <c r="G2" s="101" t="s">
        <v>120</v>
      </c>
      <c r="H2" s="90" t="s">
        <v>101</v>
      </c>
      <c r="I2" s="90">
        <v>1</v>
      </c>
      <c r="J2" s="90">
        <f>SUM(K3)</f>
        <v>2168621.0420985599</v>
      </c>
      <c r="K2" s="90">
        <f>I2*J2</f>
        <v>2168621.0420985599</v>
      </c>
      <c r="L2" s="90">
        <f>100*(1-(M2/K2))</f>
        <v>100</v>
      </c>
      <c r="M2" s="90">
        <f>I2*SUM(M3)</f>
        <v>0</v>
      </c>
      <c r="N2">
        <v>2</v>
      </c>
      <c r="O2" s="99" t="s">
        <v>124</v>
      </c>
      <c r="R2" s="99" t="s">
        <v>148</v>
      </c>
      <c r="S2" s="99" t="s">
        <v>174</v>
      </c>
      <c r="T2" s="99" t="s">
        <v>175</v>
      </c>
      <c r="U2" s="99" t="s">
        <v>173</v>
      </c>
    </row>
    <row r="3" spans="1:21" x14ac:dyDescent="0.25">
      <c r="A3" s="92" t="s">
        <v>10</v>
      </c>
      <c r="B3" s="91">
        <v>2</v>
      </c>
      <c r="C3" s="95" t="s">
        <v>73</v>
      </c>
      <c r="D3" s="91" t="s">
        <v>73</v>
      </c>
      <c r="E3" s="97">
        <v>2</v>
      </c>
      <c r="F3" s="97">
        <v>23</v>
      </c>
      <c r="G3" s="101" t="s">
        <v>120</v>
      </c>
      <c r="H3" s="90" t="s">
        <v>102</v>
      </c>
      <c r="I3">
        <v>1</v>
      </c>
      <c r="J3">
        <f>SUM(K4,K10)</f>
        <v>2168621.0420985599</v>
      </c>
      <c r="K3">
        <f>I3*J3</f>
        <v>2168621.0420985599</v>
      </c>
      <c r="L3">
        <f>100*(1-(M3/K3))</f>
        <v>100</v>
      </c>
      <c r="M3">
        <f>I3*SUM(M4,M10)</f>
        <v>0</v>
      </c>
      <c r="N3">
        <v>3</v>
      </c>
      <c r="O3" s="99" t="s">
        <v>125</v>
      </c>
      <c r="P3" s="131" t="s">
        <v>176</v>
      </c>
      <c r="Q3" s="131" t="s">
        <v>102</v>
      </c>
      <c r="R3" s="99" t="s">
        <v>146</v>
      </c>
      <c r="S3" s="99" t="s">
        <v>169</v>
      </c>
      <c r="T3" s="99" t="s">
        <v>171</v>
      </c>
      <c r="U3" s="99" t="s">
        <v>167</v>
      </c>
    </row>
    <row r="4" spans="1:21" x14ac:dyDescent="0.25">
      <c r="A4" s="93" t="s">
        <v>76</v>
      </c>
      <c r="B4" s="91">
        <v>3</v>
      </c>
      <c r="C4" s="92" t="s">
        <v>10</v>
      </c>
      <c r="D4" s="91" t="s">
        <v>73</v>
      </c>
      <c r="E4" s="96">
        <v>3</v>
      </c>
      <c r="F4" s="96">
        <v>14</v>
      </c>
      <c r="G4" s="101" t="s">
        <v>120</v>
      </c>
      <c r="H4" s="90" t="s">
        <v>103</v>
      </c>
      <c r="I4">
        <v>1</v>
      </c>
      <c r="J4">
        <f>SUM(K5)</f>
        <v>2022341.0420985599</v>
      </c>
      <c r="K4">
        <f>I4*J4</f>
        <v>2022341.0420985599</v>
      </c>
      <c r="L4">
        <f>100*(1-(M4/K4))</f>
        <v>100</v>
      </c>
      <c r="M4">
        <f>I4*SUM(M5)</f>
        <v>0</v>
      </c>
      <c r="N4">
        <v>4</v>
      </c>
      <c r="O4" s="99" t="s">
        <v>126</v>
      </c>
      <c r="P4" s="131" t="s">
        <v>177</v>
      </c>
      <c r="Q4" s="131" t="s">
        <v>102</v>
      </c>
      <c r="R4" s="99" t="s">
        <v>147</v>
      </c>
      <c r="S4" s="99" t="s">
        <v>170</v>
      </c>
      <c r="T4" s="99" t="s">
        <v>172</v>
      </c>
      <c r="U4" s="99" t="s">
        <v>168</v>
      </c>
    </row>
    <row r="5" spans="1:21" x14ac:dyDescent="0.25">
      <c r="A5" s="93" t="s">
        <v>78</v>
      </c>
      <c r="B5" s="91">
        <v>4</v>
      </c>
      <c r="C5" s="92" t="s">
        <v>76</v>
      </c>
      <c r="D5" s="91" t="s">
        <v>73</v>
      </c>
      <c r="E5" s="96">
        <v>4</v>
      </c>
      <c r="F5" s="96">
        <v>13</v>
      </c>
      <c r="G5" s="101" t="s">
        <v>120</v>
      </c>
      <c r="H5" s="90" t="s">
        <v>104</v>
      </c>
      <c r="I5">
        <v>1</v>
      </c>
      <c r="J5">
        <f>SUM(K6)</f>
        <v>2022341.0420985599</v>
      </c>
      <c r="K5">
        <f>I5*J5</f>
        <v>2022341.0420985599</v>
      </c>
      <c r="L5">
        <f>100*(1-(M5/K5))</f>
        <v>100</v>
      </c>
      <c r="M5">
        <f>I5*SUM(M6)</f>
        <v>0</v>
      </c>
      <c r="N5">
        <v>5</v>
      </c>
      <c r="O5" s="99" t="s">
        <v>127</v>
      </c>
      <c r="P5" s="131" t="s">
        <v>178</v>
      </c>
      <c r="Q5" s="131" t="s">
        <v>102</v>
      </c>
      <c r="R5" s="99" t="s">
        <v>144</v>
      </c>
      <c r="S5" s="99" t="s">
        <v>163</v>
      </c>
      <c r="T5" s="99" t="s">
        <v>165</v>
      </c>
      <c r="U5" s="99" t="s">
        <v>161</v>
      </c>
    </row>
    <row r="6" spans="1:21" x14ac:dyDescent="0.25">
      <c r="A6" s="93" t="s">
        <v>80</v>
      </c>
      <c r="B6" s="91">
        <v>5</v>
      </c>
      <c r="C6" s="93" t="s">
        <v>78</v>
      </c>
      <c r="D6" s="91" t="s">
        <v>73</v>
      </c>
      <c r="E6" s="96">
        <v>5</v>
      </c>
      <c r="F6" s="96">
        <v>12</v>
      </c>
      <c r="G6" s="101" t="s">
        <v>120</v>
      </c>
      <c r="H6" s="90" t="s">
        <v>104</v>
      </c>
      <c r="I6">
        <v>2</v>
      </c>
      <c r="J6">
        <f>SUM(K7)</f>
        <v>1011170.52104928</v>
      </c>
      <c r="K6">
        <f>I6*J6</f>
        <v>2022341.0420985599</v>
      </c>
      <c r="L6">
        <f>100*(1-(M6/K6))</f>
        <v>100</v>
      </c>
      <c r="M6">
        <f>I6*SUM(M7)</f>
        <v>0</v>
      </c>
      <c r="N6">
        <v>6</v>
      </c>
      <c r="O6" s="99" t="s">
        <v>128</v>
      </c>
      <c r="P6" s="131" t="s">
        <v>179</v>
      </c>
      <c r="Q6" s="131" t="s">
        <v>102</v>
      </c>
      <c r="R6" s="99" t="s">
        <v>142</v>
      </c>
      <c r="S6" s="99" t="s">
        <v>157</v>
      </c>
      <c r="T6" s="99" t="s">
        <v>159</v>
      </c>
      <c r="U6" s="99" t="s">
        <v>155</v>
      </c>
    </row>
    <row r="7" spans="1:21" x14ac:dyDescent="0.25">
      <c r="A7" s="93" t="s">
        <v>8</v>
      </c>
      <c r="B7" s="91">
        <v>6</v>
      </c>
      <c r="C7" s="93" t="s">
        <v>80</v>
      </c>
      <c r="D7" s="91" t="s">
        <v>73</v>
      </c>
      <c r="E7" s="96">
        <v>6</v>
      </c>
      <c r="F7" s="96">
        <v>11</v>
      </c>
      <c r="G7" s="101" t="s">
        <v>120</v>
      </c>
      <c r="H7" s="90" t="s">
        <v>105</v>
      </c>
      <c r="I7">
        <v>1</v>
      </c>
      <c r="J7">
        <f>SUM(K8,K9)</f>
        <v>1011170.52104928</v>
      </c>
      <c r="K7">
        <f>I7*J7</f>
        <v>1011170.52104928</v>
      </c>
      <c r="L7">
        <f>100*(1-(M7/K7))</f>
        <v>100</v>
      </c>
      <c r="M7">
        <f>I7*SUM(M8,M9)</f>
        <v>0</v>
      </c>
      <c r="N7">
        <v>7</v>
      </c>
      <c r="O7" s="99" t="s">
        <v>129</v>
      </c>
      <c r="P7" s="131" t="s">
        <v>124</v>
      </c>
      <c r="Q7" s="131" t="s">
        <v>102</v>
      </c>
      <c r="R7" s="99" t="s">
        <v>140</v>
      </c>
      <c r="S7" s="99" t="s">
        <v>151</v>
      </c>
      <c r="T7" s="99" t="s">
        <v>153</v>
      </c>
      <c r="U7" s="99" t="s">
        <v>149</v>
      </c>
    </row>
    <row r="8" spans="1:21" x14ac:dyDescent="0.25">
      <c r="A8" s="93" t="s">
        <v>106</v>
      </c>
      <c r="B8" s="91">
        <v>7</v>
      </c>
      <c r="C8" s="93" t="s">
        <v>8</v>
      </c>
      <c r="D8" s="91" t="s">
        <v>73</v>
      </c>
      <c r="E8" s="96">
        <v>7</v>
      </c>
      <c r="F8" s="96">
        <v>8</v>
      </c>
      <c r="G8" s="101" t="s">
        <v>73</v>
      </c>
      <c r="H8" s="90" t="s">
        <v>107</v>
      </c>
      <c r="I8">
        <v>1</v>
      </c>
      <c r="J8">
        <v>1009039.92104928</v>
      </c>
      <c r="K8">
        <f>I8*J8</f>
        <v>1009039.92104928</v>
      </c>
      <c r="L8">
        <v>100</v>
      </c>
      <c r="M8">
        <f>(1-(L8/100))*K8</f>
        <v>0</v>
      </c>
      <c r="N8">
        <v>8</v>
      </c>
      <c r="O8" s="99" t="s">
        <v>130</v>
      </c>
      <c r="P8" s="131" t="s">
        <v>125</v>
      </c>
      <c r="Q8" s="131" t="s">
        <v>102</v>
      </c>
    </row>
    <row r="9" spans="1:21" x14ac:dyDescent="0.25">
      <c r="A9" s="93" t="s">
        <v>108</v>
      </c>
      <c r="B9" s="91">
        <v>7</v>
      </c>
      <c r="C9" s="93" t="s">
        <v>8</v>
      </c>
      <c r="D9" s="91" t="s">
        <v>119</v>
      </c>
      <c r="E9" s="96">
        <v>9</v>
      </c>
      <c r="F9" s="96">
        <v>10</v>
      </c>
      <c r="G9" s="101" t="s">
        <v>73</v>
      </c>
      <c r="H9" s="90" t="s">
        <v>109</v>
      </c>
      <c r="I9">
        <v>1060</v>
      </c>
      <c r="J9">
        <v>2.0099999999999998</v>
      </c>
      <c r="K9">
        <f>I9*J9</f>
        <v>2130.6</v>
      </c>
      <c r="L9">
        <v>100</v>
      </c>
      <c r="M9">
        <f>(1-(L9/100))*K9</f>
        <v>0</v>
      </c>
      <c r="N9">
        <v>9</v>
      </c>
      <c r="O9" s="99" t="s">
        <v>131</v>
      </c>
      <c r="P9" s="131" t="s">
        <v>126</v>
      </c>
      <c r="Q9" s="131" t="s">
        <v>102</v>
      </c>
    </row>
    <row r="10" spans="1:21" x14ac:dyDescent="0.25">
      <c r="A10" s="93" t="s">
        <v>110</v>
      </c>
      <c r="B10" s="91">
        <v>3</v>
      </c>
      <c r="C10" s="93" t="s">
        <v>10</v>
      </c>
      <c r="D10" s="91" t="s">
        <v>119</v>
      </c>
      <c r="E10" s="96">
        <v>15</v>
      </c>
      <c r="F10" s="96">
        <v>22</v>
      </c>
      <c r="G10" s="101" t="s">
        <v>120</v>
      </c>
      <c r="H10" s="90" t="s">
        <v>111</v>
      </c>
      <c r="I10">
        <v>1</v>
      </c>
      <c r="J10">
        <f>SUM(K11)</f>
        <v>146280</v>
      </c>
      <c r="K10">
        <f>I10*J10</f>
        <v>146280</v>
      </c>
      <c r="L10">
        <f>100*(1-(M10/K10))</f>
        <v>100</v>
      </c>
      <c r="M10">
        <f>I10*SUM(M11)</f>
        <v>0</v>
      </c>
      <c r="N10">
        <v>10</v>
      </c>
      <c r="O10" s="99" t="s">
        <v>132</v>
      </c>
      <c r="P10" s="131" t="s">
        <v>127</v>
      </c>
      <c r="Q10" s="131" t="s">
        <v>102</v>
      </c>
      <c r="R10" s="99" t="s">
        <v>145</v>
      </c>
      <c r="S10" s="99" t="s">
        <v>164</v>
      </c>
      <c r="T10" s="99" t="s">
        <v>166</v>
      </c>
      <c r="U10" s="99" t="s">
        <v>162</v>
      </c>
    </row>
    <row r="11" spans="1:21" x14ac:dyDescent="0.25">
      <c r="A11" s="93" t="s">
        <v>112</v>
      </c>
      <c r="B11" s="91">
        <v>4</v>
      </c>
      <c r="C11" s="93" t="s">
        <v>110</v>
      </c>
      <c r="D11" s="91" t="s">
        <v>73</v>
      </c>
      <c r="E11" s="96">
        <v>16</v>
      </c>
      <c r="F11" s="96">
        <v>21</v>
      </c>
      <c r="G11" s="101" t="s">
        <v>120</v>
      </c>
      <c r="H11" s="90" t="s">
        <v>113</v>
      </c>
      <c r="I11">
        <v>1</v>
      </c>
      <c r="J11">
        <f>SUM(K12)</f>
        <v>146280</v>
      </c>
      <c r="K11">
        <f>I11*J11</f>
        <v>146280</v>
      </c>
      <c r="L11">
        <f>100*(1-(M11/K11))</f>
        <v>100</v>
      </c>
      <c r="M11">
        <f>I11*SUM(M12)</f>
        <v>0</v>
      </c>
      <c r="N11">
        <v>11</v>
      </c>
      <c r="O11" s="99" t="s">
        <v>133</v>
      </c>
      <c r="P11" s="131" t="s">
        <v>128</v>
      </c>
      <c r="Q11" s="131" t="s">
        <v>102</v>
      </c>
      <c r="R11" s="99" t="s">
        <v>143</v>
      </c>
      <c r="S11" s="99" t="s">
        <v>158</v>
      </c>
      <c r="T11" s="99" t="s">
        <v>160</v>
      </c>
      <c r="U11" s="99" t="s">
        <v>156</v>
      </c>
    </row>
    <row r="12" spans="1:21" x14ac:dyDescent="0.25">
      <c r="A12" s="93" t="s">
        <v>114</v>
      </c>
      <c r="B12" s="91">
        <v>5</v>
      </c>
      <c r="C12" s="93" t="s">
        <v>112</v>
      </c>
      <c r="D12" s="91" t="s">
        <v>73</v>
      </c>
      <c r="E12" s="96">
        <v>17</v>
      </c>
      <c r="F12" s="96">
        <v>20</v>
      </c>
      <c r="G12" s="101" t="s">
        <v>120</v>
      </c>
      <c r="H12" s="90" t="s">
        <v>115</v>
      </c>
      <c r="I12">
        <v>2</v>
      </c>
      <c r="J12">
        <f>SUM(K13)</f>
        <v>73140</v>
      </c>
      <c r="K12">
        <f>I12*J12</f>
        <v>146280</v>
      </c>
      <c r="L12">
        <f>100*(1-(M12/K12))</f>
        <v>100</v>
      </c>
      <c r="M12">
        <f>I12*SUM(M13)</f>
        <v>0</v>
      </c>
      <c r="N12">
        <v>12</v>
      </c>
      <c r="O12" s="99" t="s">
        <v>134</v>
      </c>
      <c r="P12" s="131" t="s">
        <v>129</v>
      </c>
      <c r="Q12" s="131" t="s">
        <v>102</v>
      </c>
      <c r="R12" s="99" t="s">
        <v>141</v>
      </c>
      <c r="S12" s="99" t="s">
        <v>152</v>
      </c>
      <c r="T12" s="99" t="s">
        <v>154</v>
      </c>
      <c r="U12" s="99" t="s">
        <v>150</v>
      </c>
    </row>
    <row r="13" spans="1:21" x14ac:dyDescent="0.25">
      <c r="A13" s="92" t="s">
        <v>116</v>
      </c>
      <c r="B13" s="91">
        <v>6</v>
      </c>
      <c r="C13" s="95" t="s">
        <v>114</v>
      </c>
      <c r="D13" s="91" t="s">
        <v>73</v>
      </c>
      <c r="E13" s="97">
        <v>18</v>
      </c>
      <c r="F13" s="97">
        <v>19</v>
      </c>
      <c r="G13" s="101" t="s">
        <v>73</v>
      </c>
      <c r="H13" s="90" t="s">
        <v>117</v>
      </c>
      <c r="I13">
        <v>1</v>
      </c>
      <c r="J13">
        <v>73140</v>
      </c>
      <c r="K13">
        <f>I13*J13</f>
        <v>73140</v>
      </c>
      <c r="L13">
        <v>100</v>
      </c>
      <c r="M13">
        <f>(1-(L13/100))*K13</f>
        <v>0</v>
      </c>
      <c r="N13">
        <v>13</v>
      </c>
      <c r="O13" s="99" t="s">
        <v>135</v>
      </c>
      <c r="P13" s="131" t="s">
        <v>180</v>
      </c>
      <c r="Q13" s="131" t="s">
        <v>102</v>
      </c>
    </row>
    <row r="14" spans="1:21" x14ac:dyDescent="0.25">
      <c r="A14" s="93"/>
      <c r="B14" s="91"/>
      <c r="C14" s="93"/>
      <c r="D14" s="91"/>
      <c r="E14" s="96"/>
      <c r="F14" s="96"/>
      <c r="G14" s="101"/>
      <c r="H14" s="90"/>
    </row>
    <row r="15" spans="1:21" x14ac:dyDescent="0.25">
      <c r="A15" s="93"/>
      <c r="B15" s="91"/>
      <c r="C15" s="93"/>
      <c r="D15" s="91"/>
      <c r="E15" s="96"/>
      <c r="F15" s="96"/>
      <c r="G15" s="101"/>
      <c r="H15" s="90"/>
    </row>
    <row r="16" spans="1:21" x14ac:dyDescent="0.25">
      <c r="A16" s="93"/>
      <c r="B16" s="91"/>
      <c r="C16" s="93"/>
      <c r="D16" s="91"/>
      <c r="E16" s="96"/>
      <c r="F16" s="96"/>
      <c r="G16" s="101"/>
      <c r="H16" s="90"/>
    </row>
    <row r="17" spans="1:8" x14ac:dyDescent="0.25">
      <c r="A17" s="93"/>
      <c r="B17" s="91"/>
      <c r="C17" s="93"/>
      <c r="D17" s="91"/>
      <c r="E17" s="90"/>
      <c r="F17" s="90"/>
      <c r="G17" s="101"/>
      <c r="H17" s="90"/>
    </row>
    <row r="18" spans="1:8" x14ac:dyDescent="0.25">
      <c r="A18" s="98"/>
      <c r="B18" s="91"/>
      <c r="C18" s="91"/>
      <c r="D18" s="91"/>
      <c r="E18" s="90"/>
      <c r="F18" s="90"/>
      <c r="G18" s="101"/>
      <c r="H18" s="90"/>
    </row>
    <row r="19" spans="1:8" x14ac:dyDescent="0.25">
      <c r="A19" s="98"/>
      <c r="B19" s="91"/>
      <c r="C19" s="91"/>
      <c r="D19" s="91"/>
      <c r="E19" s="90"/>
      <c r="F19" s="90"/>
      <c r="G19" s="101"/>
      <c r="H19" s="90"/>
    </row>
    <row r="20" spans="1:8" x14ac:dyDescent="0.25">
      <c r="A20" s="98"/>
      <c r="B20" s="91"/>
      <c r="C20" s="91"/>
      <c r="D20" s="91"/>
      <c r="E20" s="90"/>
      <c r="F20" s="90"/>
      <c r="G20" s="101"/>
      <c r="H20" s="90"/>
    </row>
    <row r="21" spans="1:8" x14ac:dyDescent="0.25">
      <c r="A21" s="91"/>
      <c r="B21" s="91"/>
      <c r="C21" s="91"/>
      <c r="D21" s="91"/>
      <c r="E21" s="90"/>
      <c r="F21" s="90"/>
      <c r="G21" s="101"/>
      <c r="H21" s="90"/>
    </row>
    <row r="22" spans="1:8" x14ac:dyDescent="0.25">
      <c r="G22" s="102"/>
    </row>
    <row r="23" spans="1:8" x14ac:dyDescent="0.25">
      <c r="A23" s="93"/>
      <c r="B23" s="91"/>
      <c r="C23" s="100"/>
      <c r="D23" s="91"/>
      <c r="E23" s="90"/>
      <c r="F23" s="90"/>
      <c r="G23" s="101"/>
      <c r="H23" s="90"/>
    </row>
    <row r="24" spans="1:8" x14ac:dyDescent="0.25">
      <c r="A24" s="98"/>
      <c r="B24" s="91"/>
      <c r="C24" s="91"/>
      <c r="D24" s="91"/>
      <c r="E24" s="90"/>
      <c r="F24" s="90"/>
      <c r="G24" s="101"/>
      <c r="H24" s="90"/>
    </row>
    <row r="25" spans="1:8" x14ac:dyDescent="0.25">
      <c r="A25" s="98"/>
      <c r="B25" s="91"/>
      <c r="C25" s="91"/>
      <c r="D25" s="91"/>
      <c r="E25" s="90"/>
      <c r="F25" s="90"/>
      <c r="G25" s="101"/>
      <c r="H25" s="90"/>
    </row>
    <row r="26" spans="1:8" x14ac:dyDescent="0.25">
      <c r="A26" s="98"/>
      <c r="B26" s="91"/>
      <c r="C26" s="91"/>
      <c r="D26" s="91"/>
      <c r="E26" s="90"/>
      <c r="F26" s="90"/>
      <c r="G26" s="101"/>
      <c r="H26" s="90"/>
    </row>
    <row r="27" spans="1:8" x14ac:dyDescent="0.25">
      <c r="G27" s="102"/>
    </row>
    <row r="28" spans="1:8" x14ac:dyDescent="0.25">
      <c r="G28" s="102"/>
    </row>
    <row r="29" spans="1:8" x14ac:dyDescent="0.25">
      <c r="G29" s="102"/>
    </row>
    <row r="30" spans="1:8" x14ac:dyDescent="0.25">
      <c r="G30" s="102"/>
    </row>
    <row r="31" spans="1:8" x14ac:dyDescent="0.25">
      <c r="G31" s="102"/>
    </row>
    <row r="32" spans="1:8" x14ac:dyDescent="0.25">
      <c r="G32" s="102"/>
    </row>
    <row r="33" spans="7:7" x14ac:dyDescent="0.25">
      <c r="G33" s="102"/>
    </row>
    <row r="34" spans="7:7" x14ac:dyDescent="0.25">
      <c r="G34" s="102"/>
    </row>
    <row r="35" spans="7:7" x14ac:dyDescent="0.25">
      <c r="G35" s="102"/>
    </row>
    <row r="36" spans="7:7" x14ac:dyDescent="0.25">
      <c r="G36" s="102"/>
    </row>
    <row r="37" spans="7:7" x14ac:dyDescent="0.25">
      <c r="G37" s="102"/>
    </row>
    <row r="38" spans="7:7" x14ac:dyDescent="0.25">
      <c r="G38" s="102"/>
    </row>
    <row r="39" spans="7:7" x14ac:dyDescent="0.25">
      <c r="G39" s="102"/>
    </row>
    <row r="40" spans="7:7" x14ac:dyDescent="0.25">
      <c r="G40" s="102"/>
    </row>
    <row r="41" spans="7:7" x14ac:dyDescent="0.25">
      <c r="G41" s="102"/>
    </row>
    <row r="42" spans="7:7" x14ac:dyDescent="0.25">
      <c r="G42" s="102"/>
    </row>
    <row r="43" spans="7:7" x14ac:dyDescent="0.25">
      <c r="G43" s="102"/>
    </row>
    <row r="44" spans="7:7" x14ac:dyDescent="0.25">
      <c r="G44" s="102"/>
    </row>
    <row r="45" spans="7:7" x14ac:dyDescent="0.25">
      <c r="G45" s="102"/>
    </row>
    <row r="46" spans="7:7" x14ac:dyDescent="0.25">
      <c r="G46" s="102"/>
    </row>
    <row r="47" spans="7:7" x14ac:dyDescent="0.25">
      <c r="G47" s="102"/>
    </row>
    <row r="48" spans="7:7" x14ac:dyDescent="0.25">
      <c r="G48" s="102"/>
    </row>
    <row r="49" spans="7:7" x14ac:dyDescent="0.25">
      <c r="G49" s="102"/>
    </row>
    <row r="50" spans="7:7" x14ac:dyDescent="0.25">
      <c r="G50" s="102"/>
    </row>
    <row r="51" spans="7:7" x14ac:dyDescent="0.25">
      <c r="G51" s="102"/>
    </row>
    <row r="52" spans="7:7" x14ac:dyDescent="0.25">
      <c r="G52" s="102"/>
    </row>
    <row r="53" spans="7:7" x14ac:dyDescent="0.25">
      <c r="G53" s="102"/>
    </row>
    <row r="54" spans="7:7" x14ac:dyDescent="0.25">
      <c r="G54" s="102"/>
    </row>
    <row r="55" spans="7:7" x14ac:dyDescent="0.25">
      <c r="G55" s="102"/>
    </row>
    <row r="56" spans="7:7" x14ac:dyDescent="0.25">
      <c r="G56" s="102"/>
    </row>
    <row r="57" spans="7:7" x14ac:dyDescent="0.25">
      <c r="G57" s="102"/>
    </row>
    <row r="58" spans="7:7" x14ac:dyDescent="0.25">
      <c r="G58" s="102"/>
    </row>
    <row r="59" spans="7:7" x14ac:dyDescent="0.25">
      <c r="G59" s="102"/>
    </row>
    <row r="60" spans="7:7" x14ac:dyDescent="0.25">
      <c r="G60" s="102"/>
    </row>
    <row r="61" spans="7:7" x14ac:dyDescent="0.25">
      <c r="G61" s="102"/>
    </row>
    <row r="62" spans="7:7" x14ac:dyDescent="0.25">
      <c r="G62" s="102"/>
    </row>
    <row r="63" spans="7:7" x14ac:dyDescent="0.25">
      <c r="G63" s="102"/>
    </row>
    <row r="64" spans="7:7" x14ac:dyDescent="0.25">
      <c r="G64" s="102"/>
    </row>
    <row r="65" spans="7:7" x14ac:dyDescent="0.25">
      <c r="G65" s="102"/>
    </row>
    <row r="66" spans="7:7" x14ac:dyDescent="0.25">
      <c r="G66" s="102"/>
    </row>
    <row r="67" spans="7:7" x14ac:dyDescent="0.25">
      <c r="G67" s="102"/>
    </row>
    <row r="68" spans="7:7" x14ac:dyDescent="0.25">
      <c r="G68" s="102"/>
    </row>
    <row r="69" spans="7:7" x14ac:dyDescent="0.25">
      <c r="G69" s="102"/>
    </row>
    <row r="70" spans="7:7" x14ac:dyDescent="0.25">
      <c r="G70" s="102"/>
    </row>
    <row r="71" spans="7:7" x14ac:dyDescent="0.25">
      <c r="G71" s="102"/>
    </row>
    <row r="72" spans="7:7" x14ac:dyDescent="0.25">
      <c r="G72" s="102"/>
    </row>
    <row r="73" spans="7:7" x14ac:dyDescent="0.25">
      <c r="G73" s="102"/>
    </row>
    <row r="74" spans="7:7" x14ac:dyDescent="0.25">
      <c r="G74" s="102"/>
    </row>
    <row r="75" spans="7:7" x14ac:dyDescent="0.25">
      <c r="G75" s="102"/>
    </row>
    <row r="76" spans="7:7" x14ac:dyDescent="0.25">
      <c r="G76" s="102"/>
    </row>
    <row r="77" spans="7:7" x14ac:dyDescent="0.25">
      <c r="G77" s="102"/>
    </row>
    <row r="78" spans="7:7" x14ac:dyDescent="0.25">
      <c r="G78" s="102"/>
    </row>
    <row r="79" spans="7:7" x14ac:dyDescent="0.25">
      <c r="G79" s="102"/>
    </row>
    <row r="80" spans="7:7" x14ac:dyDescent="0.25">
      <c r="G80" s="102"/>
    </row>
    <row r="81" spans="7:7" x14ac:dyDescent="0.25">
      <c r="G81" s="102"/>
    </row>
    <row r="82" spans="7:7" x14ac:dyDescent="0.25">
      <c r="G82" s="102"/>
    </row>
    <row r="83" spans="7:7" x14ac:dyDescent="0.25">
      <c r="G83" s="102"/>
    </row>
    <row r="84" spans="7:7" x14ac:dyDescent="0.25">
      <c r="G84" s="102"/>
    </row>
    <row r="85" spans="7:7" x14ac:dyDescent="0.25">
      <c r="G85" s="102"/>
    </row>
    <row r="86" spans="7:7" x14ac:dyDescent="0.25">
      <c r="G86" s="102"/>
    </row>
    <row r="87" spans="7:7" x14ac:dyDescent="0.25">
      <c r="G87" s="102"/>
    </row>
    <row r="88" spans="7:7" x14ac:dyDescent="0.25">
      <c r="G88" s="102"/>
    </row>
    <row r="89" spans="7:7" x14ac:dyDescent="0.25">
      <c r="G89" s="102"/>
    </row>
    <row r="90" spans="7:7" x14ac:dyDescent="0.25">
      <c r="G90" s="102"/>
    </row>
    <row r="91" spans="7:7" x14ac:dyDescent="0.25">
      <c r="G91" s="102"/>
    </row>
    <row r="92" spans="7:7" x14ac:dyDescent="0.25">
      <c r="G92" s="102"/>
    </row>
    <row r="93" spans="7:7" x14ac:dyDescent="0.25">
      <c r="G93" s="102"/>
    </row>
    <row r="94" spans="7:7" x14ac:dyDescent="0.25">
      <c r="G94" s="102"/>
    </row>
    <row r="95" spans="7:7" x14ac:dyDescent="0.25">
      <c r="G95" s="102"/>
    </row>
    <row r="96" spans="7:7" x14ac:dyDescent="0.25">
      <c r="G96" s="102"/>
    </row>
    <row r="97" spans="7:7" x14ac:dyDescent="0.25">
      <c r="G97" s="102"/>
    </row>
    <row r="98" spans="7:7" x14ac:dyDescent="0.25">
      <c r="G98" s="102"/>
    </row>
    <row r="99" spans="7:7" x14ac:dyDescent="0.25">
      <c r="G99" s="102"/>
    </row>
    <row r="100" spans="7:7" x14ac:dyDescent="0.25">
      <c r="G100" s="102"/>
    </row>
    <row r="101" spans="7:7" x14ac:dyDescent="0.25">
      <c r="G101" s="102"/>
    </row>
    <row r="102" spans="7:7" x14ac:dyDescent="0.25">
      <c r="G102" s="102"/>
    </row>
    <row r="103" spans="7:7" x14ac:dyDescent="0.25">
      <c r="G103" s="102"/>
    </row>
    <row r="104" spans="7:7" x14ac:dyDescent="0.25">
      <c r="G104" s="102"/>
    </row>
    <row r="105" spans="7:7" x14ac:dyDescent="0.25">
      <c r="G105" s="102"/>
    </row>
    <row r="106" spans="7:7" x14ac:dyDescent="0.25">
      <c r="G106" s="102"/>
    </row>
    <row r="107" spans="7:7" x14ac:dyDescent="0.25">
      <c r="G107" s="102"/>
    </row>
    <row r="108" spans="7:7" x14ac:dyDescent="0.25">
      <c r="G108" s="102"/>
    </row>
    <row r="109" spans="7:7" x14ac:dyDescent="0.25">
      <c r="G109" s="102"/>
    </row>
    <row r="110" spans="7:7" x14ac:dyDescent="0.25">
      <c r="G110" s="102"/>
    </row>
    <row r="111" spans="7:7" x14ac:dyDescent="0.25">
      <c r="G111" s="102"/>
    </row>
    <row r="112" spans="7:7" x14ac:dyDescent="0.25">
      <c r="G112" s="102"/>
    </row>
    <row r="113" spans="7:7" x14ac:dyDescent="0.25">
      <c r="G113" s="102"/>
    </row>
    <row r="114" spans="7:7" x14ac:dyDescent="0.25">
      <c r="G114" s="102"/>
    </row>
    <row r="115" spans="7:7" x14ac:dyDescent="0.25">
      <c r="G115" s="102"/>
    </row>
    <row r="116" spans="7:7" x14ac:dyDescent="0.25">
      <c r="G116" s="102"/>
    </row>
    <row r="117" spans="7:7" x14ac:dyDescent="0.25">
      <c r="G117" s="102"/>
    </row>
    <row r="118" spans="7:7" x14ac:dyDescent="0.25">
      <c r="G118" s="102"/>
    </row>
    <row r="119" spans="7:7" x14ac:dyDescent="0.25">
      <c r="G119" s="102"/>
    </row>
    <row r="120" spans="7:7" x14ac:dyDescent="0.25">
      <c r="G120" s="102"/>
    </row>
    <row r="121" spans="7:7" x14ac:dyDescent="0.25">
      <c r="G121" s="102"/>
    </row>
    <row r="122" spans="7:7" x14ac:dyDescent="0.25">
      <c r="G122" s="102"/>
    </row>
    <row r="123" spans="7:7" x14ac:dyDescent="0.25">
      <c r="G123" s="102"/>
    </row>
    <row r="124" spans="7:7" x14ac:dyDescent="0.25">
      <c r="G124" s="102"/>
    </row>
    <row r="125" spans="7:7" x14ac:dyDescent="0.25">
      <c r="G125" s="102"/>
    </row>
    <row r="126" spans="7:7" x14ac:dyDescent="0.25">
      <c r="G126" s="102"/>
    </row>
    <row r="127" spans="7:7" x14ac:dyDescent="0.25">
      <c r="G127" s="102"/>
    </row>
    <row r="128" spans="7:7" x14ac:dyDescent="0.25">
      <c r="G128" s="102"/>
    </row>
    <row r="129" spans="7:7" x14ac:dyDescent="0.25">
      <c r="G129" s="102"/>
    </row>
    <row r="130" spans="7:7" x14ac:dyDescent="0.25">
      <c r="G130" s="102"/>
    </row>
    <row r="131" spans="7:7" x14ac:dyDescent="0.25">
      <c r="G131" s="102"/>
    </row>
    <row r="132" spans="7:7" x14ac:dyDescent="0.25">
      <c r="G132" s="102"/>
    </row>
    <row r="133" spans="7:7" x14ac:dyDescent="0.25">
      <c r="G133" s="102"/>
    </row>
    <row r="134" spans="7:7" x14ac:dyDescent="0.25">
      <c r="G134" s="102"/>
    </row>
    <row r="135" spans="7:7" x14ac:dyDescent="0.25">
      <c r="G135" s="102"/>
    </row>
    <row r="136" spans="7:7" x14ac:dyDescent="0.25">
      <c r="G136" s="102"/>
    </row>
    <row r="137" spans="7:7" x14ac:dyDescent="0.25">
      <c r="G137" s="102"/>
    </row>
    <row r="138" spans="7:7" x14ac:dyDescent="0.25">
      <c r="G138" s="102"/>
    </row>
    <row r="139" spans="7:7" x14ac:dyDescent="0.25">
      <c r="G139" s="102"/>
    </row>
    <row r="140" spans="7:7" x14ac:dyDescent="0.25">
      <c r="G140" s="102"/>
    </row>
    <row r="141" spans="7:7" x14ac:dyDescent="0.25">
      <c r="G141" s="102"/>
    </row>
    <row r="142" spans="7:7" x14ac:dyDescent="0.25">
      <c r="G142" s="102"/>
    </row>
    <row r="143" spans="7:7" x14ac:dyDescent="0.25">
      <c r="G143" s="102"/>
    </row>
    <row r="144" spans="7:7" x14ac:dyDescent="0.25">
      <c r="G144" s="102"/>
    </row>
    <row r="145" spans="7:7" x14ac:dyDescent="0.25">
      <c r="G145" s="102"/>
    </row>
    <row r="146" spans="7:7" x14ac:dyDescent="0.25">
      <c r="G146" s="102"/>
    </row>
    <row r="147" spans="7:7" x14ac:dyDescent="0.25">
      <c r="G147" s="102"/>
    </row>
    <row r="148" spans="7:7" x14ac:dyDescent="0.25">
      <c r="G148" s="102"/>
    </row>
    <row r="149" spans="7:7" x14ac:dyDescent="0.25">
      <c r="G149" s="102"/>
    </row>
    <row r="150" spans="7:7" x14ac:dyDescent="0.25">
      <c r="G150" s="102"/>
    </row>
    <row r="151" spans="7:7" x14ac:dyDescent="0.25">
      <c r="G151" s="102"/>
    </row>
    <row r="152" spans="7:7" x14ac:dyDescent="0.25">
      <c r="G152" s="102"/>
    </row>
    <row r="153" spans="7:7" x14ac:dyDescent="0.25">
      <c r="G153" s="102"/>
    </row>
    <row r="154" spans="7:7" x14ac:dyDescent="0.25">
      <c r="G154" s="102"/>
    </row>
    <row r="155" spans="7:7" x14ac:dyDescent="0.25">
      <c r="G155" s="102"/>
    </row>
    <row r="156" spans="7:7" x14ac:dyDescent="0.25">
      <c r="G156" s="102"/>
    </row>
    <row r="157" spans="7:7" x14ac:dyDescent="0.25">
      <c r="G157" s="102"/>
    </row>
    <row r="158" spans="7:7" x14ac:dyDescent="0.25">
      <c r="G158" s="102"/>
    </row>
    <row r="159" spans="7:7" x14ac:dyDescent="0.25">
      <c r="G159" s="102"/>
    </row>
    <row r="160" spans="7:7" x14ac:dyDescent="0.25">
      <c r="G160" s="102"/>
    </row>
    <row r="161" spans="7:7" x14ac:dyDescent="0.25">
      <c r="G161" s="102"/>
    </row>
    <row r="162" spans="7:7" x14ac:dyDescent="0.25">
      <c r="G162" s="102"/>
    </row>
    <row r="163" spans="7:7" x14ac:dyDescent="0.25">
      <c r="G163" s="102"/>
    </row>
    <row r="164" spans="7:7" x14ac:dyDescent="0.25">
      <c r="G164" s="102"/>
    </row>
    <row r="165" spans="7:7" x14ac:dyDescent="0.25">
      <c r="G165" s="102"/>
    </row>
    <row r="166" spans="7:7" x14ac:dyDescent="0.25">
      <c r="G166" s="102"/>
    </row>
    <row r="167" spans="7:7" x14ac:dyDescent="0.25">
      <c r="G167" s="102"/>
    </row>
    <row r="168" spans="7:7" x14ac:dyDescent="0.25">
      <c r="G168" s="102"/>
    </row>
    <row r="169" spans="7:7" x14ac:dyDescent="0.25">
      <c r="G169" s="102"/>
    </row>
    <row r="170" spans="7:7" x14ac:dyDescent="0.25">
      <c r="G170" s="102"/>
    </row>
    <row r="171" spans="7:7" x14ac:dyDescent="0.25">
      <c r="G171" s="102"/>
    </row>
    <row r="172" spans="7:7" x14ac:dyDescent="0.25">
      <c r="G172" s="102"/>
    </row>
    <row r="173" spans="7:7" x14ac:dyDescent="0.25">
      <c r="G173" s="102"/>
    </row>
    <row r="174" spans="7:7" x14ac:dyDescent="0.25">
      <c r="G174" s="102"/>
    </row>
    <row r="175" spans="7:7" x14ac:dyDescent="0.25">
      <c r="G175" s="102"/>
    </row>
    <row r="176" spans="7:7" x14ac:dyDescent="0.25">
      <c r="G176" s="102"/>
    </row>
    <row r="177" spans="7:7" x14ac:dyDescent="0.25">
      <c r="G177" s="102"/>
    </row>
    <row r="178" spans="7:7" x14ac:dyDescent="0.25">
      <c r="G178" s="102"/>
    </row>
    <row r="179" spans="7:7" x14ac:dyDescent="0.25">
      <c r="G179" s="102"/>
    </row>
    <row r="180" spans="7:7" x14ac:dyDescent="0.25">
      <c r="G180" s="102"/>
    </row>
    <row r="181" spans="7:7" x14ac:dyDescent="0.25">
      <c r="G181" s="102"/>
    </row>
    <row r="182" spans="7:7" x14ac:dyDescent="0.25">
      <c r="G182" s="102"/>
    </row>
    <row r="183" spans="7:7" x14ac:dyDescent="0.25">
      <c r="G183" s="102"/>
    </row>
    <row r="184" spans="7:7" x14ac:dyDescent="0.25">
      <c r="G184" s="102"/>
    </row>
    <row r="185" spans="7:7" x14ac:dyDescent="0.25">
      <c r="G185" s="102"/>
    </row>
    <row r="186" spans="7:7" x14ac:dyDescent="0.25">
      <c r="G186" s="102"/>
    </row>
    <row r="187" spans="7:7" x14ac:dyDescent="0.25">
      <c r="G187" s="102"/>
    </row>
    <row r="188" spans="7:7" x14ac:dyDescent="0.25">
      <c r="G188" s="102"/>
    </row>
    <row r="189" spans="7:7" x14ac:dyDescent="0.25">
      <c r="G189" s="102"/>
    </row>
    <row r="190" spans="7:7" x14ac:dyDescent="0.25">
      <c r="G190" s="102"/>
    </row>
    <row r="191" spans="7:7" x14ac:dyDescent="0.25">
      <c r="G191" s="102"/>
    </row>
    <row r="192" spans="7:7" x14ac:dyDescent="0.25">
      <c r="G192" s="102"/>
    </row>
    <row r="193" spans="7:7" x14ac:dyDescent="0.25">
      <c r="G193" s="102"/>
    </row>
    <row r="194" spans="7:7" x14ac:dyDescent="0.25">
      <c r="G194" s="102"/>
    </row>
    <row r="195" spans="7:7" x14ac:dyDescent="0.25">
      <c r="G195" s="102"/>
    </row>
    <row r="196" spans="7:7" x14ac:dyDescent="0.25">
      <c r="G196" s="102"/>
    </row>
    <row r="197" spans="7:7" x14ac:dyDescent="0.25">
      <c r="G197" s="102"/>
    </row>
    <row r="198" spans="7:7" x14ac:dyDescent="0.25">
      <c r="G198" s="102"/>
    </row>
    <row r="199" spans="7:7" x14ac:dyDescent="0.25">
      <c r="G199" s="102"/>
    </row>
    <row r="200" spans="7:7" x14ac:dyDescent="0.25">
      <c r="G200" s="102"/>
    </row>
    <row r="201" spans="7:7" x14ac:dyDescent="0.25">
      <c r="G201" s="102"/>
    </row>
    <row r="202" spans="7:7" x14ac:dyDescent="0.25">
      <c r="G202" s="102"/>
    </row>
    <row r="203" spans="7:7" x14ac:dyDescent="0.25">
      <c r="G203" s="102"/>
    </row>
    <row r="204" spans="7:7" x14ac:dyDescent="0.25">
      <c r="G204" s="102"/>
    </row>
    <row r="205" spans="7:7" x14ac:dyDescent="0.25">
      <c r="G205" s="102"/>
    </row>
    <row r="206" spans="7:7" x14ac:dyDescent="0.25">
      <c r="G206" s="102"/>
    </row>
    <row r="207" spans="7:7" x14ac:dyDescent="0.25">
      <c r="G207" s="102"/>
    </row>
    <row r="208" spans="7:7" x14ac:dyDescent="0.25">
      <c r="G208" s="102"/>
    </row>
    <row r="209" spans="7:7" x14ac:dyDescent="0.25">
      <c r="G209" s="102"/>
    </row>
    <row r="210" spans="7:7" x14ac:dyDescent="0.25">
      <c r="G210" s="102"/>
    </row>
    <row r="211" spans="7:7" x14ac:dyDescent="0.25">
      <c r="G211" s="102"/>
    </row>
    <row r="212" spans="7:7" x14ac:dyDescent="0.25">
      <c r="G212" s="102"/>
    </row>
    <row r="213" spans="7:7" x14ac:dyDescent="0.25">
      <c r="G213" s="102"/>
    </row>
    <row r="214" spans="7:7" x14ac:dyDescent="0.25">
      <c r="G214" s="102"/>
    </row>
    <row r="215" spans="7:7" x14ac:dyDescent="0.25">
      <c r="G215" s="102"/>
    </row>
    <row r="216" spans="7:7" x14ac:dyDescent="0.25">
      <c r="G216" s="102"/>
    </row>
    <row r="217" spans="7:7" x14ac:dyDescent="0.25">
      <c r="G217" s="102"/>
    </row>
    <row r="218" spans="7:7" x14ac:dyDescent="0.25">
      <c r="G218" s="102"/>
    </row>
    <row r="219" spans="7:7" x14ac:dyDescent="0.25">
      <c r="G219" s="102"/>
    </row>
    <row r="220" spans="7:7" x14ac:dyDescent="0.25">
      <c r="G220" s="102"/>
    </row>
    <row r="221" spans="7:7" x14ac:dyDescent="0.25">
      <c r="G221" s="102"/>
    </row>
    <row r="222" spans="7:7" x14ac:dyDescent="0.25">
      <c r="G222" s="102"/>
    </row>
    <row r="223" spans="7:7" x14ac:dyDescent="0.25">
      <c r="G223" s="102"/>
    </row>
    <row r="224" spans="7:7" x14ac:dyDescent="0.25">
      <c r="G224" s="102"/>
    </row>
    <row r="225" spans="7:7" x14ac:dyDescent="0.25">
      <c r="G225" s="102"/>
    </row>
    <row r="226" spans="7:7" x14ac:dyDescent="0.25">
      <c r="G226" s="102"/>
    </row>
    <row r="227" spans="7:7" x14ac:dyDescent="0.25">
      <c r="G227" s="102"/>
    </row>
    <row r="228" spans="7:7" x14ac:dyDescent="0.25">
      <c r="G228" s="102"/>
    </row>
    <row r="229" spans="7:7" x14ac:dyDescent="0.25">
      <c r="G229" s="102"/>
    </row>
    <row r="230" spans="7:7" x14ac:dyDescent="0.25">
      <c r="G230" s="102"/>
    </row>
    <row r="231" spans="7:7" x14ac:dyDescent="0.25">
      <c r="G231" s="102"/>
    </row>
    <row r="232" spans="7:7" x14ac:dyDescent="0.25">
      <c r="G232" s="102"/>
    </row>
    <row r="233" spans="7:7" x14ac:dyDescent="0.25">
      <c r="G233" s="102"/>
    </row>
    <row r="234" spans="7:7" x14ac:dyDescent="0.25">
      <c r="G234" s="102"/>
    </row>
    <row r="235" spans="7:7" x14ac:dyDescent="0.25">
      <c r="G235" s="102"/>
    </row>
    <row r="236" spans="7:7" x14ac:dyDescent="0.25">
      <c r="G236" s="102"/>
    </row>
    <row r="237" spans="7:7" x14ac:dyDescent="0.25">
      <c r="G237" s="102"/>
    </row>
    <row r="238" spans="7:7" x14ac:dyDescent="0.25">
      <c r="G238" s="102"/>
    </row>
    <row r="239" spans="7:7" x14ac:dyDescent="0.25">
      <c r="G239" s="102"/>
    </row>
    <row r="240" spans="7:7" x14ac:dyDescent="0.25">
      <c r="G240" s="102"/>
    </row>
    <row r="241" spans="7:7" x14ac:dyDescent="0.25">
      <c r="G241" s="102"/>
    </row>
    <row r="242" spans="7:7" x14ac:dyDescent="0.25">
      <c r="G242" s="102"/>
    </row>
    <row r="243" spans="7:7" x14ac:dyDescent="0.25">
      <c r="G243" s="102"/>
    </row>
    <row r="244" spans="7:7" x14ac:dyDescent="0.25">
      <c r="G244" s="102"/>
    </row>
    <row r="245" spans="7:7" x14ac:dyDescent="0.25">
      <c r="G245" s="102"/>
    </row>
    <row r="246" spans="7:7" x14ac:dyDescent="0.25">
      <c r="G246" s="102"/>
    </row>
    <row r="247" spans="7:7" x14ac:dyDescent="0.25">
      <c r="G247" s="102"/>
    </row>
    <row r="248" spans="7:7" x14ac:dyDescent="0.25">
      <c r="G248" s="102"/>
    </row>
    <row r="249" spans="7:7" x14ac:dyDescent="0.25">
      <c r="G249" s="102"/>
    </row>
    <row r="250" spans="7:7" x14ac:dyDescent="0.25">
      <c r="G250" s="102"/>
    </row>
    <row r="251" spans="7:7" x14ac:dyDescent="0.25">
      <c r="G251" s="102"/>
    </row>
    <row r="252" spans="7:7" x14ac:dyDescent="0.25">
      <c r="G252" s="102"/>
    </row>
    <row r="253" spans="7:7" x14ac:dyDescent="0.25">
      <c r="G253" s="102"/>
    </row>
    <row r="254" spans="7:7" x14ac:dyDescent="0.25">
      <c r="G254" s="102"/>
    </row>
    <row r="255" spans="7:7" x14ac:dyDescent="0.25">
      <c r="G255" s="102"/>
    </row>
    <row r="256" spans="7:7" x14ac:dyDescent="0.25">
      <c r="G256" s="102"/>
    </row>
    <row r="257" spans="7:7" x14ac:dyDescent="0.25">
      <c r="G257" s="102"/>
    </row>
    <row r="258" spans="7:7" x14ac:dyDescent="0.25">
      <c r="G258" s="102"/>
    </row>
    <row r="259" spans="7:7" x14ac:dyDescent="0.25">
      <c r="G259" s="102"/>
    </row>
    <row r="260" spans="7:7" x14ac:dyDescent="0.25">
      <c r="G260" s="102"/>
    </row>
    <row r="261" spans="7:7" x14ac:dyDescent="0.25">
      <c r="G261" s="102"/>
    </row>
    <row r="262" spans="7:7" x14ac:dyDescent="0.25">
      <c r="G262" s="102"/>
    </row>
    <row r="263" spans="7:7" x14ac:dyDescent="0.25">
      <c r="G263" s="102"/>
    </row>
    <row r="264" spans="7:7" x14ac:dyDescent="0.25">
      <c r="G264" s="102"/>
    </row>
    <row r="265" spans="7:7" x14ac:dyDescent="0.25">
      <c r="G265" s="102"/>
    </row>
    <row r="266" spans="7:7" x14ac:dyDescent="0.25">
      <c r="G266" s="102"/>
    </row>
    <row r="267" spans="7:7" x14ac:dyDescent="0.25">
      <c r="G267" s="102"/>
    </row>
    <row r="268" spans="7:7" x14ac:dyDescent="0.25">
      <c r="G268" s="102"/>
    </row>
    <row r="269" spans="7:7" x14ac:dyDescent="0.25">
      <c r="G269" s="102"/>
    </row>
    <row r="270" spans="7:7" x14ac:dyDescent="0.25">
      <c r="G270" s="102"/>
    </row>
    <row r="271" spans="7:7" x14ac:dyDescent="0.25">
      <c r="G271" s="102"/>
    </row>
    <row r="272" spans="7:7" x14ac:dyDescent="0.25">
      <c r="G272" s="102"/>
    </row>
    <row r="273" spans="7:7" x14ac:dyDescent="0.25">
      <c r="G273" s="102"/>
    </row>
    <row r="274" spans="7:7" x14ac:dyDescent="0.25">
      <c r="G274" s="102"/>
    </row>
    <row r="275" spans="7:7" x14ac:dyDescent="0.25">
      <c r="G275" s="102"/>
    </row>
    <row r="276" spans="7:7" x14ac:dyDescent="0.25">
      <c r="G276" s="102"/>
    </row>
    <row r="277" spans="7:7" x14ac:dyDescent="0.25">
      <c r="G277" s="102"/>
    </row>
    <row r="278" spans="7:7" x14ac:dyDescent="0.25">
      <c r="G278" s="102"/>
    </row>
    <row r="279" spans="7:7" x14ac:dyDescent="0.25">
      <c r="G279" s="102"/>
    </row>
    <row r="280" spans="7:7" x14ac:dyDescent="0.25">
      <c r="G280" s="102"/>
    </row>
    <row r="281" spans="7:7" x14ac:dyDescent="0.25">
      <c r="G281" s="102"/>
    </row>
    <row r="282" spans="7:7" x14ac:dyDescent="0.25">
      <c r="G282" s="102"/>
    </row>
    <row r="283" spans="7:7" x14ac:dyDescent="0.25">
      <c r="G283" s="102"/>
    </row>
    <row r="284" spans="7:7" x14ac:dyDescent="0.25">
      <c r="G284" s="102"/>
    </row>
    <row r="285" spans="7:7" x14ac:dyDescent="0.25">
      <c r="G285" s="102"/>
    </row>
    <row r="286" spans="7:7" x14ac:dyDescent="0.25">
      <c r="G286" s="102"/>
    </row>
    <row r="287" spans="7:7" x14ac:dyDescent="0.25">
      <c r="G287" s="102"/>
    </row>
    <row r="288" spans="7:7" x14ac:dyDescent="0.25">
      <c r="G288" s="102"/>
    </row>
    <row r="289" spans="7:7" x14ac:dyDescent="0.25">
      <c r="G289" s="102"/>
    </row>
    <row r="290" spans="7:7" x14ac:dyDescent="0.25">
      <c r="G290" s="102"/>
    </row>
    <row r="291" spans="7:7" x14ac:dyDescent="0.25">
      <c r="G291" s="102"/>
    </row>
    <row r="292" spans="7:7" x14ac:dyDescent="0.25">
      <c r="G292" s="102"/>
    </row>
    <row r="293" spans="7:7" x14ac:dyDescent="0.25">
      <c r="G293" s="102"/>
    </row>
    <row r="294" spans="7:7" x14ac:dyDescent="0.25">
      <c r="G294" s="102"/>
    </row>
    <row r="295" spans="7:7" x14ac:dyDescent="0.25">
      <c r="G295" s="102"/>
    </row>
    <row r="296" spans="7:7" x14ac:dyDescent="0.25">
      <c r="G296" s="102"/>
    </row>
    <row r="297" spans="7:7" x14ac:dyDescent="0.25">
      <c r="G297" s="102"/>
    </row>
    <row r="298" spans="7:7" x14ac:dyDescent="0.25">
      <c r="G298" s="102"/>
    </row>
    <row r="299" spans="7:7" x14ac:dyDescent="0.25">
      <c r="G299" s="102"/>
    </row>
    <row r="300" spans="7:7" x14ac:dyDescent="0.25">
      <c r="G300" s="102"/>
    </row>
    <row r="301" spans="7:7" x14ac:dyDescent="0.25">
      <c r="G301" s="102"/>
    </row>
    <row r="302" spans="7:7" x14ac:dyDescent="0.25">
      <c r="G302" s="102"/>
    </row>
    <row r="303" spans="7:7" x14ac:dyDescent="0.25">
      <c r="G303" s="102"/>
    </row>
    <row r="304" spans="7:7" x14ac:dyDescent="0.25">
      <c r="G304" s="102"/>
    </row>
    <row r="305" spans="7:7" x14ac:dyDescent="0.25">
      <c r="G305" s="102"/>
    </row>
    <row r="306" spans="7:7" x14ac:dyDescent="0.25">
      <c r="G306" s="102"/>
    </row>
    <row r="307" spans="7:7" x14ac:dyDescent="0.25">
      <c r="G307" s="102"/>
    </row>
    <row r="308" spans="7:7" x14ac:dyDescent="0.25">
      <c r="G308" s="102"/>
    </row>
    <row r="309" spans="7:7" x14ac:dyDescent="0.25">
      <c r="G309" s="102"/>
    </row>
    <row r="310" spans="7:7" x14ac:dyDescent="0.25">
      <c r="G310" s="102"/>
    </row>
    <row r="311" spans="7:7" x14ac:dyDescent="0.25">
      <c r="G311" s="102"/>
    </row>
    <row r="312" spans="7:7" x14ac:dyDescent="0.25">
      <c r="G312" s="102"/>
    </row>
    <row r="313" spans="7:7" x14ac:dyDescent="0.25">
      <c r="G313" s="102"/>
    </row>
    <row r="314" spans="7:7" x14ac:dyDescent="0.25">
      <c r="G314" s="102"/>
    </row>
    <row r="315" spans="7:7" x14ac:dyDescent="0.25">
      <c r="G315" s="102"/>
    </row>
    <row r="316" spans="7:7" x14ac:dyDescent="0.25">
      <c r="G316" s="102"/>
    </row>
    <row r="317" spans="7:7" x14ac:dyDescent="0.25">
      <c r="G317" s="102"/>
    </row>
    <row r="318" spans="7:7" x14ac:dyDescent="0.25">
      <c r="G318" s="102"/>
    </row>
    <row r="319" spans="7:7" x14ac:dyDescent="0.25">
      <c r="G319" s="102"/>
    </row>
    <row r="320" spans="7:7" x14ac:dyDescent="0.25">
      <c r="G320" s="102"/>
    </row>
    <row r="321" spans="7:7" x14ac:dyDescent="0.25">
      <c r="G321" s="102"/>
    </row>
    <row r="322" spans="7:7" x14ac:dyDescent="0.25">
      <c r="G322" s="102"/>
    </row>
    <row r="323" spans="7:7" x14ac:dyDescent="0.25">
      <c r="G323" s="102"/>
    </row>
    <row r="324" spans="7:7" x14ac:dyDescent="0.25">
      <c r="G324" s="102"/>
    </row>
    <row r="325" spans="7:7" x14ac:dyDescent="0.25">
      <c r="G325" s="102"/>
    </row>
    <row r="326" spans="7:7" x14ac:dyDescent="0.25">
      <c r="G326" s="102"/>
    </row>
    <row r="327" spans="7:7" x14ac:dyDescent="0.25">
      <c r="G327" s="102"/>
    </row>
    <row r="328" spans="7:7" x14ac:dyDescent="0.25">
      <c r="G328" s="102"/>
    </row>
    <row r="329" spans="7:7" x14ac:dyDescent="0.25">
      <c r="G329" s="102"/>
    </row>
    <row r="330" spans="7:7" x14ac:dyDescent="0.25">
      <c r="G330" s="102"/>
    </row>
    <row r="331" spans="7:7" x14ac:dyDescent="0.25">
      <c r="G331" s="102"/>
    </row>
    <row r="332" spans="7:7" x14ac:dyDescent="0.25">
      <c r="G332" s="102"/>
    </row>
    <row r="333" spans="7:7" x14ac:dyDescent="0.25">
      <c r="G333" s="102"/>
    </row>
    <row r="334" spans="7:7" x14ac:dyDescent="0.25">
      <c r="G334" s="102"/>
    </row>
    <row r="335" spans="7:7" x14ac:dyDescent="0.25">
      <c r="G335" s="102"/>
    </row>
    <row r="336" spans="7:7" x14ac:dyDescent="0.25">
      <c r="G336" s="102"/>
    </row>
    <row r="337" spans="7:7" x14ac:dyDescent="0.25">
      <c r="G337" s="102"/>
    </row>
    <row r="338" spans="7:7" x14ac:dyDescent="0.25">
      <c r="G338" s="102"/>
    </row>
    <row r="339" spans="7:7" x14ac:dyDescent="0.25">
      <c r="G339" s="102"/>
    </row>
    <row r="340" spans="7:7" x14ac:dyDescent="0.25">
      <c r="G340" s="102"/>
    </row>
    <row r="341" spans="7:7" x14ac:dyDescent="0.25">
      <c r="G341" s="102"/>
    </row>
    <row r="342" spans="7:7" x14ac:dyDescent="0.25">
      <c r="G342" s="102"/>
    </row>
    <row r="343" spans="7:7" x14ac:dyDescent="0.25">
      <c r="G343" s="102"/>
    </row>
    <row r="344" spans="7:7" x14ac:dyDescent="0.25">
      <c r="G344" s="102"/>
    </row>
    <row r="345" spans="7:7" x14ac:dyDescent="0.25">
      <c r="G345" s="102"/>
    </row>
    <row r="346" spans="7:7" x14ac:dyDescent="0.25">
      <c r="G346" s="102"/>
    </row>
    <row r="347" spans="7:7" x14ac:dyDescent="0.25">
      <c r="G347" s="102"/>
    </row>
    <row r="348" spans="7:7" x14ac:dyDescent="0.25">
      <c r="G348" s="102"/>
    </row>
    <row r="349" spans="7:7" x14ac:dyDescent="0.25">
      <c r="G349" s="102"/>
    </row>
    <row r="350" spans="7:7" x14ac:dyDescent="0.25">
      <c r="G350" s="102"/>
    </row>
    <row r="351" spans="7:7" x14ac:dyDescent="0.25">
      <c r="G351" s="102"/>
    </row>
    <row r="352" spans="7:7" x14ac:dyDescent="0.25">
      <c r="G352" s="102"/>
    </row>
    <row r="353" spans="7:7" x14ac:dyDescent="0.25">
      <c r="G353" s="102"/>
    </row>
    <row r="354" spans="7:7" x14ac:dyDescent="0.25">
      <c r="G354" s="102"/>
    </row>
    <row r="355" spans="7:7" x14ac:dyDescent="0.25">
      <c r="G355" s="102"/>
    </row>
    <row r="356" spans="7:7" x14ac:dyDescent="0.25">
      <c r="G356" s="102"/>
    </row>
    <row r="357" spans="7:7" x14ac:dyDescent="0.25">
      <c r="G357" s="102"/>
    </row>
    <row r="358" spans="7:7" x14ac:dyDescent="0.25">
      <c r="G358" s="102"/>
    </row>
    <row r="359" spans="7:7" x14ac:dyDescent="0.25">
      <c r="G359" s="102"/>
    </row>
    <row r="360" spans="7:7" x14ac:dyDescent="0.25">
      <c r="G360" s="102"/>
    </row>
    <row r="361" spans="7:7" x14ac:dyDescent="0.25">
      <c r="G361" s="102"/>
    </row>
    <row r="362" spans="7:7" x14ac:dyDescent="0.25">
      <c r="G362" s="102"/>
    </row>
    <row r="363" spans="7:7" x14ac:dyDescent="0.25">
      <c r="G363" s="102"/>
    </row>
    <row r="364" spans="7:7" x14ac:dyDescent="0.25">
      <c r="G364" s="102"/>
    </row>
    <row r="365" spans="7:7" x14ac:dyDescent="0.25">
      <c r="G365" s="102"/>
    </row>
    <row r="366" spans="7:7" x14ac:dyDescent="0.25">
      <c r="G366" s="102"/>
    </row>
    <row r="367" spans="7:7" x14ac:dyDescent="0.25">
      <c r="G367" s="102"/>
    </row>
    <row r="368" spans="7:7" x14ac:dyDescent="0.25">
      <c r="G368" s="102"/>
    </row>
    <row r="369" spans="7:7" x14ac:dyDescent="0.25">
      <c r="G369" s="102"/>
    </row>
    <row r="370" spans="7:7" x14ac:dyDescent="0.25">
      <c r="G370" s="102"/>
    </row>
    <row r="371" spans="7:7" x14ac:dyDescent="0.25">
      <c r="G371" s="102"/>
    </row>
    <row r="372" spans="7:7" x14ac:dyDescent="0.25">
      <c r="G372" s="102"/>
    </row>
    <row r="373" spans="7:7" x14ac:dyDescent="0.25">
      <c r="G373" s="102"/>
    </row>
    <row r="374" spans="7:7" x14ac:dyDescent="0.25">
      <c r="G374" s="102"/>
    </row>
    <row r="375" spans="7:7" x14ac:dyDescent="0.25">
      <c r="G375" s="102"/>
    </row>
    <row r="376" spans="7:7" x14ac:dyDescent="0.25">
      <c r="G376" s="102"/>
    </row>
    <row r="377" spans="7:7" x14ac:dyDescent="0.25">
      <c r="G377" s="102"/>
    </row>
    <row r="378" spans="7:7" x14ac:dyDescent="0.25">
      <c r="G378" s="102"/>
    </row>
    <row r="379" spans="7:7" x14ac:dyDescent="0.25">
      <c r="G379" s="102"/>
    </row>
    <row r="380" spans="7:7" x14ac:dyDescent="0.25">
      <c r="G380" s="102"/>
    </row>
    <row r="381" spans="7:7" x14ac:dyDescent="0.25">
      <c r="G381" s="102"/>
    </row>
    <row r="382" spans="7:7" x14ac:dyDescent="0.25">
      <c r="G382" s="102"/>
    </row>
    <row r="383" spans="7:7" x14ac:dyDescent="0.25">
      <c r="G383" s="102"/>
    </row>
    <row r="384" spans="7:7" x14ac:dyDescent="0.25">
      <c r="G384" s="102"/>
    </row>
    <row r="385" spans="7:7" x14ac:dyDescent="0.25">
      <c r="G385" s="102"/>
    </row>
    <row r="386" spans="7:7" x14ac:dyDescent="0.25">
      <c r="G386" s="102"/>
    </row>
    <row r="387" spans="7:7" x14ac:dyDescent="0.25">
      <c r="G387" s="102"/>
    </row>
    <row r="388" spans="7:7" x14ac:dyDescent="0.25">
      <c r="G388" s="102"/>
    </row>
    <row r="389" spans="7:7" x14ac:dyDescent="0.25">
      <c r="G389" s="102"/>
    </row>
    <row r="390" spans="7:7" x14ac:dyDescent="0.25">
      <c r="G390" s="102"/>
    </row>
    <row r="391" spans="7:7" x14ac:dyDescent="0.25">
      <c r="G391" s="102"/>
    </row>
    <row r="392" spans="7:7" x14ac:dyDescent="0.25">
      <c r="G392" s="102"/>
    </row>
    <row r="393" spans="7:7" x14ac:dyDescent="0.25">
      <c r="G393" s="102"/>
    </row>
    <row r="394" spans="7:7" x14ac:dyDescent="0.25">
      <c r="G394" s="102"/>
    </row>
    <row r="395" spans="7:7" x14ac:dyDescent="0.25">
      <c r="G395" s="102"/>
    </row>
    <row r="396" spans="7:7" x14ac:dyDescent="0.25">
      <c r="G396" s="102"/>
    </row>
    <row r="397" spans="7:7" x14ac:dyDescent="0.25">
      <c r="G397" s="102"/>
    </row>
    <row r="398" spans="7:7" x14ac:dyDescent="0.25">
      <c r="G398" s="102"/>
    </row>
    <row r="399" spans="7:7" x14ac:dyDescent="0.25">
      <c r="G399" s="102"/>
    </row>
    <row r="400" spans="7:7" x14ac:dyDescent="0.25">
      <c r="G400" s="102"/>
    </row>
    <row r="401" spans="7:7" x14ac:dyDescent="0.25">
      <c r="G401" s="102"/>
    </row>
    <row r="402" spans="7:7" x14ac:dyDescent="0.25">
      <c r="G402" s="102"/>
    </row>
    <row r="403" spans="7:7" x14ac:dyDescent="0.25">
      <c r="G403" s="102"/>
    </row>
    <row r="404" spans="7:7" x14ac:dyDescent="0.25">
      <c r="G404" s="102"/>
    </row>
    <row r="405" spans="7:7" x14ac:dyDescent="0.25">
      <c r="G405" s="102"/>
    </row>
    <row r="406" spans="7:7" x14ac:dyDescent="0.25">
      <c r="G406" s="102"/>
    </row>
    <row r="407" spans="7:7" x14ac:dyDescent="0.25">
      <c r="G407" s="102"/>
    </row>
    <row r="408" spans="7:7" x14ac:dyDescent="0.25">
      <c r="G408" s="102"/>
    </row>
    <row r="409" spans="7:7" x14ac:dyDescent="0.25">
      <c r="G409" s="102"/>
    </row>
    <row r="410" spans="7:7" x14ac:dyDescent="0.25">
      <c r="G410" s="102"/>
    </row>
    <row r="411" spans="7:7" x14ac:dyDescent="0.25">
      <c r="G411" s="102"/>
    </row>
    <row r="412" spans="7:7" x14ac:dyDescent="0.25">
      <c r="G412" s="102"/>
    </row>
    <row r="413" spans="7:7" x14ac:dyDescent="0.25">
      <c r="G413" s="102"/>
    </row>
    <row r="414" spans="7:7" x14ac:dyDescent="0.25">
      <c r="G414" s="102"/>
    </row>
    <row r="415" spans="7:7" x14ac:dyDescent="0.25">
      <c r="G415" s="102"/>
    </row>
    <row r="416" spans="7:7" x14ac:dyDescent="0.25">
      <c r="G416" s="102"/>
    </row>
    <row r="417" spans="7:7" x14ac:dyDescent="0.25">
      <c r="G417" s="102"/>
    </row>
    <row r="418" spans="7:7" x14ac:dyDescent="0.25">
      <c r="G418" s="102"/>
    </row>
    <row r="419" spans="7:7" x14ac:dyDescent="0.25">
      <c r="G419" s="102"/>
    </row>
    <row r="420" spans="7:7" x14ac:dyDescent="0.25">
      <c r="G420" s="102"/>
    </row>
    <row r="421" spans="7:7" x14ac:dyDescent="0.25">
      <c r="G421" s="102"/>
    </row>
    <row r="422" spans="7:7" x14ac:dyDescent="0.25">
      <c r="G422" s="102"/>
    </row>
    <row r="423" spans="7:7" x14ac:dyDescent="0.25">
      <c r="G423" s="102"/>
    </row>
    <row r="424" spans="7:7" x14ac:dyDescent="0.25">
      <c r="G424" s="102"/>
    </row>
    <row r="425" spans="7:7" x14ac:dyDescent="0.25">
      <c r="G425" s="102"/>
    </row>
    <row r="426" spans="7:7" x14ac:dyDescent="0.25">
      <c r="G426" s="102"/>
    </row>
    <row r="427" spans="7:7" x14ac:dyDescent="0.25">
      <c r="G427" s="102"/>
    </row>
    <row r="428" spans="7:7" x14ac:dyDescent="0.25">
      <c r="G428" s="102"/>
    </row>
    <row r="429" spans="7:7" x14ac:dyDescent="0.25">
      <c r="G429" s="102"/>
    </row>
    <row r="430" spans="7:7" x14ac:dyDescent="0.25">
      <c r="G430" s="102"/>
    </row>
    <row r="431" spans="7:7" x14ac:dyDescent="0.25">
      <c r="G431" s="102"/>
    </row>
    <row r="432" spans="7:7" x14ac:dyDescent="0.25">
      <c r="G432" s="102"/>
    </row>
    <row r="433" spans="7:7" x14ac:dyDescent="0.25">
      <c r="G433" s="102"/>
    </row>
    <row r="434" spans="7:7" x14ac:dyDescent="0.25">
      <c r="G434" s="102"/>
    </row>
    <row r="435" spans="7:7" x14ac:dyDescent="0.25">
      <c r="G435" s="102"/>
    </row>
    <row r="436" spans="7:7" x14ac:dyDescent="0.25">
      <c r="G436" s="102"/>
    </row>
    <row r="437" spans="7:7" x14ac:dyDescent="0.25">
      <c r="G437" s="102"/>
    </row>
    <row r="438" spans="7:7" x14ac:dyDescent="0.25">
      <c r="G438" s="102"/>
    </row>
    <row r="439" spans="7:7" x14ac:dyDescent="0.25">
      <c r="G439" s="102"/>
    </row>
    <row r="440" spans="7:7" x14ac:dyDescent="0.25">
      <c r="G440" s="102"/>
    </row>
    <row r="441" spans="7:7" x14ac:dyDescent="0.25">
      <c r="G441" s="102"/>
    </row>
    <row r="442" spans="7:7" x14ac:dyDescent="0.25">
      <c r="G442" s="102"/>
    </row>
    <row r="443" spans="7:7" x14ac:dyDescent="0.25">
      <c r="G443" s="102"/>
    </row>
    <row r="444" spans="7:7" x14ac:dyDescent="0.25">
      <c r="G444" s="102"/>
    </row>
    <row r="445" spans="7:7" x14ac:dyDescent="0.25">
      <c r="G445" s="102"/>
    </row>
    <row r="446" spans="7:7" x14ac:dyDescent="0.25">
      <c r="G446" s="102"/>
    </row>
    <row r="447" spans="7:7" x14ac:dyDescent="0.25">
      <c r="G447" s="102"/>
    </row>
    <row r="448" spans="7:7" x14ac:dyDescent="0.25">
      <c r="G448" s="102"/>
    </row>
    <row r="449" spans="7:7" x14ac:dyDescent="0.25">
      <c r="G449" s="102"/>
    </row>
    <row r="450" spans="7:7" x14ac:dyDescent="0.25">
      <c r="G450" s="102"/>
    </row>
    <row r="451" spans="7:7" x14ac:dyDescent="0.25">
      <c r="G451" s="102"/>
    </row>
    <row r="452" spans="7:7" x14ac:dyDescent="0.25">
      <c r="G452" s="102"/>
    </row>
    <row r="453" spans="7:7" x14ac:dyDescent="0.25">
      <c r="G453" s="102"/>
    </row>
    <row r="454" spans="7:7" x14ac:dyDescent="0.25">
      <c r="G454" s="102"/>
    </row>
    <row r="455" spans="7:7" x14ac:dyDescent="0.25">
      <c r="G455" s="102"/>
    </row>
    <row r="456" spans="7:7" x14ac:dyDescent="0.25">
      <c r="G456" s="102"/>
    </row>
    <row r="457" spans="7:7" x14ac:dyDescent="0.25">
      <c r="G457" s="102"/>
    </row>
    <row r="458" spans="7:7" x14ac:dyDescent="0.25">
      <c r="G458" s="102"/>
    </row>
    <row r="459" spans="7:7" x14ac:dyDescent="0.25">
      <c r="G459" s="102"/>
    </row>
    <row r="460" spans="7:7" x14ac:dyDescent="0.25">
      <c r="G460" s="102"/>
    </row>
    <row r="461" spans="7:7" x14ac:dyDescent="0.25">
      <c r="G461" s="102"/>
    </row>
    <row r="462" spans="7:7" x14ac:dyDescent="0.25">
      <c r="G462" s="102"/>
    </row>
    <row r="463" spans="7:7" x14ac:dyDescent="0.25">
      <c r="G463" s="102"/>
    </row>
    <row r="464" spans="7:7" x14ac:dyDescent="0.25">
      <c r="G464" s="102"/>
    </row>
    <row r="465" spans="7:7" x14ac:dyDescent="0.25">
      <c r="G465" s="102"/>
    </row>
    <row r="466" spans="7:7" x14ac:dyDescent="0.25">
      <c r="G466" s="102"/>
    </row>
    <row r="467" spans="7:7" x14ac:dyDescent="0.25">
      <c r="G467" s="102"/>
    </row>
    <row r="468" spans="7:7" x14ac:dyDescent="0.25">
      <c r="G468" s="102"/>
    </row>
    <row r="469" spans="7:7" x14ac:dyDescent="0.25">
      <c r="G469" s="102"/>
    </row>
    <row r="470" spans="7:7" x14ac:dyDescent="0.25">
      <c r="G470" s="102"/>
    </row>
    <row r="471" spans="7:7" x14ac:dyDescent="0.25">
      <c r="G471" s="102"/>
    </row>
    <row r="472" spans="7:7" x14ac:dyDescent="0.25">
      <c r="G472" s="102"/>
    </row>
    <row r="473" spans="7:7" x14ac:dyDescent="0.25">
      <c r="G473" s="102"/>
    </row>
    <row r="474" spans="7:7" x14ac:dyDescent="0.25">
      <c r="G474" s="102"/>
    </row>
    <row r="475" spans="7:7" x14ac:dyDescent="0.25">
      <c r="G475" s="102"/>
    </row>
    <row r="476" spans="7:7" x14ac:dyDescent="0.25">
      <c r="G476" s="102"/>
    </row>
    <row r="477" spans="7:7" x14ac:dyDescent="0.25">
      <c r="G477" s="102"/>
    </row>
    <row r="478" spans="7:7" x14ac:dyDescent="0.25">
      <c r="G478" s="102"/>
    </row>
    <row r="479" spans="7:7" x14ac:dyDescent="0.25">
      <c r="G479" s="102"/>
    </row>
    <row r="480" spans="7:7" x14ac:dyDescent="0.25">
      <c r="G480" s="102"/>
    </row>
    <row r="481" spans="7:7" x14ac:dyDescent="0.25">
      <c r="G481" s="102"/>
    </row>
    <row r="482" spans="7:7" x14ac:dyDescent="0.25">
      <c r="G482" s="102"/>
    </row>
    <row r="483" spans="7:7" x14ac:dyDescent="0.25">
      <c r="G483" s="102"/>
    </row>
    <row r="484" spans="7:7" x14ac:dyDescent="0.25">
      <c r="G484" s="102"/>
    </row>
    <row r="485" spans="7:7" x14ac:dyDescent="0.25">
      <c r="G485" s="102"/>
    </row>
    <row r="486" spans="7:7" x14ac:dyDescent="0.25">
      <c r="G486" s="102"/>
    </row>
    <row r="487" spans="7:7" x14ac:dyDescent="0.25">
      <c r="G487" s="102"/>
    </row>
    <row r="488" spans="7:7" x14ac:dyDescent="0.25">
      <c r="G488" s="102"/>
    </row>
    <row r="489" spans="7:7" x14ac:dyDescent="0.25">
      <c r="G489" s="102"/>
    </row>
    <row r="490" spans="7:7" x14ac:dyDescent="0.25">
      <c r="G490" s="102"/>
    </row>
    <row r="491" spans="7:7" x14ac:dyDescent="0.25">
      <c r="G491" s="102"/>
    </row>
    <row r="492" spans="7:7" x14ac:dyDescent="0.25">
      <c r="G492" s="102"/>
    </row>
    <row r="493" spans="7:7" x14ac:dyDescent="0.25">
      <c r="G493" s="102"/>
    </row>
    <row r="494" spans="7:7" x14ac:dyDescent="0.25">
      <c r="G494" s="102"/>
    </row>
    <row r="495" spans="7:7" x14ac:dyDescent="0.25">
      <c r="G495" s="102"/>
    </row>
    <row r="496" spans="7:7" x14ac:dyDescent="0.25">
      <c r="G496" s="102"/>
    </row>
    <row r="497" spans="7:7" x14ac:dyDescent="0.25">
      <c r="G497" s="102"/>
    </row>
    <row r="498" spans="7:7" x14ac:dyDescent="0.25">
      <c r="G498" s="102"/>
    </row>
    <row r="499" spans="7:7" x14ac:dyDescent="0.25">
      <c r="G499" s="102"/>
    </row>
    <row r="500" spans="7:7" x14ac:dyDescent="0.25">
      <c r="G500" s="102"/>
    </row>
    <row r="501" spans="7:7" x14ac:dyDescent="0.25">
      <c r="G501" s="102"/>
    </row>
    <row r="502" spans="7:7" x14ac:dyDescent="0.25">
      <c r="G502" s="102"/>
    </row>
    <row r="503" spans="7:7" x14ac:dyDescent="0.25">
      <c r="G503" s="102"/>
    </row>
    <row r="504" spans="7:7" x14ac:dyDescent="0.25">
      <c r="G504" s="102"/>
    </row>
    <row r="505" spans="7:7" x14ac:dyDescent="0.25">
      <c r="G505" s="102"/>
    </row>
    <row r="506" spans="7:7" x14ac:dyDescent="0.25">
      <c r="G506" s="102"/>
    </row>
    <row r="507" spans="7:7" x14ac:dyDescent="0.25">
      <c r="G507" s="102"/>
    </row>
    <row r="508" spans="7:7" x14ac:dyDescent="0.25">
      <c r="G508" s="102"/>
    </row>
    <row r="509" spans="7:7" x14ac:dyDescent="0.25">
      <c r="G509" s="102"/>
    </row>
    <row r="510" spans="7:7" x14ac:dyDescent="0.25">
      <c r="G510" s="102"/>
    </row>
    <row r="511" spans="7:7" x14ac:dyDescent="0.25">
      <c r="G511" s="102"/>
    </row>
    <row r="512" spans="7:7" x14ac:dyDescent="0.25">
      <c r="G512" s="102"/>
    </row>
    <row r="513" spans="7:7" x14ac:dyDescent="0.25">
      <c r="G513" s="102"/>
    </row>
    <row r="514" spans="7:7" x14ac:dyDescent="0.25">
      <c r="G514" s="102"/>
    </row>
    <row r="515" spans="7:7" x14ac:dyDescent="0.25">
      <c r="G515" s="102"/>
    </row>
    <row r="516" spans="7:7" x14ac:dyDescent="0.25">
      <c r="G516" s="102"/>
    </row>
    <row r="517" spans="7:7" x14ac:dyDescent="0.25">
      <c r="G517" s="102"/>
    </row>
    <row r="518" spans="7:7" x14ac:dyDescent="0.25">
      <c r="G518" s="102"/>
    </row>
    <row r="519" spans="7:7" x14ac:dyDescent="0.25">
      <c r="G519" s="102"/>
    </row>
    <row r="520" spans="7:7" x14ac:dyDescent="0.25">
      <c r="G520" s="102"/>
    </row>
    <row r="521" spans="7:7" x14ac:dyDescent="0.25">
      <c r="G521" s="102"/>
    </row>
    <row r="522" spans="7:7" x14ac:dyDescent="0.25">
      <c r="G522" s="102"/>
    </row>
    <row r="523" spans="7:7" x14ac:dyDescent="0.25">
      <c r="G523" s="102"/>
    </row>
    <row r="524" spans="7:7" x14ac:dyDescent="0.25">
      <c r="G524" s="102"/>
    </row>
    <row r="525" spans="7:7" x14ac:dyDescent="0.25">
      <c r="G525" s="102"/>
    </row>
    <row r="526" spans="7:7" x14ac:dyDescent="0.25">
      <c r="G526" s="102"/>
    </row>
    <row r="527" spans="7:7" x14ac:dyDescent="0.25">
      <c r="G527" s="102"/>
    </row>
    <row r="528" spans="7:7" x14ac:dyDescent="0.25">
      <c r="G528" s="102"/>
    </row>
    <row r="529" spans="7:7" x14ac:dyDescent="0.25">
      <c r="G529" s="102"/>
    </row>
    <row r="530" spans="7:7" x14ac:dyDescent="0.25">
      <c r="G530" s="102"/>
    </row>
    <row r="531" spans="7:7" x14ac:dyDescent="0.25">
      <c r="G531" s="102"/>
    </row>
    <row r="532" spans="7:7" x14ac:dyDescent="0.25">
      <c r="G532" s="102"/>
    </row>
    <row r="533" spans="7:7" x14ac:dyDescent="0.25">
      <c r="G533" s="102"/>
    </row>
    <row r="534" spans="7:7" x14ac:dyDescent="0.25">
      <c r="G534" s="102"/>
    </row>
    <row r="535" spans="7:7" x14ac:dyDescent="0.25">
      <c r="G535" s="102"/>
    </row>
    <row r="536" spans="7:7" x14ac:dyDescent="0.25">
      <c r="G536" s="102"/>
    </row>
    <row r="537" spans="7:7" x14ac:dyDescent="0.25">
      <c r="G537" s="102"/>
    </row>
    <row r="538" spans="7:7" x14ac:dyDescent="0.25">
      <c r="G538" s="102"/>
    </row>
    <row r="539" spans="7:7" x14ac:dyDescent="0.25">
      <c r="G539" s="102"/>
    </row>
    <row r="540" spans="7:7" x14ac:dyDescent="0.25">
      <c r="G540" s="102"/>
    </row>
    <row r="541" spans="7:7" x14ac:dyDescent="0.25">
      <c r="G541" s="102"/>
    </row>
    <row r="542" spans="7:7" x14ac:dyDescent="0.25">
      <c r="G542" s="102"/>
    </row>
    <row r="543" spans="7:7" x14ac:dyDescent="0.25">
      <c r="G543" s="102"/>
    </row>
    <row r="544" spans="7:7" x14ac:dyDescent="0.25">
      <c r="G544" s="102"/>
    </row>
    <row r="545" spans="7:7" x14ac:dyDescent="0.25">
      <c r="G545" s="102"/>
    </row>
    <row r="546" spans="7:7" x14ac:dyDescent="0.25">
      <c r="G546" s="102"/>
    </row>
    <row r="547" spans="7:7" x14ac:dyDescent="0.25">
      <c r="G547" s="102"/>
    </row>
    <row r="548" spans="7:7" x14ac:dyDescent="0.25">
      <c r="G548" s="102"/>
    </row>
    <row r="549" spans="7:7" x14ac:dyDescent="0.25">
      <c r="G549" s="102"/>
    </row>
    <row r="550" spans="7:7" x14ac:dyDescent="0.25">
      <c r="G550" s="102"/>
    </row>
    <row r="551" spans="7:7" x14ac:dyDescent="0.25">
      <c r="G551" s="102"/>
    </row>
    <row r="552" spans="7:7" x14ac:dyDescent="0.25">
      <c r="G552" s="102"/>
    </row>
    <row r="553" spans="7:7" x14ac:dyDescent="0.25">
      <c r="G553" s="102"/>
    </row>
    <row r="554" spans="7:7" x14ac:dyDescent="0.25">
      <c r="G554" s="102"/>
    </row>
    <row r="555" spans="7:7" x14ac:dyDescent="0.25">
      <c r="G555" s="102"/>
    </row>
    <row r="556" spans="7:7" x14ac:dyDescent="0.25">
      <c r="G556" s="102"/>
    </row>
    <row r="557" spans="7:7" x14ac:dyDescent="0.25">
      <c r="G557" s="102"/>
    </row>
    <row r="558" spans="7:7" x14ac:dyDescent="0.25">
      <c r="G558" s="102"/>
    </row>
    <row r="559" spans="7:7" x14ac:dyDescent="0.25">
      <c r="G559" s="102"/>
    </row>
    <row r="560" spans="7:7" x14ac:dyDescent="0.25">
      <c r="G560" s="102"/>
    </row>
    <row r="561" spans="7:7" x14ac:dyDescent="0.25">
      <c r="G561" s="102"/>
    </row>
    <row r="562" spans="7:7" x14ac:dyDescent="0.25">
      <c r="G562" s="102"/>
    </row>
    <row r="563" spans="7:7" x14ac:dyDescent="0.25">
      <c r="G563" s="102"/>
    </row>
    <row r="564" spans="7:7" x14ac:dyDescent="0.25">
      <c r="G564" s="102"/>
    </row>
    <row r="565" spans="7:7" x14ac:dyDescent="0.25">
      <c r="G565" s="102"/>
    </row>
    <row r="566" spans="7:7" x14ac:dyDescent="0.25">
      <c r="G566" s="102"/>
    </row>
    <row r="567" spans="7:7" x14ac:dyDescent="0.25">
      <c r="G567" s="102"/>
    </row>
    <row r="568" spans="7:7" x14ac:dyDescent="0.25">
      <c r="G568" s="102"/>
    </row>
    <row r="569" spans="7:7" x14ac:dyDescent="0.25">
      <c r="G569" s="102"/>
    </row>
    <row r="570" spans="7:7" x14ac:dyDescent="0.25">
      <c r="G570" s="102"/>
    </row>
    <row r="571" spans="7:7" x14ac:dyDescent="0.25">
      <c r="G571" s="102"/>
    </row>
    <row r="572" spans="7:7" x14ac:dyDescent="0.25">
      <c r="G572" s="102"/>
    </row>
    <row r="573" spans="7:7" x14ac:dyDescent="0.25">
      <c r="G573" s="102"/>
    </row>
    <row r="574" spans="7:7" x14ac:dyDescent="0.25">
      <c r="G574" s="102"/>
    </row>
    <row r="575" spans="7:7" x14ac:dyDescent="0.25">
      <c r="G575" s="102"/>
    </row>
    <row r="576" spans="7:7" x14ac:dyDescent="0.25">
      <c r="G576" s="102"/>
    </row>
    <row r="577" spans="7:7" x14ac:dyDescent="0.25">
      <c r="G577" s="102"/>
    </row>
    <row r="578" spans="7:7" x14ac:dyDescent="0.25">
      <c r="G578" s="102"/>
    </row>
    <row r="579" spans="7:7" x14ac:dyDescent="0.25">
      <c r="G579" s="102"/>
    </row>
    <row r="580" spans="7:7" x14ac:dyDescent="0.25">
      <c r="G580" s="102"/>
    </row>
    <row r="581" spans="7:7" x14ac:dyDescent="0.25">
      <c r="G581" s="102"/>
    </row>
    <row r="582" spans="7:7" x14ac:dyDescent="0.25">
      <c r="G582" s="102"/>
    </row>
    <row r="583" spans="7:7" x14ac:dyDescent="0.25">
      <c r="G583" s="102"/>
    </row>
    <row r="584" spans="7:7" x14ac:dyDescent="0.25">
      <c r="G584" s="102"/>
    </row>
    <row r="585" spans="7:7" x14ac:dyDescent="0.25">
      <c r="G585" s="102"/>
    </row>
    <row r="586" spans="7:7" x14ac:dyDescent="0.25">
      <c r="G586" s="102"/>
    </row>
    <row r="587" spans="7:7" x14ac:dyDescent="0.25">
      <c r="G587" s="102"/>
    </row>
    <row r="588" spans="7:7" x14ac:dyDescent="0.25">
      <c r="G588" s="102"/>
    </row>
    <row r="589" spans="7:7" x14ac:dyDescent="0.25">
      <c r="G589" s="102"/>
    </row>
    <row r="590" spans="7:7" x14ac:dyDescent="0.25">
      <c r="G590" s="102"/>
    </row>
    <row r="591" spans="7:7" x14ac:dyDescent="0.25">
      <c r="G591" s="102"/>
    </row>
    <row r="592" spans="7:7" x14ac:dyDescent="0.25">
      <c r="G592" s="102"/>
    </row>
    <row r="593" spans="7:7" x14ac:dyDescent="0.25">
      <c r="G593" s="102"/>
    </row>
    <row r="594" spans="7:7" x14ac:dyDescent="0.25">
      <c r="G594" s="102"/>
    </row>
    <row r="595" spans="7:7" x14ac:dyDescent="0.25">
      <c r="G595" s="102"/>
    </row>
    <row r="596" spans="7:7" x14ac:dyDescent="0.25">
      <c r="G596" s="102"/>
    </row>
    <row r="597" spans="7:7" x14ac:dyDescent="0.25">
      <c r="G597" s="102"/>
    </row>
    <row r="598" spans="7:7" x14ac:dyDescent="0.25">
      <c r="G598" s="102"/>
    </row>
    <row r="599" spans="7:7" x14ac:dyDescent="0.25">
      <c r="G599" s="102"/>
    </row>
    <row r="600" spans="7:7" x14ac:dyDescent="0.25">
      <c r="G600" s="102"/>
    </row>
    <row r="601" spans="7:7" x14ac:dyDescent="0.25">
      <c r="G601" s="102"/>
    </row>
    <row r="602" spans="7:7" x14ac:dyDescent="0.25">
      <c r="G602" s="102"/>
    </row>
    <row r="603" spans="7:7" x14ac:dyDescent="0.25">
      <c r="G603" s="102"/>
    </row>
    <row r="604" spans="7:7" x14ac:dyDescent="0.25">
      <c r="G604" s="102"/>
    </row>
    <row r="605" spans="7:7" x14ac:dyDescent="0.25">
      <c r="G605" s="102"/>
    </row>
    <row r="606" spans="7:7" x14ac:dyDescent="0.25">
      <c r="G606" s="102"/>
    </row>
    <row r="607" spans="7:7" x14ac:dyDescent="0.25">
      <c r="G607" s="102"/>
    </row>
    <row r="608" spans="7:7" x14ac:dyDescent="0.25">
      <c r="G608" s="102"/>
    </row>
    <row r="609" spans="7:7" x14ac:dyDescent="0.25">
      <c r="G609" s="102"/>
    </row>
    <row r="610" spans="7:7" x14ac:dyDescent="0.25">
      <c r="G610" s="102"/>
    </row>
    <row r="611" spans="7:7" x14ac:dyDescent="0.25">
      <c r="G611" s="102"/>
    </row>
    <row r="612" spans="7:7" x14ac:dyDescent="0.25">
      <c r="G612" s="102"/>
    </row>
    <row r="613" spans="7:7" x14ac:dyDescent="0.25">
      <c r="G613" s="102"/>
    </row>
    <row r="614" spans="7:7" x14ac:dyDescent="0.25">
      <c r="G614" s="102"/>
    </row>
    <row r="615" spans="7:7" x14ac:dyDescent="0.25">
      <c r="G615" s="102"/>
    </row>
    <row r="616" spans="7:7" x14ac:dyDescent="0.25">
      <c r="G616" s="102"/>
    </row>
    <row r="617" spans="7:7" x14ac:dyDescent="0.25">
      <c r="G617" s="102"/>
    </row>
    <row r="618" spans="7:7" x14ac:dyDescent="0.25">
      <c r="G618" s="102"/>
    </row>
    <row r="619" spans="7:7" x14ac:dyDescent="0.25">
      <c r="G619" s="102"/>
    </row>
    <row r="620" spans="7:7" x14ac:dyDescent="0.25">
      <c r="G620" s="102"/>
    </row>
    <row r="621" spans="7:7" x14ac:dyDescent="0.25">
      <c r="G621" s="102"/>
    </row>
    <row r="622" spans="7:7" x14ac:dyDescent="0.25">
      <c r="G622" s="102"/>
    </row>
    <row r="623" spans="7:7" x14ac:dyDescent="0.25">
      <c r="G623" s="102"/>
    </row>
    <row r="624" spans="7:7" x14ac:dyDescent="0.25">
      <c r="G624" s="102"/>
    </row>
    <row r="625" spans="7:7" x14ac:dyDescent="0.25">
      <c r="G625" s="102"/>
    </row>
    <row r="626" spans="7:7" x14ac:dyDescent="0.25">
      <c r="G626" s="102"/>
    </row>
    <row r="627" spans="7:7" x14ac:dyDescent="0.25">
      <c r="G627" s="102"/>
    </row>
    <row r="628" spans="7:7" x14ac:dyDescent="0.25">
      <c r="G628" s="102"/>
    </row>
    <row r="629" spans="7:7" x14ac:dyDescent="0.25">
      <c r="G629" s="102"/>
    </row>
    <row r="630" spans="7:7" x14ac:dyDescent="0.25">
      <c r="G630" s="102"/>
    </row>
    <row r="631" spans="7:7" x14ac:dyDescent="0.25">
      <c r="G631" s="102"/>
    </row>
    <row r="632" spans="7:7" x14ac:dyDescent="0.25">
      <c r="G632" s="102"/>
    </row>
    <row r="633" spans="7:7" x14ac:dyDescent="0.25">
      <c r="G633" s="102"/>
    </row>
    <row r="634" spans="7:7" x14ac:dyDescent="0.25">
      <c r="G634" s="102"/>
    </row>
    <row r="635" spans="7:7" x14ac:dyDescent="0.25">
      <c r="G635" s="102"/>
    </row>
    <row r="636" spans="7:7" x14ac:dyDescent="0.25">
      <c r="G636" s="102"/>
    </row>
    <row r="637" spans="7:7" x14ac:dyDescent="0.25">
      <c r="G637" s="102"/>
    </row>
    <row r="638" spans="7:7" x14ac:dyDescent="0.25">
      <c r="G638" s="102"/>
    </row>
    <row r="639" spans="7:7" x14ac:dyDescent="0.25">
      <c r="G639" s="102"/>
    </row>
    <row r="640" spans="7:7" x14ac:dyDescent="0.25">
      <c r="G640" s="102"/>
    </row>
    <row r="641" spans="7:7" x14ac:dyDescent="0.25">
      <c r="G641" s="102"/>
    </row>
    <row r="642" spans="7:7" x14ac:dyDescent="0.25">
      <c r="G642" s="102"/>
    </row>
    <row r="643" spans="7:7" x14ac:dyDescent="0.25">
      <c r="G643" s="102"/>
    </row>
    <row r="644" spans="7:7" x14ac:dyDescent="0.25">
      <c r="G644" s="102"/>
    </row>
    <row r="645" spans="7:7" x14ac:dyDescent="0.25">
      <c r="G645" s="102"/>
    </row>
    <row r="646" spans="7:7" x14ac:dyDescent="0.25">
      <c r="G646" s="102"/>
    </row>
    <row r="647" spans="7:7" x14ac:dyDescent="0.25">
      <c r="G647" s="102"/>
    </row>
    <row r="648" spans="7:7" x14ac:dyDescent="0.25">
      <c r="G648" s="102"/>
    </row>
    <row r="649" spans="7:7" x14ac:dyDescent="0.25">
      <c r="G649" s="102"/>
    </row>
    <row r="650" spans="7:7" x14ac:dyDescent="0.25">
      <c r="G650" s="102"/>
    </row>
    <row r="651" spans="7:7" x14ac:dyDescent="0.25">
      <c r="G651" s="102"/>
    </row>
    <row r="652" spans="7:7" x14ac:dyDescent="0.25">
      <c r="G652" s="102"/>
    </row>
    <row r="653" spans="7:7" x14ac:dyDescent="0.25">
      <c r="G653" s="102"/>
    </row>
    <row r="654" spans="7:7" x14ac:dyDescent="0.25">
      <c r="G654" s="102"/>
    </row>
    <row r="655" spans="7:7" x14ac:dyDescent="0.25">
      <c r="G655" s="102"/>
    </row>
    <row r="656" spans="7:7" x14ac:dyDescent="0.25">
      <c r="G656" s="102"/>
    </row>
    <row r="657" spans="7:7" x14ac:dyDescent="0.25">
      <c r="G657" s="102"/>
    </row>
  </sheetData>
  <autoFilter ref="A1:G258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I35"/>
  <sheetViews>
    <sheetView view="pageBreakPreview" zoomScaleNormal="100" workbookViewId="0">
      <selection activeCell="A11" sqref="A11"/>
    </sheetView>
  </sheetViews>
  <sheetFormatPr defaultRowHeight="12.75" x14ac:dyDescent="0.2"/>
  <cols>
    <col min="1" max="1" width="16.42578125" style="1" customWidth="1"/>
    <col min="2" max="2" width="28.28515625" style="1" customWidth="1"/>
    <col min="3" max="3" width="4.7109375" style="1" customWidth="1"/>
    <col min="4" max="4" width="8.7109375" style="1" customWidth="1"/>
    <col min="5" max="5" width="9" style="129" customWidth="1"/>
    <col min="6" max="6" width="12.7109375" style="129" customWidth="1"/>
    <col min="7" max="7" width="10" style="130" customWidth="1"/>
    <col min="8" max="8" width="13.140625" style="129" customWidth="1"/>
    <col min="9" max="9" width="13" style="1" customWidth="1"/>
    <col min="10" max="10" width="6.7109375" style="1" customWidth="1"/>
    <col min="11" max="11" width="7.140625" style="1" customWidth="1"/>
    <col min="12" max="12" width="7.28515625" style="1" customWidth="1"/>
    <col min="13" max="256" width="9.140625" style="1"/>
    <col min="257" max="257" width="16.42578125" style="1" customWidth="1"/>
    <col min="258" max="258" width="28.28515625" style="1" customWidth="1"/>
    <col min="259" max="259" width="4.7109375" style="1" customWidth="1"/>
    <col min="260" max="260" width="8.7109375" style="1" customWidth="1"/>
    <col min="261" max="261" width="9" style="1" customWidth="1"/>
    <col min="262" max="262" width="12.7109375" style="1" customWidth="1"/>
    <col min="263" max="263" width="10" style="1" customWidth="1"/>
    <col min="264" max="264" width="13.140625" style="1" customWidth="1"/>
    <col min="265" max="265" width="13" style="1" customWidth="1"/>
    <col min="266" max="266" width="6.7109375" style="1" customWidth="1"/>
    <col min="267" max="267" width="7.140625" style="1" customWidth="1"/>
    <col min="268" max="268" width="7.28515625" style="1" customWidth="1"/>
    <col min="269" max="512" width="9.140625" style="1"/>
    <col min="513" max="513" width="16.42578125" style="1" customWidth="1"/>
    <col min="514" max="514" width="28.28515625" style="1" customWidth="1"/>
    <col min="515" max="515" width="4.7109375" style="1" customWidth="1"/>
    <col min="516" max="516" width="8.7109375" style="1" customWidth="1"/>
    <col min="517" max="517" width="9" style="1" customWidth="1"/>
    <col min="518" max="518" width="12.7109375" style="1" customWidth="1"/>
    <col min="519" max="519" width="10" style="1" customWidth="1"/>
    <col min="520" max="520" width="13.140625" style="1" customWidth="1"/>
    <col min="521" max="521" width="13" style="1" customWidth="1"/>
    <col min="522" max="522" width="6.7109375" style="1" customWidth="1"/>
    <col min="523" max="523" width="7.140625" style="1" customWidth="1"/>
    <col min="524" max="524" width="7.28515625" style="1" customWidth="1"/>
    <col min="525" max="768" width="9.140625" style="1"/>
    <col min="769" max="769" width="16.42578125" style="1" customWidth="1"/>
    <col min="770" max="770" width="28.28515625" style="1" customWidth="1"/>
    <col min="771" max="771" width="4.7109375" style="1" customWidth="1"/>
    <col min="772" max="772" width="8.7109375" style="1" customWidth="1"/>
    <col min="773" max="773" width="9" style="1" customWidth="1"/>
    <col min="774" max="774" width="12.7109375" style="1" customWidth="1"/>
    <col min="775" max="775" width="10" style="1" customWidth="1"/>
    <col min="776" max="776" width="13.140625" style="1" customWidth="1"/>
    <col min="777" max="777" width="13" style="1" customWidth="1"/>
    <col min="778" max="778" width="6.7109375" style="1" customWidth="1"/>
    <col min="779" max="779" width="7.140625" style="1" customWidth="1"/>
    <col min="780" max="780" width="7.28515625" style="1" customWidth="1"/>
    <col min="781" max="1024" width="9.140625" style="1"/>
    <col min="1025" max="1025" width="16.42578125" style="1" customWidth="1"/>
    <col min="1026" max="1026" width="28.28515625" style="1" customWidth="1"/>
    <col min="1027" max="1027" width="4.7109375" style="1" customWidth="1"/>
    <col min="1028" max="1028" width="8.7109375" style="1" customWidth="1"/>
    <col min="1029" max="1029" width="9" style="1" customWidth="1"/>
    <col min="1030" max="1030" width="12.7109375" style="1" customWidth="1"/>
    <col min="1031" max="1031" width="10" style="1" customWidth="1"/>
    <col min="1032" max="1032" width="13.140625" style="1" customWidth="1"/>
    <col min="1033" max="1033" width="13" style="1" customWidth="1"/>
    <col min="1034" max="1034" width="6.7109375" style="1" customWidth="1"/>
    <col min="1035" max="1035" width="7.140625" style="1" customWidth="1"/>
    <col min="1036" max="1036" width="7.28515625" style="1" customWidth="1"/>
    <col min="1037" max="1280" width="9.140625" style="1"/>
    <col min="1281" max="1281" width="16.42578125" style="1" customWidth="1"/>
    <col min="1282" max="1282" width="28.28515625" style="1" customWidth="1"/>
    <col min="1283" max="1283" width="4.7109375" style="1" customWidth="1"/>
    <col min="1284" max="1284" width="8.7109375" style="1" customWidth="1"/>
    <col min="1285" max="1285" width="9" style="1" customWidth="1"/>
    <col min="1286" max="1286" width="12.7109375" style="1" customWidth="1"/>
    <col min="1287" max="1287" width="10" style="1" customWidth="1"/>
    <col min="1288" max="1288" width="13.140625" style="1" customWidth="1"/>
    <col min="1289" max="1289" width="13" style="1" customWidth="1"/>
    <col min="1290" max="1290" width="6.7109375" style="1" customWidth="1"/>
    <col min="1291" max="1291" width="7.140625" style="1" customWidth="1"/>
    <col min="1292" max="1292" width="7.28515625" style="1" customWidth="1"/>
    <col min="1293" max="1536" width="9.140625" style="1"/>
    <col min="1537" max="1537" width="16.42578125" style="1" customWidth="1"/>
    <col min="1538" max="1538" width="28.28515625" style="1" customWidth="1"/>
    <col min="1539" max="1539" width="4.7109375" style="1" customWidth="1"/>
    <col min="1540" max="1540" width="8.7109375" style="1" customWidth="1"/>
    <col min="1541" max="1541" width="9" style="1" customWidth="1"/>
    <col min="1542" max="1542" width="12.7109375" style="1" customWidth="1"/>
    <col min="1543" max="1543" width="10" style="1" customWidth="1"/>
    <col min="1544" max="1544" width="13.140625" style="1" customWidth="1"/>
    <col min="1545" max="1545" width="13" style="1" customWidth="1"/>
    <col min="1546" max="1546" width="6.7109375" style="1" customWidth="1"/>
    <col min="1547" max="1547" width="7.140625" style="1" customWidth="1"/>
    <col min="1548" max="1548" width="7.28515625" style="1" customWidth="1"/>
    <col min="1549" max="1792" width="9.140625" style="1"/>
    <col min="1793" max="1793" width="16.42578125" style="1" customWidth="1"/>
    <col min="1794" max="1794" width="28.28515625" style="1" customWidth="1"/>
    <col min="1795" max="1795" width="4.7109375" style="1" customWidth="1"/>
    <col min="1796" max="1796" width="8.7109375" style="1" customWidth="1"/>
    <col min="1797" max="1797" width="9" style="1" customWidth="1"/>
    <col min="1798" max="1798" width="12.7109375" style="1" customWidth="1"/>
    <col min="1799" max="1799" width="10" style="1" customWidth="1"/>
    <col min="1800" max="1800" width="13.140625" style="1" customWidth="1"/>
    <col min="1801" max="1801" width="13" style="1" customWidth="1"/>
    <col min="1802" max="1802" width="6.7109375" style="1" customWidth="1"/>
    <col min="1803" max="1803" width="7.140625" style="1" customWidth="1"/>
    <col min="1804" max="1804" width="7.28515625" style="1" customWidth="1"/>
    <col min="1805" max="2048" width="9.140625" style="1"/>
    <col min="2049" max="2049" width="16.42578125" style="1" customWidth="1"/>
    <col min="2050" max="2050" width="28.28515625" style="1" customWidth="1"/>
    <col min="2051" max="2051" width="4.7109375" style="1" customWidth="1"/>
    <col min="2052" max="2052" width="8.7109375" style="1" customWidth="1"/>
    <col min="2053" max="2053" width="9" style="1" customWidth="1"/>
    <col min="2054" max="2054" width="12.7109375" style="1" customWidth="1"/>
    <col min="2055" max="2055" width="10" style="1" customWidth="1"/>
    <col min="2056" max="2056" width="13.140625" style="1" customWidth="1"/>
    <col min="2057" max="2057" width="13" style="1" customWidth="1"/>
    <col min="2058" max="2058" width="6.7109375" style="1" customWidth="1"/>
    <col min="2059" max="2059" width="7.140625" style="1" customWidth="1"/>
    <col min="2060" max="2060" width="7.28515625" style="1" customWidth="1"/>
    <col min="2061" max="2304" width="9.140625" style="1"/>
    <col min="2305" max="2305" width="16.42578125" style="1" customWidth="1"/>
    <col min="2306" max="2306" width="28.28515625" style="1" customWidth="1"/>
    <col min="2307" max="2307" width="4.7109375" style="1" customWidth="1"/>
    <col min="2308" max="2308" width="8.7109375" style="1" customWidth="1"/>
    <col min="2309" max="2309" width="9" style="1" customWidth="1"/>
    <col min="2310" max="2310" width="12.7109375" style="1" customWidth="1"/>
    <col min="2311" max="2311" width="10" style="1" customWidth="1"/>
    <col min="2312" max="2312" width="13.140625" style="1" customWidth="1"/>
    <col min="2313" max="2313" width="13" style="1" customWidth="1"/>
    <col min="2314" max="2314" width="6.7109375" style="1" customWidth="1"/>
    <col min="2315" max="2315" width="7.140625" style="1" customWidth="1"/>
    <col min="2316" max="2316" width="7.28515625" style="1" customWidth="1"/>
    <col min="2317" max="2560" width="9.140625" style="1"/>
    <col min="2561" max="2561" width="16.42578125" style="1" customWidth="1"/>
    <col min="2562" max="2562" width="28.28515625" style="1" customWidth="1"/>
    <col min="2563" max="2563" width="4.7109375" style="1" customWidth="1"/>
    <col min="2564" max="2564" width="8.7109375" style="1" customWidth="1"/>
    <col min="2565" max="2565" width="9" style="1" customWidth="1"/>
    <col min="2566" max="2566" width="12.7109375" style="1" customWidth="1"/>
    <col min="2567" max="2567" width="10" style="1" customWidth="1"/>
    <col min="2568" max="2568" width="13.140625" style="1" customWidth="1"/>
    <col min="2569" max="2569" width="13" style="1" customWidth="1"/>
    <col min="2570" max="2570" width="6.7109375" style="1" customWidth="1"/>
    <col min="2571" max="2571" width="7.140625" style="1" customWidth="1"/>
    <col min="2572" max="2572" width="7.28515625" style="1" customWidth="1"/>
    <col min="2573" max="2816" width="9.140625" style="1"/>
    <col min="2817" max="2817" width="16.42578125" style="1" customWidth="1"/>
    <col min="2818" max="2818" width="28.28515625" style="1" customWidth="1"/>
    <col min="2819" max="2819" width="4.7109375" style="1" customWidth="1"/>
    <col min="2820" max="2820" width="8.7109375" style="1" customWidth="1"/>
    <col min="2821" max="2821" width="9" style="1" customWidth="1"/>
    <col min="2822" max="2822" width="12.7109375" style="1" customWidth="1"/>
    <col min="2823" max="2823" width="10" style="1" customWidth="1"/>
    <col min="2824" max="2824" width="13.140625" style="1" customWidth="1"/>
    <col min="2825" max="2825" width="13" style="1" customWidth="1"/>
    <col min="2826" max="2826" width="6.7109375" style="1" customWidth="1"/>
    <col min="2827" max="2827" width="7.140625" style="1" customWidth="1"/>
    <col min="2828" max="2828" width="7.28515625" style="1" customWidth="1"/>
    <col min="2829" max="3072" width="9.140625" style="1"/>
    <col min="3073" max="3073" width="16.42578125" style="1" customWidth="1"/>
    <col min="3074" max="3074" width="28.28515625" style="1" customWidth="1"/>
    <col min="3075" max="3075" width="4.7109375" style="1" customWidth="1"/>
    <col min="3076" max="3076" width="8.7109375" style="1" customWidth="1"/>
    <col min="3077" max="3077" width="9" style="1" customWidth="1"/>
    <col min="3078" max="3078" width="12.7109375" style="1" customWidth="1"/>
    <col min="3079" max="3079" width="10" style="1" customWidth="1"/>
    <col min="3080" max="3080" width="13.140625" style="1" customWidth="1"/>
    <col min="3081" max="3081" width="13" style="1" customWidth="1"/>
    <col min="3082" max="3082" width="6.7109375" style="1" customWidth="1"/>
    <col min="3083" max="3083" width="7.140625" style="1" customWidth="1"/>
    <col min="3084" max="3084" width="7.28515625" style="1" customWidth="1"/>
    <col min="3085" max="3328" width="9.140625" style="1"/>
    <col min="3329" max="3329" width="16.42578125" style="1" customWidth="1"/>
    <col min="3330" max="3330" width="28.28515625" style="1" customWidth="1"/>
    <col min="3331" max="3331" width="4.7109375" style="1" customWidth="1"/>
    <col min="3332" max="3332" width="8.7109375" style="1" customWidth="1"/>
    <col min="3333" max="3333" width="9" style="1" customWidth="1"/>
    <col min="3334" max="3334" width="12.7109375" style="1" customWidth="1"/>
    <col min="3335" max="3335" width="10" style="1" customWidth="1"/>
    <col min="3336" max="3336" width="13.140625" style="1" customWidth="1"/>
    <col min="3337" max="3337" width="13" style="1" customWidth="1"/>
    <col min="3338" max="3338" width="6.7109375" style="1" customWidth="1"/>
    <col min="3339" max="3339" width="7.140625" style="1" customWidth="1"/>
    <col min="3340" max="3340" width="7.28515625" style="1" customWidth="1"/>
    <col min="3341" max="3584" width="9.140625" style="1"/>
    <col min="3585" max="3585" width="16.42578125" style="1" customWidth="1"/>
    <col min="3586" max="3586" width="28.28515625" style="1" customWidth="1"/>
    <col min="3587" max="3587" width="4.7109375" style="1" customWidth="1"/>
    <col min="3588" max="3588" width="8.7109375" style="1" customWidth="1"/>
    <col min="3589" max="3589" width="9" style="1" customWidth="1"/>
    <col min="3590" max="3590" width="12.7109375" style="1" customWidth="1"/>
    <col min="3591" max="3591" width="10" style="1" customWidth="1"/>
    <col min="3592" max="3592" width="13.140625" style="1" customWidth="1"/>
    <col min="3593" max="3593" width="13" style="1" customWidth="1"/>
    <col min="3594" max="3594" width="6.7109375" style="1" customWidth="1"/>
    <col min="3595" max="3595" width="7.140625" style="1" customWidth="1"/>
    <col min="3596" max="3596" width="7.28515625" style="1" customWidth="1"/>
    <col min="3597" max="3840" width="9.140625" style="1"/>
    <col min="3841" max="3841" width="16.42578125" style="1" customWidth="1"/>
    <col min="3842" max="3842" width="28.28515625" style="1" customWidth="1"/>
    <col min="3843" max="3843" width="4.7109375" style="1" customWidth="1"/>
    <col min="3844" max="3844" width="8.7109375" style="1" customWidth="1"/>
    <col min="3845" max="3845" width="9" style="1" customWidth="1"/>
    <col min="3846" max="3846" width="12.7109375" style="1" customWidth="1"/>
    <col min="3847" max="3847" width="10" style="1" customWidth="1"/>
    <col min="3848" max="3848" width="13.140625" style="1" customWidth="1"/>
    <col min="3849" max="3849" width="13" style="1" customWidth="1"/>
    <col min="3850" max="3850" width="6.7109375" style="1" customWidth="1"/>
    <col min="3851" max="3851" width="7.140625" style="1" customWidth="1"/>
    <col min="3852" max="3852" width="7.28515625" style="1" customWidth="1"/>
    <col min="3853" max="4096" width="9.140625" style="1"/>
    <col min="4097" max="4097" width="16.42578125" style="1" customWidth="1"/>
    <col min="4098" max="4098" width="28.28515625" style="1" customWidth="1"/>
    <col min="4099" max="4099" width="4.7109375" style="1" customWidth="1"/>
    <col min="4100" max="4100" width="8.7109375" style="1" customWidth="1"/>
    <col min="4101" max="4101" width="9" style="1" customWidth="1"/>
    <col min="4102" max="4102" width="12.7109375" style="1" customWidth="1"/>
    <col min="4103" max="4103" width="10" style="1" customWidth="1"/>
    <col min="4104" max="4104" width="13.140625" style="1" customWidth="1"/>
    <col min="4105" max="4105" width="13" style="1" customWidth="1"/>
    <col min="4106" max="4106" width="6.7109375" style="1" customWidth="1"/>
    <col min="4107" max="4107" width="7.140625" style="1" customWidth="1"/>
    <col min="4108" max="4108" width="7.28515625" style="1" customWidth="1"/>
    <col min="4109" max="4352" width="9.140625" style="1"/>
    <col min="4353" max="4353" width="16.42578125" style="1" customWidth="1"/>
    <col min="4354" max="4354" width="28.28515625" style="1" customWidth="1"/>
    <col min="4355" max="4355" width="4.7109375" style="1" customWidth="1"/>
    <col min="4356" max="4356" width="8.7109375" style="1" customWidth="1"/>
    <col min="4357" max="4357" width="9" style="1" customWidth="1"/>
    <col min="4358" max="4358" width="12.7109375" style="1" customWidth="1"/>
    <col min="4359" max="4359" width="10" style="1" customWidth="1"/>
    <col min="4360" max="4360" width="13.140625" style="1" customWidth="1"/>
    <col min="4361" max="4361" width="13" style="1" customWidth="1"/>
    <col min="4362" max="4362" width="6.7109375" style="1" customWidth="1"/>
    <col min="4363" max="4363" width="7.140625" style="1" customWidth="1"/>
    <col min="4364" max="4364" width="7.28515625" style="1" customWidth="1"/>
    <col min="4365" max="4608" width="9.140625" style="1"/>
    <col min="4609" max="4609" width="16.42578125" style="1" customWidth="1"/>
    <col min="4610" max="4610" width="28.28515625" style="1" customWidth="1"/>
    <col min="4611" max="4611" width="4.7109375" style="1" customWidth="1"/>
    <col min="4612" max="4612" width="8.7109375" style="1" customWidth="1"/>
    <col min="4613" max="4613" width="9" style="1" customWidth="1"/>
    <col min="4614" max="4614" width="12.7109375" style="1" customWidth="1"/>
    <col min="4615" max="4615" width="10" style="1" customWidth="1"/>
    <col min="4616" max="4616" width="13.140625" style="1" customWidth="1"/>
    <col min="4617" max="4617" width="13" style="1" customWidth="1"/>
    <col min="4618" max="4618" width="6.7109375" style="1" customWidth="1"/>
    <col min="4619" max="4619" width="7.140625" style="1" customWidth="1"/>
    <col min="4620" max="4620" width="7.28515625" style="1" customWidth="1"/>
    <col min="4621" max="4864" width="9.140625" style="1"/>
    <col min="4865" max="4865" width="16.42578125" style="1" customWidth="1"/>
    <col min="4866" max="4866" width="28.28515625" style="1" customWidth="1"/>
    <col min="4867" max="4867" width="4.7109375" style="1" customWidth="1"/>
    <col min="4868" max="4868" width="8.7109375" style="1" customWidth="1"/>
    <col min="4869" max="4869" width="9" style="1" customWidth="1"/>
    <col min="4870" max="4870" width="12.7109375" style="1" customWidth="1"/>
    <col min="4871" max="4871" width="10" style="1" customWidth="1"/>
    <col min="4872" max="4872" width="13.140625" style="1" customWidth="1"/>
    <col min="4873" max="4873" width="13" style="1" customWidth="1"/>
    <col min="4874" max="4874" width="6.7109375" style="1" customWidth="1"/>
    <col min="4875" max="4875" width="7.140625" style="1" customWidth="1"/>
    <col min="4876" max="4876" width="7.28515625" style="1" customWidth="1"/>
    <col min="4877" max="5120" width="9.140625" style="1"/>
    <col min="5121" max="5121" width="16.42578125" style="1" customWidth="1"/>
    <col min="5122" max="5122" width="28.28515625" style="1" customWidth="1"/>
    <col min="5123" max="5123" width="4.7109375" style="1" customWidth="1"/>
    <col min="5124" max="5124" width="8.7109375" style="1" customWidth="1"/>
    <col min="5125" max="5125" width="9" style="1" customWidth="1"/>
    <col min="5126" max="5126" width="12.7109375" style="1" customWidth="1"/>
    <col min="5127" max="5127" width="10" style="1" customWidth="1"/>
    <col min="5128" max="5128" width="13.140625" style="1" customWidth="1"/>
    <col min="5129" max="5129" width="13" style="1" customWidth="1"/>
    <col min="5130" max="5130" width="6.7109375" style="1" customWidth="1"/>
    <col min="5131" max="5131" width="7.140625" style="1" customWidth="1"/>
    <col min="5132" max="5132" width="7.28515625" style="1" customWidth="1"/>
    <col min="5133" max="5376" width="9.140625" style="1"/>
    <col min="5377" max="5377" width="16.42578125" style="1" customWidth="1"/>
    <col min="5378" max="5378" width="28.28515625" style="1" customWidth="1"/>
    <col min="5379" max="5379" width="4.7109375" style="1" customWidth="1"/>
    <col min="5380" max="5380" width="8.7109375" style="1" customWidth="1"/>
    <col min="5381" max="5381" width="9" style="1" customWidth="1"/>
    <col min="5382" max="5382" width="12.7109375" style="1" customWidth="1"/>
    <col min="5383" max="5383" width="10" style="1" customWidth="1"/>
    <col min="5384" max="5384" width="13.140625" style="1" customWidth="1"/>
    <col min="5385" max="5385" width="13" style="1" customWidth="1"/>
    <col min="5386" max="5386" width="6.7109375" style="1" customWidth="1"/>
    <col min="5387" max="5387" width="7.140625" style="1" customWidth="1"/>
    <col min="5388" max="5388" width="7.28515625" style="1" customWidth="1"/>
    <col min="5389" max="5632" width="9.140625" style="1"/>
    <col min="5633" max="5633" width="16.42578125" style="1" customWidth="1"/>
    <col min="5634" max="5634" width="28.28515625" style="1" customWidth="1"/>
    <col min="5635" max="5635" width="4.7109375" style="1" customWidth="1"/>
    <col min="5636" max="5636" width="8.7109375" style="1" customWidth="1"/>
    <col min="5637" max="5637" width="9" style="1" customWidth="1"/>
    <col min="5638" max="5638" width="12.7109375" style="1" customWidth="1"/>
    <col min="5639" max="5639" width="10" style="1" customWidth="1"/>
    <col min="5640" max="5640" width="13.140625" style="1" customWidth="1"/>
    <col min="5641" max="5641" width="13" style="1" customWidth="1"/>
    <col min="5642" max="5642" width="6.7109375" style="1" customWidth="1"/>
    <col min="5643" max="5643" width="7.140625" style="1" customWidth="1"/>
    <col min="5644" max="5644" width="7.28515625" style="1" customWidth="1"/>
    <col min="5645" max="5888" width="9.140625" style="1"/>
    <col min="5889" max="5889" width="16.42578125" style="1" customWidth="1"/>
    <col min="5890" max="5890" width="28.28515625" style="1" customWidth="1"/>
    <col min="5891" max="5891" width="4.7109375" style="1" customWidth="1"/>
    <col min="5892" max="5892" width="8.7109375" style="1" customWidth="1"/>
    <col min="5893" max="5893" width="9" style="1" customWidth="1"/>
    <col min="5894" max="5894" width="12.7109375" style="1" customWidth="1"/>
    <col min="5895" max="5895" width="10" style="1" customWidth="1"/>
    <col min="5896" max="5896" width="13.140625" style="1" customWidth="1"/>
    <col min="5897" max="5897" width="13" style="1" customWidth="1"/>
    <col min="5898" max="5898" width="6.7109375" style="1" customWidth="1"/>
    <col min="5899" max="5899" width="7.140625" style="1" customWidth="1"/>
    <col min="5900" max="5900" width="7.28515625" style="1" customWidth="1"/>
    <col min="5901" max="6144" width="9.140625" style="1"/>
    <col min="6145" max="6145" width="16.42578125" style="1" customWidth="1"/>
    <col min="6146" max="6146" width="28.28515625" style="1" customWidth="1"/>
    <col min="6147" max="6147" width="4.7109375" style="1" customWidth="1"/>
    <col min="6148" max="6148" width="8.7109375" style="1" customWidth="1"/>
    <col min="6149" max="6149" width="9" style="1" customWidth="1"/>
    <col min="6150" max="6150" width="12.7109375" style="1" customWidth="1"/>
    <col min="6151" max="6151" width="10" style="1" customWidth="1"/>
    <col min="6152" max="6152" width="13.140625" style="1" customWidth="1"/>
    <col min="6153" max="6153" width="13" style="1" customWidth="1"/>
    <col min="6154" max="6154" width="6.7109375" style="1" customWidth="1"/>
    <col min="6155" max="6155" width="7.140625" style="1" customWidth="1"/>
    <col min="6156" max="6156" width="7.28515625" style="1" customWidth="1"/>
    <col min="6157" max="6400" width="9.140625" style="1"/>
    <col min="6401" max="6401" width="16.42578125" style="1" customWidth="1"/>
    <col min="6402" max="6402" width="28.28515625" style="1" customWidth="1"/>
    <col min="6403" max="6403" width="4.7109375" style="1" customWidth="1"/>
    <col min="6404" max="6404" width="8.7109375" style="1" customWidth="1"/>
    <col min="6405" max="6405" width="9" style="1" customWidth="1"/>
    <col min="6406" max="6406" width="12.7109375" style="1" customWidth="1"/>
    <col min="6407" max="6407" width="10" style="1" customWidth="1"/>
    <col min="6408" max="6408" width="13.140625" style="1" customWidth="1"/>
    <col min="6409" max="6409" width="13" style="1" customWidth="1"/>
    <col min="6410" max="6410" width="6.7109375" style="1" customWidth="1"/>
    <col min="6411" max="6411" width="7.140625" style="1" customWidth="1"/>
    <col min="6412" max="6412" width="7.28515625" style="1" customWidth="1"/>
    <col min="6413" max="6656" width="9.140625" style="1"/>
    <col min="6657" max="6657" width="16.42578125" style="1" customWidth="1"/>
    <col min="6658" max="6658" width="28.28515625" style="1" customWidth="1"/>
    <col min="6659" max="6659" width="4.7109375" style="1" customWidth="1"/>
    <col min="6660" max="6660" width="8.7109375" style="1" customWidth="1"/>
    <col min="6661" max="6661" width="9" style="1" customWidth="1"/>
    <col min="6662" max="6662" width="12.7109375" style="1" customWidth="1"/>
    <col min="6663" max="6663" width="10" style="1" customWidth="1"/>
    <col min="6664" max="6664" width="13.140625" style="1" customWidth="1"/>
    <col min="6665" max="6665" width="13" style="1" customWidth="1"/>
    <col min="6666" max="6666" width="6.7109375" style="1" customWidth="1"/>
    <col min="6667" max="6667" width="7.140625" style="1" customWidth="1"/>
    <col min="6668" max="6668" width="7.28515625" style="1" customWidth="1"/>
    <col min="6669" max="6912" width="9.140625" style="1"/>
    <col min="6913" max="6913" width="16.42578125" style="1" customWidth="1"/>
    <col min="6914" max="6914" width="28.28515625" style="1" customWidth="1"/>
    <col min="6915" max="6915" width="4.7109375" style="1" customWidth="1"/>
    <col min="6916" max="6916" width="8.7109375" style="1" customWidth="1"/>
    <col min="6917" max="6917" width="9" style="1" customWidth="1"/>
    <col min="6918" max="6918" width="12.7109375" style="1" customWidth="1"/>
    <col min="6919" max="6919" width="10" style="1" customWidth="1"/>
    <col min="6920" max="6920" width="13.140625" style="1" customWidth="1"/>
    <col min="6921" max="6921" width="13" style="1" customWidth="1"/>
    <col min="6922" max="6922" width="6.7109375" style="1" customWidth="1"/>
    <col min="6923" max="6923" width="7.140625" style="1" customWidth="1"/>
    <col min="6924" max="6924" width="7.28515625" style="1" customWidth="1"/>
    <col min="6925" max="7168" width="9.140625" style="1"/>
    <col min="7169" max="7169" width="16.42578125" style="1" customWidth="1"/>
    <col min="7170" max="7170" width="28.28515625" style="1" customWidth="1"/>
    <col min="7171" max="7171" width="4.7109375" style="1" customWidth="1"/>
    <col min="7172" max="7172" width="8.7109375" style="1" customWidth="1"/>
    <col min="7173" max="7173" width="9" style="1" customWidth="1"/>
    <col min="7174" max="7174" width="12.7109375" style="1" customWidth="1"/>
    <col min="7175" max="7175" width="10" style="1" customWidth="1"/>
    <col min="7176" max="7176" width="13.140625" style="1" customWidth="1"/>
    <col min="7177" max="7177" width="13" style="1" customWidth="1"/>
    <col min="7178" max="7178" width="6.7109375" style="1" customWidth="1"/>
    <col min="7179" max="7179" width="7.140625" style="1" customWidth="1"/>
    <col min="7180" max="7180" width="7.28515625" style="1" customWidth="1"/>
    <col min="7181" max="7424" width="9.140625" style="1"/>
    <col min="7425" max="7425" width="16.42578125" style="1" customWidth="1"/>
    <col min="7426" max="7426" width="28.28515625" style="1" customWidth="1"/>
    <col min="7427" max="7427" width="4.7109375" style="1" customWidth="1"/>
    <col min="7428" max="7428" width="8.7109375" style="1" customWidth="1"/>
    <col min="7429" max="7429" width="9" style="1" customWidth="1"/>
    <col min="7430" max="7430" width="12.7109375" style="1" customWidth="1"/>
    <col min="7431" max="7431" width="10" style="1" customWidth="1"/>
    <col min="7432" max="7432" width="13.140625" style="1" customWidth="1"/>
    <col min="7433" max="7433" width="13" style="1" customWidth="1"/>
    <col min="7434" max="7434" width="6.7109375" style="1" customWidth="1"/>
    <col min="7435" max="7435" width="7.140625" style="1" customWidth="1"/>
    <col min="7436" max="7436" width="7.28515625" style="1" customWidth="1"/>
    <col min="7437" max="7680" width="9.140625" style="1"/>
    <col min="7681" max="7681" width="16.42578125" style="1" customWidth="1"/>
    <col min="7682" max="7682" width="28.28515625" style="1" customWidth="1"/>
    <col min="7683" max="7683" width="4.7109375" style="1" customWidth="1"/>
    <col min="7684" max="7684" width="8.7109375" style="1" customWidth="1"/>
    <col min="7685" max="7685" width="9" style="1" customWidth="1"/>
    <col min="7686" max="7686" width="12.7109375" style="1" customWidth="1"/>
    <col min="7687" max="7687" width="10" style="1" customWidth="1"/>
    <col min="7688" max="7688" width="13.140625" style="1" customWidth="1"/>
    <col min="7689" max="7689" width="13" style="1" customWidth="1"/>
    <col min="7690" max="7690" width="6.7109375" style="1" customWidth="1"/>
    <col min="7691" max="7691" width="7.140625" style="1" customWidth="1"/>
    <col min="7692" max="7692" width="7.28515625" style="1" customWidth="1"/>
    <col min="7693" max="7936" width="9.140625" style="1"/>
    <col min="7937" max="7937" width="16.42578125" style="1" customWidth="1"/>
    <col min="7938" max="7938" width="28.28515625" style="1" customWidth="1"/>
    <col min="7939" max="7939" width="4.7109375" style="1" customWidth="1"/>
    <col min="7940" max="7940" width="8.7109375" style="1" customWidth="1"/>
    <col min="7941" max="7941" width="9" style="1" customWidth="1"/>
    <col min="7942" max="7942" width="12.7109375" style="1" customWidth="1"/>
    <col min="7943" max="7943" width="10" style="1" customWidth="1"/>
    <col min="7944" max="7944" width="13.140625" style="1" customWidth="1"/>
    <col min="7945" max="7945" width="13" style="1" customWidth="1"/>
    <col min="7946" max="7946" width="6.7109375" style="1" customWidth="1"/>
    <col min="7947" max="7947" width="7.140625" style="1" customWidth="1"/>
    <col min="7948" max="7948" width="7.28515625" style="1" customWidth="1"/>
    <col min="7949" max="8192" width="9.140625" style="1"/>
    <col min="8193" max="8193" width="16.42578125" style="1" customWidth="1"/>
    <col min="8194" max="8194" width="28.28515625" style="1" customWidth="1"/>
    <col min="8195" max="8195" width="4.7109375" style="1" customWidth="1"/>
    <col min="8196" max="8196" width="8.7109375" style="1" customWidth="1"/>
    <col min="8197" max="8197" width="9" style="1" customWidth="1"/>
    <col min="8198" max="8198" width="12.7109375" style="1" customWidth="1"/>
    <col min="8199" max="8199" width="10" style="1" customWidth="1"/>
    <col min="8200" max="8200" width="13.140625" style="1" customWidth="1"/>
    <col min="8201" max="8201" width="13" style="1" customWidth="1"/>
    <col min="8202" max="8202" width="6.7109375" style="1" customWidth="1"/>
    <col min="8203" max="8203" width="7.140625" style="1" customWidth="1"/>
    <col min="8204" max="8204" width="7.28515625" style="1" customWidth="1"/>
    <col min="8205" max="8448" width="9.140625" style="1"/>
    <col min="8449" max="8449" width="16.42578125" style="1" customWidth="1"/>
    <col min="8450" max="8450" width="28.28515625" style="1" customWidth="1"/>
    <col min="8451" max="8451" width="4.7109375" style="1" customWidth="1"/>
    <col min="8452" max="8452" width="8.7109375" style="1" customWidth="1"/>
    <col min="8453" max="8453" width="9" style="1" customWidth="1"/>
    <col min="8454" max="8454" width="12.7109375" style="1" customWidth="1"/>
    <col min="8455" max="8455" width="10" style="1" customWidth="1"/>
    <col min="8456" max="8456" width="13.140625" style="1" customWidth="1"/>
    <col min="8457" max="8457" width="13" style="1" customWidth="1"/>
    <col min="8458" max="8458" width="6.7109375" style="1" customWidth="1"/>
    <col min="8459" max="8459" width="7.140625" style="1" customWidth="1"/>
    <col min="8460" max="8460" width="7.28515625" style="1" customWidth="1"/>
    <col min="8461" max="8704" width="9.140625" style="1"/>
    <col min="8705" max="8705" width="16.42578125" style="1" customWidth="1"/>
    <col min="8706" max="8706" width="28.28515625" style="1" customWidth="1"/>
    <col min="8707" max="8707" width="4.7109375" style="1" customWidth="1"/>
    <col min="8708" max="8708" width="8.7109375" style="1" customWidth="1"/>
    <col min="8709" max="8709" width="9" style="1" customWidth="1"/>
    <col min="8710" max="8710" width="12.7109375" style="1" customWidth="1"/>
    <col min="8711" max="8711" width="10" style="1" customWidth="1"/>
    <col min="8712" max="8712" width="13.140625" style="1" customWidth="1"/>
    <col min="8713" max="8713" width="13" style="1" customWidth="1"/>
    <col min="8714" max="8714" width="6.7109375" style="1" customWidth="1"/>
    <col min="8715" max="8715" width="7.140625" style="1" customWidth="1"/>
    <col min="8716" max="8716" width="7.28515625" style="1" customWidth="1"/>
    <col min="8717" max="8960" width="9.140625" style="1"/>
    <col min="8961" max="8961" width="16.42578125" style="1" customWidth="1"/>
    <col min="8962" max="8962" width="28.28515625" style="1" customWidth="1"/>
    <col min="8963" max="8963" width="4.7109375" style="1" customWidth="1"/>
    <col min="8964" max="8964" width="8.7109375" style="1" customWidth="1"/>
    <col min="8965" max="8965" width="9" style="1" customWidth="1"/>
    <col min="8966" max="8966" width="12.7109375" style="1" customWidth="1"/>
    <col min="8967" max="8967" width="10" style="1" customWidth="1"/>
    <col min="8968" max="8968" width="13.140625" style="1" customWidth="1"/>
    <col min="8969" max="8969" width="13" style="1" customWidth="1"/>
    <col min="8970" max="8970" width="6.7109375" style="1" customWidth="1"/>
    <col min="8971" max="8971" width="7.140625" style="1" customWidth="1"/>
    <col min="8972" max="8972" width="7.28515625" style="1" customWidth="1"/>
    <col min="8973" max="9216" width="9.140625" style="1"/>
    <col min="9217" max="9217" width="16.42578125" style="1" customWidth="1"/>
    <col min="9218" max="9218" width="28.28515625" style="1" customWidth="1"/>
    <col min="9219" max="9219" width="4.7109375" style="1" customWidth="1"/>
    <col min="9220" max="9220" width="8.7109375" style="1" customWidth="1"/>
    <col min="9221" max="9221" width="9" style="1" customWidth="1"/>
    <col min="9222" max="9222" width="12.7109375" style="1" customWidth="1"/>
    <col min="9223" max="9223" width="10" style="1" customWidth="1"/>
    <col min="9224" max="9224" width="13.140625" style="1" customWidth="1"/>
    <col min="9225" max="9225" width="13" style="1" customWidth="1"/>
    <col min="9226" max="9226" width="6.7109375" style="1" customWidth="1"/>
    <col min="9227" max="9227" width="7.140625" style="1" customWidth="1"/>
    <col min="9228" max="9228" width="7.28515625" style="1" customWidth="1"/>
    <col min="9229" max="9472" width="9.140625" style="1"/>
    <col min="9473" max="9473" width="16.42578125" style="1" customWidth="1"/>
    <col min="9474" max="9474" width="28.28515625" style="1" customWidth="1"/>
    <col min="9475" max="9475" width="4.7109375" style="1" customWidth="1"/>
    <col min="9476" max="9476" width="8.7109375" style="1" customWidth="1"/>
    <col min="9477" max="9477" width="9" style="1" customWidth="1"/>
    <col min="9478" max="9478" width="12.7109375" style="1" customWidth="1"/>
    <col min="9479" max="9479" width="10" style="1" customWidth="1"/>
    <col min="9480" max="9480" width="13.140625" style="1" customWidth="1"/>
    <col min="9481" max="9481" width="13" style="1" customWidth="1"/>
    <col min="9482" max="9482" width="6.7109375" style="1" customWidth="1"/>
    <col min="9483" max="9483" width="7.140625" style="1" customWidth="1"/>
    <col min="9484" max="9484" width="7.28515625" style="1" customWidth="1"/>
    <col min="9485" max="9728" width="9.140625" style="1"/>
    <col min="9729" max="9729" width="16.42578125" style="1" customWidth="1"/>
    <col min="9730" max="9730" width="28.28515625" style="1" customWidth="1"/>
    <col min="9731" max="9731" width="4.7109375" style="1" customWidth="1"/>
    <col min="9732" max="9732" width="8.7109375" style="1" customWidth="1"/>
    <col min="9733" max="9733" width="9" style="1" customWidth="1"/>
    <col min="9734" max="9734" width="12.7109375" style="1" customWidth="1"/>
    <col min="9735" max="9735" width="10" style="1" customWidth="1"/>
    <col min="9736" max="9736" width="13.140625" style="1" customWidth="1"/>
    <col min="9737" max="9737" width="13" style="1" customWidth="1"/>
    <col min="9738" max="9738" width="6.7109375" style="1" customWidth="1"/>
    <col min="9739" max="9739" width="7.140625" style="1" customWidth="1"/>
    <col min="9740" max="9740" width="7.28515625" style="1" customWidth="1"/>
    <col min="9741" max="9984" width="9.140625" style="1"/>
    <col min="9985" max="9985" width="16.42578125" style="1" customWidth="1"/>
    <col min="9986" max="9986" width="28.28515625" style="1" customWidth="1"/>
    <col min="9987" max="9987" width="4.7109375" style="1" customWidth="1"/>
    <col min="9988" max="9988" width="8.7109375" style="1" customWidth="1"/>
    <col min="9989" max="9989" width="9" style="1" customWidth="1"/>
    <col min="9990" max="9990" width="12.7109375" style="1" customWidth="1"/>
    <col min="9991" max="9991" width="10" style="1" customWidth="1"/>
    <col min="9992" max="9992" width="13.140625" style="1" customWidth="1"/>
    <col min="9993" max="9993" width="13" style="1" customWidth="1"/>
    <col min="9994" max="9994" width="6.7109375" style="1" customWidth="1"/>
    <col min="9995" max="9995" width="7.140625" style="1" customWidth="1"/>
    <col min="9996" max="9996" width="7.28515625" style="1" customWidth="1"/>
    <col min="9997" max="10240" width="9.140625" style="1"/>
    <col min="10241" max="10241" width="16.42578125" style="1" customWidth="1"/>
    <col min="10242" max="10242" width="28.28515625" style="1" customWidth="1"/>
    <col min="10243" max="10243" width="4.7109375" style="1" customWidth="1"/>
    <col min="10244" max="10244" width="8.7109375" style="1" customWidth="1"/>
    <col min="10245" max="10245" width="9" style="1" customWidth="1"/>
    <col min="10246" max="10246" width="12.7109375" style="1" customWidth="1"/>
    <col min="10247" max="10247" width="10" style="1" customWidth="1"/>
    <col min="10248" max="10248" width="13.140625" style="1" customWidth="1"/>
    <col min="10249" max="10249" width="13" style="1" customWidth="1"/>
    <col min="10250" max="10250" width="6.7109375" style="1" customWidth="1"/>
    <col min="10251" max="10251" width="7.140625" style="1" customWidth="1"/>
    <col min="10252" max="10252" width="7.28515625" style="1" customWidth="1"/>
    <col min="10253" max="10496" width="9.140625" style="1"/>
    <col min="10497" max="10497" width="16.42578125" style="1" customWidth="1"/>
    <col min="10498" max="10498" width="28.28515625" style="1" customWidth="1"/>
    <col min="10499" max="10499" width="4.7109375" style="1" customWidth="1"/>
    <col min="10500" max="10500" width="8.7109375" style="1" customWidth="1"/>
    <col min="10501" max="10501" width="9" style="1" customWidth="1"/>
    <col min="10502" max="10502" width="12.7109375" style="1" customWidth="1"/>
    <col min="10503" max="10503" width="10" style="1" customWidth="1"/>
    <col min="10504" max="10504" width="13.140625" style="1" customWidth="1"/>
    <col min="10505" max="10505" width="13" style="1" customWidth="1"/>
    <col min="10506" max="10506" width="6.7109375" style="1" customWidth="1"/>
    <col min="10507" max="10507" width="7.140625" style="1" customWidth="1"/>
    <col min="10508" max="10508" width="7.28515625" style="1" customWidth="1"/>
    <col min="10509" max="10752" width="9.140625" style="1"/>
    <col min="10753" max="10753" width="16.42578125" style="1" customWidth="1"/>
    <col min="10754" max="10754" width="28.28515625" style="1" customWidth="1"/>
    <col min="10755" max="10755" width="4.7109375" style="1" customWidth="1"/>
    <col min="10756" max="10756" width="8.7109375" style="1" customWidth="1"/>
    <col min="10757" max="10757" width="9" style="1" customWidth="1"/>
    <col min="10758" max="10758" width="12.7109375" style="1" customWidth="1"/>
    <col min="10759" max="10759" width="10" style="1" customWidth="1"/>
    <col min="10760" max="10760" width="13.140625" style="1" customWidth="1"/>
    <col min="10761" max="10761" width="13" style="1" customWidth="1"/>
    <col min="10762" max="10762" width="6.7109375" style="1" customWidth="1"/>
    <col min="10763" max="10763" width="7.140625" style="1" customWidth="1"/>
    <col min="10764" max="10764" width="7.28515625" style="1" customWidth="1"/>
    <col min="10765" max="11008" width="9.140625" style="1"/>
    <col min="11009" max="11009" width="16.42578125" style="1" customWidth="1"/>
    <col min="11010" max="11010" width="28.28515625" style="1" customWidth="1"/>
    <col min="11011" max="11011" width="4.7109375" style="1" customWidth="1"/>
    <col min="11012" max="11012" width="8.7109375" style="1" customWidth="1"/>
    <col min="11013" max="11013" width="9" style="1" customWidth="1"/>
    <col min="11014" max="11014" width="12.7109375" style="1" customWidth="1"/>
    <col min="11015" max="11015" width="10" style="1" customWidth="1"/>
    <col min="11016" max="11016" width="13.140625" style="1" customWidth="1"/>
    <col min="11017" max="11017" width="13" style="1" customWidth="1"/>
    <col min="11018" max="11018" width="6.7109375" style="1" customWidth="1"/>
    <col min="11019" max="11019" width="7.140625" style="1" customWidth="1"/>
    <col min="11020" max="11020" width="7.28515625" style="1" customWidth="1"/>
    <col min="11021" max="11264" width="9.140625" style="1"/>
    <col min="11265" max="11265" width="16.42578125" style="1" customWidth="1"/>
    <col min="11266" max="11266" width="28.28515625" style="1" customWidth="1"/>
    <col min="11267" max="11267" width="4.7109375" style="1" customWidth="1"/>
    <col min="11268" max="11268" width="8.7109375" style="1" customWidth="1"/>
    <col min="11269" max="11269" width="9" style="1" customWidth="1"/>
    <col min="11270" max="11270" width="12.7109375" style="1" customWidth="1"/>
    <col min="11271" max="11271" width="10" style="1" customWidth="1"/>
    <col min="11272" max="11272" width="13.140625" style="1" customWidth="1"/>
    <col min="11273" max="11273" width="13" style="1" customWidth="1"/>
    <col min="11274" max="11274" width="6.7109375" style="1" customWidth="1"/>
    <col min="11275" max="11275" width="7.140625" style="1" customWidth="1"/>
    <col min="11276" max="11276" width="7.28515625" style="1" customWidth="1"/>
    <col min="11277" max="11520" width="9.140625" style="1"/>
    <col min="11521" max="11521" width="16.42578125" style="1" customWidth="1"/>
    <col min="11522" max="11522" width="28.28515625" style="1" customWidth="1"/>
    <col min="11523" max="11523" width="4.7109375" style="1" customWidth="1"/>
    <col min="11524" max="11524" width="8.7109375" style="1" customWidth="1"/>
    <col min="11525" max="11525" width="9" style="1" customWidth="1"/>
    <col min="11526" max="11526" width="12.7109375" style="1" customWidth="1"/>
    <col min="11527" max="11527" width="10" style="1" customWidth="1"/>
    <col min="11528" max="11528" width="13.140625" style="1" customWidth="1"/>
    <col min="11529" max="11529" width="13" style="1" customWidth="1"/>
    <col min="11530" max="11530" width="6.7109375" style="1" customWidth="1"/>
    <col min="11531" max="11531" width="7.140625" style="1" customWidth="1"/>
    <col min="11532" max="11532" width="7.28515625" style="1" customWidth="1"/>
    <col min="11533" max="11776" width="9.140625" style="1"/>
    <col min="11777" max="11777" width="16.42578125" style="1" customWidth="1"/>
    <col min="11778" max="11778" width="28.28515625" style="1" customWidth="1"/>
    <col min="11779" max="11779" width="4.7109375" style="1" customWidth="1"/>
    <col min="11780" max="11780" width="8.7109375" style="1" customWidth="1"/>
    <col min="11781" max="11781" width="9" style="1" customWidth="1"/>
    <col min="11782" max="11782" width="12.7109375" style="1" customWidth="1"/>
    <col min="11783" max="11783" width="10" style="1" customWidth="1"/>
    <col min="11784" max="11784" width="13.140625" style="1" customWidth="1"/>
    <col min="11785" max="11785" width="13" style="1" customWidth="1"/>
    <col min="11786" max="11786" width="6.7109375" style="1" customWidth="1"/>
    <col min="11787" max="11787" width="7.140625" style="1" customWidth="1"/>
    <col min="11788" max="11788" width="7.28515625" style="1" customWidth="1"/>
    <col min="11789" max="12032" width="9.140625" style="1"/>
    <col min="12033" max="12033" width="16.42578125" style="1" customWidth="1"/>
    <col min="12034" max="12034" width="28.28515625" style="1" customWidth="1"/>
    <col min="12035" max="12035" width="4.7109375" style="1" customWidth="1"/>
    <col min="12036" max="12036" width="8.7109375" style="1" customWidth="1"/>
    <col min="12037" max="12037" width="9" style="1" customWidth="1"/>
    <col min="12038" max="12038" width="12.7109375" style="1" customWidth="1"/>
    <col min="12039" max="12039" width="10" style="1" customWidth="1"/>
    <col min="12040" max="12040" width="13.140625" style="1" customWidth="1"/>
    <col min="12041" max="12041" width="13" style="1" customWidth="1"/>
    <col min="12042" max="12042" width="6.7109375" style="1" customWidth="1"/>
    <col min="12043" max="12043" width="7.140625" style="1" customWidth="1"/>
    <col min="12044" max="12044" width="7.28515625" style="1" customWidth="1"/>
    <col min="12045" max="12288" width="9.140625" style="1"/>
    <col min="12289" max="12289" width="16.42578125" style="1" customWidth="1"/>
    <col min="12290" max="12290" width="28.28515625" style="1" customWidth="1"/>
    <col min="12291" max="12291" width="4.7109375" style="1" customWidth="1"/>
    <col min="12292" max="12292" width="8.7109375" style="1" customWidth="1"/>
    <col min="12293" max="12293" width="9" style="1" customWidth="1"/>
    <col min="12294" max="12294" width="12.7109375" style="1" customWidth="1"/>
    <col min="12295" max="12295" width="10" style="1" customWidth="1"/>
    <col min="12296" max="12296" width="13.140625" style="1" customWidth="1"/>
    <col min="12297" max="12297" width="13" style="1" customWidth="1"/>
    <col min="12298" max="12298" width="6.7109375" style="1" customWidth="1"/>
    <col min="12299" max="12299" width="7.140625" style="1" customWidth="1"/>
    <col min="12300" max="12300" width="7.28515625" style="1" customWidth="1"/>
    <col min="12301" max="12544" width="9.140625" style="1"/>
    <col min="12545" max="12545" width="16.42578125" style="1" customWidth="1"/>
    <col min="12546" max="12546" width="28.28515625" style="1" customWidth="1"/>
    <col min="12547" max="12547" width="4.7109375" style="1" customWidth="1"/>
    <col min="12548" max="12548" width="8.7109375" style="1" customWidth="1"/>
    <col min="12549" max="12549" width="9" style="1" customWidth="1"/>
    <col min="12550" max="12550" width="12.7109375" style="1" customWidth="1"/>
    <col min="12551" max="12551" width="10" style="1" customWidth="1"/>
    <col min="12552" max="12552" width="13.140625" style="1" customWidth="1"/>
    <col min="12553" max="12553" width="13" style="1" customWidth="1"/>
    <col min="12554" max="12554" width="6.7109375" style="1" customWidth="1"/>
    <col min="12555" max="12555" width="7.140625" style="1" customWidth="1"/>
    <col min="12556" max="12556" width="7.28515625" style="1" customWidth="1"/>
    <col min="12557" max="12800" width="9.140625" style="1"/>
    <col min="12801" max="12801" width="16.42578125" style="1" customWidth="1"/>
    <col min="12802" max="12802" width="28.28515625" style="1" customWidth="1"/>
    <col min="12803" max="12803" width="4.7109375" style="1" customWidth="1"/>
    <col min="12804" max="12804" width="8.7109375" style="1" customWidth="1"/>
    <col min="12805" max="12805" width="9" style="1" customWidth="1"/>
    <col min="12806" max="12806" width="12.7109375" style="1" customWidth="1"/>
    <col min="12807" max="12807" width="10" style="1" customWidth="1"/>
    <col min="12808" max="12808" width="13.140625" style="1" customWidth="1"/>
    <col min="12809" max="12809" width="13" style="1" customWidth="1"/>
    <col min="12810" max="12810" width="6.7109375" style="1" customWidth="1"/>
    <col min="12811" max="12811" width="7.140625" style="1" customWidth="1"/>
    <col min="12812" max="12812" width="7.28515625" style="1" customWidth="1"/>
    <col min="12813" max="13056" width="9.140625" style="1"/>
    <col min="13057" max="13057" width="16.42578125" style="1" customWidth="1"/>
    <col min="13058" max="13058" width="28.28515625" style="1" customWidth="1"/>
    <col min="13059" max="13059" width="4.7109375" style="1" customWidth="1"/>
    <col min="13060" max="13060" width="8.7109375" style="1" customWidth="1"/>
    <col min="13061" max="13061" width="9" style="1" customWidth="1"/>
    <col min="13062" max="13062" width="12.7109375" style="1" customWidth="1"/>
    <col min="13063" max="13063" width="10" style="1" customWidth="1"/>
    <col min="13064" max="13064" width="13.140625" style="1" customWidth="1"/>
    <col min="13065" max="13065" width="13" style="1" customWidth="1"/>
    <col min="13066" max="13066" width="6.7109375" style="1" customWidth="1"/>
    <col min="13067" max="13067" width="7.140625" style="1" customWidth="1"/>
    <col min="13068" max="13068" width="7.28515625" style="1" customWidth="1"/>
    <col min="13069" max="13312" width="9.140625" style="1"/>
    <col min="13313" max="13313" width="16.42578125" style="1" customWidth="1"/>
    <col min="13314" max="13314" width="28.28515625" style="1" customWidth="1"/>
    <col min="13315" max="13315" width="4.7109375" style="1" customWidth="1"/>
    <col min="13316" max="13316" width="8.7109375" style="1" customWidth="1"/>
    <col min="13317" max="13317" width="9" style="1" customWidth="1"/>
    <col min="13318" max="13318" width="12.7109375" style="1" customWidth="1"/>
    <col min="13319" max="13319" width="10" style="1" customWidth="1"/>
    <col min="13320" max="13320" width="13.140625" style="1" customWidth="1"/>
    <col min="13321" max="13321" width="13" style="1" customWidth="1"/>
    <col min="13322" max="13322" width="6.7109375" style="1" customWidth="1"/>
    <col min="13323" max="13323" width="7.140625" style="1" customWidth="1"/>
    <col min="13324" max="13324" width="7.28515625" style="1" customWidth="1"/>
    <col min="13325" max="13568" width="9.140625" style="1"/>
    <col min="13569" max="13569" width="16.42578125" style="1" customWidth="1"/>
    <col min="13570" max="13570" width="28.28515625" style="1" customWidth="1"/>
    <col min="13571" max="13571" width="4.7109375" style="1" customWidth="1"/>
    <col min="13572" max="13572" width="8.7109375" style="1" customWidth="1"/>
    <col min="13573" max="13573" width="9" style="1" customWidth="1"/>
    <col min="13574" max="13574" width="12.7109375" style="1" customWidth="1"/>
    <col min="13575" max="13575" width="10" style="1" customWidth="1"/>
    <col min="13576" max="13576" width="13.140625" style="1" customWidth="1"/>
    <col min="13577" max="13577" width="13" style="1" customWidth="1"/>
    <col min="13578" max="13578" width="6.7109375" style="1" customWidth="1"/>
    <col min="13579" max="13579" width="7.140625" style="1" customWidth="1"/>
    <col min="13580" max="13580" width="7.28515625" style="1" customWidth="1"/>
    <col min="13581" max="13824" width="9.140625" style="1"/>
    <col min="13825" max="13825" width="16.42578125" style="1" customWidth="1"/>
    <col min="13826" max="13826" width="28.28515625" style="1" customWidth="1"/>
    <col min="13827" max="13827" width="4.7109375" style="1" customWidth="1"/>
    <col min="13828" max="13828" width="8.7109375" style="1" customWidth="1"/>
    <col min="13829" max="13829" width="9" style="1" customWidth="1"/>
    <col min="13830" max="13830" width="12.7109375" style="1" customWidth="1"/>
    <col min="13831" max="13831" width="10" style="1" customWidth="1"/>
    <col min="13832" max="13832" width="13.140625" style="1" customWidth="1"/>
    <col min="13833" max="13833" width="13" style="1" customWidth="1"/>
    <col min="13834" max="13834" width="6.7109375" style="1" customWidth="1"/>
    <col min="13835" max="13835" width="7.140625" style="1" customWidth="1"/>
    <col min="13836" max="13836" width="7.28515625" style="1" customWidth="1"/>
    <col min="13837" max="14080" width="9.140625" style="1"/>
    <col min="14081" max="14081" width="16.42578125" style="1" customWidth="1"/>
    <col min="14082" max="14082" width="28.28515625" style="1" customWidth="1"/>
    <col min="14083" max="14083" width="4.7109375" style="1" customWidth="1"/>
    <col min="14084" max="14084" width="8.7109375" style="1" customWidth="1"/>
    <col min="14085" max="14085" width="9" style="1" customWidth="1"/>
    <col min="14086" max="14086" width="12.7109375" style="1" customWidth="1"/>
    <col min="14087" max="14087" width="10" style="1" customWidth="1"/>
    <col min="14088" max="14088" width="13.140625" style="1" customWidth="1"/>
    <col min="14089" max="14089" width="13" style="1" customWidth="1"/>
    <col min="14090" max="14090" width="6.7109375" style="1" customWidth="1"/>
    <col min="14091" max="14091" width="7.140625" style="1" customWidth="1"/>
    <col min="14092" max="14092" width="7.28515625" style="1" customWidth="1"/>
    <col min="14093" max="14336" width="9.140625" style="1"/>
    <col min="14337" max="14337" width="16.42578125" style="1" customWidth="1"/>
    <col min="14338" max="14338" width="28.28515625" style="1" customWidth="1"/>
    <col min="14339" max="14339" width="4.7109375" style="1" customWidth="1"/>
    <col min="14340" max="14340" width="8.7109375" style="1" customWidth="1"/>
    <col min="14341" max="14341" width="9" style="1" customWidth="1"/>
    <col min="14342" max="14342" width="12.7109375" style="1" customWidth="1"/>
    <col min="14343" max="14343" width="10" style="1" customWidth="1"/>
    <col min="14344" max="14344" width="13.140625" style="1" customWidth="1"/>
    <col min="14345" max="14345" width="13" style="1" customWidth="1"/>
    <col min="14346" max="14346" width="6.7109375" style="1" customWidth="1"/>
    <col min="14347" max="14347" width="7.140625" style="1" customWidth="1"/>
    <col min="14348" max="14348" width="7.28515625" style="1" customWidth="1"/>
    <col min="14349" max="14592" width="9.140625" style="1"/>
    <col min="14593" max="14593" width="16.42578125" style="1" customWidth="1"/>
    <col min="14594" max="14594" width="28.28515625" style="1" customWidth="1"/>
    <col min="14595" max="14595" width="4.7109375" style="1" customWidth="1"/>
    <col min="14596" max="14596" width="8.7109375" style="1" customWidth="1"/>
    <col min="14597" max="14597" width="9" style="1" customWidth="1"/>
    <col min="14598" max="14598" width="12.7109375" style="1" customWidth="1"/>
    <col min="14599" max="14599" width="10" style="1" customWidth="1"/>
    <col min="14600" max="14600" width="13.140625" style="1" customWidth="1"/>
    <col min="14601" max="14601" width="13" style="1" customWidth="1"/>
    <col min="14602" max="14602" width="6.7109375" style="1" customWidth="1"/>
    <col min="14603" max="14603" width="7.140625" style="1" customWidth="1"/>
    <col min="14604" max="14604" width="7.28515625" style="1" customWidth="1"/>
    <col min="14605" max="14848" width="9.140625" style="1"/>
    <col min="14849" max="14849" width="16.42578125" style="1" customWidth="1"/>
    <col min="14850" max="14850" width="28.28515625" style="1" customWidth="1"/>
    <col min="14851" max="14851" width="4.7109375" style="1" customWidth="1"/>
    <col min="14852" max="14852" width="8.7109375" style="1" customWidth="1"/>
    <col min="14853" max="14853" width="9" style="1" customWidth="1"/>
    <col min="14854" max="14854" width="12.7109375" style="1" customWidth="1"/>
    <col min="14855" max="14855" width="10" style="1" customWidth="1"/>
    <col min="14856" max="14856" width="13.140625" style="1" customWidth="1"/>
    <col min="14857" max="14857" width="13" style="1" customWidth="1"/>
    <col min="14858" max="14858" width="6.7109375" style="1" customWidth="1"/>
    <col min="14859" max="14859" width="7.140625" style="1" customWidth="1"/>
    <col min="14860" max="14860" width="7.28515625" style="1" customWidth="1"/>
    <col min="14861" max="15104" width="9.140625" style="1"/>
    <col min="15105" max="15105" width="16.42578125" style="1" customWidth="1"/>
    <col min="15106" max="15106" width="28.28515625" style="1" customWidth="1"/>
    <col min="15107" max="15107" width="4.7109375" style="1" customWidth="1"/>
    <col min="15108" max="15108" width="8.7109375" style="1" customWidth="1"/>
    <col min="15109" max="15109" width="9" style="1" customWidth="1"/>
    <col min="15110" max="15110" width="12.7109375" style="1" customWidth="1"/>
    <col min="15111" max="15111" width="10" style="1" customWidth="1"/>
    <col min="15112" max="15112" width="13.140625" style="1" customWidth="1"/>
    <col min="15113" max="15113" width="13" style="1" customWidth="1"/>
    <col min="15114" max="15114" width="6.7109375" style="1" customWidth="1"/>
    <col min="15115" max="15115" width="7.140625" style="1" customWidth="1"/>
    <col min="15116" max="15116" width="7.28515625" style="1" customWidth="1"/>
    <col min="15117" max="15360" width="9.140625" style="1"/>
    <col min="15361" max="15361" width="16.42578125" style="1" customWidth="1"/>
    <col min="15362" max="15362" width="28.28515625" style="1" customWidth="1"/>
    <col min="15363" max="15363" width="4.7109375" style="1" customWidth="1"/>
    <col min="15364" max="15364" width="8.7109375" style="1" customWidth="1"/>
    <col min="15365" max="15365" width="9" style="1" customWidth="1"/>
    <col min="15366" max="15366" width="12.7109375" style="1" customWidth="1"/>
    <col min="15367" max="15367" width="10" style="1" customWidth="1"/>
    <col min="15368" max="15368" width="13.140625" style="1" customWidth="1"/>
    <col min="15369" max="15369" width="13" style="1" customWidth="1"/>
    <col min="15370" max="15370" width="6.7109375" style="1" customWidth="1"/>
    <col min="15371" max="15371" width="7.140625" style="1" customWidth="1"/>
    <col min="15372" max="15372" width="7.28515625" style="1" customWidth="1"/>
    <col min="15373" max="15616" width="9.140625" style="1"/>
    <col min="15617" max="15617" width="16.42578125" style="1" customWidth="1"/>
    <col min="15618" max="15618" width="28.28515625" style="1" customWidth="1"/>
    <col min="15619" max="15619" width="4.7109375" style="1" customWidth="1"/>
    <col min="15620" max="15620" width="8.7109375" style="1" customWidth="1"/>
    <col min="15621" max="15621" width="9" style="1" customWidth="1"/>
    <col min="15622" max="15622" width="12.7109375" style="1" customWidth="1"/>
    <col min="15623" max="15623" width="10" style="1" customWidth="1"/>
    <col min="15624" max="15624" width="13.140625" style="1" customWidth="1"/>
    <col min="15625" max="15625" width="13" style="1" customWidth="1"/>
    <col min="15626" max="15626" width="6.7109375" style="1" customWidth="1"/>
    <col min="15627" max="15627" width="7.140625" style="1" customWidth="1"/>
    <col min="15628" max="15628" width="7.28515625" style="1" customWidth="1"/>
    <col min="15629" max="15872" width="9.140625" style="1"/>
    <col min="15873" max="15873" width="16.42578125" style="1" customWidth="1"/>
    <col min="15874" max="15874" width="28.28515625" style="1" customWidth="1"/>
    <col min="15875" max="15875" width="4.7109375" style="1" customWidth="1"/>
    <col min="15876" max="15876" width="8.7109375" style="1" customWidth="1"/>
    <col min="15877" max="15877" width="9" style="1" customWidth="1"/>
    <col min="15878" max="15878" width="12.7109375" style="1" customWidth="1"/>
    <col min="15879" max="15879" width="10" style="1" customWidth="1"/>
    <col min="15880" max="15880" width="13.140625" style="1" customWidth="1"/>
    <col min="15881" max="15881" width="13" style="1" customWidth="1"/>
    <col min="15882" max="15882" width="6.7109375" style="1" customWidth="1"/>
    <col min="15883" max="15883" width="7.140625" style="1" customWidth="1"/>
    <col min="15884" max="15884" width="7.28515625" style="1" customWidth="1"/>
    <col min="15885" max="16128" width="9.140625" style="1"/>
    <col min="16129" max="16129" width="16.42578125" style="1" customWidth="1"/>
    <col min="16130" max="16130" width="28.28515625" style="1" customWidth="1"/>
    <col min="16131" max="16131" width="4.7109375" style="1" customWidth="1"/>
    <col min="16132" max="16132" width="8.7109375" style="1" customWidth="1"/>
    <col min="16133" max="16133" width="9" style="1" customWidth="1"/>
    <col min="16134" max="16134" width="12.7109375" style="1" customWidth="1"/>
    <col min="16135" max="16135" width="10" style="1" customWidth="1"/>
    <col min="16136" max="16136" width="13.140625" style="1" customWidth="1"/>
    <col min="16137" max="16137" width="13" style="1" customWidth="1"/>
    <col min="16138" max="16138" width="6.7109375" style="1" customWidth="1"/>
    <col min="16139" max="16139" width="7.140625" style="1" customWidth="1"/>
    <col min="16140" max="16140" width="7.28515625" style="1" customWidth="1"/>
    <col min="16141" max="16384" width="9.140625" style="1"/>
  </cols>
  <sheetData>
    <row r="1" spans="1:9" s="2" customFormat="1" ht="3.75" customHeight="1" x14ac:dyDescent="0.2">
      <c r="A1" s="25"/>
      <c r="B1" s="25"/>
      <c r="C1" s="25"/>
      <c r="D1" s="25"/>
      <c r="E1" s="104"/>
      <c r="F1" s="104"/>
      <c r="G1" s="105"/>
      <c r="H1" s="104"/>
      <c r="I1" s="25"/>
    </row>
    <row r="2" spans="1:9" s="2" customFormat="1" x14ac:dyDescent="0.2">
      <c r="A2" s="31"/>
      <c r="B2" s="31"/>
      <c r="C2" s="31"/>
      <c r="D2" s="31"/>
      <c r="E2" s="106"/>
      <c r="F2" s="106"/>
      <c r="G2" s="107"/>
      <c r="H2" s="106"/>
      <c r="I2" s="31"/>
    </row>
    <row r="3" spans="1:9" s="26" customFormat="1" ht="15.75" x14ac:dyDescent="0.25">
      <c r="A3" s="29" t="s">
        <v>24</v>
      </c>
      <c r="B3" s="28" t="s">
        <v>23</v>
      </c>
      <c r="E3" s="108"/>
      <c r="F3" s="108"/>
      <c r="G3" s="109"/>
      <c r="H3" s="108"/>
      <c r="I3" s="27"/>
    </row>
    <row r="4" spans="1:9" s="26" customFormat="1" ht="15.75" x14ac:dyDescent="0.25">
      <c r="A4" s="29" t="s">
        <v>22</v>
      </c>
      <c r="B4" s="30" t="s">
        <v>21</v>
      </c>
      <c r="E4" s="108"/>
      <c r="F4" s="108"/>
      <c r="G4" s="109"/>
      <c r="H4" s="108"/>
      <c r="I4" s="27"/>
    </row>
    <row r="5" spans="1:9" s="26" customFormat="1" ht="15.75" x14ac:dyDescent="0.25">
      <c r="A5" s="29" t="s">
        <v>20</v>
      </c>
      <c r="B5" s="28" t="s">
        <v>93</v>
      </c>
      <c r="E5" s="108"/>
      <c r="F5" s="108"/>
      <c r="G5" s="109"/>
      <c r="H5" s="108"/>
      <c r="I5" s="27"/>
    </row>
    <row r="6" spans="1:9" s="2" customFormat="1" x14ac:dyDescent="0.2">
      <c r="A6" s="25"/>
      <c r="B6" s="25"/>
      <c r="C6" s="25"/>
      <c r="D6" s="25"/>
      <c r="E6" s="104"/>
      <c r="F6" s="104"/>
      <c r="G6" s="105"/>
      <c r="H6" s="104"/>
      <c r="I6" s="25"/>
    </row>
    <row r="7" spans="1:9" s="2" customFormat="1" x14ac:dyDescent="0.2">
      <c r="E7" s="110"/>
      <c r="F7" s="110"/>
      <c r="G7" s="111"/>
      <c r="H7" s="110"/>
    </row>
    <row r="8" spans="1:9" ht="34.5" thickBot="1" x14ac:dyDescent="0.25">
      <c r="A8" s="24" t="s">
        <v>19</v>
      </c>
      <c r="B8" s="23" t="s">
        <v>18</v>
      </c>
      <c r="C8" s="22" t="s">
        <v>17</v>
      </c>
      <c r="D8" s="21" t="s">
        <v>16</v>
      </c>
      <c r="E8" s="112" t="s">
        <v>15</v>
      </c>
      <c r="F8" s="112" t="s">
        <v>14</v>
      </c>
      <c r="G8" s="112" t="s">
        <v>13</v>
      </c>
      <c r="H8" s="112" t="s">
        <v>12</v>
      </c>
      <c r="I8" s="20" t="s">
        <v>11</v>
      </c>
    </row>
    <row r="9" spans="1:9" ht="13.5" thickTop="1" x14ac:dyDescent="0.2">
      <c r="A9" s="14"/>
      <c r="B9" s="18"/>
      <c r="C9" s="12"/>
      <c r="D9" s="12"/>
      <c r="E9" s="113"/>
      <c r="F9" s="113"/>
      <c r="G9" s="114"/>
      <c r="H9" s="113"/>
      <c r="I9" s="12"/>
    </row>
    <row r="10" spans="1:9" x14ac:dyDescent="0.2">
      <c r="A10" s="17"/>
      <c r="B10" s="19"/>
      <c r="C10" s="16"/>
      <c r="D10" s="16"/>
      <c r="E10" s="115"/>
      <c r="F10" s="116"/>
      <c r="G10" s="117"/>
      <c r="H10" s="118"/>
      <c r="I10" s="15"/>
    </row>
    <row r="11" spans="1:9" x14ac:dyDescent="0.2">
      <c r="A11" s="17" t="s">
        <v>10</v>
      </c>
      <c r="B11" s="17" t="s">
        <v>9</v>
      </c>
      <c r="C11" s="16"/>
      <c r="D11" s="16"/>
      <c r="E11" s="115">
        <v>0</v>
      </c>
      <c r="F11" s="116">
        <f t="shared" ref="F11:F23" si="0">C11*E11</f>
        <v>0</v>
      </c>
      <c r="G11" s="117"/>
      <c r="H11" s="118">
        <f t="shared" ref="H11:H23" si="1">(1-(G11/100))*F11</f>
        <v>0</v>
      </c>
      <c r="I11" s="15"/>
    </row>
    <row r="12" spans="1:9" x14ac:dyDescent="0.2">
      <c r="A12" s="17" t="s">
        <v>76</v>
      </c>
      <c r="B12" s="17" t="s">
        <v>77</v>
      </c>
      <c r="C12" s="16"/>
      <c r="D12" s="16"/>
      <c r="E12" s="115">
        <v>0</v>
      </c>
      <c r="F12" s="116">
        <f t="shared" si="0"/>
        <v>0</v>
      </c>
      <c r="G12" s="117">
        <v>0</v>
      </c>
      <c r="H12" s="118">
        <f>(1-(G12/100))*F12</f>
        <v>0</v>
      </c>
      <c r="I12" s="15"/>
    </row>
    <row r="13" spans="1:9" x14ac:dyDescent="0.2">
      <c r="A13" s="17" t="s">
        <v>78</v>
      </c>
      <c r="B13" s="3" t="s">
        <v>79</v>
      </c>
      <c r="C13" s="16">
        <v>1</v>
      </c>
      <c r="D13" s="16"/>
      <c r="E13" s="115">
        <v>3.71</v>
      </c>
      <c r="F13" s="116">
        <f>C13*E13</f>
        <v>3.71</v>
      </c>
      <c r="G13" s="117">
        <v>50</v>
      </c>
      <c r="H13" s="118">
        <f t="shared" si="1"/>
        <v>1.855</v>
      </c>
      <c r="I13" s="15"/>
    </row>
    <row r="14" spans="1:9" ht="22.5" x14ac:dyDescent="0.2">
      <c r="A14" s="17" t="s">
        <v>80</v>
      </c>
      <c r="B14" s="3" t="s">
        <v>81</v>
      </c>
      <c r="C14" s="16">
        <v>1</v>
      </c>
      <c r="D14" s="16"/>
      <c r="E14" s="115">
        <v>3.71</v>
      </c>
      <c r="F14" s="116">
        <f t="shared" si="0"/>
        <v>3.71</v>
      </c>
      <c r="G14" s="117">
        <v>0</v>
      </c>
      <c r="H14" s="118">
        <f t="shared" si="1"/>
        <v>3.71</v>
      </c>
      <c r="I14" s="15"/>
    </row>
    <row r="15" spans="1:9" x14ac:dyDescent="0.2">
      <c r="A15" s="14" t="s">
        <v>8</v>
      </c>
      <c r="B15" s="18" t="s">
        <v>7</v>
      </c>
      <c r="C15" s="12">
        <v>2</v>
      </c>
      <c r="D15" s="12"/>
      <c r="E15" s="113">
        <v>3.71</v>
      </c>
      <c r="F15" s="113">
        <f t="shared" si="0"/>
        <v>7.42</v>
      </c>
      <c r="G15" s="114">
        <v>0</v>
      </c>
      <c r="H15" s="113">
        <f t="shared" si="1"/>
        <v>7.42</v>
      </c>
      <c r="I15" s="12"/>
    </row>
    <row r="16" spans="1:9" ht="22.5" x14ac:dyDescent="0.2">
      <c r="A16" s="17" t="s">
        <v>6</v>
      </c>
      <c r="B16" s="3" t="s">
        <v>5</v>
      </c>
      <c r="C16" s="16">
        <v>2</v>
      </c>
      <c r="D16" s="16"/>
      <c r="E16" s="115">
        <v>3.71</v>
      </c>
      <c r="F16" s="116">
        <f t="shared" si="0"/>
        <v>7.42</v>
      </c>
      <c r="G16" s="117">
        <v>0</v>
      </c>
      <c r="H16" s="118">
        <f t="shared" si="1"/>
        <v>7.42</v>
      </c>
      <c r="I16" s="15"/>
    </row>
    <row r="17" spans="1:9" x14ac:dyDescent="0.2">
      <c r="A17" s="17" t="s">
        <v>82</v>
      </c>
      <c r="B17" s="3" t="s">
        <v>83</v>
      </c>
      <c r="C17" s="16">
        <v>1</v>
      </c>
      <c r="D17" s="16"/>
      <c r="E17" s="115">
        <v>3.71</v>
      </c>
      <c r="F17" s="116">
        <f t="shared" si="0"/>
        <v>3.71</v>
      </c>
      <c r="G17" s="117">
        <v>0</v>
      </c>
      <c r="H17" s="118">
        <f t="shared" si="1"/>
        <v>3.71</v>
      </c>
      <c r="I17" s="15"/>
    </row>
    <row r="18" spans="1:9" ht="22.5" x14ac:dyDescent="0.2">
      <c r="A18" s="14" t="s">
        <v>84</v>
      </c>
      <c r="B18" s="13" t="s">
        <v>85</v>
      </c>
      <c r="C18" s="12">
        <v>3</v>
      </c>
      <c r="D18" s="12"/>
      <c r="E18" s="115">
        <v>3.71</v>
      </c>
      <c r="F18" s="116">
        <f t="shared" si="0"/>
        <v>11.129999999999999</v>
      </c>
      <c r="G18" s="114">
        <v>0</v>
      </c>
      <c r="H18" s="118">
        <f t="shared" si="1"/>
        <v>11.129999999999999</v>
      </c>
      <c r="I18" s="12"/>
    </row>
    <row r="19" spans="1:9" ht="22.5" x14ac:dyDescent="0.2">
      <c r="A19" s="14" t="s">
        <v>4</v>
      </c>
      <c r="B19" s="13" t="s">
        <v>3</v>
      </c>
      <c r="C19" s="12">
        <v>2</v>
      </c>
      <c r="D19" s="12"/>
      <c r="E19" s="115">
        <v>3.71</v>
      </c>
      <c r="F19" s="116">
        <f t="shared" si="0"/>
        <v>7.42</v>
      </c>
      <c r="G19" s="114">
        <v>0</v>
      </c>
      <c r="H19" s="118">
        <f t="shared" si="1"/>
        <v>7.42</v>
      </c>
      <c r="I19" s="12"/>
    </row>
    <row r="20" spans="1:9" x14ac:dyDescent="0.2">
      <c r="A20" s="14" t="s">
        <v>86</v>
      </c>
      <c r="B20" s="13" t="s">
        <v>87</v>
      </c>
      <c r="C20" s="12">
        <v>1</v>
      </c>
      <c r="D20" s="12"/>
      <c r="E20" s="115">
        <v>3.71</v>
      </c>
      <c r="F20" s="116">
        <f t="shared" si="0"/>
        <v>3.71</v>
      </c>
      <c r="G20" s="114">
        <v>0</v>
      </c>
      <c r="H20" s="118">
        <f t="shared" si="1"/>
        <v>3.71</v>
      </c>
      <c r="I20" s="12"/>
    </row>
    <row r="21" spans="1:9" x14ac:dyDescent="0.2">
      <c r="A21" s="14" t="s">
        <v>88</v>
      </c>
      <c r="B21" s="13" t="s">
        <v>89</v>
      </c>
      <c r="C21" s="12">
        <v>1</v>
      </c>
      <c r="D21" s="12"/>
      <c r="E21" s="115">
        <v>3.71</v>
      </c>
      <c r="F21" s="116">
        <f t="shared" si="0"/>
        <v>3.71</v>
      </c>
      <c r="G21" s="114">
        <v>0</v>
      </c>
      <c r="H21" s="118">
        <f t="shared" si="1"/>
        <v>3.71</v>
      </c>
      <c r="I21" s="12"/>
    </row>
    <row r="22" spans="1:9" x14ac:dyDescent="0.2">
      <c r="A22" s="14" t="s">
        <v>2</v>
      </c>
      <c r="B22" s="13" t="s">
        <v>1</v>
      </c>
      <c r="C22" s="12">
        <v>4</v>
      </c>
      <c r="D22" s="12"/>
      <c r="E22" s="115">
        <v>3.71</v>
      </c>
      <c r="F22" s="116">
        <f t="shared" si="0"/>
        <v>14.84</v>
      </c>
      <c r="G22" s="114">
        <v>0</v>
      </c>
      <c r="H22" s="118">
        <f t="shared" si="1"/>
        <v>14.84</v>
      </c>
      <c r="I22" s="12"/>
    </row>
    <row r="23" spans="1:9" x14ac:dyDescent="0.2">
      <c r="A23" s="14" t="s">
        <v>90</v>
      </c>
      <c r="B23" s="13" t="s">
        <v>91</v>
      </c>
      <c r="C23" s="12">
        <v>2</v>
      </c>
      <c r="D23" s="12"/>
      <c r="E23" s="115">
        <v>3.71</v>
      </c>
      <c r="F23" s="116">
        <f t="shared" si="0"/>
        <v>7.42</v>
      </c>
      <c r="G23" s="114">
        <v>0</v>
      </c>
      <c r="H23" s="118">
        <f t="shared" si="1"/>
        <v>7.42</v>
      </c>
      <c r="I23" s="12"/>
    </row>
    <row r="24" spans="1:9" x14ac:dyDescent="0.2">
      <c r="A24" s="14"/>
      <c r="B24" s="18"/>
      <c r="C24" s="12"/>
      <c r="D24" s="12"/>
      <c r="E24" s="113"/>
      <c r="F24" s="113"/>
      <c r="G24" s="114"/>
      <c r="H24" s="113"/>
      <c r="I24" s="12"/>
    </row>
    <row r="25" spans="1:9" x14ac:dyDescent="0.2">
      <c r="A25" s="17"/>
      <c r="B25" s="3"/>
      <c r="C25" s="16"/>
      <c r="D25" s="16"/>
      <c r="E25" s="115"/>
      <c r="F25" s="116"/>
      <c r="G25" s="117"/>
      <c r="H25" s="118"/>
      <c r="I25" s="15"/>
    </row>
    <row r="26" spans="1:9" x14ac:dyDescent="0.2">
      <c r="A26" s="17"/>
      <c r="B26" s="3"/>
      <c r="C26" s="16"/>
      <c r="D26" s="16"/>
      <c r="E26" s="115"/>
      <c r="F26" s="116"/>
      <c r="G26" s="117"/>
      <c r="H26" s="118"/>
      <c r="I26" s="15"/>
    </row>
    <row r="27" spans="1:9" x14ac:dyDescent="0.2">
      <c r="A27" s="14"/>
      <c r="B27" s="13"/>
      <c r="C27" s="12"/>
      <c r="D27" s="12"/>
      <c r="E27" s="115"/>
      <c r="F27" s="116"/>
      <c r="G27" s="114"/>
      <c r="H27" s="118"/>
      <c r="I27" s="12"/>
    </row>
    <row r="28" spans="1:9" x14ac:dyDescent="0.2">
      <c r="A28" s="11"/>
      <c r="B28" s="10"/>
      <c r="C28" s="9"/>
      <c r="D28" s="9"/>
      <c r="E28" s="119"/>
      <c r="F28" s="120"/>
      <c r="G28" s="121"/>
      <c r="H28" s="122"/>
      <c r="I28" s="9"/>
    </row>
    <row r="29" spans="1:9" ht="13.5" thickBot="1" x14ac:dyDescent="0.25">
      <c r="A29" s="8"/>
      <c r="B29" s="7"/>
      <c r="C29" s="6"/>
      <c r="D29" s="6"/>
      <c r="E29" s="123"/>
      <c r="F29" s="124"/>
      <c r="G29" s="125"/>
      <c r="H29" s="126"/>
      <c r="I29" s="6"/>
    </row>
    <row r="30" spans="1:9" s="4" customFormat="1" x14ac:dyDescent="0.2">
      <c r="A30" s="5"/>
      <c r="B30" s="3" t="s">
        <v>97</v>
      </c>
      <c r="C30" s="5"/>
      <c r="D30" s="5"/>
      <c r="E30" s="127"/>
      <c r="F30" s="116"/>
      <c r="G30" s="128"/>
      <c r="H30" s="127">
        <f>E11</f>
        <v>0</v>
      </c>
      <c r="I30" s="5"/>
    </row>
    <row r="31" spans="1:9" x14ac:dyDescent="0.2">
      <c r="A31" s="2"/>
      <c r="B31" s="3" t="s">
        <v>98</v>
      </c>
      <c r="C31" s="2"/>
      <c r="D31" s="2"/>
      <c r="E31" s="110"/>
      <c r="F31" s="116"/>
      <c r="G31" s="111"/>
      <c r="H31" s="110">
        <f>H11</f>
        <v>0</v>
      </c>
      <c r="I31" s="2"/>
    </row>
    <row r="32" spans="1:9" x14ac:dyDescent="0.2">
      <c r="A32" s="2"/>
      <c r="B32" s="3" t="s">
        <v>99</v>
      </c>
      <c r="C32" s="2"/>
      <c r="D32" s="2"/>
      <c r="E32" s="110"/>
      <c r="F32" s="116"/>
      <c r="G32" s="111"/>
      <c r="H32" s="110">
        <f>I11</f>
        <v>0</v>
      </c>
      <c r="I32" s="2"/>
    </row>
    <row r="33" spans="1:9" x14ac:dyDescent="0.2">
      <c r="A33" s="2"/>
      <c r="B33" s="3"/>
      <c r="C33" s="2"/>
      <c r="D33" s="2"/>
      <c r="E33" s="110"/>
      <c r="F33" s="116"/>
      <c r="G33" s="111"/>
      <c r="H33" s="110"/>
      <c r="I33" s="2"/>
    </row>
    <row r="34" spans="1:9" x14ac:dyDescent="0.2">
      <c r="A34" s="2"/>
      <c r="B34" s="2" t="s">
        <v>100</v>
      </c>
      <c r="C34" s="2"/>
      <c r="D34" s="2"/>
      <c r="E34" s="110"/>
      <c r="F34" s="116"/>
      <c r="G34" s="111"/>
      <c r="H34" s="110">
        <f>SUM(H31,H32)</f>
        <v>0</v>
      </c>
      <c r="I34" s="2"/>
    </row>
    <row r="35" spans="1:9" x14ac:dyDescent="0.2">
      <c r="A35" s="2"/>
      <c r="B35" s="2"/>
      <c r="C35" s="2"/>
      <c r="D35" s="2"/>
      <c r="E35" s="110"/>
      <c r="F35" s="110"/>
      <c r="G35" s="111"/>
      <c r="H35" s="110"/>
      <c r="I35" s="2"/>
    </row>
  </sheetData>
  <printOptions horizontalCentered="1"/>
  <pageMargins left="0.75" right="0.75" top="1.1499999999999999" bottom="0.65" header="0.35" footer="0.35"/>
  <pageSetup paperSize="9" scale="74" orientation="portrait" r:id="rId1"/>
  <headerFooter alignWithMargins="0">
    <oddHeader>&amp;L&amp;G</oddHeader>
    <oddFooter>&amp;CCommercial in Confidence&amp;RPage &amp;P of &amp;N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59"/>
  <sheetViews>
    <sheetView view="pageBreakPreview" topLeftCell="A31" zoomScaleNormal="100" workbookViewId="0">
      <selection activeCell="G55" sqref="G55"/>
    </sheetView>
  </sheetViews>
  <sheetFormatPr defaultRowHeight="12.75" x14ac:dyDescent="0.2"/>
  <cols>
    <col min="1" max="1" width="16.7109375" style="1" customWidth="1"/>
    <col min="2" max="2" width="20.140625" style="1" customWidth="1"/>
    <col min="3" max="3" width="9" style="1" customWidth="1"/>
    <col min="4" max="4" width="6" style="1" customWidth="1"/>
    <col min="5" max="5" width="13.140625" style="1" customWidth="1"/>
    <col min="6" max="6" width="11.5703125" style="1" hidden="1" customWidth="1"/>
    <col min="7" max="8" width="11.140625" style="1" customWidth="1"/>
    <col min="9" max="9" width="6.7109375" style="1" customWidth="1"/>
    <col min="10" max="10" width="7.140625" style="1" customWidth="1"/>
    <col min="11" max="11" width="7.28515625" style="1" customWidth="1"/>
    <col min="12" max="16384" width="9.140625" style="1"/>
  </cols>
  <sheetData>
    <row r="1" spans="1:8" s="2" customFormat="1" ht="3.75" customHeight="1" x14ac:dyDescent="0.2">
      <c r="A1" s="25"/>
      <c r="B1" s="25"/>
      <c r="C1" s="25"/>
      <c r="D1" s="25"/>
      <c r="E1" s="25"/>
      <c r="F1" s="25"/>
      <c r="G1" s="25"/>
      <c r="H1" s="31"/>
    </row>
    <row r="2" spans="1:8" s="2" customFormat="1" x14ac:dyDescent="0.2">
      <c r="A2" s="31"/>
      <c r="B2" s="31"/>
      <c r="C2" s="31"/>
      <c r="D2" s="31"/>
      <c r="E2" s="31"/>
      <c r="F2" s="31"/>
      <c r="G2" s="31"/>
      <c r="H2" s="31"/>
    </row>
    <row r="3" spans="1:8" s="31" customFormat="1" x14ac:dyDescent="0.2">
      <c r="A3" s="38" t="s">
        <v>61</v>
      </c>
      <c r="E3" s="38" t="s">
        <v>60</v>
      </c>
    </row>
    <row r="4" spans="1:8" s="31" customFormat="1" x14ac:dyDescent="0.2">
      <c r="A4" s="38" t="s">
        <v>59</v>
      </c>
      <c r="E4" s="38" t="s">
        <v>58</v>
      </c>
      <c r="F4" s="31" t="s">
        <v>28</v>
      </c>
    </row>
    <row r="5" spans="1:8" s="31" customFormat="1" x14ac:dyDescent="0.2">
      <c r="A5" s="38"/>
      <c r="E5" s="38"/>
    </row>
    <row r="6" spans="1:8" s="31" customFormat="1" x14ac:dyDescent="0.2">
      <c r="A6" s="38" t="s">
        <v>57</v>
      </c>
      <c r="E6" s="38" t="s">
        <v>57</v>
      </c>
    </row>
    <row r="7" spans="1:8" s="2" customFormat="1" x14ac:dyDescent="0.2">
      <c r="A7" s="25"/>
      <c r="B7" s="25"/>
      <c r="C7" s="25"/>
      <c r="D7" s="25"/>
      <c r="E7" s="25"/>
      <c r="F7" s="25"/>
      <c r="G7" s="25"/>
      <c r="H7" s="31"/>
    </row>
    <row r="8" spans="1:8" s="2" customFormat="1" x14ac:dyDescent="0.2">
      <c r="A8" s="31"/>
      <c r="B8" s="31"/>
      <c r="C8" s="31"/>
      <c r="D8" s="31"/>
      <c r="E8" s="31"/>
      <c r="F8" s="31"/>
      <c r="G8" s="31"/>
      <c r="H8" s="31"/>
    </row>
    <row r="9" spans="1:8" s="26" customFormat="1" ht="15.75" x14ac:dyDescent="0.25">
      <c r="A9" s="29" t="s">
        <v>24</v>
      </c>
      <c r="B9" s="28" t="s">
        <v>23</v>
      </c>
    </row>
    <row r="10" spans="1:8" s="26" customFormat="1" ht="15.75" x14ac:dyDescent="0.25">
      <c r="A10" s="29" t="s">
        <v>22</v>
      </c>
      <c r="B10" s="30" t="s">
        <v>21</v>
      </c>
    </row>
    <row r="11" spans="1:8" s="26" customFormat="1" ht="15.75" x14ac:dyDescent="0.25">
      <c r="A11" s="89" t="s">
        <v>20</v>
      </c>
      <c r="B11" s="88" t="s">
        <v>93</v>
      </c>
      <c r="C11" s="27"/>
      <c r="D11" s="27"/>
      <c r="E11" s="27"/>
      <c r="F11" s="27"/>
      <c r="G11" s="27"/>
      <c r="H11" s="27"/>
    </row>
    <row r="12" spans="1:8" s="2" customFormat="1" ht="15.75" x14ac:dyDescent="0.25">
      <c r="A12" s="87"/>
      <c r="B12" s="86"/>
      <c r="C12" s="31"/>
      <c r="D12" s="31"/>
      <c r="E12" s="31"/>
      <c r="F12" s="31"/>
      <c r="G12" s="31"/>
      <c r="H12" s="31"/>
    </row>
    <row r="13" spans="1:8" s="2" customFormat="1" x14ac:dyDescent="0.2">
      <c r="A13" s="31"/>
      <c r="B13" s="31"/>
      <c r="C13" s="31"/>
      <c r="D13" s="31"/>
      <c r="E13" s="31"/>
      <c r="F13" s="31"/>
      <c r="G13" s="31"/>
      <c r="H13" s="31"/>
    </row>
    <row r="14" spans="1:8" s="2" customFormat="1" ht="15.75" x14ac:dyDescent="0.25">
      <c r="A14" s="46" t="s">
        <v>56</v>
      </c>
      <c r="B14" s="45"/>
      <c r="C14" s="45"/>
      <c r="D14" s="45"/>
      <c r="E14" s="45"/>
      <c r="F14" s="45"/>
      <c r="G14" s="44"/>
      <c r="H14" s="45"/>
    </row>
    <row r="15" spans="1:8" s="2" customFormat="1" ht="15.75" x14ac:dyDescent="0.25">
      <c r="A15" s="85"/>
    </row>
    <row r="16" spans="1:8" s="2" customFormat="1" ht="64.5" thickBot="1" x14ac:dyDescent="0.25">
      <c r="A16" s="38" t="s">
        <v>55</v>
      </c>
      <c r="B16" s="31"/>
      <c r="C16" s="31"/>
      <c r="D16" s="31"/>
      <c r="E16" s="50" t="s">
        <v>94</v>
      </c>
      <c r="G16" s="103" t="s">
        <v>95</v>
      </c>
      <c r="H16" s="103" t="s">
        <v>96</v>
      </c>
    </row>
    <row r="17" spans="1:8" s="5" customFormat="1" ht="13.5" thickTop="1" x14ac:dyDescent="0.2">
      <c r="A17" s="84" t="s">
        <v>51</v>
      </c>
      <c r="B17" s="83"/>
      <c r="C17" s="83"/>
      <c r="D17" s="83"/>
      <c r="E17" s="82"/>
      <c r="F17" s="82"/>
      <c r="G17" s="82">
        <v>100</v>
      </c>
      <c r="H17" s="81">
        <f>SUM(E17:G17)</f>
        <v>100</v>
      </c>
    </row>
    <row r="18" spans="1:8" s="5" customFormat="1" x14ac:dyDescent="0.2">
      <c r="A18" s="38"/>
      <c r="B18" s="50" t="s">
        <v>54</v>
      </c>
      <c r="C18" s="38"/>
      <c r="D18" s="38"/>
      <c r="E18" s="50">
        <v>100</v>
      </c>
      <c r="F18" s="50"/>
      <c r="G18" s="50"/>
      <c r="H18" s="79"/>
    </row>
    <row r="19" spans="1:8" s="5" customFormat="1" x14ac:dyDescent="0.2">
      <c r="A19" s="38"/>
      <c r="B19" s="50" t="s">
        <v>53</v>
      </c>
      <c r="C19" s="38"/>
      <c r="D19" s="38"/>
      <c r="E19" s="50">
        <v>500</v>
      </c>
      <c r="F19" s="50"/>
      <c r="G19" s="50"/>
      <c r="H19" s="79"/>
    </row>
    <row r="20" spans="1:8" s="5" customFormat="1" x14ac:dyDescent="0.2">
      <c r="A20" s="38"/>
      <c r="B20" s="50" t="s">
        <v>52</v>
      </c>
      <c r="C20" s="38"/>
      <c r="D20" s="38"/>
      <c r="E20" s="50">
        <v>120</v>
      </c>
      <c r="F20" s="50"/>
      <c r="G20" s="50"/>
      <c r="H20" s="79"/>
    </row>
    <row r="21" spans="1:8" s="38" customFormat="1" x14ac:dyDescent="0.2">
      <c r="A21" s="38" t="s">
        <v>50</v>
      </c>
      <c r="F21" s="50"/>
      <c r="G21" s="50">
        <v>100</v>
      </c>
      <c r="H21" s="79">
        <f>SUM(E21:G21)</f>
        <v>100</v>
      </c>
    </row>
    <row r="22" spans="1:8" s="38" customFormat="1" x14ac:dyDescent="0.2">
      <c r="B22" s="50" t="s">
        <v>54</v>
      </c>
      <c r="E22" s="50">
        <v>100</v>
      </c>
      <c r="F22" s="50"/>
      <c r="G22" s="50"/>
      <c r="H22" s="79"/>
    </row>
    <row r="23" spans="1:8" s="38" customFormat="1" x14ac:dyDescent="0.2">
      <c r="B23" s="50" t="s">
        <v>53</v>
      </c>
      <c r="E23" s="50">
        <v>500</v>
      </c>
      <c r="F23" s="50"/>
      <c r="G23" s="50"/>
      <c r="H23" s="79"/>
    </row>
    <row r="24" spans="1:8" s="38" customFormat="1" x14ac:dyDescent="0.2">
      <c r="B24" s="50" t="s">
        <v>52</v>
      </c>
      <c r="E24" s="50">
        <v>120</v>
      </c>
      <c r="F24" s="50"/>
      <c r="G24" s="50"/>
      <c r="H24" s="79"/>
    </row>
    <row r="25" spans="1:8" s="5" customFormat="1" x14ac:dyDescent="0.2">
      <c r="A25" s="80" t="s">
        <v>49</v>
      </c>
      <c r="B25" s="38"/>
      <c r="C25" s="38"/>
      <c r="D25" s="38"/>
      <c r="E25" s="50">
        <v>100</v>
      </c>
      <c r="F25" s="50"/>
      <c r="G25" s="50">
        <v>100</v>
      </c>
      <c r="H25" s="79">
        <f>SUM(E25:G25)</f>
        <v>200</v>
      </c>
    </row>
    <row r="26" spans="1:8" s="2" customFormat="1" ht="13.5" thickBot="1" x14ac:dyDescent="0.25">
      <c r="A26" s="78"/>
      <c r="B26" s="77"/>
      <c r="C26" s="76"/>
      <c r="D26" s="76"/>
      <c r="E26" s="75"/>
      <c r="F26" s="75"/>
      <c r="G26" s="75"/>
      <c r="H26" s="74"/>
    </row>
    <row r="27" spans="1:8" s="5" customFormat="1" ht="13.5" thickTop="1" x14ac:dyDescent="0.2">
      <c r="A27" s="73" t="s">
        <v>48</v>
      </c>
      <c r="B27" s="72"/>
      <c r="C27" s="72"/>
      <c r="D27" s="72"/>
      <c r="E27" s="71">
        <f>E22+E17+E25</f>
        <v>200</v>
      </c>
      <c r="F27" s="71">
        <f>F21+F17+F25</f>
        <v>0</v>
      </c>
      <c r="G27" s="70">
        <f>G21+G17+G25</f>
        <v>300</v>
      </c>
      <c r="H27" s="70">
        <f>SUM(E27:G27)</f>
        <v>500</v>
      </c>
    </row>
    <row r="28" spans="1:8" s="5" customFormat="1" x14ac:dyDescent="0.2">
      <c r="A28" s="69" t="s">
        <v>47</v>
      </c>
      <c r="B28" s="68"/>
      <c r="C28" s="68"/>
      <c r="D28" s="68"/>
      <c r="E28" s="67"/>
      <c r="F28" s="67"/>
      <c r="G28" s="66"/>
      <c r="H28" s="66"/>
    </row>
    <row r="29" spans="1:8" s="60" customFormat="1" ht="12" x14ac:dyDescent="0.2">
      <c r="A29" s="65"/>
      <c r="B29" s="63" t="s">
        <v>46</v>
      </c>
      <c r="C29" s="63"/>
      <c r="D29" s="63"/>
      <c r="E29" s="62"/>
      <c r="F29" s="62"/>
      <c r="G29" s="61"/>
      <c r="H29" s="61"/>
    </row>
    <row r="30" spans="1:8" s="60" customFormat="1" ht="12" x14ac:dyDescent="0.2">
      <c r="A30" s="65"/>
      <c r="B30" s="63" t="s">
        <v>45</v>
      </c>
      <c r="C30" s="63"/>
      <c r="D30" s="63"/>
      <c r="E30" s="62"/>
      <c r="F30" s="62"/>
      <c r="G30" s="61"/>
      <c r="H30" s="61"/>
    </row>
    <row r="31" spans="1:8" s="60" customFormat="1" ht="12" x14ac:dyDescent="0.2">
      <c r="A31" s="65"/>
      <c r="B31" s="63" t="s">
        <v>44</v>
      </c>
      <c r="C31" s="63"/>
      <c r="D31" s="63"/>
      <c r="E31" s="62"/>
      <c r="F31" s="62"/>
      <c r="G31" s="61"/>
      <c r="H31" s="61"/>
    </row>
    <row r="32" spans="1:8" s="60" customFormat="1" ht="12" x14ac:dyDescent="0.2">
      <c r="A32" s="65"/>
      <c r="B32" s="63" t="s">
        <v>43</v>
      </c>
      <c r="C32" s="63"/>
      <c r="D32" s="63"/>
      <c r="E32" s="62"/>
      <c r="F32" s="62"/>
      <c r="G32" s="61"/>
      <c r="H32" s="61"/>
    </row>
    <row r="33" spans="1:10" s="60" customFormat="1" ht="12" x14ac:dyDescent="0.2">
      <c r="A33" s="64" t="s">
        <v>42</v>
      </c>
      <c r="B33" s="63"/>
      <c r="C33" s="63"/>
      <c r="D33" s="63"/>
      <c r="E33" s="62"/>
      <c r="F33" s="62"/>
      <c r="G33" s="61"/>
      <c r="H33" s="61"/>
    </row>
    <row r="34" spans="1:10" s="60" customFormat="1" ht="12" x14ac:dyDescent="0.2">
      <c r="A34" s="64"/>
      <c r="B34" s="63" t="s">
        <v>41</v>
      </c>
      <c r="C34" s="63"/>
      <c r="D34" s="63"/>
      <c r="E34" s="62"/>
      <c r="F34" s="62"/>
      <c r="G34" s="61"/>
      <c r="H34" s="61"/>
    </row>
    <row r="35" spans="1:10" s="2" customFormat="1" ht="13.5" thickBot="1" x14ac:dyDescent="0.25">
      <c r="A35" s="59"/>
      <c r="B35" s="58"/>
      <c r="C35" s="57"/>
      <c r="D35" s="57"/>
      <c r="E35" s="56"/>
      <c r="F35" s="56"/>
      <c r="G35" s="55"/>
      <c r="H35" s="55">
        <f>SUM(E35:G35)</f>
        <v>0</v>
      </c>
    </row>
    <row r="36" spans="1:10" s="5" customFormat="1" ht="14.25" thickTop="1" thickBot="1" x14ac:dyDescent="0.25">
      <c r="A36" s="54" t="s">
        <v>40</v>
      </c>
      <c r="B36" s="53"/>
      <c r="C36" s="53"/>
      <c r="D36" s="53"/>
      <c r="E36" s="52">
        <f>E27-E28</f>
        <v>200</v>
      </c>
      <c r="F36" s="52">
        <f>F27-F28</f>
        <v>0</v>
      </c>
      <c r="G36" s="51">
        <f>G27-G28</f>
        <v>300</v>
      </c>
      <c r="H36" s="51">
        <f>SUM(E36:G36)</f>
        <v>500</v>
      </c>
    </row>
    <row r="37" spans="1:10" s="5" customFormat="1" ht="13.5" thickTop="1" x14ac:dyDescent="0.2">
      <c r="A37" s="38"/>
      <c r="B37" s="38"/>
      <c r="C37" s="38"/>
      <c r="D37" s="38"/>
      <c r="E37" s="50"/>
      <c r="F37" s="50"/>
      <c r="G37" s="50"/>
      <c r="H37" s="50"/>
    </row>
    <row r="38" spans="1:10" s="2" customFormat="1" x14ac:dyDescent="0.2"/>
    <row r="39" spans="1:10" s="42" customFormat="1" ht="15.75" x14ac:dyDescent="0.25">
      <c r="A39" s="46" t="s">
        <v>39</v>
      </c>
      <c r="B39" s="45"/>
      <c r="C39" s="45"/>
      <c r="D39" s="45"/>
      <c r="E39" s="45"/>
      <c r="F39" s="45"/>
      <c r="G39" s="45"/>
      <c r="H39" s="44"/>
      <c r="I39" s="43"/>
    </row>
    <row r="40" spans="1:10" s="2" customFormat="1" x14ac:dyDescent="0.2"/>
    <row r="41" spans="1:10" s="2" customFormat="1" x14ac:dyDescent="0.2">
      <c r="A41" s="49" t="s">
        <v>38</v>
      </c>
      <c r="B41" s="48"/>
      <c r="C41" s="48"/>
      <c r="D41" s="48"/>
      <c r="E41" s="48"/>
      <c r="F41" s="48"/>
      <c r="G41" s="48"/>
      <c r="H41" s="47"/>
      <c r="I41" s="31"/>
      <c r="J41" s="31"/>
    </row>
    <row r="42" spans="1:10" s="2" customFormat="1" x14ac:dyDescent="0.2">
      <c r="A42" s="37" t="s">
        <v>37</v>
      </c>
      <c r="B42" s="31"/>
      <c r="C42" s="31"/>
      <c r="D42" s="31"/>
      <c r="E42" s="31"/>
      <c r="F42" s="31"/>
      <c r="G42" s="31"/>
      <c r="H42" s="36"/>
      <c r="I42" s="31"/>
      <c r="J42" s="31"/>
    </row>
    <row r="43" spans="1:10" s="2" customFormat="1" x14ac:dyDescent="0.2">
      <c r="A43" s="37" t="s">
        <v>36</v>
      </c>
      <c r="B43" s="31"/>
      <c r="C43" s="31"/>
      <c r="D43" s="31"/>
      <c r="E43" s="31"/>
      <c r="F43" s="31"/>
      <c r="G43" s="31"/>
      <c r="H43" s="36"/>
      <c r="I43" s="31"/>
      <c r="J43" s="31"/>
    </row>
    <row r="44" spans="1:10" s="2" customFormat="1" x14ac:dyDescent="0.2">
      <c r="A44" s="37" t="s">
        <v>35</v>
      </c>
      <c r="B44" s="31"/>
      <c r="C44" s="31"/>
      <c r="D44" s="31"/>
      <c r="E44" s="31"/>
      <c r="F44" s="31"/>
      <c r="G44" s="31"/>
      <c r="H44" s="36"/>
      <c r="I44" s="31"/>
      <c r="J44" s="31"/>
    </row>
    <row r="45" spans="1:10" s="2" customFormat="1" x14ac:dyDescent="0.2">
      <c r="A45" s="37" t="s">
        <v>34</v>
      </c>
      <c r="B45" s="31"/>
      <c r="C45" s="31"/>
      <c r="D45" s="31"/>
      <c r="E45" s="31"/>
      <c r="F45" s="31"/>
      <c r="G45" s="31"/>
      <c r="H45" s="36"/>
      <c r="I45" s="31"/>
      <c r="J45" s="31"/>
    </row>
    <row r="46" spans="1:10" s="2" customFormat="1" x14ac:dyDescent="0.2">
      <c r="A46" s="37" t="s">
        <v>34</v>
      </c>
      <c r="B46" s="31"/>
      <c r="C46" s="31"/>
      <c r="D46" s="31"/>
      <c r="E46" s="31"/>
      <c r="F46" s="31"/>
      <c r="G46" s="31"/>
      <c r="H46" s="36"/>
      <c r="I46" s="31"/>
      <c r="J46" s="31"/>
    </row>
    <row r="47" spans="1:10" s="2" customFormat="1" x14ac:dyDescent="0.2">
      <c r="A47" s="35"/>
      <c r="B47" s="25"/>
      <c r="C47" s="25"/>
      <c r="D47" s="25"/>
      <c r="E47" s="25"/>
      <c r="F47" s="25"/>
      <c r="G47" s="25"/>
      <c r="H47" s="34"/>
      <c r="I47" s="31"/>
      <c r="J47" s="31"/>
    </row>
    <row r="48" spans="1:10" s="2" customFormat="1" x14ac:dyDescent="0.2"/>
    <row r="49" spans="1:10" s="42" customFormat="1" ht="15.75" x14ac:dyDescent="0.25">
      <c r="A49" s="46" t="s">
        <v>33</v>
      </c>
      <c r="B49" s="45"/>
      <c r="C49" s="45"/>
      <c r="D49" s="45"/>
      <c r="E49" s="45"/>
      <c r="F49" s="45"/>
      <c r="G49" s="45"/>
      <c r="H49" s="44"/>
      <c r="I49" s="43"/>
    </row>
    <row r="50" spans="1:10" s="2" customFormat="1" x14ac:dyDescent="0.2"/>
    <row r="51" spans="1:10" s="5" customFormat="1" x14ac:dyDescent="0.2">
      <c r="A51" s="41" t="s">
        <v>32</v>
      </c>
      <c r="B51" s="41" t="s">
        <v>31</v>
      </c>
      <c r="C51" s="41" t="s">
        <v>30</v>
      </c>
      <c r="D51" s="40"/>
      <c r="E51" s="40"/>
      <c r="F51" s="40"/>
      <c r="G51" s="40"/>
      <c r="H51" s="39"/>
      <c r="I51" s="38"/>
      <c r="J51" s="38"/>
    </row>
    <row r="52" spans="1:10" s="2" customFormat="1" x14ac:dyDescent="0.2">
      <c r="A52" s="37" t="s">
        <v>29</v>
      </c>
      <c r="B52" s="37" t="s">
        <v>26</v>
      </c>
      <c r="C52" s="37" t="s">
        <v>28</v>
      </c>
      <c r="D52" s="31"/>
      <c r="E52" s="31"/>
      <c r="F52" s="31"/>
      <c r="G52" s="31"/>
      <c r="H52" s="36"/>
      <c r="I52" s="31"/>
      <c r="J52" s="31"/>
    </row>
    <row r="53" spans="1:10" s="2" customFormat="1" x14ac:dyDescent="0.2">
      <c r="A53" s="37" t="s">
        <v>27</v>
      </c>
      <c r="B53" s="37" t="s">
        <v>26</v>
      </c>
      <c r="C53" s="37" t="s">
        <v>25</v>
      </c>
      <c r="D53" s="31"/>
      <c r="E53" s="31"/>
      <c r="F53" s="31"/>
      <c r="G53" s="31"/>
      <c r="H53" s="36"/>
      <c r="I53" s="31"/>
      <c r="J53" s="31"/>
    </row>
    <row r="54" spans="1:10" s="2" customFormat="1" x14ac:dyDescent="0.2">
      <c r="A54" s="37"/>
      <c r="B54" s="37"/>
      <c r="C54" s="37"/>
      <c r="D54" s="31"/>
      <c r="E54" s="31"/>
      <c r="F54" s="31"/>
      <c r="G54" s="31"/>
      <c r="H54" s="36"/>
      <c r="I54" s="31"/>
      <c r="J54" s="31"/>
    </row>
    <row r="55" spans="1:10" s="2" customFormat="1" x14ac:dyDescent="0.2">
      <c r="A55" s="37"/>
      <c r="B55" s="37"/>
      <c r="C55" s="37"/>
      <c r="D55" s="31"/>
      <c r="E55" s="31"/>
      <c r="F55" s="31"/>
      <c r="G55" s="31"/>
      <c r="H55" s="36"/>
      <c r="I55" s="31"/>
      <c r="J55" s="31"/>
    </row>
    <row r="56" spans="1:10" s="2" customFormat="1" x14ac:dyDescent="0.2">
      <c r="A56" s="35"/>
      <c r="B56" s="35"/>
      <c r="C56" s="35"/>
      <c r="D56" s="25"/>
      <c r="E56" s="25"/>
      <c r="F56" s="25"/>
      <c r="G56" s="25"/>
      <c r="H56" s="34"/>
      <c r="I56" s="31"/>
      <c r="J56" s="31"/>
    </row>
    <row r="57" spans="1:10" s="2" customFormat="1" x14ac:dyDescent="0.2"/>
    <row r="58" spans="1:10" s="2" customFormat="1" x14ac:dyDescent="0.2"/>
    <row r="59" spans="1:10" s="2" customFormat="1" x14ac:dyDescent="0.2"/>
  </sheetData>
  <printOptions horizontalCentered="1"/>
  <pageMargins left="0.75" right="0.75" top="1.36" bottom="0.65" header="0.35" footer="0.35"/>
  <pageSetup paperSize="9" scale="86" fitToWidth="2" orientation="portrait" r:id="rId1"/>
  <headerFooter alignWithMargins="0">
    <oddHeader>&amp;C&amp;G</oddHeader>
    <oddFooter>&amp;CCommercial in Confidence&amp;RPage &amp;P of &amp;N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Database</vt:lpstr>
      <vt:lpstr>detail Template</vt:lpstr>
      <vt:lpstr>Summary</vt:lpstr>
      <vt:lpstr>Summary!Print_Area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Jace</dc:creator>
  <cp:lastModifiedBy>Jace</cp:lastModifiedBy>
  <dcterms:created xsi:type="dcterms:W3CDTF">2012-03-23T00:13:28Z</dcterms:created>
  <dcterms:modified xsi:type="dcterms:W3CDTF">2012-04-20T08:03:08Z</dcterms:modified>
</cp:coreProperties>
</file>
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35" windowWidth="13140" windowHeight="5265" activeTab="1"/>
  </bookViews>
  <sheets>
    <sheet name="Sheet1" sheetId="1" r:id="rId1"/>
    <sheet name="Database" sheetId="2" r:id="rId2"/>
    <sheet name="detail boq Template" sheetId="4" r:id="rId3"/>
    <sheet name="Summary" sheetId="5" r:id="rId4"/>
  </sheets>
  <functionGroups builtInGroupCount="17"/>
  <definedNames>
    <definedName name="_xlnm._FilterDatabase" localSheetId="1" hidden="1">Database!$A$1:$G$18</definedName>
    <definedName name="_xlnm.Print_Area" localSheetId="3">Summary!$A$1:$H$51</definedName>
  </definedNames>
  <calcPr calcId="145621"/>
  <fileRecoveryPr repairLoad="1"/>
</workbook>
</file>

<file path=xl/calcChain.xml><?xml version="1.0" encoding="utf-8"?>
<calcChain xmlns="http://schemas.openxmlformats.org/spreadsheetml/2006/main">
  <c r="M69" i="2" l="1"/>
  <c r="K69" i="2"/>
  <c r="M67" i="2"/>
  <c r="K67" i="2"/>
  <c r="M66" i="2"/>
  <c r="K66" i="2"/>
  <c r="M62" i="2"/>
  <c r="K62" i="2"/>
  <c r="M61" i="2"/>
  <c r="K61" i="2"/>
  <c r="M60" i="2"/>
  <c r="K60" i="2"/>
  <c r="M58" i="2"/>
  <c r="K58" i="2"/>
  <c r="M57" i="2"/>
  <c r="K57" i="2"/>
  <c r="M56" i="2"/>
  <c r="K56" i="2"/>
  <c r="M54" i="2"/>
  <c r="K54" i="2"/>
  <c r="M53" i="2"/>
  <c r="K53" i="2"/>
  <c r="M52" i="2"/>
  <c r="K52" i="2"/>
  <c r="M48" i="2"/>
  <c r="K48" i="2"/>
  <c r="M44" i="2"/>
  <c r="K44" i="2"/>
  <c r="M43" i="2"/>
  <c r="K43" i="2"/>
  <c r="M42" i="2"/>
  <c r="K42" i="2"/>
  <c r="M41" i="2"/>
  <c r="K41" i="2"/>
  <c r="M40" i="2"/>
  <c r="K40" i="2"/>
  <c r="M39" i="2"/>
  <c r="K39" i="2"/>
  <c r="M38" i="2"/>
  <c r="K38" i="2"/>
  <c r="M37" i="2"/>
  <c r="K37" i="2"/>
  <c r="M36" i="2"/>
  <c r="K36" i="2"/>
  <c r="M35" i="2"/>
  <c r="K35" i="2"/>
  <c r="M34" i="2"/>
  <c r="K34" i="2"/>
  <c r="M30" i="2"/>
  <c r="K30" i="2"/>
  <c r="M25" i="2"/>
  <c r="K25" i="2"/>
  <c r="M20" i="2"/>
  <c r="K20" i="2"/>
  <c r="M15" i="2"/>
  <c r="K15" i="2"/>
  <c r="M14" i="2"/>
  <c r="K14" i="2"/>
  <c r="M13" i="2"/>
  <c r="K13" i="2"/>
  <c r="M12" i="2"/>
  <c r="K12" i="2"/>
  <c r="M11" i="2"/>
  <c r="K11" i="2"/>
  <c r="M10" i="2"/>
  <c r="K10" i="2"/>
  <c r="M9" i="2"/>
  <c r="K9" i="2"/>
  <c r="M8" i="2"/>
  <c r="K8" i="2"/>
  <c r="M7" i="2"/>
  <c r="K7" i="2"/>
  <c r="H17" i="5" l="1"/>
  <c r="H18" i="5"/>
  <c r="H19" i="5"/>
  <c r="E21" i="5"/>
  <c r="F21" i="5"/>
  <c r="G21" i="5"/>
  <c r="H21" i="5"/>
  <c r="H29" i="5"/>
  <c r="E30" i="5"/>
  <c r="F30" i="5"/>
  <c r="G30" i="5"/>
  <c r="H30" i="5" l="1"/>
  <c r="F11" i="4"/>
  <c r="H11" i="4"/>
  <c r="F12" i="4"/>
  <c r="H12" i="4" s="1"/>
  <c r="F13" i="4"/>
  <c r="H13" i="4" s="1"/>
  <c r="F14" i="4"/>
  <c r="H14" i="4"/>
  <c r="F15" i="4"/>
  <c r="H15" i="4"/>
  <c r="F17" i="4"/>
  <c r="H17" i="4"/>
  <c r="F33" i="4"/>
</calcChain>
</file>

<file path=xl/sharedStrings.xml><?xml version="1.0" encoding="utf-8"?>
<sst xmlns="http://schemas.openxmlformats.org/spreadsheetml/2006/main" count="465" uniqueCount="230">
  <si>
    <t xml:space="preserve"> </t>
  </si>
  <si>
    <t>Grand Total RAN after incentive</t>
  </si>
  <si>
    <t>incentive RAN 2</t>
  </si>
  <si>
    <t>incentive RAN 1</t>
  </si>
  <si>
    <t>Grand Total RAN</t>
  </si>
  <si>
    <t>Piece</t>
  </si>
  <si>
    <t>Product number level</t>
  </si>
  <si>
    <t>1.1.3.1.1.2</t>
  </si>
  <si>
    <t>1.1.3.1.1.1</t>
  </si>
  <si>
    <t>Set</t>
  </si>
  <si>
    <t>Detail level 3</t>
  </si>
  <si>
    <t>1.1.3.1</t>
  </si>
  <si>
    <t>Detail level 2</t>
  </si>
  <si>
    <t>1.1.3</t>
  </si>
  <si>
    <t>1.1.2.1.1.6</t>
  </si>
  <si>
    <t>1.1.2.1.1.5</t>
  </si>
  <si>
    <t>1.1.2.1.1.4</t>
  </si>
  <si>
    <t>1.1.2.1.1.3</t>
  </si>
  <si>
    <t>1.1.2.1.1.2</t>
  </si>
  <si>
    <t>1.1.2.1.1.1</t>
  </si>
  <si>
    <t>Node</t>
  </si>
  <si>
    <t>1.1.2.1</t>
  </si>
  <si>
    <t>1.1.2</t>
  </si>
  <si>
    <t>GGSN3-U/I PIC (3rd generation)</t>
  </si>
  <si>
    <t>1.1.1.1.1.8</t>
  </si>
  <si>
    <t>Flexible PIC Concentrator Type 3 (FPC3 M320)</t>
  </si>
  <si>
    <t>1.1.1.1.1.5</t>
  </si>
  <si>
    <t>8-Port Gigabit Ethernet PIC 1000Base-T</t>
  </si>
  <si>
    <t>1.1.1.1.1.2</t>
  </si>
  <si>
    <t>1-Port 10 Gigabit Ethernet PIC (S)</t>
  </si>
  <si>
    <t>1.1.1.1.1.1</t>
  </si>
  <si>
    <t>GGSN</t>
  </si>
  <si>
    <t>1.1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</si>
  <si>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</si>
  <si>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</si>
  <si>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</si>
  <si>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</si>
  <si>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</si>
  <si>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</si>
  <si>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</si>
  <si>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</si>
  <si>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</si>
  <si>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DD Month YYYY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</si>
  <si>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</si>
  <si>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</si>
  <si>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</si>
  <si>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</si>
  <si>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</si>
  <si>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</si>
  <si>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</si>
  <si>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</si>
  <si>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</si>
  <si>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</si>
  <si>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</si>
  <si>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</si>
  <si>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</si>
  <si>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</si>
  <si>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</si>
  <si>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</si>
  <si>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</si>
  <si>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</si>
  <si>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</si>
  <si>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</si>
  <si>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</si>
  <si>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</si>
  <si>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</si>
  <si>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</si>
  <si>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</si>
  <si>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</si>
  <si>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</si>
  <si>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</si>
  <si>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</si>
  <si>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VAS</t>
  </si>
  <si>
    <t>RAN</t>
  </si>
  <si>
    <t>CORE</t>
  </si>
  <si>
    <t>Total</t>
  </si>
  <si>
    <t>Services</t>
  </si>
  <si>
    <t>SW</t>
  </si>
  <si>
    <t>HW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</si>
  <si>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</si>
  <si>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</si>
  <si>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</si>
  <si>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</si>
  <si>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</si>
  <si>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</si>
  <si>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</si>
  <si>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</si>
  <si>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</si>
  <si>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</si>
  <si>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</si>
  <si>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</si>
  <si>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</si>
  <si>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</si>
  <si>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</si>
  <si>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</si>
  <si>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</si>
  <si>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</si>
  <si>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1</t>
  </si>
  <si>
    <t>Level</t>
  </si>
  <si>
    <t>Title</t>
  </si>
  <si>
    <t/>
  </si>
  <si>
    <t>GGSN 1</t>
  </si>
  <si>
    <t>1.1.1</t>
  </si>
  <si>
    <t>new GGSN (M320)</t>
  </si>
  <si>
    <t>1.1.1.1</t>
  </si>
  <si>
    <t>New GGSN HW for Telenai site</t>
  </si>
  <si>
    <t>1.1.1.1.1</t>
  </si>
  <si>
    <t>PRODUCT PACKAGE/GGSN-MPG 2011A HW (FAP1302515)</t>
  </si>
  <si>
    <t>1.1.1.1.1.3</t>
  </si>
  <si>
    <t>CB+RE Redundancy kit (M320)</t>
  </si>
  <si>
    <t>1.1.1.1.1.4</t>
  </si>
  <si>
    <t>Flexible PIC Concentrator Type 2 (FPC2 M320)</t>
  </si>
  <si>
    <t>1.1.1.1.1.6</t>
  </si>
  <si>
    <t>GGSN-MPG 2011A HW Base M320</t>
  </si>
  <si>
    <t>1.1.1.1.1.7</t>
  </si>
  <si>
    <t>GGSN3-C PIC (3rd generation)</t>
  </si>
  <si>
    <t>1.1.1.1.1.9</t>
  </si>
  <si>
    <t>Multi Services 400 PIC (MS-PIC 400)</t>
  </si>
  <si>
    <t>1.2</t>
  </si>
  <si>
    <t>SGSN</t>
  </si>
  <si>
    <t>1.2.1</t>
  </si>
  <si>
    <t>new SGSN HW - MKVI+ 1500/2000/3000L</t>
  </si>
  <si>
    <t>1.2.1.1</t>
  </si>
  <si>
    <t>new SGSN HW (Pool)</t>
  </si>
  <si>
    <t>1.2.1.1.1</t>
  </si>
  <si>
    <t>PRODUCT PACKAGE/SGSN-MME 2011A MkVI+ (FAP1302484)</t>
  </si>
  <si>
    <t>1.2.1.1.1.1</t>
  </si>
  <si>
    <t>SGSN-MME 2011A MkVI+ 1500/2000/3000L HW Base</t>
  </si>
  <si>
    <t>1.3</t>
  </si>
  <si>
    <t>Internal DNS</t>
  </si>
  <si>
    <t>1.3.1</t>
  </si>
  <si>
    <t>IPWorks 12A (iDNS) HW</t>
  </si>
  <si>
    <t>1.3.1.1</t>
  </si>
  <si>
    <t>1.3.1.1.1</t>
  </si>
  <si>
    <t>PRODUCT PACKAGE/IPWorks 12 A (FAP1303002)</t>
  </si>
  <si>
    <t>1.3.1.1.1.1</t>
  </si>
  <si>
    <t>HP DL380R06 24Gb mem, 4 x 146Gb disk (DC)</t>
  </si>
  <si>
    <t>1.4</t>
  </si>
  <si>
    <t>External DNS</t>
  </si>
  <si>
    <t>1.4.1</t>
  </si>
  <si>
    <t>IPWorks 12A (eDNS) HW</t>
  </si>
  <si>
    <t>1.4.1.1</t>
  </si>
  <si>
    <t>1.4.1.1.1</t>
  </si>
  <si>
    <t>1.4.1.1.1.1</t>
  </si>
  <si>
    <t>1.5</t>
  </si>
  <si>
    <t>O&amp;M, NMC, Performance</t>
  </si>
  <si>
    <t>1.5.1</t>
  </si>
  <si>
    <t>OSSRC ENIQ SW Expand</t>
  </si>
  <si>
    <t>1.5.1.1</t>
  </si>
  <si>
    <t>O12expand_pscore</t>
  </si>
  <si>
    <t>1.5.1.1.1</t>
  </si>
  <si>
    <t>FAJ1211142, Ericsson GGSN PM Tech Pack (kIP-Session)</t>
  </si>
  <si>
    <t>1.5.1.1.2</t>
  </si>
  <si>
    <t>FAJ 121 1509, Ericsson GGSN KPI Report (kIP-Session)</t>
  </si>
  <si>
    <t>1.5.1.1.3</t>
  </si>
  <si>
    <t>FAJ1211232, Ericsson SGSN KPI Report (per KSAU)</t>
  </si>
  <si>
    <t>1.5.1.1.4</t>
  </si>
  <si>
    <t>FAJ1211141, SGSN-MME PM Tech Pack (per KSAU)</t>
  </si>
  <si>
    <t>1.5.1.1.5</t>
  </si>
  <si>
    <t>Core Network Starter Package, GSN&amp;J20 ( Per kSAU )</t>
  </si>
  <si>
    <t>1.5.1.1.6</t>
  </si>
  <si>
    <t>Core Network Starter Package,  ( kIP-Session)</t>
  </si>
  <si>
    <t>1.5.1.1.7</t>
  </si>
  <si>
    <t>FAJ 121 853, SGSN in Pool Management (KSAU)</t>
  </si>
  <si>
    <t>1.5.1.1.8</t>
  </si>
  <si>
    <t>FAJ 121 713, GPRS Configuration Manager (KSAU)</t>
  </si>
  <si>
    <t>1.5.1.1.9</t>
  </si>
  <si>
    <t>FAJ 121 713, GPRS Configuration Manager -GGSN (Per IP-Session)</t>
  </si>
  <si>
    <t>1.5.1.1.10</t>
  </si>
  <si>
    <t>FAJ 121 089, OSS Client solution, Client Extension, Additional Users in step of 10</t>
  </si>
  <si>
    <t>1.5.1.1.11</t>
  </si>
  <si>
    <t>Connection to OSS-RC FM (COF), Datacom Nodes</t>
  </si>
  <si>
    <t>1.6</t>
  </si>
  <si>
    <t>Features</t>
  </si>
  <si>
    <t>1.6.1</t>
  </si>
  <si>
    <t>FAJ 121 1972 R1, Support for SGSN in Pool (Up to Ph5 and Ph4C)</t>
  </si>
  <si>
    <t>1.6.1.1</t>
  </si>
  <si>
    <t>FAJ 121 1972 R1, Support for SGSN in Pool, 16 ChE</t>
  </si>
  <si>
    <t>1.6.1.1.1</t>
  </si>
  <si>
    <t>FAJ121972 R1, Support for SGSN in Pool, 16 ChE</t>
  </si>
  <si>
    <t>1.6.2</t>
  </si>
  <si>
    <t>SGSN 2009A to 2011B SW Upgrade</t>
  </si>
  <si>
    <t>1.6.2.1</t>
  </si>
  <si>
    <t>1.6.2.1.1</t>
  </si>
  <si>
    <t>PRODUCT PACKAGE/SGSN-MME 2011B SW Lic (FAP1302716)</t>
  </si>
  <si>
    <t>1.6.2.1.1.1</t>
  </si>
  <si>
    <t>SGSN-MME 2010B to 2011B 10 kPPS GSM or 50 kPPS WCDMA SW Upgrade License</t>
  </si>
  <si>
    <t>1.6.2.1.1.2</t>
  </si>
  <si>
    <t>SGSN-MME 2010B to 2011B 25 kSAU SW Upgrade License</t>
  </si>
  <si>
    <t>1.6.2.1.1.3</t>
  </si>
  <si>
    <t>SGSN-MME 2010B to 2011B 5k IP Sessions SW Upgrade License</t>
  </si>
  <si>
    <t>1.6.2.1.2</t>
  </si>
  <si>
    <t>PRODUCT PACKAGE/SGSN-MME 2010B SW (FAP1302105)</t>
  </si>
  <si>
    <t>1.6.2.1.2.1</t>
  </si>
  <si>
    <t>SGSN-MME 2009B to 2010B 10 kPPS GSM or 50 kPPS WCDMA SW Upgrade License</t>
  </si>
  <si>
    <t>1.6.2.1.2.2</t>
  </si>
  <si>
    <t>SGSN-MME 2009B to 2010B 25 kSAU Upgrade SW License</t>
  </si>
  <si>
    <t>1.6.2.1.2.3</t>
  </si>
  <si>
    <t>SGSN-MME 2009B to 2010B 5k IP Sessions Upgrade SW License</t>
  </si>
  <si>
    <t>1.6.2.1.3</t>
  </si>
  <si>
    <t>PRODUCT PACKAGE/SGSN-MME 2009B (FAP1301520)</t>
  </si>
  <si>
    <t>1.6.2.1.3.1</t>
  </si>
  <si>
    <t>SGSN 2009A to 2009B 10 kPPS GSM or 50 kPPS WCDMA SW Upgrade License</t>
  </si>
  <si>
    <t>1.6.2.1.3.2</t>
  </si>
  <si>
    <t>SGSN 2009A to 2009B 25 kSAU Upgrade SW License</t>
  </si>
  <si>
    <t>1.6.2.1.3.3</t>
  </si>
  <si>
    <t>SGSN 2009A to 2009B 5 kPDP Upgrade SW License</t>
  </si>
  <si>
    <t>1.6.3</t>
  </si>
  <si>
    <t>SGSN Pool Features 2011B</t>
  </si>
  <si>
    <t>1.6.3.1</t>
  </si>
  <si>
    <t>1.6.3.1.1</t>
  </si>
  <si>
    <t>1.6.3.1.1.1</t>
  </si>
  <si>
    <t>APN Resolution Funchtional Extension</t>
  </si>
  <si>
    <t>1.6.3.1.1.2</t>
  </si>
  <si>
    <t>SGSN Pool for GSM</t>
  </si>
  <si>
    <t>1.6.4</t>
  </si>
  <si>
    <t>Existing GGSN SW Upgrade &amp; Expansion</t>
  </si>
  <si>
    <t>1.6.4.1</t>
  </si>
  <si>
    <t>GGSN SW Upgrade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</si>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</sst>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7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</cellStyleXfs>
  <cellXfs count="122">
    <xf numFmtId="0" fontId="0" fillId="0" borderId="0" xfId="0"/>
    <xf numFmtId="0" fontId="1" fillId="0" borderId="0" xfId="1"/>
    <xf numFmtId="0" fontId="1" fillId="0" borderId="0" xfId="1" applyAlignment="1">
      <alignment horizontal="center"/>
    </xf>
    <xf numFmtId="0" fontId="1" fillId="2" borderId="0" xfId="1" applyFill="1"/>
    <xf numFmtId="0" fontId="1" fillId="2" borderId="0" xfId="1" applyFill="1" applyAlignment="1">
      <alignment horizontal="center"/>
    </xf>
    <xf numFmtId="164" fontId="2" fillId="2" borderId="0" xfId="2" applyFill="1"/>
    <xf numFmtId="0" fontId="3" fillId="2" borderId="0" xfId="1" applyFont="1" applyFill="1" applyAlignment="1">
      <alignment horizontal="left" wrapText="1"/>
    </xf>
    <xf numFmtId="0" fontId="4" fillId="0" borderId="0" xfId="1" applyFont="1"/>
    <xf numFmtId="0" fontId="4" fillId="2" borderId="0" xfId="1" applyFont="1" applyFill="1"/>
    <xf numFmtId="0" fontId="4" fillId="2" borderId="0" xfId="1" applyFont="1" applyFill="1" applyAlignment="1">
      <alignment horizontal="center"/>
    </xf>
    <xf numFmtId="0" fontId="2" fillId="2" borderId="1" xfId="1" applyFont="1" applyFill="1" applyBorder="1" applyAlignment="1"/>
    <xf numFmtId="164" fontId="2" fillId="2" borderId="1" xfId="3" applyFill="1" applyBorder="1"/>
    <xf numFmtId="0" fontId="2" fillId="2" borderId="1" xfId="1" applyFont="1" applyFill="1" applyBorder="1" applyAlignment="1">
      <alignment horizontal="center"/>
    </xf>
    <xf numFmtId="164" fontId="2" fillId="2" borderId="1" xfId="2" applyFill="1" applyBorder="1"/>
    <xf numFmtId="164" fontId="2" fillId="2" borderId="1" xfId="4" applyFill="1" applyBorder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Border="1" applyAlignment="1"/>
    <xf numFmtId="164" fontId="2" fillId="2" borderId="0" xfId="3" applyFill="1" applyBorder="1"/>
    <xf numFmtId="0" fontId="2" fillId="2" borderId="0" xfId="1" applyFont="1" applyFill="1" applyBorder="1" applyAlignment="1">
      <alignment horizontal="center"/>
    </xf>
    <xf numFmtId="164" fontId="2" fillId="2" borderId="0" xfId="2" applyFill="1" applyBorder="1"/>
    <xf numFmtId="164" fontId="2" fillId="2" borderId="0" xfId="4" applyFill="1" applyBorder="1"/>
    <xf numFmtId="0" fontId="2" fillId="2" borderId="0" xfId="1" applyFont="1" applyFill="1" applyBorder="1" applyAlignment="1">
      <alignment horizontal="left" wrapText="1"/>
    </xf>
    <xf numFmtId="49" fontId="2" fillId="2" borderId="0" xfId="1" applyNumberFormat="1" applyFont="1" applyFill="1" applyBorder="1" applyAlignment="1"/>
    <xf numFmtId="0" fontId="2" fillId="2" borderId="0" xfId="1" applyFont="1" applyFill="1" applyAlignment="1"/>
    <xf numFmtId="164" fontId="2" fillId="2" borderId="0" xfId="3" applyFill="1"/>
    <xf numFmtId="0" fontId="2" fillId="2" borderId="0" xfId="1" applyFont="1" applyFill="1" applyAlignment="1">
      <alignment horizontal="center"/>
    </xf>
    <xf numFmtId="164" fontId="2" fillId="2" borderId="0" xfId="4" applyFill="1"/>
    <xf numFmtId="0" fontId="2" fillId="2" borderId="0" xfId="1" applyFont="1" applyFill="1" applyAlignment="1">
      <alignment horizontal="left" wrapText="1"/>
    </xf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>
      <alignment horizontal="center"/>
    </xf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0" fontId="3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1" fillId="2" borderId="3" xfId="1" applyFill="1" applyBorder="1" applyAlignment="1">
      <alignment horizontal="center"/>
    </xf>
    <xf numFmtId="0" fontId="6" fillId="2" borderId="0" xfId="1" applyFont="1" applyFill="1"/>
    <xf numFmtId="0" fontId="6" fillId="2" borderId="0" xfId="1" applyFont="1" applyFill="1" applyBorder="1"/>
    <xf numFmtId="0" fontId="6" fillId="2" borderId="0" xfId="1" applyFont="1" applyFill="1" applyAlignment="1">
      <alignment horizontal="center"/>
    </xf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0" fontId="1" fillId="2" borderId="0" xfId="1" applyFill="1" applyBorder="1" applyAlignment="1">
      <alignment horizontal="center"/>
    </xf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20" xfId="1" applyFont="1" applyFill="1" applyBorder="1" applyAlignment="1">
      <alignment horizontal="center"/>
    </xf>
    <xf numFmtId="0" fontId="4" fillId="7" borderId="20" xfId="1" applyFont="1" applyFill="1" applyBorder="1"/>
    <xf numFmtId="0" fontId="4" fillId="7" borderId="21" xfId="1" applyFont="1" applyFill="1" applyBorder="1"/>
    <xf numFmtId="0" fontId="1" fillId="2" borderId="22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3" xfId="1" applyFont="1" applyFill="1" applyBorder="1" applyAlignment="1">
      <alignment horizontal="center"/>
    </xf>
    <xf numFmtId="0" fontId="4" fillId="2" borderId="18" xfId="1" applyFont="1" applyFill="1" applyBorder="1"/>
    <xf numFmtId="0" fontId="4" fillId="2" borderId="24" xfId="1" applyFont="1" applyFill="1" applyBorder="1" applyAlignment="1">
      <alignment horizontal="center"/>
    </xf>
    <xf numFmtId="0" fontId="4" fillId="2" borderId="20" xfId="1" applyFont="1" applyFill="1" applyBorder="1" applyAlignment="1">
      <alignment horizontal="center"/>
    </xf>
    <xf numFmtId="0" fontId="4" fillId="2" borderId="20" xfId="1" applyFont="1" applyFill="1" applyBorder="1"/>
    <xf numFmtId="0" fontId="4" fillId="2" borderId="21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</cellXfs>
  <cellStyles count="7">
    <cellStyle name="Normal" xfId="0" builtinId="0"/>
    <cellStyle name="Normal 2" xfId="1"/>
    <cellStyle name="VerdiColumnHeader" xfId="6"/>
    <cellStyle name="VerdiCost" xfId="5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Choose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R11" sqref="R11"/>
    </sheetView>
  </sheetViews>
  <sheetFormatPr defaultRowHeight="15" x14ac:dyDescent="0.25"/>
  <cols>
    <col min="1" max="1" width="17" customWidth="1"/>
  </cols>
  <sheetData>
    <row r="1" spans="1:6" x14ac:dyDescent="0.25">
      <c r="A1" s="52"/>
    </row>
    <row r="2" spans="1:6" x14ac:dyDescent="0.25">
      <c r="A2" t="s">
        <v>0</v>
      </c>
    </row>
    <row r="4" spans="1:6" x14ac:dyDescent="0.25">
      <c r="F4" s="51"/>
    </row>
    <row r="5" spans="1:6" x14ac:dyDescent="0.25">
      <c r="F5" s="51"/>
    </row>
    <row r="6" spans="1:6" x14ac:dyDescent="0.25">
      <c r="F6" s="5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70"/>
  <sheetViews>
    <sheetView tabSelected="1" workbookViewId="0">
      <selection activeCell="G4" sqref="G4"/>
    </sheetView>
  </sheetViews>
  <sheetFormatPr defaultRowHeight="15" x14ac:dyDescent="0.25"/>
  <cols>
    <col min="1" max="1" width="12.7109375" style="118" bestFit="1" customWidth="1"/>
    <col min="2" max="2" width="8.5703125" style="118" bestFit="1" customWidth="1"/>
    <col min="3" max="3" width="10.85546875" style="118" bestFit="1" customWidth="1"/>
    <col min="4" max="4" width="7" style="118" bestFit="1" customWidth="1"/>
    <col min="5" max="5" width="7.140625" bestFit="1" customWidth="1"/>
    <col min="6" max="6" width="7.85546875" bestFit="1" customWidth="1"/>
    <col min="7" max="7" width="9.42578125" customWidth="1"/>
    <col min="8" max="8" width="73.28515625" bestFit="1" customWidth="1"/>
    <col min="9" max="9" width="8.7109375" bestFit="1" customWidth="1"/>
    <col min="10" max="10" width="10" bestFit="1" customWidth="1"/>
    <col min="11" max="11" width="10.7109375" bestFit="1" customWidth="1"/>
    <col min="12" max="12" width="8.7109375" bestFit="1" customWidth="1"/>
  </cols>
  <sheetData>
    <row r="1" spans="1:13" x14ac:dyDescent="0.25">
      <c r="A1" s="117" t="s">
        <v>86</v>
      </c>
      <c r="B1" s="110" t="s">
        <v>98</v>
      </c>
      <c r="C1" s="110" t="s">
        <v>87</v>
      </c>
      <c r="D1" s="110" t="s">
        <v>92</v>
      </c>
      <c r="E1" s="109" t="s">
        <v>96</v>
      </c>
      <c r="F1" s="109" t="s">
        <v>88</v>
      </c>
      <c r="G1" s="109" t="s">
        <v>89</v>
      </c>
      <c r="H1" s="109" t="s">
        <v>99</v>
      </c>
      <c r="I1" s="109" t="s">
        <v>90</v>
      </c>
      <c r="J1" s="109" t="s">
        <v>91</v>
      </c>
      <c r="K1" s="109" t="s">
        <v>93</v>
      </c>
      <c r="L1" s="109" t="s">
        <v>94</v>
      </c>
      <c r="M1" s="109" t="s">
        <v>95</v>
      </c>
    </row>
    <row r="2" spans="1:13" x14ac:dyDescent="0.25">
      <c r="A2" s="110" t="s">
        <v>97</v>
      </c>
      <c r="B2" s="110">
        <v>1</v>
      </c>
      <c r="C2" s="113" t="s">
        <v>100</v>
      </c>
      <c r="D2" s="110" t="s">
        <v>97</v>
      </c>
      <c r="E2" s="115">
        <v>1</v>
      </c>
      <c r="F2" s="115">
        <v>136</v>
      </c>
      <c r="G2" s="120" t="s">
        <v>229</v>
      </c>
      <c r="H2" s="109">
        <v>2012</v>
      </c>
      <c r="I2" s="109"/>
      <c r="J2" s="109"/>
      <c r="K2" s="109"/>
      <c r="L2" s="109"/>
      <c r="M2" s="109"/>
    </row>
    <row r="3" spans="1:13" x14ac:dyDescent="0.25">
      <c r="A3" s="111" t="s">
        <v>32</v>
      </c>
      <c r="B3" s="110">
        <v>2</v>
      </c>
      <c r="C3" s="114" t="s">
        <v>97</v>
      </c>
      <c r="D3" s="110" t="s">
        <v>97</v>
      </c>
      <c r="E3" s="116">
        <v>2</v>
      </c>
      <c r="F3" s="116">
        <v>27</v>
      </c>
      <c r="G3" s="120" t="s">
        <v>229</v>
      </c>
      <c r="H3" s="109" t="s">
        <v>101</v>
      </c>
    </row>
    <row r="4" spans="1:13" x14ac:dyDescent="0.25">
      <c r="A4" s="111" t="s">
        <v>102</v>
      </c>
      <c r="B4" s="110">
        <v>3</v>
      </c>
      <c r="C4" s="114" t="s">
        <v>32</v>
      </c>
      <c r="D4" s="110" t="s">
        <v>97</v>
      </c>
      <c r="E4" s="116">
        <v>3</v>
      </c>
      <c r="F4" s="116">
        <v>26</v>
      </c>
      <c r="G4" s="120" t="s">
        <v>229</v>
      </c>
      <c r="H4" s="109" t="s">
        <v>103</v>
      </c>
    </row>
    <row r="5" spans="1:13" x14ac:dyDescent="0.25">
      <c r="A5" s="112" t="s">
        <v>104</v>
      </c>
      <c r="B5" s="110">
        <v>4</v>
      </c>
      <c r="C5" s="111" t="s">
        <v>102</v>
      </c>
      <c r="D5" s="110" t="s">
        <v>97</v>
      </c>
      <c r="E5" s="115">
        <v>4</v>
      </c>
      <c r="F5" s="115">
        <v>25</v>
      </c>
      <c r="G5" s="120" t="s">
        <v>229</v>
      </c>
      <c r="H5" s="109" t="s">
        <v>105</v>
      </c>
    </row>
    <row r="6" spans="1:13" x14ac:dyDescent="0.25">
      <c r="A6" s="112" t="s">
        <v>106</v>
      </c>
      <c r="B6" s="110">
        <v>5</v>
      </c>
      <c r="C6" s="111" t="s">
        <v>104</v>
      </c>
      <c r="D6" s="110" t="s">
        <v>97</v>
      </c>
      <c r="E6" s="115">
        <v>5</v>
      </c>
      <c r="F6" s="115">
        <v>24</v>
      </c>
      <c r="G6" s="120" t="s">
        <v>229</v>
      </c>
      <c r="H6" s="109" t="s">
        <v>107</v>
      </c>
    </row>
    <row r="7" spans="1:13" x14ac:dyDescent="0.25">
      <c r="A7" s="112" t="s">
        <v>30</v>
      </c>
      <c r="B7" s="110">
        <v>6</v>
      </c>
      <c r="C7" s="112" t="s">
        <v>106</v>
      </c>
      <c r="D7" s="110" t="s">
        <v>97</v>
      </c>
      <c r="E7" s="115">
        <v>6</v>
      </c>
      <c r="F7" s="115">
        <v>7</v>
      </c>
      <c r="G7" s="120" t="s">
        <v>97</v>
      </c>
      <c r="H7" s="109" t="s">
        <v>29</v>
      </c>
      <c r="I7">
        <v>2</v>
      </c>
      <c r="J7">
        <v>3.7015861999999999</v>
      </c>
      <c r="K7">
        <f>I7*J7</f>
        <v>7.4031723999999999</v>
      </c>
      <c r="L7">
        <v>0</v>
      </c>
      <c r="M7">
        <f>(1-(L7/100))*K7</f>
        <v>7.4031723999999999</v>
      </c>
    </row>
    <row r="8" spans="1:13" x14ac:dyDescent="0.25">
      <c r="A8" s="112" t="s">
        <v>28</v>
      </c>
      <c r="B8" s="110">
        <v>6</v>
      </c>
      <c r="C8" s="112" t="s">
        <v>106</v>
      </c>
      <c r="D8" s="110" t="s">
        <v>219</v>
      </c>
      <c r="E8" s="115">
        <v>8</v>
      </c>
      <c r="F8" s="115">
        <v>9</v>
      </c>
      <c r="G8" s="120" t="s">
        <v>97</v>
      </c>
      <c r="H8" s="109" t="s">
        <v>27</v>
      </c>
      <c r="I8">
        <v>2</v>
      </c>
      <c r="J8">
        <v>3.7015861999999999</v>
      </c>
      <c r="K8">
        <f>I8*J8</f>
        <v>7.4031723999999999</v>
      </c>
      <c r="L8">
        <v>0</v>
      </c>
      <c r="M8">
        <f>(1-(L8/100))*K8</f>
        <v>7.4031723999999999</v>
      </c>
    </row>
    <row r="9" spans="1:13" x14ac:dyDescent="0.25">
      <c r="A9" s="112" t="s">
        <v>108</v>
      </c>
      <c r="B9" s="110">
        <v>6</v>
      </c>
      <c r="C9" s="112" t="s">
        <v>106</v>
      </c>
      <c r="D9" s="110" t="s">
        <v>220</v>
      </c>
      <c r="E9" s="115">
        <v>10</v>
      </c>
      <c r="F9" s="115">
        <v>11</v>
      </c>
      <c r="G9" s="120" t="s">
        <v>97</v>
      </c>
      <c r="H9" s="109" t="s">
        <v>109</v>
      </c>
      <c r="I9">
        <v>1</v>
      </c>
      <c r="J9">
        <v>3.7015861999999999</v>
      </c>
      <c r="K9">
        <f>I9*J9</f>
        <v>3.7015861999999999</v>
      </c>
      <c r="L9">
        <v>0</v>
      </c>
      <c r="M9">
        <f>(1-(L9/100))*K9</f>
        <v>3.7015861999999999</v>
      </c>
    </row>
    <row r="10" spans="1:13" x14ac:dyDescent="0.25">
      <c r="A10" s="112" t="s">
        <v>110</v>
      </c>
      <c r="B10" s="110">
        <v>6</v>
      </c>
      <c r="C10" s="112" t="s">
        <v>106</v>
      </c>
      <c r="D10" s="110" t="s">
        <v>221</v>
      </c>
      <c r="E10" s="115">
        <v>12</v>
      </c>
      <c r="F10" s="115">
        <v>13</v>
      </c>
      <c r="G10" s="120" t="s">
        <v>97</v>
      </c>
      <c r="H10" s="109" t="s">
        <v>111</v>
      </c>
      <c r="I10">
        <v>3</v>
      </c>
      <c r="J10">
        <v>3.7015861999999999</v>
      </c>
      <c r="K10">
        <f>I10*J10</f>
        <v>11.1047586</v>
      </c>
      <c r="L10">
        <v>0</v>
      </c>
      <c r="M10">
        <f>(1-(L10/100))*K10</f>
        <v>11.1047586</v>
      </c>
    </row>
    <row r="11" spans="1:13" x14ac:dyDescent="0.25">
      <c r="A11" s="112" t="s">
        <v>26</v>
      </c>
      <c r="B11" s="110">
        <v>6</v>
      </c>
      <c r="C11" s="112" t="s">
        <v>106</v>
      </c>
      <c r="D11" s="110" t="s">
        <v>222</v>
      </c>
      <c r="E11" s="115">
        <v>14</v>
      </c>
      <c r="F11" s="115">
        <v>15</v>
      </c>
      <c r="G11" s="120" t="s">
        <v>97</v>
      </c>
      <c r="H11" s="109" t="s">
        <v>25</v>
      </c>
      <c r="I11">
        <v>2</v>
      </c>
      <c r="J11">
        <v>3.7015861999999999</v>
      </c>
      <c r="K11">
        <f>I11*J11</f>
        <v>7.4031723999999999</v>
      </c>
      <c r="L11">
        <v>0</v>
      </c>
      <c r="M11">
        <f>(1-(L11/100))*K11</f>
        <v>7.4031723999999999</v>
      </c>
    </row>
    <row r="12" spans="1:13" x14ac:dyDescent="0.25">
      <c r="A12" s="112" t="s">
        <v>112</v>
      </c>
      <c r="B12" s="110">
        <v>6</v>
      </c>
      <c r="C12" s="112" t="s">
        <v>106</v>
      </c>
      <c r="D12" s="110" t="s">
        <v>223</v>
      </c>
      <c r="E12" s="115">
        <v>16</v>
      </c>
      <c r="F12" s="115">
        <v>17</v>
      </c>
      <c r="G12" s="120" t="s">
        <v>97</v>
      </c>
      <c r="H12" s="109" t="s">
        <v>113</v>
      </c>
      <c r="I12">
        <v>1</v>
      </c>
      <c r="J12">
        <v>3.1</v>
      </c>
      <c r="K12">
        <f>I12*J12</f>
        <v>3.1</v>
      </c>
      <c r="L12">
        <v>0</v>
      </c>
      <c r="M12">
        <f>(1-(L12/100))*K12</f>
        <v>3.1</v>
      </c>
    </row>
    <row r="13" spans="1:13" x14ac:dyDescent="0.25">
      <c r="A13" s="112" t="s">
        <v>114</v>
      </c>
      <c r="B13" s="110">
        <v>6</v>
      </c>
      <c r="C13" s="112" t="s">
        <v>106</v>
      </c>
      <c r="D13" s="110" t="s">
        <v>224</v>
      </c>
      <c r="E13" s="115">
        <v>18</v>
      </c>
      <c r="F13" s="115">
        <v>19</v>
      </c>
      <c r="G13" s="120" t="s">
        <v>97</v>
      </c>
      <c r="H13" s="109" t="s">
        <v>115</v>
      </c>
      <c r="I13">
        <v>1</v>
      </c>
      <c r="J13">
        <v>2.5</v>
      </c>
      <c r="K13">
        <f>I13*J13</f>
        <v>2.5</v>
      </c>
      <c r="L13">
        <v>0</v>
      </c>
      <c r="M13">
        <f>(1-(L13/100))*K13</f>
        <v>2.5</v>
      </c>
    </row>
    <row r="14" spans="1:13" x14ac:dyDescent="0.25">
      <c r="A14" s="112" t="s">
        <v>24</v>
      </c>
      <c r="B14" s="110">
        <v>6</v>
      </c>
      <c r="C14" s="112" t="s">
        <v>106</v>
      </c>
      <c r="D14" s="110" t="s">
        <v>225</v>
      </c>
      <c r="E14" s="115">
        <v>20</v>
      </c>
      <c r="F14" s="115">
        <v>21</v>
      </c>
      <c r="G14" s="120" t="s">
        <v>97</v>
      </c>
      <c r="H14" s="109" t="s">
        <v>23</v>
      </c>
      <c r="I14">
        <v>4</v>
      </c>
      <c r="J14">
        <v>1.1000000000000001</v>
      </c>
      <c r="K14">
        <f>I14*J14</f>
        <v>4.4000000000000004</v>
      </c>
      <c r="L14">
        <v>0</v>
      </c>
      <c r="M14">
        <f>(1-(L14/100))*K14</f>
        <v>4.4000000000000004</v>
      </c>
    </row>
    <row r="15" spans="1:13" x14ac:dyDescent="0.25">
      <c r="A15" s="112" t="s">
        <v>116</v>
      </c>
      <c r="B15" s="110">
        <v>6</v>
      </c>
      <c r="C15" s="112" t="s">
        <v>106</v>
      </c>
      <c r="D15" s="110" t="s">
        <v>226</v>
      </c>
      <c r="E15" s="115">
        <v>22</v>
      </c>
      <c r="F15" s="115">
        <v>23</v>
      </c>
      <c r="G15" s="120" t="s">
        <v>97</v>
      </c>
      <c r="H15" s="109" t="s">
        <v>117</v>
      </c>
      <c r="I15">
        <v>2</v>
      </c>
      <c r="J15">
        <v>7.2</v>
      </c>
      <c r="K15">
        <f>I15*J15</f>
        <v>14.4</v>
      </c>
      <c r="L15">
        <v>0</v>
      </c>
      <c r="M15">
        <f>(1-(L15/100))*K15</f>
        <v>14.4</v>
      </c>
    </row>
    <row r="16" spans="1:13" x14ac:dyDescent="0.25">
      <c r="A16" s="112" t="s">
        <v>118</v>
      </c>
      <c r="B16" s="110">
        <v>2</v>
      </c>
      <c r="C16" s="112" t="s">
        <v>97</v>
      </c>
      <c r="D16" s="110" t="s">
        <v>219</v>
      </c>
      <c r="E16" s="115">
        <v>28</v>
      </c>
      <c r="F16" s="115">
        <v>37</v>
      </c>
      <c r="G16" s="120" t="s">
        <v>229</v>
      </c>
      <c r="H16" s="109" t="s">
        <v>119</v>
      </c>
    </row>
    <row r="17" spans="1:13" x14ac:dyDescent="0.25">
      <c r="A17" s="112" t="s">
        <v>120</v>
      </c>
      <c r="B17" s="110">
        <v>3</v>
      </c>
      <c r="C17" s="112" t="s">
        <v>118</v>
      </c>
      <c r="D17" s="110" t="s">
        <v>97</v>
      </c>
      <c r="E17" s="115">
        <v>29</v>
      </c>
      <c r="F17" s="115">
        <v>36</v>
      </c>
      <c r="G17" s="120" t="s">
        <v>229</v>
      </c>
      <c r="H17" s="109" t="s">
        <v>121</v>
      </c>
    </row>
    <row r="18" spans="1:13" x14ac:dyDescent="0.25">
      <c r="A18" s="112" t="s">
        <v>122</v>
      </c>
      <c r="B18" s="110">
        <v>4</v>
      </c>
      <c r="C18" s="112" t="s">
        <v>120</v>
      </c>
      <c r="D18" s="110" t="s">
        <v>97</v>
      </c>
      <c r="E18" s="109">
        <v>30</v>
      </c>
      <c r="F18" s="109">
        <v>35</v>
      </c>
      <c r="G18" s="120" t="s">
        <v>229</v>
      </c>
      <c r="H18" s="109" t="s">
        <v>123</v>
      </c>
    </row>
    <row r="19" spans="1:13" x14ac:dyDescent="0.25">
      <c r="A19" s="117" t="s">
        <v>124</v>
      </c>
      <c r="B19" s="110">
        <v>5</v>
      </c>
      <c r="C19" s="110" t="s">
        <v>122</v>
      </c>
      <c r="D19" s="110" t="s">
        <v>97</v>
      </c>
      <c r="E19" s="109">
        <v>31</v>
      </c>
      <c r="F19" s="109">
        <v>34</v>
      </c>
      <c r="G19" s="120" t="s">
        <v>229</v>
      </c>
      <c r="H19" s="109" t="s">
        <v>125</v>
      </c>
    </row>
    <row r="20" spans="1:13" x14ac:dyDescent="0.25">
      <c r="A20" s="117" t="s">
        <v>126</v>
      </c>
      <c r="B20" s="110">
        <v>6</v>
      </c>
      <c r="C20" s="110" t="s">
        <v>124</v>
      </c>
      <c r="D20" s="110" t="s">
        <v>97</v>
      </c>
      <c r="E20" s="109">
        <v>32</v>
      </c>
      <c r="F20" s="109">
        <v>33</v>
      </c>
      <c r="G20" s="120" t="s">
        <v>97</v>
      </c>
      <c r="H20" s="109" t="s">
        <v>127</v>
      </c>
      <c r="I20">
        <v>1</v>
      </c>
      <c r="J20">
        <v>3.7015861999999999</v>
      </c>
      <c r="K20">
        <f>I20*J20</f>
        <v>3.7015861999999999</v>
      </c>
      <c r="L20">
        <v>0</v>
      </c>
      <c r="M20">
        <f>(1-(L20/100))*K20</f>
        <v>3.7015861999999999</v>
      </c>
    </row>
    <row r="21" spans="1:13" x14ac:dyDescent="0.25">
      <c r="A21" s="117" t="s">
        <v>128</v>
      </c>
      <c r="B21" s="110">
        <v>2</v>
      </c>
      <c r="C21" s="110" t="s">
        <v>97</v>
      </c>
      <c r="D21" s="110" t="s">
        <v>220</v>
      </c>
      <c r="E21" s="109">
        <v>38</v>
      </c>
      <c r="F21" s="109">
        <v>47</v>
      </c>
      <c r="G21" s="120" t="s">
        <v>229</v>
      </c>
      <c r="H21" s="109" t="s">
        <v>129</v>
      </c>
    </row>
    <row r="22" spans="1:13" x14ac:dyDescent="0.25">
      <c r="A22" s="110" t="s">
        <v>130</v>
      </c>
      <c r="B22" s="110">
        <v>3</v>
      </c>
      <c r="C22" s="110" t="s">
        <v>128</v>
      </c>
      <c r="D22" s="110" t="s">
        <v>97</v>
      </c>
      <c r="E22" s="109">
        <v>39</v>
      </c>
      <c r="F22" s="109">
        <v>46</v>
      </c>
      <c r="G22" s="120" t="s">
        <v>229</v>
      </c>
      <c r="H22" s="109" t="s">
        <v>131</v>
      </c>
    </row>
    <row r="23" spans="1:13" x14ac:dyDescent="0.25">
      <c r="A23" s="118" t="s">
        <v>132</v>
      </c>
      <c r="B23" s="118">
        <v>4</v>
      </c>
      <c r="C23" s="118" t="s">
        <v>130</v>
      </c>
      <c r="D23" s="118" t="s">
        <v>97</v>
      </c>
      <c r="E23">
        <v>40</v>
      </c>
      <c r="F23">
        <v>45</v>
      </c>
      <c r="G23" s="121" t="s">
        <v>229</v>
      </c>
      <c r="H23" t="s">
        <v>131</v>
      </c>
    </row>
    <row r="24" spans="1:13" x14ac:dyDescent="0.25">
      <c r="A24" s="112" t="s">
        <v>133</v>
      </c>
      <c r="B24" s="110">
        <v>5</v>
      </c>
      <c r="C24" s="119" t="s">
        <v>132</v>
      </c>
      <c r="D24" s="110" t="s">
        <v>97</v>
      </c>
      <c r="E24" s="109">
        <v>41</v>
      </c>
      <c r="F24" s="109">
        <v>44</v>
      </c>
      <c r="G24" s="120" t="s">
        <v>229</v>
      </c>
      <c r="H24" s="109" t="s">
        <v>134</v>
      </c>
    </row>
    <row r="25" spans="1:13" x14ac:dyDescent="0.25">
      <c r="A25" s="117" t="s">
        <v>135</v>
      </c>
      <c r="B25" s="110">
        <v>6</v>
      </c>
      <c r="C25" s="110" t="s">
        <v>133</v>
      </c>
      <c r="D25" s="110" t="s">
        <v>97</v>
      </c>
      <c r="E25" s="109">
        <v>42</v>
      </c>
      <c r="F25" s="109">
        <v>43</v>
      </c>
      <c r="G25" s="120" t="s">
        <v>97</v>
      </c>
      <c r="H25" s="109" t="s">
        <v>136</v>
      </c>
      <c r="I25">
        <v>2</v>
      </c>
      <c r="J25">
        <v>3.7015861999999999</v>
      </c>
      <c r="K25">
        <f>I25*J25</f>
        <v>7.4031723999999999</v>
      </c>
      <c r="L25">
        <v>0</v>
      </c>
      <c r="M25">
        <f>(1-(L25/100))*K25</f>
        <v>7.4031723999999999</v>
      </c>
    </row>
    <row r="26" spans="1:13" x14ac:dyDescent="0.25">
      <c r="A26" s="117" t="s">
        <v>137</v>
      </c>
      <c r="B26" s="110">
        <v>2</v>
      </c>
      <c r="C26" s="110" t="s">
        <v>97</v>
      </c>
      <c r="D26" s="110" t="s">
        <v>221</v>
      </c>
      <c r="E26" s="109">
        <v>48</v>
      </c>
      <c r="F26" s="109">
        <v>57</v>
      </c>
      <c r="G26" s="120" t="s">
        <v>229</v>
      </c>
      <c r="H26" s="109" t="s">
        <v>138</v>
      </c>
    </row>
    <row r="27" spans="1:13" x14ac:dyDescent="0.25">
      <c r="A27" s="117" t="s">
        <v>139</v>
      </c>
      <c r="B27" s="110">
        <v>3</v>
      </c>
      <c r="C27" s="110" t="s">
        <v>137</v>
      </c>
      <c r="D27" s="110" t="s">
        <v>97</v>
      </c>
      <c r="E27" s="109">
        <v>49</v>
      </c>
      <c r="F27" s="109">
        <v>56</v>
      </c>
      <c r="G27" s="120" t="s">
        <v>229</v>
      </c>
      <c r="H27" s="109" t="s">
        <v>140</v>
      </c>
    </row>
    <row r="28" spans="1:13" x14ac:dyDescent="0.25">
      <c r="A28" s="118" t="s">
        <v>141</v>
      </c>
      <c r="B28" s="118">
        <v>4</v>
      </c>
      <c r="C28" s="118" t="s">
        <v>139</v>
      </c>
      <c r="D28" s="118" t="s">
        <v>97</v>
      </c>
      <c r="E28">
        <v>50</v>
      </c>
      <c r="F28">
        <v>55</v>
      </c>
      <c r="G28" s="121" t="s">
        <v>229</v>
      </c>
      <c r="H28" t="s">
        <v>140</v>
      </c>
    </row>
    <row r="29" spans="1:13" x14ac:dyDescent="0.25">
      <c r="A29" s="118" t="s">
        <v>142</v>
      </c>
      <c r="B29" s="118">
        <v>5</v>
      </c>
      <c r="C29" s="118" t="s">
        <v>141</v>
      </c>
      <c r="D29" s="118" t="s">
        <v>97</v>
      </c>
      <c r="E29">
        <v>51</v>
      </c>
      <c r="F29">
        <v>54</v>
      </c>
      <c r="G29" s="121" t="s">
        <v>229</v>
      </c>
      <c r="H29" t="s">
        <v>134</v>
      </c>
    </row>
    <row r="30" spans="1:13" x14ac:dyDescent="0.25">
      <c r="A30" s="118" t="s">
        <v>143</v>
      </c>
      <c r="B30" s="118">
        <v>6</v>
      </c>
      <c r="C30" s="118" t="s">
        <v>142</v>
      </c>
      <c r="D30" s="118" t="s">
        <v>97</v>
      </c>
      <c r="E30">
        <v>52</v>
      </c>
      <c r="F30">
        <v>53</v>
      </c>
      <c r="G30" s="121" t="s">
        <v>97</v>
      </c>
      <c r="H30" t="s">
        <v>136</v>
      </c>
      <c r="I30">
        <v>2</v>
      </c>
      <c r="J30">
        <v>3.7015861999999999</v>
      </c>
      <c r="K30">
        <f>I30*J30</f>
        <v>7.4031723999999999</v>
      </c>
      <c r="L30">
        <v>0</v>
      </c>
      <c r="M30">
        <f>(1-(L30/100))*K30</f>
        <v>7.4031723999999999</v>
      </c>
    </row>
    <row r="31" spans="1:13" x14ac:dyDescent="0.25">
      <c r="A31" s="118" t="s">
        <v>144</v>
      </c>
      <c r="B31" s="118">
        <v>2</v>
      </c>
      <c r="C31" s="118" t="s">
        <v>97</v>
      </c>
      <c r="D31" s="118" t="s">
        <v>222</v>
      </c>
      <c r="E31">
        <v>58</v>
      </c>
      <c r="F31">
        <v>85</v>
      </c>
      <c r="G31" s="121" t="s">
        <v>229</v>
      </c>
      <c r="H31" t="s">
        <v>145</v>
      </c>
    </row>
    <row r="32" spans="1:13" x14ac:dyDescent="0.25">
      <c r="A32" s="118" t="s">
        <v>146</v>
      </c>
      <c r="B32" s="118">
        <v>3</v>
      </c>
      <c r="C32" s="118" t="s">
        <v>144</v>
      </c>
      <c r="D32" s="118" t="s">
        <v>97</v>
      </c>
      <c r="E32">
        <v>59</v>
      </c>
      <c r="F32">
        <v>84</v>
      </c>
      <c r="G32" s="121" t="s">
        <v>229</v>
      </c>
      <c r="H32" t="s">
        <v>147</v>
      </c>
    </row>
    <row r="33" spans="1:13" x14ac:dyDescent="0.25">
      <c r="A33" s="118" t="s">
        <v>148</v>
      </c>
      <c r="B33" s="118">
        <v>4</v>
      </c>
      <c r="C33" s="118" t="s">
        <v>146</v>
      </c>
      <c r="D33" s="118" t="s">
        <v>97</v>
      </c>
      <c r="E33">
        <v>60</v>
      </c>
      <c r="F33">
        <v>83</v>
      </c>
      <c r="G33" s="121" t="s">
        <v>229</v>
      </c>
      <c r="H33" t="s">
        <v>149</v>
      </c>
    </row>
    <row r="34" spans="1:13" x14ac:dyDescent="0.25">
      <c r="A34" s="118" t="s">
        <v>150</v>
      </c>
      <c r="B34" s="118">
        <v>5</v>
      </c>
      <c r="C34" s="118" t="s">
        <v>148</v>
      </c>
      <c r="D34" s="118" t="s">
        <v>97</v>
      </c>
      <c r="E34">
        <v>61</v>
      </c>
      <c r="F34">
        <v>62</v>
      </c>
      <c r="G34" s="121" t="s">
        <v>97</v>
      </c>
      <c r="H34" t="s">
        <v>151</v>
      </c>
      <c r="I34">
        <v>0</v>
      </c>
      <c r="J34">
        <v>3.7015861999999999</v>
      </c>
      <c r="K34">
        <f>I34*J34</f>
        <v>0</v>
      </c>
      <c r="L34">
        <v>0</v>
      </c>
      <c r="M34">
        <f>(1-(L34/100))*K34</f>
        <v>0</v>
      </c>
    </row>
    <row r="35" spans="1:13" x14ac:dyDescent="0.25">
      <c r="A35" s="118" t="s">
        <v>152</v>
      </c>
      <c r="B35" s="118">
        <v>5</v>
      </c>
      <c r="C35" s="118" t="s">
        <v>148</v>
      </c>
      <c r="D35" s="118" t="s">
        <v>219</v>
      </c>
      <c r="E35">
        <v>63</v>
      </c>
      <c r="F35">
        <v>64</v>
      </c>
      <c r="G35" s="121" t="s">
        <v>97</v>
      </c>
      <c r="H35" t="s">
        <v>153</v>
      </c>
      <c r="I35">
        <v>0</v>
      </c>
      <c r="J35">
        <v>3.7015861999999999</v>
      </c>
      <c r="K35">
        <f>I35*J35</f>
        <v>0</v>
      </c>
      <c r="L35">
        <v>0</v>
      </c>
      <c r="M35">
        <f>(1-(L35/100))*K35</f>
        <v>0</v>
      </c>
    </row>
    <row r="36" spans="1:13" x14ac:dyDescent="0.25">
      <c r="A36" s="118" t="s">
        <v>154</v>
      </c>
      <c r="B36" s="118">
        <v>5</v>
      </c>
      <c r="C36" s="118" t="s">
        <v>148</v>
      </c>
      <c r="D36" s="118" t="s">
        <v>220</v>
      </c>
      <c r="E36">
        <v>65</v>
      </c>
      <c r="F36">
        <v>66</v>
      </c>
      <c r="G36" s="121" t="s">
        <v>97</v>
      </c>
      <c r="H36" t="s">
        <v>155</v>
      </c>
      <c r="I36">
        <v>0</v>
      </c>
      <c r="J36">
        <v>3.7015861999999999</v>
      </c>
      <c r="K36">
        <f>I36*J36</f>
        <v>0</v>
      </c>
      <c r="L36">
        <v>0</v>
      </c>
      <c r="M36">
        <f>(1-(L36/100))*K36</f>
        <v>0</v>
      </c>
    </row>
    <row r="37" spans="1:13" x14ac:dyDescent="0.25">
      <c r="A37" s="118" t="s">
        <v>156</v>
      </c>
      <c r="B37" s="118">
        <v>5</v>
      </c>
      <c r="C37" s="118" t="s">
        <v>148</v>
      </c>
      <c r="D37" s="118" t="s">
        <v>221</v>
      </c>
      <c r="E37">
        <v>67</v>
      </c>
      <c r="F37">
        <v>68</v>
      </c>
      <c r="G37" s="121" t="s">
        <v>97</v>
      </c>
      <c r="H37" t="s">
        <v>157</v>
      </c>
      <c r="I37">
        <v>0</v>
      </c>
      <c r="J37">
        <v>3.7015861999999999</v>
      </c>
      <c r="K37">
        <f>I37*J37</f>
        <v>0</v>
      </c>
      <c r="L37">
        <v>0</v>
      </c>
      <c r="M37">
        <f>(1-(L37/100))*K37</f>
        <v>0</v>
      </c>
    </row>
    <row r="38" spans="1:13" x14ac:dyDescent="0.25">
      <c r="A38" s="118" t="s">
        <v>158</v>
      </c>
      <c r="B38" s="118">
        <v>5</v>
      </c>
      <c r="C38" s="118" t="s">
        <v>148</v>
      </c>
      <c r="D38" s="118" t="s">
        <v>222</v>
      </c>
      <c r="E38">
        <v>69</v>
      </c>
      <c r="F38">
        <v>70</v>
      </c>
      <c r="G38" s="121" t="s">
        <v>97</v>
      </c>
      <c r="H38" t="s">
        <v>159</v>
      </c>
      <c r="I38">
        <v>0</v>
      </c>
      <c r="J38">
        <v>3.7015861999999999</v>
      </c>
      <c r="K38">
        <f>I38*J38</f>
        <v>0</v>
      </c>
      <c r="L38">
        <v>0</v>
      </c>
      <c r="M38">
        <f>(1-(L38/100))*K38</f>
        <v>0</v>
      </c>
    </row>
    <row r="39" spans="1:13" x14ac:dyDescent="0.25">
      <c r="A39" s="118" t="s">
        <v>160</v>
      </c>
      <c r="B39" s="118">
        <v>5</v>
      </c>
      <c r="C39" s="118" t="s">
        <v>148</v>
      </c>
      <c r="D39" s="118" t="s">
        <v>223</v>
      </c>
      <c r="E39">
        <v>71</v>
      </c>
      <c r="F39">
        <v>72</v>
      </c>
      <c r="G39" s="121" t="s">
        <v>97</v>
      </c>
      <c r="H39" t="s">
        <v>161</v>
      </c>
      <c r="I39">
        <v>0</v>
      </c>
      <c r="J39">
        <v>3.7015861999999999</v>
      </c>
      <c r="K39">
        <f>I39*J39</f>
        <v>0</v>
      </c>
      <c r="L39">
        <v>0</v>
      </c>
      <c r="M39">
        <f>(1-(L39/100))*K39</f>
        <v>0</v>
      </c>
    </row>
    <row r="40" spans="1:13" x14ac:dyDescent="0.25">
      <c r="A40" s="118" t="s">
        <v>162</v>
      </c>
      <c r="B40" s="118">
        <v>5</v>
      </c>
      <c r="C40" s="118" t="s">
        <v>148</v>
      </c>
      <c r="D40" s="118" t="s">
        <v>224</v>
      </c>
      <c r="E40">
        <v>73</v>
      </c>
      <c r="F40">
        <v>74</v>
      </c>
      <c r="G40" s="121" t="s">
        <v>97</v>
      </c>
      <c r="H40" t="s">
        <v>163</v>
      </c>
      <c r="I40">
        <v>350</v>
      </c>
      <c r="J40">
        <v>3.7015861999999999</v>
      </c>
      <c r="K40">
        <f>I40*J40</f>
        <v>1295.5551700000001</v>
      </c>
      <c r="L40">
        <v>0</v>
      </c>
      <c r="M40">
        <f>(1-(L40/100))*K40</f>
        <v>1295.5551700000001</v>
      </c>
    </row>
    <row r="41" spans="1:13" x14ac:dyDescent="0.25">
      <c r="A41" s="118" t="s">
        <v>164</v>
      </c>
      <c r="B41" s="118">
        <v>5</v>
      </c>
      <c r="C41" s="118" t="s">
        <v>148</v>
      </c>
      <c r="D41" s="118" t="s">
        <v>225</v>
      </c>
      <c r="E41">
        <v>75</v>
      </c>
      <c r="F41">
        <v>76</v>
      </c>
      <c r="G41" s="121" t="s">
        <v>97</v>
      </c>
      <c r="H41" t="s">
        <v>165</v>
      </c>
      <c r="I41">
        <v>350</v>
      </c>
      <c r="J41">
        <v>3.7015861999999999</v>
      </c>
      <c r="K41">
        <f>I41*J41</f>
        <v>1295.5551700000001</v>
      </c>
      <c r="L41">
        <v>0</v>
      </c>
      <c r="M41">
        <f>(1-(L41/100))*K41</f>
        <v>1295.5551700000001</v>
      </c>
    </row>
    <row r="42" spans="1:13" x14ac:dyDescent="0.25">
      <c r="A42" s="118" t="s">
        <v>166</v>
      </c>
      <c r="B42" s="118">
        <v>5</v>
      </c>
      <c r="C42" s="118" t="s">
        <v>148</v>
      </c>
      <c r="D42" s="118" t="s">
        <v>226</v>
      </c>
      <c r="E42">
        <v>77</v>
      </c>
      <c r="F42">
        <v>78</v>
      </c>
      <c r="G42" s="121" t="s">
        <v>97</v>
      </c>
      <c r="H42" t="s">
        <v>167</v>
      </c>
      <c r="I42">
        <v>200</v>
      </c>
      <c r="J42">
        <v>3.7015861999999999</v>
      </c>
      <c r="K42">
        <f>I42*J42</f>
        <v>740.31723999999997</v>
      </c>
      <c r="L42">
        <v>0</v>
      </c>
      <c r="M42">
        <f>(1-(L42/100))*K42</f>
        <v>740.31723999999997</v>
      </c>
    </row>
    <row r="43" spans="1:13" x14ac:dyDescent="0.25">
      <c r="A43" s="118" t="s">
        <v>168</v>
      </c>
      <c r="B43" s="118">
        <v>5</v>
      </c>
      <c r="C43" s="118" t="s">
        <v>148</v>
      </c>
      <c r="D43" s="118" t="s">
        <v>227</v>
      </c>
      <c r="E43">
        <v>79</v>
      </c>
      <c r="F43">
        <v>80</v>
      </c>
      <c r="G43" s="121" t="s">
        <v>97</v>
      </c>
      <c r="H43" t="s">
        <v>169</v>
      </c>
      <c r="I43">
        <v>1</v>
      </c>
      <c r="J43">
        <v>3.7015861999999999</v>
      </c>
      <c r="K43">
        <f>I43*J43</f>
        <v>3.7015861999999999</v>
      </c>
      <c r="L43">
        <v>0</v>
      </c>
      <c r="M43">
        <f>(1-(L43/100))*K43</f>
        <v>3.7015861999999999</v>
      </c>
    </row>
    <row r="44" spans="1:13" x14ac:dyDescent="0.25">
      <c r="A44" s="118" t="s">
        <v>170</v>
      </c>
      <c r="B44" s="118">
        <v>5</v>
      </c>
      <c r="C44" s="118" t="s">
        <v>148</v>
      </c>
      <c r="D44" s="118" t="s">
        <v>228</v>
      </c>
      <c r="E44">
        <v>81</v>
      </c>
      <c r="F44">
        <v>82</v>
      </c>
      <c r="G44" s="121" t="s">
        <v>97</v>
      </c>
      <c r="H44" t="s">
        <v>171</v>
      </c>
      <c r="I44">
        <v>8</v>
      </c>
      <c r="J44">
        <v>3.7015861999999999</v>
      </c>
      <c r="K44">
        <f>I44*J44</f>
        <v>29.6126896</v>
      </c>
      <c r="L44">
        <v>0</v>
      </c>
      <c r="M44">
        <f>(1-(L44/100))*K44</f>
        <v>29.6126896</v>
      </c>
    </row>
    <row r="45" spans="1:13" x14ac:dyDescent="0.25">
      <c r="A45" s="118" t="s">
        <v>172</v>
      </c>
      <c r="B45" s="118">
        <v>2</v>
      </c>
      <c r="C45" s="118" t="s">
        <v>97</v>
      </c>
      <c r="D45" s="118" t="s">
        <v>223</v>
      </c>
      <c r="E45">
        <v>86</v>
      </c>
      <c r="F45">
        <v>135</v>
      </c>
      <c r="G45" s="121" t="s">
        <v>229</v>
      </c>
      <c r="H45" t="s">
        <v>173</v>
      </c>
    </row>
    <row r="46" spans="1:13" x14ac:dyDescent="0.25">
      <c r="A46" s="118" t="s">
        <v>174</v>
      </c>
      <c r="B46" s="118">
        <v>3</v>
      </c>
      <c r="C46" s="118" t="s">
        <v>172</v>
      </c>
      <c r="D46" s="118" t="s">
        <v>97</v>
      </c>
      <c r="E46">
        <v>87</v>
      </c>
      <c r="F46">
        <v>92</v>
      </c>
      <c r="G46" s="121" t="s">
        <v>229</v>
      </c>
      <c r="H46" t="s">
        <v>175</v>
      </c>
    </row>
    <row r="47" spans="1:13" x14ac:dyDescent="0.25">
      <c r="A47" s="118" t="s">
        <v>176</v>
      </c>
      <c r="B47" s="118">
        <v>4</v>
      </c>
      <c r="C47" s="118" t="s">
        <v>174</v>
      </c>
      <c r="D47" s="118" t="s">
        <v>97</v>
      </c>
      <c r="E47">
        <v>88</v>
      </c>
      <c r="F47">
        <v>91</v>
      </c>
      <c r="G47" s="121" t="s">
        <v>229</v>
      </c>
      <c r="H47" t="s">
        <v>177</v>
      </c>
    </row>
    <row r="48" spans="1:13" x14ac:dyDescent="0.25">
      <c r="A48" s="118" t="s">
        <v>178</v>
      </c>
      <c r="B48" s="118">
        <v>5</v>
      </c>
      <c r="C48" s="118" t="s">
        <v>176</v>
      </c>
      <c r="D48" s="118" t="s">
        <v>97</v>
      </c>
      <c r="E48">
        <v>89</v>
      </c>
      <c r="F48">
        <v>90</v>
      </c>
      <c r="G48" s="121" t="s">
        <v>97</v>
      </c>
      <c r="H48" t="s">
        <v>179</v>
      </c>
      <c r="I48">
        <v>1</v>
      </c>
      <c r="J48">
        <v>3.7015861999999999</v>
      </c>
      <c r="K48">
        <f>I48*J48</f>
        <v>3.7015861999999999</v>
      </c>
      <c r="L48">
        <v>0</v>
      </c>
      <c r="M48">
        <f>(1-(L48/100))*K48</f>
        <v>3.7015861999999999</v>
      </c>
    </row>
    <row r="49" spans="1:13" x14ac:dyDescent="0.25">
      <c r="A49" s="118" t="s">
        <v>180</v>
      </c>
      <c r="B49" s="118">
        <v>3</v>
      </c>
      <c r="C49" s="118" t="s">
        <v>172</v>
      </c>
      <c r="D49" s="118" t="s">
        <v>219</v>
      </c>
      <c r="E49">
        <v>93</v>
      </c>
      <c r="F49">
        <v>120</v>
      </c>
      <c r="G49" s="121" t="s">
        <v>229</v>
      </c>
      <c r="H49" t="s">
        <v>181</v>
      </c>
    </row>
    <row r="50" spans="1:13" x14ac:dyDescent="0.25">
      <c r="A50" s="118" t="s">
        <v>182</v>
      </c>
      <c r="B50" s="118">
        <v>4</v>
      </c>
      <c r="C50" s="118" t="s">
        <v>180</v>
      </c>
      <c r="D50" s="118" t="s">
        <v>97</v>
      </c>
      <c r="E50">
        <v>94</v>
      </c>
      <c r="F50">
        <v>119</v>
      </c>
      <c r="G50" s="121" t="s">
        <v>229</v>
      </c>
      <c r="H50" t="s">
        <v>181</v>
      </c>
    </row>
    <row r="51" spans="1:13" x14ac:dyDescent="0.25">
      <c r="A51" s="118" t="s">
        <v>183</v>
      </c>
      <c r="B51" s="118">
        <v>5</v>
      </c>
      <c r="C51" s="118" t="s">
        <v>182</v>
      </c>
      <c r="D51" s="118" t="s">
        <v>97</v>
      </c>
      <c r="E51">
        <v>95</v>
      </c>
      <c r="F51">
        <v>102</v>
      </c>
      <c r="G51" s="121" t="s">
        <v>229</v>
      </c>
      <c r="H51" t="s">
        <v>184</v>
      </c>
    </row>
    <row r="52" spans="1:13" x14ac:dyDescent="0.25">
      <c r="A52" s="118" t="s">
        <v>185</v>
      </c>
      <c r="B52" s="118">
        <v>6</v>
      </c>
      <c r="C52" s="118" t="s">
        <v>183</v>
      </c>
      <c r="D52" s="118" t="s">
        <v>97</v>
      </c>
      <c r="E52">
        <v>96</v>
      </c>
      <c r="F52">
        <v>97</v>
      </c>
      <c r="G52" s="121" t="s">
        <v>97</v>
      </c>
      <c r="H52" t="s">
        <v>186</v>
      </c>
      <c r="I52">
        <v>4</v>
      </c>
      <c r="J52">
        <v>3.7015861999999999</v>
      </c>
      <c r="K52">
        <f>I52*J52</f>
        <v>14.8063448</v>
      </c>
      <c r="L52">
        <v>0</v>
      </c>
      <c r="M52">
        <f>(1-(L52/100))*K52</f>
        <v>14.8063448</v>
      </c>
    </row>
    <row r="53" spans="1:13" x14ac:dyDescent="0.25">
      <c r="A53" s="118" t="s">
        <v>187</v>
      </c>
      <c r="B53" s="118">
        <v>6</v>
      </c>
      <c r="C53" s="118" t="s">
        <v>183</v>
      </c>
      <c r="D53" s="118" t="s">
        <v>219</v>
      </c>
      <c r="E53">
        <v>98</v>
      </c>
      <c r="F53">
        <v>99</v>
      </c>
      <c r="G53" s="121" t="s">
        <v>97</v>
      </c>
      <c r="H53" t="s">
        <v>188</v>
      </c>
      <c r="I53">
        <v>14</v>
      </c>
      <c r="J53">
        <v>3.7015861999999999</v>
      </c>
      <c r="K53">
        <f>I53*J53</f>
        <v>51.822206799999996</v>
      </c>
      <c r="L53">
        <v>0</v>
      </c>
      <c r="M53">
        <f>(1-(L53/100))*K53</f>
        <v>51.822206799999996</v>
      </c>
    </row>
    <row r="54" spans="1:13" x14ac:dyDescent="0.25">
      <c r="A54" s="118" t="s">
        <v>189</v>
      </c>
      <c r="B54" s="118">
        <v>6</v>
      </c>
      <c r="C54" s="118" t="s">
        <v>183</v>
      </c>
      <c r="D54" s="118" t="s">
        <v>220</v>
      </c>
      <c r="E54">
        <v>100</v>
      </c>
      <c r="F54">
        <v>101</v>
      </c>
      <c r="G54" s="121" t="s">
        <v>97</v>
      </c>
      <c r="H54" t="s">
        <v>190</v>
      </c>
      <c r="I54">
        <v>40</v>
      </c>
      <c r="J54">
        <v>3.7015861999999999</v>
      </c>
      <c r="K54">
        <f>I54*J54</f>
        <v>148.06344799999999</v>
      </c>
      <c r="L54">
        <v>0</v>
      </c>
      <c r="M54">
        <f>(1-(L54/100))*K54</f>
        <v>148.06344799999999</v>
      </c>
    </row>
    <row r="55" spans="1:13" x14ac:dyDescent="0.25">
      <c r="A55" s="118" t="s">
        <v>191</v>
      </c>
      <c r="B55" s="118">
        <v>5</v>
      </c>
      <c r="C55" s="118" t="s">
        <v>182</v>
      </c>
      <c r="D55" s="118" t="s">
        <v>219</v>
      </c>
      <c r="E55">
        <v>103</v>
      </c>
      <c r="F55">
        <v>110</v>
      </c>
      <c r="G55" s="121" t="s">
        <v>229</v>
      </c>
      <c r="H55" t="s">
        <v>192</v>
      </c>
    </row>
    <row r="56" spans="1:13" x14ac:dyDescent="0.25">
      <c r="A56" s="118" t="s">
        <v>193</v>
      </c>
      <c r="B56" s="118">
        <v>6</v>
      </c>
      <c r="C56" s="118" t="s">
        <v>191</v>
      </c>
      <c r="D56" s="118" t="s">
        <v>97</v>
      </c>
      <c r="E56">
        <v>104</v>
      </c>
      <c r="F56">
        <v>105</v>
      </c>
      <c r="G56" s="121" t="s">
        <v>97</v>
      </c>
      <c r="H56" t="s">
        <v>194</v>
      </c>
      <c r="I56">
        <v>4</v>
      </c>
      <c r="J56">
        <v>3.7015861999999999</v>
      </c>
      <c r="K56">
        <f>I56*J56</f>
        <v>14.8063448</v>
      </c>
      <c r="L56">
        <v>0</v>
      </c>
      <c r="M56">
        <f>(1-(L56/100))*K56</f>
        <v>14.8063448</v>
      </c>
    </row>
    <row r="57" spans="1:13" x14ac:dyDescent="0.25">
      <c r="A57" s="118" t="s">
        <v>195</v>
      </c>
      <c r="B57" s="118">
        <v>6</v>
      </c>
      <c r="C57" s="118" t="s">
        <v>191</v>
      </c>
      <c r="D57" s="118" t="s">
        <v>219</v>
      </c>
      <c r="E57">
        <v>106</v>
      </c>
      <c r="F57">
        <v>107</v>
      </c>
      <c r="G57" s="121" t="s">
        <v>97</v>
      </c>
      <c r="H57" t="s">
        <v>196</v>
      </c>
      <c r="I57">
        <v>14</v>
      </c>
      <c r="J57">
        <v>3.7015861999999999</v>
      </c>
      <c r="K57">
        <f>I57*J57</f>
        <v>51.822206799999996</v>
      </c>
      <c r="L57">
        <v>0</v>
      </c>
      <c r="M57">
        <f>(1-(L57/100))*K57</f>
        <v>51.822206799999996</v>
      </c>
    </row>
    <row r="58" spans="1:13" x14ac:dyDescent="0.25">
      <c r="A58" s="118" t="s">
        <v>197</v>
      </c>
      <c r="B58" s="118">
        <v>6</v>
      </c>
      <c r="C58" s="118" t="s">
        <v>191</v>
      </c>
      <c r="D58" s="118" t="s">
        <v>220</v>
      </c>
      <c r="E58">
        <v>108</v>
      </c>
      <c r="F58">
        <v>109</v>
      </c>
      <c r="G58" s="121" t="s">
        <v>97</v>
      </c>
      <c r="H58" t="s">
        <v>198</v>
      </c>
      <c r="I58">
        <v>40</v>
      </c>
      <c r="J58">
        <v>3.7015861999999999</v>
      </c>
      <c r="K58">
        <f>I58*J58</f>
        <v>148.06344799999999</v>
      </c>
      <c r="L58">
        <v>0</v>
      </c>
      <c r="M58">
        <f>(1-(L58/100))*K58</f>
        <v>148.06344799999999</v>
      </c>
    </row>
    <row r="59" spans="1:13" x14ac:dyDescent="0.25">
      <c r="A59" s="118" t="s">
        <v>199</v>
      </c>
      <c r="B59" s="118">
        <v>5</v>
      </c>
      <c r="C59" s="118" t="s">
        <v>182</v>
      </c>
      <c r="D59" s="118" t="s">
        <v>220</v>
      </c>
      <c r="E59">
        <v>111</v>
      </c>
      <c r="F59">
        <v>118</v>
      </c>
      <c r="G59" s="121" t="s">
        <v>229</v>
      </c>
      <c r="H59" t="s">
        <v>200</v>
      </c>
    </row>
    <row r="60" spans="1:13" x14ac:dyDescent="0.25">
      <c r="A60" s="118" t="s">
        <v>201</v>
      </c>
      <c r="B60" s="118">
        <v>6</v>
      </c>
      <c r="C60" s="118" t="s">
        <v>199</v>
      </c>
      <c r="D60" s="118" t="s">
        <v>97</v>
      </c>
      <c r="E60">
        <v>112</v>
      </c>
      <c r="F60">
        <v>113</v>
      </c>
      <c r="G60" s="121" t="s">
        <v>97</v>
      </c>
      <c r="H60" t="s">
        <v>202</v>
      </c>
      <c r="I60">
        <v>4</v>
      </c>
      <c r="J60">
        <v>3.7015861999999999</v>
      </c>
      <c r="K60">
        <f>I60*J60</f>
        <v>14.8063448</v>
      </c>
      <c r="L60">
        <v>0</v>
      </c>
      <c r="M60">
        <f>(1-(L60/100))*K60</f>
        <v>14.8063448</v>
      </c>
    </row>
    <row r="61" spans="1:13" x14ac:dyDescent="0.25">
      <c r="A61" s="118" t="s">
        <v>203</v>
      </c>
      <c r="B61" s="118">
        <v>6</v>
      </c>
      <c r="C61" s="118" t="s">
        <v>199</v>
      </c>
      <c r="D61" s="118" t="s">
        <v>219</v>
      </c>
      <c r="E61">
        <v>114</v>
      </c>
      <c r="F61">
        <v>115</v>
      </c>
      <c r="G61" s="121" t="s">
        <v>97</v>
      </c>
      <c r="H61" t="s">
        <v>204</v>
      </c>
      <c r="I61">
        <v>14</v>
      </c>
      <c r="J61">
        <v>3.7015861999999999</v>
      </c>
      <c r="K61">
        <f>I61*J61</f>
        <v>51.822206799999996</v>
      </c>
      <c r="L61">
        <v>0</v>
      </c>
      <c r="M61">
        <f>(1-(L61/100))*K61</f>
        <v>51.822206799999996</v>
      </c>
    </row>
    <row r="62" spans="1:13" x14ac:dyDescent="0.25">
      <c r="A62" s="118" t="s">
        <v>205</v>
      </c>
      <c r="B62" s="118">
        <v>6</v>
      </c>
      <c r="C62" s="118" t="s">
        <v>199</v>
      </c>
      <c r="D62" s="118" t="s">
        <v>220</v>
      </c>
      <c r="E62">
        <v>116</v>
      </c>
      <c r="F62">
        <v>117</v>
      </c>
      <c r="G62" s="121" t="s">
        <v>97</v>
      </c>
      <c r="H62" t="s">
        <v>206</v>
      </c>
      <c r="I62">
        <v>40</v>
      </c>
      <c r="J62">
        <v>3.7015861999999999</v>
      </c>
      <c r="K62">
        <f>I62*J62</f>
        <v>148.06344799999999</v>
      </c>
      <c r="L62">
        <v>0</v>
      </c>
      <c r="M62">
        <f>(1-(L62/100))*K62</f>
        <v>148.06344799999999</v>
      </c>
    </row>
    <row r="63" spans="1:13" x14ac:dyDescent="0.25">
      <c r="A63" s="118" t="s">
        <v>207</v>
      </c>
      <c r="B63" s="118">
        <v>3</v>
      </c>
      <c r="C63" s="118" t="s">
        <v>172</v>
      </c>
      <c r="D63" s="118" t="s">
        <v>220</v>
      </c>
      <c r="E63">
        <v>121</v>
      </c>
      <c r="F63">
        <v>130</v>
      </c>
      <c r="G63" s="121" t="s">
        <v>229</v>
      </c>
      <c r="H63" t="s">
        <v>208</v>
      </c>
    </row>
    <row r="64" spans="1:13" x14ac:dyDescent="0.25">
      <c r="A64" s="118" t="s">
        <v>209</v>
      </c>
      <c r="B64" s="118">
        <v>4</v>
      </c>
      <c r="C64" s="118" t="s">
        <v>207</v>
      </c>
      <c r="D64" s="118" t="s">
        <v>97</v>
      </c>
      <c r="E64">
        <v>122</v>
      </c>
      <c r="F64">
        <v>129</v>
      </c>
      <c r="G64" s="121" t="s">
        <v>229</v>
      </c>
      <c r="H64" t="s">
        <v>208</v>
      </c>
    </row>
    <row r="65" spans="1:13" x14ac:dyDescent="0.25">
      <c r="A65" s="118" t="s">
        <v>210</v>
      </c>
      <c r="B65" s="118">
        <v>5</v>
      </c>
      <c r="C65" s="118" t="s">
        <v>209</v>
      </c>
      <c r="D65" s="118" t="s">
        <v>97</v>
      </c>
      <c r="E65">
        <v>123</v>
      </c>
      <c r="F65">
        <v>128</v>
      </c>
      <c r="G65" s="121" t="s">
        <v>229</v>
      </c>
      <c r="H65" t="s">
        <v>184</v>
      </c>
    </row>
    <row r="66" spans="1:13" x14ac:dyDescent="0.25">
      <c r="A66" s="118" t="s">
        <v>211</v>
      </c>
      <c r="B66" s="118">
        <v>6</v>
      </c>
      <c r="C66" s="118" t="s">
        <v>210</v>
      </c>
      <c r="D66" s="118" t="s">
        <v>97</v>
      </c>
      <c r="E66">
        <v>124</v>
      </c>
      <c r="F66">
        <v>125</v>
      </c>
      <c r="G66" s="121" t="s">
        <v>97</v>
      </c>
      <c r="H66" t="s">
        <v>212</v>
      </c>
      <c r="I66">
        <v>40</v>
      </c>
      <c r="J66">
        <v>3.7015861999999999</v>
      </c>
      <c r="K66">
        <f>I66*J66</f>
        <v>148.06344799999999</v>
      </c>
      <c r="L66">
        <v>0</v>
      </c>
      <c r="M66">
        <f>(1-(L66/100))*K66</f>
        <v>148.06344799999999</v>
      </c>
    </row>
    <row r="67" spans="1:13" x14ac:dyDescent="0.25">
      <c r="A67" s="118" t="s">
        <v>213</v>
      </c>
      <c r="B67" s="118">
        <v>6</v>
      </c>
      <c r="C67" s="118" t="s">
        <v>210</v>
      </c>
      <c r="D67" s="118" t="s">
        <v>219</v>
      </c>
      <c r="E67">
        <v>126</v>
      </c>
      <c r="F67">
        <v>127</v>
      </c>
      <c r="G67" s="121" t="s">
        <v>97</v>
      </c>
      <c r="H67" t="s">
        <v>214</v>
      </c>
      <c r="I67">
        <v>14</v>
      </c>
      <c r="J67">
        <v>3.7015861999999999</v>
      </c>
      <c r="K67">
        <f>I67*J67</f>
        <v>51.822206799999996</v>
      </c>
      <c r="L67">
        <v>0</v>
      </c>
      <c r="M67">
        <f>(1-(L67/100))*K67</f>
        <v>51.822206799999996</v>
      </c>
    </row>
    <row r="68" spans="1:13" x14ac:dyDescent="0.25">
      <c r="A68" s="118" t="s">
        <v>215</v>
      </c>
      <c r="B68" s="118">
        <v>3</v>
      </c>
      <c r="C68" s="118" t="s">
        <v>172</v>
      </c>
      <c r="D68" s="118" t="s">
        <v>221</v>
      </c>
      <c r="E68">
        <v>131</v>
      </c>
      <c r="F68">
        <v>134</v>
      </c>
      <c r="G68" s="121" t="s">
        <v>229</v>
      </c>
      <c r="H68" t="s">
        <v>216</v>
      </c>
    </row>
    <row r="69" spans="1:13" x14ac:dyDescent="0.25">
      <c r="A69" s="118" t="s">
        <v>217</v>
      </c>
      <c r="B69" s="118">
        <v>4</v>
      </c>
      <c r="C69" s="118" t="s">
        <v>215</v>
      </c>
      <c r="D69" s="118" t="s">
        <v>97</v>
      </c>
      <c r="E69">
        <v>132</v>
      </c>
      <c r="F69">
        <v>133</v>
      </c>
      <c r="G69" s="121" t="s">
        <v>97</v>
      </c>
      <c r="H69" t="s">
        <v>218</v>
      </c>
      <c r="I69">
        <v>1</v>
      </c>
      <c r="J69">
        <v>3.7015861999999999</v>
      </c>
      <c r="K69">
        <f>I69*J69</f>
        <v>3.7015861999999999</v>
      </c>
      <c r="L69">
        <v>0</v>
      </c>
      <c r="M69">
        <f>(1-(L69/100))*K69</f>
        <v>3.7015861999999999</v>
      </c>
    </row>
    <row r="70" spans="1:13" x14ac:dyDescent="0.25">
      <c r="G70" s="121"/>
    </row>
  </sheetData>
  <autoFilter ref="A1:G1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35"/>
  <sheetViews>
    <sheetView view="pageBreakPreview" zoomScaleNormal="100" workbookViewId="0">
      <selection activeCell="F19" sqref="F19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" customWidth="1"/>
    <col min="6" max="6" width="12.7109375" style="1" customWidth="1"/>
    <col min="7" max="7" width="10" style="2" customWidth="1"/>
    <col min="8" max="8" width="13.140625" style="1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3" customFormat="1" ht="3.75" customHeight="1" x14ac:dyDescent="0.2">
      <c r="A1" s="41"/>
      <c r="B1" s="41"/>
      <c r="C1" s="41"/>
      <c r="D1" s="41"/>
      <c r="E1" s="41"/>
      <c r="F1" s="41"/>
      <c r="G1" s="42"/>
      <c r="H1" s="41"/>
      <c r="I1" s="41"/>
    </row>
    <row r="2" spans="1:9" s="3" customFormat="1" x14ac:dyDescent="0.2">
      <c r="A2" s="49"/>
      <c r="B2" s="49"/>
      <c r="C2" s="49"/>
      <c r="D2" s="49"/>
      <c r="E2" s="49"/>
      <c r="F2" s="49"/>
      <c r="G2" s="50"/>
      <c r="H2" s="49"/>
      <c r="I2" s="49"/>
    </row>
    <row r="3" spans="1:9" s="43" customFormat="1" ht="15.75" x14ac:dyDescent="0.25">
      <c r="A3" s="47" t="s">
        <v>47</v>
      </c>
      <c r="B3" s="46" t="s">
        <v>46</v>
      </c>
      <c r="G3" s="45"/>
      <c r="I3" s="44"/>
    </row>
    <row r="4" spans="1:9" s="43" customFormat="1" ht="15.75" x14ac:dyDescent="0.25">
      <c r="A4" s="47" t="s">
        <v>45</v>
      </c>
      <c r="B4" s="48" t="s">
        <v>44</v>
      </c>
      <c r="G4" s="45"/>
      <c r="I4" s="44"/>
    </row>
    <row r="5" spans="1:9" s="43" customFormat="1" ht="15.75" x14ac:dyDescent="0.25">
      <c r="A5" s="47" t="s">
        <v>43</v>
      </c>
      <c r="B5" s="46" t="s">
        <v>42</v>
      </c>
      <c r="G5" s="45"/>
      <c r="I5" s="44"/>
    </row>
    <row r="6" spans="1:9" s="3" customFormat="1" x14ac:dyDescent="0.2">
      <c r="A6" s="41"/>
      <c r="B6" s="41"/>
      <c r="C6" s="41"/>
      <c r="D6" s="41"/>
      <c r="E6" s="41"/>
      <c r="F6" s="41"/>
      <c r="G6" s="42"/>
      <c r="H6" s="41"/>
      <c r="I6" s="41"/>
    </row>
    <row r="7" spans="1:9" s="3" customFormat="1" x14ac:dyDescent="0.2">
      <c r="G7" s="4"/>
    </row>
    <row r="8" spans="1:9" ht="34.5" thickBot="1" x14ac:dyDescent="0.25">
      <c r="A8" s="40" t="s">
        <v>41</v>
      </c>
      <c r="B8" s="39" t="s">
        <v>40</v>
      </c>
      <c r="C8" s="38" t="s">
        <v>39</v>
      </c>
      <c r="D8" s="37" t="s">
        <v>38</v>
      </c>
      <c r="E8" s="37" t="s">
        <v>37</v>
      </c>
      <c r="F8" s="37" t="s">
        <v>36</v>
      </c>
      <c r="G8" s="37" t="s">
        <v>35</v>
      </c>
      <c r="H8" s="37" t="s">
        <v>34</v>
      </c>
      <c r="I8" s="36" t="s">
        <v>33</v>
      </c>
    </row>
    <row r="9" spans="1:9" ht="13.5" thickTop="1" x14ac:dyDescent="0.2">
      <c r="A9" s="29"/>
      <c r="B9" s="34"/>
      <c r="C9" s="24"/>
      <c r="D9" s="24"/>
      <c r="E9" s="24"/>
      <c r="F9" s="24"/>
      <c r="G9" s="26"/>
      <c r="H9" s="24"/>
      <c r="I9" s="24"/>
    </row>
    <row r="10" spans="1:9" x14ac:dyDescent="0.2">
      <c r="A10" s="33"/>
      <c r="B10" s="35"/>
      <c r="C10" s="32"/>
      <c r="D10" s="32"/>
      <c r="E10" s="27"/>
      <c r="F10" s="5"/>
      <c r="G10" s="31"/>
      <c r="H10" s="25"/>
      <c r="I10" s="30"/>
    </row>
    <row r="11" spans="1:9" x14ac:dyDescent="0.2">
      <c r="A11" s="33" t="s">
        <v>32</v>
      </c>
      <c r="B11" s="33" t="s">
        <v>31</v>
      </c>
      <c r="C11" s="32"/>
      <c r="D11" s="32"/>
      <c r="E11" s="27">
        <v>0</v>
      </c>
      <c r="F11" s="5">
        <f>C11*E11</f>
        <v>0</v>
      </c>
      <c r="G11" s="31"/>
      <c r="H11" s="25">
        <f>(1-(G11/100))*F11</f>
        <v>0</v>
      </c>
      <c r="I11" s="30"/>
    </row>
    <row r="12" spans="1:9" x14ac:dyDescent="0.2">
      <c r="A12" s="33" t="s">
        <v>30</v>
      </c>
      <c r="B12" s="33" t="s">
        <v>29</v>
      </c>
      <c r="C12" s="32">
        <v>2</v>
      </c>
      <c r="D12" s="32"/>
      <c r="E12" s="27">
        <v>3.71</v>
      </c>
      <c r="F12" s="5">
        <f>C12*E12</f>
        <v>7.42</v>
      </c>
      <c r="G12" s="31">
        <v>0</v>
      </c>
      <c r="H12" s="25">
        <f>(1-(G12/100))*F12</f>
        <v>7.42</v>
      </c>
      <c r="I12" s="30"/>
    </row>
    <row r="13" spans="1:9" ht="22.5" x14ac:dyDescent="0.2">
      <c r="A13" s="33" t="s">
        <v>28</v>
      </c>
      <c r="B13" s="6" t="s">
        <v>27</v>
      </c>
      <c r="C13" s="32">
        <v>2</v>
      </c>
      <c r="D13" s="32"/>
      <c r="E13" s="27">
        <v>3.71</v>
      </c>
      <c r="F13" s="5">
        <f>C13*E13</f>
        <v>7.42</v>
      </c>
      <c r="G13" s="31">
        <v>0</v>
      </c>
      <c r="H13" s="25">
        <f>(1-(G13/100))*F13</f>
        <v>7.42</v>
      </c>
      <c r="I13" s="30"/>
    </row>
    <row r="14" spans="1:9" ht="22.5" x14ac:dyDescent="0.2">
      <c r="A14" s="33" t="s">
        <v>26</v>
      </c>
      <c r="B14" s="6" t="s">
        <v>25</v>
      </c>
      <c r="C14" s="32">
        <v>2</v>
      </c>
      <c r="D14" s="32" t="s">
        <v>9</v>
      </c>
      <c r="E14" s="27">
        <v>3.71</v>
      </c>
      <c r="F14" s="5">
        <f>C14*E14</f>
        <v>7.42</v>
      </c>
      <c r="G14" s="31">
        <v>0</v>
      </c>
      <c r="H14" s="25">
        <f>(1-(G14/100))*F14</f>
        <v>7.42</v>
      </c>
      <c r="I14" s="30"/>
    </row>
    <row r="15" spans="1:9" x14ac:dyDescent="0.2">
      <c r="A15" s="29" t="s">
        <v>24</v>
      </c>
      <c r="B15" s="34" t="s">
        <v>23</v>
      </c>
      <c r="C15" s="24">
        <v>4</v>
      </c>
      <c r="D15" s="24"/>
      <c r="E15" s="24">
        <v>3.71</v>
      </c>
      <c r="F15" s="24">
        <f>C15*E15</f>
        <v>14.84</v>
      </c>
      <c r="G15" s="26">
        <v>0</v>
      </c>
      <c r="H15" s="24">
        <f>(1-(G15/100))*F15</f>
        <v>14.84</v>
      </c>
      <c r="I15" s="24"/>
    </row>
    <row r="16" spans="1:9" x14ac:dyDescent="0.2">
      <c r="A16" s="33" t="s">
        <v>22</v>
      </c>
      <c r="B16" s="6" t="s">
        <v>12</v>
      </c>
      <c r="C16" s="32"/>
      <c r="D16" s="32"/>
      <c r="E16" s="27"/>
      <c r="F16" s="5">
        <v>430289.16337704007</v>
      </c>
      <c r="G16" s="31"/>
      <c r="H16" s="25">
        <v>266779.28129376483</v>
      </c>
      <c r="I16" s="30"/>
    </row>
    <row r="17" spans="1:9" x14ac:dyDescent="0.2">
      <c r="A17" s="33" t="s">
        <v>21</v>
      </c>
      <c r="B17" s="6" t="s">
        <v>10</v>
      </c>
      <c r="C17" s="32">
        <v>8</v>
      </c>
      <c r="D17" s="32" t="s">
        <v>20</v>
      </c>
      <c r="E17" s="27">
        <v>53786.145422130008</v>
      </c>
      <c r="F17" s="5">
        <f>C17*E17</f>
        <v>430289.16337704007</v>
      </c>
      <c r="G17" s="31">
        <v>38</v>
      </c>
      <c r="H17" s="25">
        <f>F17*(1-G17%)</f>
        <v>266779.28129376483</v>
      </c>
      <c r="I17" s="30"/>
    </row>
    <row r="18" spans="1:9" x14ac:dyDescent="0.2">
      <c r="A18" s="29" t="s">
        <v>19</v>
      </c>
      <c r="B18" s="28" t="s">
        <v>6</v>
      </c>
      <c r="C18" s="24">
        <v>1</v>
      </c>
      <c r="D18" s="24" t="s">
        <v>5</v>
      </c>
      <c r="E18" s="27">
        <v>7730.93085445</v>
      </c>
      <c r="F18" s="5">
        <v>7730.93085445</v>
      </c>
      <c r="G18" s="26">
        <v>38</v>
      </c>
      <c r="H18" s="25">
        <v>4793.1771297590003</v>
      </c>
      <c r="I18" s="24"/>
    </row>
    <row r="19" spans="1:9" x14ac:dyDescent="0.2">
      <c r="A19" s="29" t="s">
        <v>18</v>
      </c>
      <c r="B19" s="28" t="s">
        <v>6</v>
      </c>
      <c r="C19" s="24">
        <v>1</v>
      </c>
      <c r="D19" s="24" t="s">
        <v>5</v>
      </c>
      <c r="E19" s="27">
        <v>125.41703807</v>
      </c>
      <c r="F19" s="5">
        <v>125.41703807</v>
      </c>
      <c r="G19" s="26">
        <v>38</v>
      </c>
      <c r="H19" s="25">
        <v>77.758563603400006</v>
      </c>
      <c r="I19" s="24"/>
    </row>
    <row r="20" spans="1:9" x14ac:dyDescent="0.2">
      <c r="A20" s="29" t="s">
        <v>17</v>
      </c>
      <c r="B20" s="28" t="s">
        <v>6</v>
      </c>
      <c r="C20" s="24">
        <v>1</v>
      </c>
      <c r="D20" s="24" t="s">
        <v>5</v>
      </c>
      <c r="E20" s="27">
        <v>63.17330956</v>
      </c>
      <c r="F20" s="5">
        <v>63.17330956</v>
      </c>
      <c r="G20" s="26">
        <v>38</v>
      </c>
      <c r="H20" s="25">
        <v>39.167451927199998</v>
      </c>
      <c r="I20" s="24"/>
    </row>
    <row r="21" spans="1:9" x14ac:dyDescent="0.2">
      <c r="A21" s="29" t="s">
        <v>16</v>
      </c>
      <c r="B21" s="28" t="s">
        <v>6</v>
      </c>
      <c r="C21" s="24">
        <v>1</v>
      </c>
      <c r="D21" s="24" t="s">
        <v>5</v>
      </c>
      <c r="E21" s="27">
        <v>369.70584489999999</v>
      </c>
      <c r="F21" s="5">
        <v>369.70584489999999</v>
      </c>
      <c r="G21" s="26">
        <v>38</v>
      </c>
      <c r="H21" s="25">
        <v>229.21762383799998</v>
      </c>
      <c r="I21" s="24"/>
    </row>
    <row r="22" spans="1:9" x14ac:dyDescent="0.2">
      <c r="A22" s="29" t="s">
        <v>15</v>
      </c>
      <c r="B22" s="28" t="s">
        <v>6</v>
      </c>
      <c r="C22" s="24">
        <v>1</v>
      </c>
      <c r="D22" s="24" t="s">
        <v>5</v>
      </c>
      <c r="E22" s="27">
        <v>136.17725709999999</v>
      </c>
      <c r="F22" s="5">
        <v>136.17725709999999</v>
      </c>
      <c r="G22" s="26">
        <v>38</v>
      </c>
      <c r="H22" s="25">
        <v>84.42989940199999</v>
      </c>
      <c r="I22" s="24"/>
    </row>
    <row r="23" spans="1:9" x14ac:dyDescent="0.2">
      <c r="A23" s="29" t="s">
        <v>14</v>
      </c>
      <c r="B23" s="28" t="s">
        <v>6</v>
      </c>
      <c r="C23" s="24">
        <v>3</v>
      </c>
      <c r="D23" s="24" t="s">
        <v>5</v>
      </c>
      <c r="E23" s="27">
        <v>15120.247039350001</v>
      </c>
      <c r="F23" s="5">
        <v>45360.741118050006</v>
      </c>
      <c r="G23" s="26">
        <v>38</v>
      </c>
      <c r="H23" s="25">
        <v>28123.659493191004</v>
      </c>
      <c r="I23" s="24"/>
    </row>
    <row r="24" spans="1:9" x14ac:dyDescent="0.2">
      <c r="A24" s="29"/>
      <c r="B24" s="34"/>
      <c r="C24" s="24"/>
      <c r="D24" s="24"/>
      <c r="E24" s="24"/>
      <c r="F24" s="24"/>
      <c r="G24" s="26"/>
      <c r="H24" s="24"/>
      <c r="I24" s="24"/>
    </row>
    <row r="25" spans="1:9" x14ac:dyDescent="0.2">
      <c r="A25" s="33" t="s">
        <v>13</v>
      </c>
      <c r="B25" s="6" t="s">
        <v>12</v>
      </c>
      <c r="C25" s="32"/>
      <c r="D25" s="32"/>
      <c r="E25" s="27"/>
      <c r="F25" s="5">
        <v>38665.898382899999</v>
      </c>
      <c r="G25" s="31"/>
      <c r="H25" s="25">
        <v>0</v>
      </c>
      <c r="I25" s="30"/>
    </row>
    <row r="26" spans="1:9" x14ac:dyDescent="0.2">
      <c r="A26" s="33" t="s">
        <v>11</v>
      </c>
      <c r="B26" s="6" t="s">
        <v>10</v>
      </c>
      <c r="C26" s="32">
        <v>1</v>
      </c>
      <c r="D26" s="32" t="s">
        <v>9</v>
      </c>
      <c r="E26" s="27">
        <v>38665.898382899999</v>
      </c>
      <c r="F26" s="5">
        <v>38665.898382899999</v>
      </c>
      <c r="G26" s="31">
        <v>10</v>
      </c>
      <c r="H26" s="25">
        <v>0</v>
      </c>
      <c r="I26" s="30"/>
    </row>
    <row r="27" spans="1:9" x14ac:dyDescent="0.2">
      <c r="A27" s="29" t="s">
        <v>8</v>
      </c>
      <c r="B27" s="28" t="s">
        <v>6</v>
      </c>
      <c r="C27" s="24">
        <v>1</v>
      </c>
      <c r="D27" s="24" t="s">
        <v>5</v>
      </c>
      <c r="E27" s="27">
        <v>7730.93085445</v>
      </c>
      <c r="F27" s="5">
        <v>7730.93085445</v>
      </c>
      <c r="G27" s="26">
        <v>10</v>
      </c>
      <c r="H27" s="25">
        <v>0</v>
      </c>
      <c r="I27" s="24"/>
    </row>
    <row r="28" spans="1:9" x14ac:dyDescent="0.2">
      <c r="A28" s="23" t="s">
        <v>7</v>
      </c>
      <c r="B28" s="22" t="s">
        <v>6</v>
      </c>
      <c r="C28" s="17">
        <v>1</v>
      </c>
      <c r="D28" s="17" t="s">
        <v>5</v>
      </c>
      <c r="E28" s="21">
        <v>125.41703807</v>
      </c>
      <c r="F28" s="20">
        <v>125.41703807</v>
      </c>
      <c r="G28" s="19">
        <v>10</v>
      </c>
      <c r="H28" s="18">
        <v>0</v>
      </c>
      <c r="I28" s="17"/>
    </row>
    <row r="29" spans="1:9" ht="13.5" thickBot="1" x14ac:dyDescent="0.25">
      <c r="A29" s="16"/>
      <c r="B29" s="15"/>
      <c r="C29" s="10"/>
      <c r="D29" s="10"/>
      <c r="E29" s="14"/>
      <c r="F29" s="13"/>
      <c r="G29" s="12"/>
      <c r="H29" s="11"/>
      <c r="I29" s="10"/>
    </row>
    <row r="30" spans="1:9" s="7" customFormat="1" x14ac:dyDescent="0.2">
      <c r="A30" s="8"/>
      <c r="B30" s="6" t="s">
        <v>4</v>
      </c>
      <c r="C30" s="8"/>
      <c r="D30" s="8"/>
      <c r="E30" s="8"/>
      <c r="F30" s="5">
        <v>333333</v>
      </c>
      <c r="G30" s="9"/>
      <c r="H30" s="8"/>
      <c r="I30" s="8"/>
    </row>
    <row r="31" spans="1:9" x14ac:dyDescent="0.2">
      <c r="A31" s="3"/>
      <c r="B31" s="6" t="s">
        <v>3</v>
      </c>
      <c r="C31" s="3"/>
      <c r="D31" s="3"/>
      <c r="E31" s="3"/>
      <c r="F31" s="5">
        <v>1111</v>
      </c>
      <c r="G31" s="4"/>
      <c r="H31" s="3"/>
      <c r="I31" s="3"/>
    </row>
    <row r="32" spans="1:9" x14ac:dyDescent="0.2">
      <c r="A32" s="3"/>
      <c r="B32" s="6" t="s">
        <v>2</v>
      </c>
      <c r="C32" s="3"/>
      <c r="D32" s="3"/>
      <c r="E32" s="3"/>
      <c r="F32" s="5">
        <v>222</v>
      </c>
      <c r="G32" s="4"/>
      <c r="H32" s="3"/>
      <c r="I32" s="3"/>
    </row>
    <row r="33" spans="1:9" x14ac:dyDescent="0.2">
      <c r="A33" s="3"/>
      <c r="B33" s="6" t="s">
        <v>1</v>
      </c>
      <c r="C33" s="3"/>
      <c r="D33" s="3"/>
      <c r="E33" s="3"/>
      <c r="F33" s="5">
        <f>F30-F31-F32</f>
        <v>332000</v>
      </c>
      <c r="G33" s="4"/>
      <c r="H33" s="3"/>
      <c r="I33" s="3"/>
    </row>
    <row r="34" spans="1:9" x14ac:dyDescent="0.2">
      <c r="A34" s="3"/>
      <c r="B34" s="3"/>
      <c r="C34" s="3"/>
      <c r="D34" s="3"/>
      <c r="E34" s="3"/>
      <c r="F34" s="5"/>
      <c r="G34" s="4"/>
      <c r="H34" s="3"/>
      <c r="I34" s="3"/>
    </row>
    <row r="35" spans="1:9" x14ac:dyDescent="0.2">
      <c r="A35" s="3"/>
      <c r="B35" s="3"/>
      <c r="C35" s="3"/>
      <c r="D35" s="3"/>
      <c r="E35" s="3"/>
      <c r="F35" s="3"/>
      <c r="G35" s="4"/>
      <c r="H35" s="3"/>
      <c r="I35" s="3"/>
    </row>
  </sheetData>
  <printOptions horizontalCentered="1"/>
  <pageMargins left="0.75" right="0.75" top="1.1499999999999999" bottom="0.65" header="0.35" footer="0.35"/>
  <pageSetup paperSize="9" scale="74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3"/>
  <sheetViews>
    <sheetView view="pageBreakPreview" zoomScaleNormal="100" workbookViewId="0">
      <selection activeCell="F19" sqref="F19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customWidth="1"/>
    <col min="7" max="8" width="11.140625" style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3" customFormat="1" ht="3.75" customHeight="1" x14ac:dyDescent="0.2">
      <c r="A1" s="41"/>
      <c r="B1" s="41"/>
      <c r="C1" s="41"/>
      <c r="D1" s="41"/>
      <c r="E1" s="41"/>
      <c r="F1" s="41"/>
      <c r="G1" s="41"/>
      <c r="H1" s="49"/>
    </row>
    <row r="2" spans="1:8" s="3" customFormat="1" x14ac:dyDescent="0.2">
      <c r="A2" s="49"/>
      <c r="B2" s="49"/>
      <c r="C2" s="49"/>
      <c r="D2" s="49"/>
      <c r="E2" s="49"/>
      <c r="F2" s="49"/>
      <c r="G2" s="49"/>
      <c r="H2" s="49"/>
    </row>
    <row r="3" spans="1:8" s="49" customFormat="1" x14ac:dyDescent="0.2">
      <c r="A3" s="57" t="s">
        <v>85</v>
      </c>
      <c r="E3" s="57" t="s">
        <v>84</v>
      </c>
    </row>
    <row r="4" spans="1:8" s="49" customFormat="1" x14ac:dyDescent="0.2">
      <c r="A4" s="57" t="s">
        <v>83</v>
      </c>
      <c r="E4" s="57" t="s">
        <v>82</v>
      </c>
      <c r="F4" s="49" t="s">
        <v>51</v>
      </c>
    </row>
    <row r="5" spans="1:8" s="49" customFormat="1" x14ac:dyDescent="0.2">
      <c r="A5" s="57"/>
      <c r="E5" s="57"/>
    </row>
    <row r="6" spans="1:8" s="49" customFormat="1" x14ac:dyDescent="0.2">
      <c r="A6" s="57" t="s">
        <v>81</v>
      </c>
      <c r="E6" s="57" t="s">
        <v>81</v>
      </c>
    </row>
    <row r="7" spans="1:8" s="3" customFormat="1" x14ac:dyDescent="0.2">
      <c r="A7" s="41"/>
      <c r="B7" s="41"/>
      <c r="C7" s="41"/>
      <c r="D7" s="41"/>
      <c r="E7" s="41"/>
      <c r="F7" s="41"/>
      <c r="G7" s="41"/>
      <c r="H7" s="49"/>
    </row>
    <row r="8" spans="1:8" s="3" customFormat="1" x14ac:dyDescent="0.2">
      <c r="A8" s="49"/>
      <c r="B8" s="49"/>
      <c r="C8" s="49"/>
      <c r="D8" s="49"/>
      <c r="E8" s="49"/>
      <c r="F8" s="49"/>
      <c r="G8" s="49"/>
      <c r="H8" s="49"/>
    </row>
    <row r="9" spans="1:8" s="43" customFormat="1" ht="15.75" x14ac:dyDescent="0.25">
      <c r="A9" s="47" t="s">
        <v>47</v>
      </c>
      <c r="B9" s="46" t="s">
        <v>46</v>
      </c>
    </row>
    <row r="10" spans="1:8" s="43" customFormat="1" ht="15.75" x14ac:dyDescent="0.25">
      <c r="A10" s="47" t="s">
        <v>45</v>
      </c>
      <c r="B10" s="48" t="s">
        <v>44</v>
      </c>
    </row>
    <row r="11" spans="1:8" s="43" customFormat="1" ht="15.75" x14ac:dyDescent="0.25">
      <c r="A11" s="108" t="s">
        <v>43</v>
      </c>
      <c r="B11" s="107" t="s">
        <v>42</v>
      </c>
      <c r="C11" s="44"/>
      <c r="D11" s="44"/>
      <c r="E11" s="44"/>
      <c r="F11" s="44"/>
      <c r="G11" s="44"/>
      <c r="H11" s="44"/>
    </row>
    <row r="12" spans="1:8" s="3" customFormat="1" ht="15.75" x14ac:dyDescent="0.25">
      <c r="A12" s="106"/>
      <c r="B12" s="105"/>
      <c r="C12" s="49"/>
      <c r="D12" s="49"/>
      <c r="E12" s="49"/>
      <c r="F12" s="49"/>
      <c r="G12" s="49"/>
      <c r="H12" s="49"/>
    </row>
    <row r="13" spans="1:8" s="3" customFormat="1" x14ac:dyDescent="0.2">
      <c r="A13" s="49"/>
      <c r="B13" s="49"/>
      <c r="C13" s="49"/>
      <c r="D13" s="49"/>
      <c r="E13" s="49"/>
      <c r="F13" s="49"/>
      <c r="G13" s="49"/>
      <c r="H13" s="49"/>
    </row>
    <row r="14" spans="1:8" s="3" customFormat="1" ht="15.75" x14ac:dyDescent="0.25">
      <c r="A14" s="65" t="s">
        <v>80</v>
      </c>
      <c r="B14" s="64"/>
      <c r="C14" s="64"/>
      <c r="D14" s="64"/>
      <c r="E14" s="64"/>
      <c r="F14" s="64"/>
      <c r="G14" s="63"/>
      <c r="H14" s="64"/>
    </row>
    <row r="15" spans="1:8" s="3" customFormat="1" ht="15.75" x14ac:dyDescent="0.25">
      <c r="A15" s="104"/>
    </row>
    <row r="16" spans="1:8" s="3" customFormat="1" ht="13.5" thickBot="1" x14ac:dyDescent="0.25">
      <c r="A16" s="57" t="s">
        <v>79</v>
      </c>
      <c r="B16" s="49"/>
      <c r="C16" s="49"/>
      <c r="D16" s="49"/>
      <c r="E16" s="69" t="s">
        <v>78</v>
      </c>
      <c r="F16" s="69" t="s">
        <v>77</v>
      </c>
      <c r="G16" s="69" t="s">
        <v>76</v>
      </c>
      <c r="H16" s="69" t="s">
        <v>75</v>
      </c>
    </row>
    <row r="17" spans="1:8" s="8" customFormat="1" ht="13.5" thickTop="1" x14ac:dyDescent="0.2">
      <c r="A17" s="103" t="s">
        <v>74</v>
      </c>
      <c r="B17" s="102"/>
      <c r="C17" s="102"/>
      <c r="D17" s="102"/>
      <c r="E17" s="101">
        <v>100</v>
      </c>
      <c r="F17" s="101">
        <v>500</v>
      </c>
      <c r="G17" s="101">
        <v>120</v>
      </c>
      <c r="H17" s="100">
        <f>SUM(E17:G17)</f>
        <v>720</v>
      </c>
    </row>
    <row r="18" spans="1:8" s="57" customFormat="1" x14ac:dyDescent="0.2">
      <c r="A18" s="57" t="s">
        <v>73</v>
      </c>
      <c r="E18" s="69">
        <v>100</v>
      </c>
      <c r="F18" s="69">
        <v>500</v>
      </c>
      <c r="G18" s="69">
        <v>120</v>
      </c>
      <c r="H18" s="98">
        <f>SUM(E18:G18)</f>
        <v>720</v>
      </c>
    </row>
    <row r="19" spans="1:8" s="8" customFormat="1" x14ac:dyDescent="0.2">
      <c r="A19" s="99" t="s">
        <v>72</v>
      </c>
      <c r="B19" s="57"/>
      <c r="C19" s="57"/>
      <c r="D19" s="57"/>
      <c r="E19" s="69">
        <v>100</v>
      </c>
      <c r="F19" s="69">
        <v>500</v>
      </c>
      <c r="G19" s="69">
        <v>120</v>
      </c>
      <c r="H19" s="98">
        <f>SUM(E19:G19)</f>
        <v>720</v>
      </c>
    </row>
    <row r="20" spans="1:8" s="3" customFormat="1" ht="13.5" thickBot="1" x14ac:dyDescent="0.25">
      <c r="A20" s="97"/>
      <c r="B20" s="96"/>
      <c r="C20" s="95"/>
      <c r="D20" s="95"/>
      <c r="E20" s="94"/>
      <c r="F20" s="94"/>
      <c r="G20" s="94"/>
      <c r="H20" s="93"/>
    </row>
    <row r="21" spans="1:8" s="8" customFormat="1" ht="13.5" thickTop="1" x14ac:dyDescent="0.2">
      <c r="A21" s="92" t="s">
        <v>71</v>
      </c>
      <c r="B21" s="91"/>
      <c r="C21" s="91"/>
      <c r="D21" s="91"/>
      <c r="E21" s="90">
        <f>E18+E17+E19</f>
        <v>300</v>
      </c>
      <c r="F21" s="90">
        <f>F18+F17+F19</f>
        <v>1500</v>
      </c>
      <c r="G21" s="89">
        <f>G18+G17+G19</f>
        <v>360</v>
      </c>
      <c r="H21" s="89">
        <f>SUM(E21:G21)</f>
        <v>2160</v>
      </c>
    </row>
    <row r="22" spans="1:8" s="8" customFormat="1" x14ac:dyDescent="0.2">
      <c r="A22" s="88" t="s">
        <v>70</v>
      </c>
      <c r="B22" s="87"/>
      <c r="C22" s="87"/>
      <c r="D22" s="87"/>
      <c r="E22" s="86"/>
      <c r="F22" s="86"/>
      <c r="G22" s="85"/>
      <c r="H22" s="85"/>
    </row>
    <row r="23" spans="1:8" s="79" customFormat="1" ht="12" x14ac:dyDescent="0.2">
      <c r="A23" s="84"/>
      <c r="B23" s="82" t="s">
        <v>69</v>
      </c>
      <c r="C23" s="82"/>
      <c r="D23" s="82"/>
      <c r="E23" s="81"/>
      <c r="F23" s="81"/>
      <c r="G23" s="80"/>
      <c r="H23" s="80"/>
    </row>
    <row r="24" spans="1:8" s="79" customFormat="1" ht="12" x14ac:dyDescent="0.2">
      <c r="A24" s="84"/>
      <c r="B24" s="82" t="s">
        <v>68</v>
      </c>
      <c r="C24" s="82"/>
      <c r="D24" s="82"/>
      <c r="E24" s="81"/>
      <c r="F24" s="81"/>
      <c r="G24" s="80"/>
      <c r="H24" s="80"/>
    </row>
    <row r="25" spans="1:8" s="79" customFormat="1" ht="12" x14ac:dyDescent="0.2">
      <c r="A25" s="84"/>
      <c r="B25" s="82" t="s">
        <v>67</v>
      </c>
      <c r="C25" s="82"/>
      <c r="D25" s="82"/>
      <c r="E25" s="81"/>
      <c r="F25" s="81"/>
      <c r="G25" s="80"/>
      <c r="H25" s="80"/>
    </row>
    <row r="26" spans="1:8" s="79" customFormat="1" ht="12" x14ac:dyDescent="0.2">
      <c r="A26" s="84"/>
      <c r="B26" s="82" t="s">
        <v>66</v>
      </c>
      <c r="C26" s="82"/>
      <c r="D26" s="82"/>
      <c r="E26" s="81"/>
      <c r="F26" s="81"/>
      <c r="G26" s="80"/>
      <c r="H26" s="80"/>
    </row>
    <row r="27" spans="1:8" s="79" customFormat="1" ht="12" x14ac:dyDescent="0.2">
      <c r="A27" s="83" t="s">
        <v>65</v>
      </c>
      <c r="B27" s="82"/>
      <c r="C27" s="82"/>
      <c r="D27" s="82"/>
      <c r="E27" s="81"/>
      <c r="F27" s="81"/>
      <c r="G27" s="80"/>
      <c r="H27" s="80"/>
    </row>
    <row r="28" spans="1:8" s="79" customFormat="1" ht="12" x14ac:dyDescent="0.2">
      <c r="A28" s="83"/>
      <c r="B28" s="82" t="s">
        <v>64</v>
      </c>
      <c r="C28" s="82"/>
      <c r="D28" s="82"/>
      <c r="E28" s="81"/>
      <c r="F28" s="81"/>
      <c r="G28" s="80"/>
      <c r="H28" s="80"/>
    </row>
    <row r="29" spans="1:8" s="3" customFormat="1" ht="13.5" thickBot="1" x14ac:dyDescent="0.25">
      <c r="A29" s="78"/>
      <c r="B29" s="77"/>
      <c r="C29" s="76"/>
      <c r="D29" s="76"/>
      <c r="E29" s="75"/>
      <c r="F29" s="75"/>
      <c r="G29" s="74"/>
      <c r="H29" s="74">
        <f>SUM(E29:G29)</f>
        <v>0</v>
      </c>
    </row>
    <row r="30" spans="1:8" s="8" customFormat="1" ht="14.25" thickTop="1" thickBot="1" x14ac:dyDescent="0.25">
      <c r="A30" s="73" t="s">
        <v>63</v>
      </c>
      <c r="B30" s="72"/>
      <c r="C30" s="72"/>
      <c r="D30" s="72"/>
      <c r="E30" s="71">
        <f>E21-E22</f>
        <v>300</v>
      </c>
      <c r="F30" s="71">
        <f>F21-F22</f>
        <v>1500</v>
      </c>
      <c r="G30" s="70">
        <f>G21-G22</f>
        <v>360</v>
      </c>
      <c r="H30" s="70">
        <f>SUM(E30:G30)</f>
        <v>2160</v>
      </c>
    </row>
    <row r="31" spans="1:8" s="8" customFormat="1" ht="13.5" thickTop="1" x14ac:dyDescent="0.2">
      <c r="A31" s="57"/>
      <c r="B31" s="57"/>
      <c r="C31" s="57"/>
      <c r="D31" s="57"/>
      <c r="E31" s="69"/>
      <c r="F31" s="69"/>
      <c r="G31" s="69"/>
      <c r="H31" s="69"/>
    </row>
    <row r="32" spans="1:8" s="3" customFormat="1" x14ac:dyDescent="0.2"/>
    <row r="33" spans="1:10" s="61" customFormat="1" ht="15.75" x14ac:dyDescent="0.25">
      <c r="A33" s="65" t="s">
        <v>62</v>
      </c>
      <c r="B33" s="64"/>
      <c r="C33" s="64"/>
      <c r="D33" s="64"/>
      <c r="E33" s="64"/>
      <c r="F33" s="64"/>
      <c r="G33" s="64"/>
      <c r="H33" s="63"/>
      <c r="I33" s="62"/>
    </row>
    <row r="34" spans="1:10" s="3" customFormat="1" x14ac:dyDescent="0.2"/>
    <row r="35" spans="1:10" s="3" customFormat="1" x14ac:dyDescent="0.2">
      <c r="A35" s="68" t="s">
        <v>61</v>
      </c>
      <c r="B35" s="67"/>
      <c r="C35" s="67"/>
      <c r="D35" s="67"/>
      <c r="E35" s="67"/>
      <c r="F35" s="67"/>
      <c r="G35" s="67"/>
      <c r="H35" s="66"/>
      <c r="I35" s="49"/>
      <c r="J35" s="49"/>
    </row>
    <row r="36" spans="1:10" s="3" customFormat="1" x14ac:dyDescent="0.2">
      <c r="A36" s="56" t="s">
        <v>60</v>
      </c>
      <c r="B36" s="49"/>
      <c r="C36" s="49"/>
      <c r="D36" s="49"/>
      <c r="E36" s="49"/>
      <c r="F36" s="49"/>
      <c r="G36" s="49"/>
      <c r="H36" s="55"/>
      <c r="I36" s="49"/>
      <c r="J36" s="49"/>
    </row>
    <row r="37" spans="1:10" s="3" customFormat="1" x14ac:dyDescent="0.2">
      <c r="A37" s="56" t="s">
        <v>59</v>
      </c>
      <c r="B37" s="49"/>
      <c r="C37" s="49"/>
      <c r="D37" s="49"/>
      <c r="E37" s="49"/>
      <c r="F37" s="49"/>
      <c r="G37" s="49"/>
      <c r="H37" s="55"/>
      <c r="I37" s="49"/>
      <c r="J37" s="49"/>
    </row>
    <row r="38" spans="1:10" s="3" customFormat="1" x14ac:dyDescent="0.2">
      <c r="A38" s="56" t="s">
        <v>58</v>
      </c>
      <c r="B38" s="49"/>
      <c r="C38" s="49"/>
      <c r="D38" s="49"/>
      <c r="E38" s="49"/>
      <c r="F38" s="49"/>
      <c r="G38" s="49"/>
      <c r="H38" s="55"/>
      <c r="I38" s="49"/>
      <c r="J38" s="49"/>
    </row>
    <row r="39" spans="1:10" s="3" customFormat="1" x14ac:dyDescent="0.2">
      <c r="A39" s="56" t="s">
        <v>57</v>
      </c>
      <c r="B39" s="49"/>
      <c r="C39" s="49"/>
      <c r="D39" s="49"/>
      <c r="E39" s="49"/>
      <c r="F39" s="49"/>
      <c r="G39" s="49"/>
      <c r="H39" s="55"/>
      <c r="I39" s="49"/>
      <c r="J39" s="49"/>
    </row>
    <row r="40" spans="1:10" s="3" customFormat="1" x14ac:dyDescent="0.2">
      <c r="A40" s="56" t="s">
        <v>57</v>
      </c>
      <c r="B40" s="49"/>
      <c r="C40" s="49"/>
      <c r="D40" s="49"/>
      <c r="E40" s="49"/>
      <c r="F40" s="49"/>
      <c r="G40" s="49"/>
      <c r="H40" s="55"/>
      <c r="I40" s="49"/>
      <c r="J40" s="49"/>
    </row>
    <row r="41" spans="1:10" s="3" customFormat="1" x14ac:dyDescent="0.2">
      <c r="A41" s="54"/>
      <c r="B41" s="41"/>
      <c r="C41" s="41"/>
      <c r="D41" s="41"/>
      <c r="E41" s="41"/>
      <c r="F41" s="41"/>
      <c r="G41" s="41"/>
      <c r="H41" s="53"/>
      <c r="I41" s="49"/>
      <c r="J41" s="49"/>
    </row>
    <row r="42" spans="1:10" s="3" customFormat="1" x14ac:dyDescent="0.2"/>
    <row r="43" spans="1:10" s="61" customFormat="1" ht="15.75" x14ac:dyDescent="0.25">
      <c r="A43" s="65" t="s">
        <v>56</v>
      </c>
      <c r="B43" s="64"/>
      <c r="C43" s="64"/>
      <c r="D43" s="64"/>
      <c r="E43" s="64"/>
      <c r="F43" s="64"/>
      <c r="G43" s="64"/>
      <c r="H43" s="63"/>
      <c r="I43" s="62"/>
    </row>
    <row r="44" spans="1:10" s="3" customFormat="1" x14ac:dyDescent="0.2"/>
    <row r="45" spans="1:10" s="8" customFormat="1" x14ac:dyDescent="0.2">
      <c r="A45" s="60" t="s">
        <v>55</v>
      </c>
      <c r="B45" s="60" t="s">
        <v>54</v>
      </c>
      <c r="C45" s="60" t="s">
        <v>53</v>
      </c>
      <c r="D45" s="59"/>
      <c r="E45" s="59"/>
      <c r="F45" s="59"/>
      <c r="G45" s="59"/>
      <c r="H45" s="58"/>
      <c r="I45" s="57"/>
      <c r="J45" s="57"/>
    </row>
    <row r="46" spans="1:10" s="3" customFormat="1" x14ac:dyDescent="0.2">
      <c r="A46" s="56" t="s">
        <v>52</v>
      </c>
      <c r="B46" s="56" t="s">
        <v>49</v>
      </c>
      <c r="C46" s="56" t="s">
        <v>51</v>
      </c>
      <c r="D46" s="49"/>
      <c r="E46" s="49"/>
      <c r="F46" s="49"/>
      <c r="G46" s="49"/>
      <c r="H46" s="55"/>
      <c r="I46" s="49"/>
      <c r="J46" s="49"/>
    </row>
    <row r="47" spans="1:10" s="3" customFormat="1" x14ac:dyDescent="0.2">
      <c r="A47" s="56" t="s">
        <v>50</v>
      </c>
      <c r="B47" s="56" t="s">
        <v>49</v>
      </c>
      <c r="C47" s="56" t="s">
        <v>48</v>
      </c>
      <c r="D47" s="49"/>
      <c r="E47" s="49"/>
      <c r="F47" s="49"/>
      <c r="G47" s="49"/>
      <c r="H47" s="55"/>
      <c r="I47" s="49"/>
      <c r="J47" s="49"/>
    </row>
    <row r="48" spans="1:10" s="3" customFormat="1" x14ac:dyDescent="0.2">
      <c r="A48" s="56"/>
      <c r="B48" s="56"/>
      <c r="C48" s="56"/>
      <c r="D48" s="49"/>
      <c r="E48" s="49"/>
      <c r="F48" s="49"/>
      <c r="G48" s="49"/>
      <c r="H48" s="55"/>
      <c r="I48" s="49"/>
      <c r="J48" s="49"/>
    </row>
    <row r="49" spans="1:10" s="3" customFormat="1" x14ac:dyDescent="0.2">
      <c r="A49" s="56"/>
      <c r="B49" s="56"/>
      <c r="C49" s="56"/>
      <c r="D49" s="49"/>
      <c r="E49" s="49"/>
      <c r="F49" s="49"/>
      <c r="G49" s="49"/>
      <c r="H49" s="55"/>
      <c r="I49" s="49"/>
      <c r="J49" s="49"/>
    </row>
    <row r="50" spans="1:10" s="3" customFormat="1" x14ac:dyDescent="0.2">
      <c r="A50" s="54"/>
      <c r="B50" s="54"/>
      <c r="C50" s="54"/>
      <c r="D50" s="41"/>
      <c r="E50" s="41"/>
      <c r="F50" s="41"/>
      <c r="G50" s="41"/>
      <c r="H50" s="53"/>
      <c r="I50" s="49"/>
      <c r="J50" s="49"/>
    </row>
    <row r="51" spans="1:10" s="3" customFormat="1" x14ac:dyDescent="0.2"/>
    <row r="52" spans="1:10" s="3" customFormat="1" x14ac:dyDescent="0.2"/>
    <row r="53" spans="1:10" s="3" customFormat="1" x14ac:dyDescent="0.2"/>
  </sheetData>
  <printOptions horizontalCentered="1"/>
  <pageMargins left="0.75" right="0.75" top="1.36" bottom="0.65" header="0.35" footer="0.35"/>
  <pageSetup paperSize="9" scale="86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Database</vt:lpstr>
      <vt:lpstr>detail boq Template</vt:lpstr>
      <vt:lpstr>Summary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Sim Kim Sia</cp:lastModifiedBy>
  <dcterms:created xsi:type="dcterms:W3CDTF">2012-03-23T00:13:28Z</dcterms:created>
  <dcterms:modified xsi:type="dcterms:W3CDTF">2012-04-12T02:48:51Z</dcterms:modified>
</cp:coreProperties>
</file>
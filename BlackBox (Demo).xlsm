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35" windowWidth="13140" windowHeight="496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110" i="2"/>
  <c r="L57" i="2"/>
  <c r="L52" i="2"/>
  <c r="L47" i="2"/>
  <c r="L39" i="2"/>
  <c r="L31" i="2"/>
  <c r="L18" i="2"/>
  <c r="L10" i="2"/>
  <c r="L69" i="2"/>
  <c r="L4" i="2"/>
  <c r="K110" i="2"/>
  <c r="K57" i="2"/>
  <c r="K52" i="2"/>
  <c r="K47" i="2"/>
  <c r="K39" i="2"/>
  <c r="K31" i="2"/>
  <c r="K18" i="2"/>
  <c r="K10" i="2"/>
  <c r="K69" i="2"/>
  <c r="K4" i="2"/>
  <c r="M110" i="2"/>
  <c r="M57" i="2"/>
  <c r="M52" i="2"/>
  <c r="M47" i="2"/>
  <c r="M39" i="2"/>
  <c r="M31" i="2"/>
  <c r="M18" i="2"/>
  <c r="M10" i="2"/>
  <c r="M69" i="2"/>
  <c r="M4" i="2"/>
  <c r="J110" i="2"/>
  <c r="J57" i="2"/>
  <c r="J52" i="2"/>
  <c r="J47" i="2"/>
  <c r="J39" i="2"/>
  <c r="J31" i="2"/>
  <c r="J18" i="2"/>
  <c r="J10" i="2"/>
  <c r="J69" i="2"/>
  <c r="J4" i="2"/>
  <c r="L111" i="2"/>
  <c r="L58" i="2"/>
  <c r="L53" i="2"/>
  <c r="L48" i="2"/>
  <c r="L40" i="2"/>
  <c r="L32" i="2"/>
  <c r="L27" i="2"/>
  <c r="L19" i="2"/>
  <c r="L11" i="2"/>
  <c r="L104" i="2"/>
  <c r="L70" i="2"/>
  <c r="L64" i="2"/>
  <c r="L5" i="2"/>
  <c r="K111" i="2"/>
  <c r="K58" i="2"/>
  <c r="K53" i="2"/>
  <c r="K48" i="2"/>
  <c r="K40" i="2"/>
  <c r="K32" i="2"/>
  <c r="K27" i="2"/>
  <c r="K19" i="2"/>
  <c r="K11" i="2"/>
  <c r="K104" i="2"/>
  <c r="K70" i="2"/>
  <c r="K64" i="2"/>
  <c r="K5" i="2"/>
  <c r="M111" i="2"/>
  <c r="M58" i="2"/>
  <c r="M53" i="2"/>
  <c r="M48" i="2"/>
  <c r="M40" i="2"/>
  <c r="M32" i="2"/>
  <c r="M27" i="2"/>
  <c r="M19" i="2"/>
  <c r="M11" i="2"/>
  <c r="M104" i="2"/>
  <c r="M70" i="2"/>
  <c r="M64" i="2"/>
  <c r="M5" i="2"/>
  <c r="J111" i="2"/>
  <c r="J58" i="2"/>
  <c r="J53" i="2"/>
  <c r="J48" i="2"/>
  <c r="J40" i="2"/>
  <c r="J32" i="2"/>
  <c r="J27" i="2"/>
  <c r="J19" i="2"/>
  <c r="J11" i="2"/>
  <c r="J104" i="2"/>
  <c r="J70" i="2"/>
  <c r="J64" i="2"/>
  <c r="J5" i="2"/>
  <c r="L112" i="2"/>
  <c r="L59" i="2"/>
  <c r="L54" i="2"/>
  <c r="L49" i="2"/>
  <c r="L41" i="2"/>
  <c r="L33" i="2"/>
  <c r="L28" i="2"/>
  <c r="L20" i="2"/>
  <c r="L12" i="2"/>
  <c r="L105" i="2"/>
  <c r="L71" i="2"/>
  <c r="L65" i="2"/>
  <c r="L6" i="2"/>
  <c r="K112" i="2"/>
  <c r="K59" i="2"/>
  <c r="K54" i="2"/>
  <c r="K49" i="2"/>
  <c r="K41" i="2"/>
  <c r="K33" i="2"/>
  <c r="K28" i="2"/>
  <c r="K20" i="2"/>
  <c r="K12" i="2"/>
  <c r="K105" i="2"/>
  <c r="K71" i="2"/>
  <c r="K65" i="2"/>
  <c r="K6" i="2"/>
  <c r="M112" i="2"/>
  <c r="M59" i="2"/>
  <c r="M54" i="2"/>
  <c r="M49" i="2"/>
  <c r="M41" i="2"/>
  <c r="M33" i="2"/>
  <c r="M28" i="2"/>
  <c r="M20" i="2"/>
  <c r="M12" i="2"/>
  <c r="M105" i="2"/>
  <c r="M71" i="2"/>
  <c r="M65" i="2"/>
  <c r="M6" i="2"/>
  <c r="J112" i="2"/>
  <c r="J59" i="2"/>
  <c r="J54" i="2"/>
  <c r="J49" i="2"/>
  <c r="J41" i="2"/>
  <c r="J33" i="2"/>
  <c r="J28" i="2"/>
  <c r="J20" i="2"/>
  <c r="J12" i="2"/>
  <c r="J105" i="2"/>
  <c r="J71" i="2"/>
  <c r="J65" i="2"/>
  <c r="J6" i="2"/>
  <c r="L113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113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113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113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114" i="2"/>
  <c r="K114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3" i="4"/>
  <c r="H12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<sst xmlns="http://schemas.openxmlformats.org/spreadsheetml/2006/main" count="1195" uniqueCount="627">
  <si>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</si>
  <si>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</si>
  <si>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</si>
  <si>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</si>
  <si>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</si>
  <si>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</si>
  <si>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</si>
  <si>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</si>
  <si>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</si>
  <si>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</si>
  <si>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</si>
  <si>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</si>
  <si>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</si>
  <si>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</si>
  <si>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</si>
  <si>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</si>
  <si>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</si>
  <si>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</si>
  <si>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</si>
  <si>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</si>
  <si>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</si>
  <si>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</si>
  <si>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</si>
  <si>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</si>
  <si>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</si>
  <si>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</si>
  <si>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</si>
  <si>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</si>
  <si>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</si>
  <si>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</si>
  <si>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</si>
  <si>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</si>
  <si>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</si>
  <si>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</si>
  <si>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</si>
  <si>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</si>
  <si>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</si>
  <si>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</si>
  <si>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</si>
  <si>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</si>
  <si>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</si>
  <si>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</si>
  <si>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</si>
  <si>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</si>
  <si>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</si>
  <si>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</si>
  <si>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</si>
  <si>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</si>
  <si>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</si>
  <si>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</si>
  <si>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</si>
  <si>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</si>
  <si>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</si>
  <si>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</si>
  <si>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</si>
  <si>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</si>
  <si>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</si>
  <si>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</si>
  <si>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</si>
  <si>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</si>
  <si>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</si>
  <si>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</si>
  <si>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</si>
  <si>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</si>
  <si>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</si>
  <si>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</si>
  <si>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</si>
  <si>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</si>
  <si>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</si>
  <si>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</si>
  <si>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</si>
  <si>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</si>
  <si>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</si>
  <si>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</si>
  <si>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</si>
  <si>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</si>
  <si>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</si>
  <si>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</si>
  <si>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</si>
  <si>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</si>
  <si>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</si>
  <si>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</si>
  <si>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</si>
  <si>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</si>
  <si>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</si>
  <si>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</si>
  <si>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</si>
  <si>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</si>
  <si>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</si>
  <si>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</si>
  <si>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</si>
  <si>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</si>
  <si>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</si>
  <si>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</si>
  <si>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</si>
  <si>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</si>
  <si>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</si>
  <si>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</si>
  <si>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</si>
  <si>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</si>
  <si>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</si>
  <si>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</si>
  <si>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</si>
  <si>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</si>
  <si>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</si>
  <si>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</si>
  <si>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</si>
  <si>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</si>
  <si>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</si>
  <si>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</si>
  <si>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</si>
  <si>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</si>
  <si>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</si>
  <si>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</si>
  <si>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</si>
  <si>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</si>
  <si>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</si>
  <si>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</si>
  <si>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</si>
  <si>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</si>
  <si>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</si>
  <si>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</si>
  <si>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</si>
  <si>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</si>
  <si>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</si>
  <si>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</si>
  <si>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</si>
  <si>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</si>
  <si>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</si>
  <si>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</si>
  <si>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</si>
  <si>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</si>
  <si>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</si>
  <si>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</si>
  <si>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</si>
  <si>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</si>
  <si>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</si>
  <si>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</si>
  <si>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</si>
  <si>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</si>
  <si>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</si>
  <si>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</si>
  <si>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</si>
  <si>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</si>
  <si>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</si>
  <si>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</si>
  <si>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</si>
  <si>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</si>
  <si>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</si>
  <si>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</si>
  <si>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</si>
  <si>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</si>
  <si>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</si>
  <si>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</si>
  <si>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</si>
  <si>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</si>
  <si>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</si>
  <si>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</si>
  <si>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</si>
  <si>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</si>
  <si>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</si>
  <si>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</si>
  <si>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</si>
  <si>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</si>
  <si>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</si>
  <si>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</si>
  <si>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</si>
  <si>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</si>
  <si>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</si>
  <si>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</si>
  <si>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</si>
  <si>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</si>
  <si>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</si>
  <si>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</si>
  <si>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</si>
  <si>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</si>
  <si>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</si>
  <si>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</si>
  <si>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</si>
  <si>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</si>
  <si>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</si>
  <si>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</si>
  <si>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</si>
  <si>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</si>
  <si>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</si>
  <si>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</si>
  <si>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</si>
  <si>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</si>
  <si>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</si>
  <si>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</si>
  <si>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</si>
  <si>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</si>
  <si>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</si>
  <si>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</si>
  <si>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</si>
  <si>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</si>
  <si>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</si>
  <si>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3</t>
  </si>
  <si>
    <t>4</t>
  </si>
  <si>
    <t>5</t>
  </si>
  <si>
    <t>24</t>
  </si>
  <si>
    <t>=SUM(K14,K15,K16,K17)</t>
  </si>
  <si>
    <t>=SUM(K22,K23,K24,K25,K26)</t>
  </si>
  <si>
    <t>=SUM(K30)</t>
  </si>
  <si>
    <t>=I13*SUM(M14,M15,M16,M17)</t>
  </si>
  <si>
    <t>=I21*SUM(M22,M23,M24,M25,M26)</t>
  </si>
  <si>
    <t>=I29*SUM(M30)</t>
  </si>
  <si>
    <t>=I13*J13</t>
  </si>
  <si>
    <t>=I21*J21</t>
  </si>
  <si>
    <t>=I29*J29</t>
  </si>
  <si>
    <t>=100*(1-(M13/K13))</t>
  </si>
  <si>
    <t>=100*(1-(M21/K21))</t>
  </si>
  <si>
    <t>=100*(1-(M29/K29))</t>
  </si>
  <si>
    <t>=SUM(K21)</t>
  </si>
  <si>
    <t>=SUM(K29)</t>
  </si>
  <si>
    <t>=I20*SUM(M21)</t>
  </si>
  <si>
    <t>=I28*SUM(M29)</t>
  </si>
  <si>
    <t>=I20*J20</t>
  </si>
  <si>
    <t>=I28*J28</t>
  </si>
  <si>
    <t>=100*(1-(M20/K20))</t>
  </si>
  <si>
    <t>=100*(1-(M28/K28))</t>
  </si>
  <si>
    <t>=SUM(K20)</t>
  </si>
  <si>
    <t>=SUM(K28)</t>
  </si>
  <si>
    <t>=I19*SUM(M20)</t>
  </si>
  <si>
    <t>=I27*SUM(M28)</t>
  </si>
  <si>
    <t>=I19*J19</t>
  </si>
  <si>
    <t>=I27*J27</t>
  </si>
  <si>
    <t>=100*(1-(M19/K19))</t>
  </si>
  <si>
    <t>=100*(1-(M27/K27))</t>
  </si>
  <si>
    <t>=SUM(K19)</t>
  </si>
  <si>
    <t>=I18*SUM(M19)</t>
  </si>
  <si>
    <t>=I18*J18</t>
  </si>
  <si>
    <t>=100*(1-(M18/K18))</t>
  </si>
  <si>
    <t>29</t>
  </si>
  <si>
    <t>34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</si>
  <si>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</si>
  <si>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</si>
  <si>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</si>
  <si>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</si>
  <si>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</si>
  <si>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</si>
  <si>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</si>
  <si>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</si>
  <si>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</si>
  <si>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</si>
  <si>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</si>
  <si>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</si>
  <si>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</si>
  <si>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</si>
  <si>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</si>
  <si>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</si>
  <si>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</si>
  <si>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</si>
  <si>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</si>
  <si>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</si>
  <si>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</si>
  <si>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</si>
  <si>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</si>
  <si>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</si>
  <si>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</si>
  <si>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</si>
  <si>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</si>
  <si>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</si>
  <si>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</si>
  <si>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</si>
  <si>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</si>
  <si>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</si>
  <si>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</si>
  <si>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</si>
  <si>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</si>
  <si>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</si>
  <si>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</si>
  <si>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</si>
  <si>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</si>
  <si>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</si>
  <si>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</si>
  <si>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</si>
  <si>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</si>
  <si>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</si>
  <si>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</si>
  <si>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</si>
  <si>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</si>
  <si>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</si>
  <si>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</si>
  <si>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</si>
  <si>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</si>
  <si>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</si>
  <si>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</si>
  <si>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</si>
  <si>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</si>
  <si>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</si>
  <si>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</si>
  <si>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</si>
  <si>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</si>
  <si>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</si>
  <si>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</si>
  <si>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</si>
  <si>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</si>
  <si>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</si>
  <si>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</si>
  <si>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</si>
  <si>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</si>
  <si>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</si>
  <si>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</si>
  <si>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</si>
  <si>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</si>
  <si>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</si>
  <si>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</si>
  <si>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</si>
  <si>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</si>
  <si>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</si>
  <si>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</si>
  <si>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</si>
  <si>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</si>
  <si>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</si>
  <si>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</si>
  <si>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</si>
  <si>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</si>
  <si>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</si>
  <si>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</si>
  <si>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</si>
  <si>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</si>
  <si>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</si>
  <si>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</si>
  <si>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</si>
  <si>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</si>
  <si>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</si>
  <si>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</si>
  <si>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</si>
  <si>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</si>
  <si>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</si>
  <si>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</si>
  <si>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</si>
  <si>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</si>
  <si>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</si>
  <si>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</si>
  <si>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</si>
  <si>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</si>
  <si>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</si>
  <si>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</si>
  <si>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</si>
  <si>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</si>
  <si>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</si>
  <si>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</si>
  <si>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</si>
  <si>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</si>
  <si>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</si>
  <si>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</si>
  <si>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</si>
  <si>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</si>
  <si>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</si>
  <si>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</si>
  <si>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</si>
  <si>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</si>
  <si>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</si>
  <si>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</si>
  <si>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</si>
  <si>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</si>
  <si>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</si>
  <si>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</si>
  <si>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</si>
  <si>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</si>
  <si>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</si>
  <si>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</si>
  <si>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</si>
  <si>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</si>
  <si>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</si>
  <si>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</si>
  <si>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</si>
  <si>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</si>
  <si>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</si>
  <si>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</si>
  <si>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</si>
  <si>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</si>
  <si>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</si>
  <si>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</si>
  <si>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</si>
  <si>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</si>
  <si>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</si>
  <si>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</si>
  <si>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</si>
  <si>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</si>
  <si>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</si>
  <si>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</si>
  <si>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</si>
  <si>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</si>
  <si>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</si>
  <si>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</si>
  <si>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</si>
  <si>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</si>
  <si>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</si>
  <si>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</si>
  <si>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</si>
  <si>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</si>
  <si>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</si>
  <si>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</si>
  <si>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</si>
  <si>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</si>
  <si>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</si>
  <si>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</si>
  <si>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</si>
  <si>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</si>
  <si>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</si>
  <si>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</si>
  <si>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</si>
  <si>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</si>
  <si>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</si>
  <si>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</si>
  <si>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</si>
  <si>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</si>
  <si>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</si>
  <si>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</si>
  <si>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</si>
  <si>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</si>
  <si>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</si>
  <si>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</si>
  <si>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</si>
  <si>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</si>
  <si>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</si>
  <si>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</si>
  <si>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</si>
  <si>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</si>
  <si>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</si>
  <si>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</si>
  <si>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</si>
  <si>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</si>
  <si>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</si>
  <si>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</si>
  <si>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</si>
  <si>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</si>
  <si>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</si>
  <si>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</si>
  <si>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</si>
  <si>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</si>
  <si>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</si>
  <si>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</si>
  <si>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</si>
  <si>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</si>
  <si>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</si>
  <si>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</si>
  <si>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</si>
  <si>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</si>
  <si>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</si>
  <si>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</si>
  <si>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</si>
  <si>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</si>
  <si>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</si>
  <si>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</si>
  <si>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</si>
  <si>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</si>
  <si>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</si>
  <si>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</si>
  <si>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</si>
  <si>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</si>
  <si>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</si>
  <si>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</si>
  <si>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</si>
  <si>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</si>
  <si>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</si>
  <si>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</si>
  <si>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</si>
  <si>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</si>
  <si>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</si>
  <si>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6</t>
  </si>
  <si>
    <t>7</t>
  </si>
  <si>
    <t>8</t>
  </si>
  <si>
    <t>9</t>
  </si>
  <si>
    <t>10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</si>
  <si>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</si>
  <si>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</si>
  <si>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</si>
  <si>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</si>
  <si>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=SUM(K35,K36,K37,K38)</t>
  </si>
  <si>
    <t>=SUM(K43,K44,K45,K46)</t>
  </si>
  <si>
    <t>=SUM(K51)</t>
  </si>
  <si>
    <t>=SUM(K56)</t>
  </si>
  <si>
    <t>=SUM(K61,K62,K63)</t>
  </si>
  <si>
    <t>=SUM(K114)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</si>
  <si>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</si>
  <si>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</si>
  <si>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</si>
  <si>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</si>
  <si>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=I34*SUM(M35,M36,M37,M38)</t>
  </si>
  <si>
    <t>=I42*SUM(M43,M44,M45,M46)</t>
  </si>
  <si>
    <t>=I50*SUM(M51)</t>
  </si>
  <si>
    <t>=I55*SUM(M56)</t>
  </si>
  <si>
    <t>=I60*SUM(M61,M62,M63)</t>
  </si>
  <si>
    <t>=I113*SUM(M114)</t>
  </si>
  <si>
    <t>=I66*J66</t>
  </si>
  <si>
    <t>=I72*J72</t>
  </si>
  <si>
    <t>=I101*J101</t>
  </si>
  <si>
    <t>=I106*J106</t>
  </si>
  <si>
    <t>=I34*J34</t>
  </si>
  <si>
    <t>=I42*J42</t>
  </si>
  <si>
    <t>=I50*J50</t>
  </si>
  <si>
    <t>=I55*J55</t>
  </si>
  <si>
    <t>=I60*J60</t>
  </si>
  <si>
    <t>=I113*J113</t>
  </si>
  <si>
    <t>=100*(1-(M66/K66))</t>
  </si>
  <si>
    <t>=100*(1-(M72/K72))</t>
  </si>
  <si>
    <t>=100*(1-(M101/K101))</t>
  </si>
  <si>
    <t>=100*(1-(M106/K106))</t>
  </si>
  <si>
    <t>=100*(1-(M34/K34))</t>
  </si>
  <si>
    <t>=100*(1-(M42/K42))</t>
  </si>
  <si>
    <t>=100*(1-(M50/K50))</t>
  </si>
  <si>
    <t>=100*(1-(M55/K55))</t>
  </si>
  <si>
    <t>=100*(1-(M60/K60))</t>
  </si>
  <si>
    <t>=100*(1-(M113/K113))</t>
  </si>
  <si>
    <t>=SUM(K66)</t>
  </si>
  <si>
    <t>=SUM(K72,K101)</t>
  </si>
  <si>
    <t>=SUM(K106)</t>
  </si>
  <si>
    <t>=SUM(K34)</t>
  </si>
  <si>
    <t>=SUM(K42)</t>
  </si>
  <si>
    <t>=SUM(K50)</t>
  </si>
  <si>
    <t>=SUM(K55)</t>
  </si>
  <si>
    <t>=SUM(K60)</t>
  </si>
  <si>
    <t>=SUM(K113)</t>
  </si>
  <si>
    <t>=I65*SUM(M66)</t>
  </si>
  <si>
    <t>=I71*SUM(M72,M101)</t>
  </si>
  <si>
    <t>=I105*SUM(M106)</t>
  </si>
  <si>
    <t>=I33*SUM(M34)</t>
  </si>
  <si>
    <t>=I41*SUM(M42)</t>
  </si>
  <si>
    <t>=I49*SUM(M50)</t>
  </si>
  <si>
    <t>=I54*SUM(M55)</t>
  </si>
  <si>
    <t>=I59*SUM(M60)</t>
  </si>
  <si>
    <t>=I112*SUM(M113)</t>
  </si>
  <si>
    <t>=I65*J65</t>
  </si>
  <si>
    <t>=I71*J71</t>
  </si>
  <si>
    <t>=I105*J105</t>
  </si>
  <si>
    <t>=I33*J33</t>
  </si>
  <si>
    <t>=I41*J41</t>
  </si>
  <si>
    <t>=I49*J49</t>
  </si>
  <si>
    <t>=I54*J54</t>
  </si>
  <si>
    <t>=I59*J59</t>
  </si>
  <si>
    <t>=I112*J112</t>
  </si>
  <si>
    <t>=100*(1-(M65/K65))</t>
  </si>
  <si>
    <t>=100*(1-(M71/K71))</t>
  </si>
  <si>
    <t>=100*(1-(M105/K105))</t>
  </si>
  <si>
    <t>=100*(1-(M33/K33))</t>
  </si>
  <si>
    <t>=100*(1-(M41/K41))</t>
  </si>
  <si>
    <t>=100*(1-(M49/K49))</t>
  </si>
  <si>
    <t>=100*(1-(M54/K54))</t>
  </si>
  <si>
    <t>=100*(1-(M59/K59))</t>
  </si>
  <si>
    <t>=100*(1-(M112/K112))</t>
  </si>
  <si>
    <t>=SUM(K65)</t>
  </si>
  <si>
    <t>=SUM(K71)</t>
  </si>
  <si>
    <t>=SUM(K105)</t>
  </si>
  <si>
    <t>=SUM(K33)</t>
  </si>
  <si>
    <t>=SUM(K41)</t>
  </si>
  <si>
    <t>=SUM(K49)</t>
  </si>
  <si>
    <t>=SUM(K54)</t>
  </si>
  <si>
    <t>=SUM(K59)</t>
  </si>
  <si>
    <t>=SUM(K112)</t>
  </si>
  <si>
    <t>=I64*SUM(M65)</t>
  </si>
  <si>
    <t>=I70*SUM(M71)</t>
  </si>
  <si>
    <t>=I104*SUM(M105)</t>
  </si>
  <si>
    <t>=I32*SUM(M33)</t>
  </si>
  <si>
    <t>=I40*SUM(M41)</t>
  </si>
  <si>
    <t>=I48*SUM(M49)</t>
  </si>
  <si>
    <t>=I53*SUM(M54)</t>
  </si>
  <si>
    <t>=I58*SUM(M59)</t>
  </si>
  <si>
    <t>=I111*SUM(M112)</t>
  </si>
  <si>
    <t>=I64*J64</t>
  </si>
  <si>
    <t>=I70*J70</t>
  </si>
  <si>
    <t>=I104*J104</t>
  </si>
  <si>
    <t>=I32*J32</t>
  </si>
  <si>
    <t>=I40*J40</t>
  </si>
  <si>
    <t>=I48*J48</t>
  </si>
  <si>
    <t>=I53*J53</t>
  </si>
  <si>
    <t>=I58*J58</t>
  </si>
  <si>
    <t>=I111*J111</t>
  </si>
  <si>
    <t>=100*(1-(M64/K64))</t>
  </si>
  <si>
    <t>=100*(1-(M70/K70))</t>
  </si>
  <si>
    <t>=100*(1-(M104/K104))</t>
  </si>
  <si>
    <t>=100*(1-(M32/K32))</t>
  </si>
  <si>
    <t>=100*(1-(M40/K40))</t>
  </si>
  <si>
    <t>=100*(1-(M48/K48))</t>
  </si>
  <si>
    <t>=100*(1-(M53/K53))</t>
  </si>
  <si>
    <t>=100*(1-(M58/K58))</t>
  </si>
  <si>
    <t>=100*(1-(M111/K111))</t>
  </si>
  <si>
    <t>=SUM(K4,K10,K18,K27,K31,K39,K47,K52,K57,K64,K69,K104)</t>
  </si>
  <si>
    <t>=SUM(K70)</t>
  </si>
  <si>
    <t>=SUM(K32)</t>
  </si>
  <si>
    <t>=SUM(K40)</t>
  </si>
  <si>
    <t>=SUM(K48)</t>
  </si>
  <si>
    <t>=SUM(K53)</t>
  </si>
  <si>
    <t>=SUM(K58)</t>
  </si>
  <si>
    <t>=SUM(K111)</t>
  </si>
  <si>
    <t>=I3*SUM(M4,M10,M18,M27,M31,M39,M47,M52,M57,M64,M69,M104)</t>
  </si>
  <si>
    <t>=I69*SUM(M70)</t>
  </si>
  <si>
    <t>=I31*SUM(M32)</t>
  </si>
  <si>
    <t>=I39*SUM(M40)</t>
  </si>
  <si>
    <t>=I47*SUM(M48)</t>
  </si>
  <si>
    <t>=I52*SUM(M53)</t>
  </si>
  <si>
    <t>=I57*SUM(M58)</t>
  </si>
  <si>
    <t>=I110*SUM(M111)</t>
  </si>
  <si>
    <t>=I69*J69</t>
  </si>
  <si>
    <t>=I31*J31</t>
  </si>
  <si>
    <t>=I39*J39</t>
  </si>
  <si>
    <t>=I47*J47</t>
  </si>
  <si>
    <t>=I52*J52</t>
  </si>
  <si>
    <t>=I57*J57</t>
  </si>
  <si>
    <t>=I110*J110</t>
  </si>
  <si>
    <t>=100*(1-(M69/K69))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</si>
  <si>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</si>
  <si>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</si>
  <si>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</si>
  <si>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</si>
  <si>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</si>
  <si>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</si>
  <si>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=SUM(K3,K110)</t>
  </si>
  <si>
    <t>=I2*SUM(M3,M110)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</si>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</sst>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J9" sqref="J9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topLeftCell="A88" zoomScale="70" zoomScaleNormal="70" workbookViewId="0">
      <selection activeCell="K117" sqref="K117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226</v>
      </c>
      <c r="G2" s="93" t="s">
        <v>93</v>
      </c>
      <c r="H2" s="82" t="s">
        <v>74</v>
      </c>
      <c r="I2" s="82">
        <v>1</v>
      </c>
      <c r="J2" s="82">
        <f>SUM(K3,K110)</f>
        <v>8203493.5975273186</v>
      </c>
      <c r="K2" s="82">
        <f>I2*J2</f>
        <v>8203493.5975273186</v>
      </c>
      <c r="L2" s="82">
        <f>100*(1-(M2/K2))</f>
        <v>43.122329419561702</v>
      </c>
      <c r="M2" s="82">
        <f>I2*SUM(M3,M110)</f>
        <v>4665956.0644889353</v>
      </c>
      <c r="N2">
        <v>2</v>
      </c>
      <c r="O2" s="91" t="s">
        <v>97</v>
      </c>
      <c r="R2" s="91" t="s">
        <v>610</v>
      </c>
      <c r="S2" s="91" t="s">
        <v>143</v>
      </c>
      <c r="T2" s="91" t="s">
        <v>144</v>
      </c>
      <c r="U2" s="91" t="s">
        <v>611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215</v>
      </c>
      <c r="G3" s="93" t="s">
        <v>93</v>
      </c>
      <c r="H3" s="82" t="s">
        <v>75</v>
      </c>
      <c r="I3">
        <v>1</v>
      </c>
      <c r="J3">
        <f>SUM(K4,K10,K18,K27,K31,K39,K47,K52,K57,K64,K69,K104)</f>
        <v>8183934.1934779091</v>
      </c>
      <c r="K3">
        <f>I3*J3</f>
        <v>8183934.1934779091</v>
      </c>
      <c r="L3">
        <f>100*(1-(M3/K3))</f>
        <v>43.158877715638198</v>
      </c>
      <c r="M3">
        <f>I3*SUM(M4,M10,M18,M27,M31,M39,M47,M52,M57,M64,M69,M104)</f>
        <v>4651840.0425864765</v>
      </c>
      <c r="N3">
        <v>3</v>
      </c>
      <c r="O3" s="91" t="s">
        <v>98</v>
      </c>
      <c r="P3" s="119" t="s">
        <v>467</v>
      </c>
      <c r="Q3" s="119" t="s">
        <v>75</v>
      </c>
      <c r="R3" s="91" t="s">
        <v>580</v>
      </c>
      <c r="S3" s="91" t="s">
        <v>139</v>
      </c>
      <c r="T3" s="91" t="s">
        <v>141</v>
      </c>
      <c r="U3" s="91" t="s">
        <v>588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1" t="s">
        <v>99</v>
      </c>
      <c r="P4" s="119" t="s">
        <v>145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1" t="s">
        <v>100</v>
      </c>
      <c r="P5" s="119" t="s">
        <v>146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1" t="s">
        <v>101</v>
      </c>
      <c r="P6" s="119" t="s">
        <v>147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1" t="s">
        <v>102</v>
      </c>
      <c r="P7" s="119" t="s">
        <v>148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97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98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30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99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29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100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28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101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27</v>
      </c>
      <c r="G13" s="93" t="s">
        <v>93</v>
      </c>
      <c r="H13" s="82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1" t="s">
        <v>108</v>
      </c>
      <c r="P13" s="119" t="s">
        <v>102</v>
      </c>
      <c r="Q13" s="119" t="s">
        <v>75</v>
      </c>
      <c r="R13" s="91" t="s">
        <v>201</v>
      </c>
      <c r="S13" s="91" t="s">
        <v>207</v>
      </c>
      <c r="T13" s="91" t="s">
        <v>210</v>
      </c>
      <c r="U13" s="91" t="s">
        <v>204</v>
      </c>
    </row>
    <row r="14" spans="1:21" x14ac:dyDescent="0.25">
      <c r="A14" s="85" t="s">
        <v>150</v>
      </c>
      <c r="B14" s="83">
        <v>7</v>
      </c>
      <c r="C14" s="85" t="s">
        <v>89</v>
      </c>
      <c r="D14" s="83" t="s">
        <v>59</v>
      </c>
      <c r="E14" s="88">
        <v>19</v>
      </c>
      <c r="F14" s="88">
        <v>20</v>
      </c>
      <c r="G14" s="93" t="s">
        <v>59</v>
      </c>
      <c r="H14" s="82" t="s">
        <v>151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1" t="s">
        <v>152</v>
      </c>
      <c r="P14" s="119" t="s">
        <v>149</v>
      </c>
      <c r="Q14" s="119" t="s">
        <v>75</v>
      </c>
    </row>
    <row r="15" spans="1:21" x14ac:dyDescent="0.25">
      <c r="A15" s="85" t="s">
        <v>153</v>
      </c>
      <c r="B15" s="83">
        <v>7</v>
      </c>
      <c r="C15" s="85" t="s">
        <v>89</v>
      </c>
      <c r="D15" s="83" t="s">
        <v>92</v>
      </c>
      <c r="E15" s="88">
        <v>21</v>
      </c>
      <c r="F15" s="88">
        <v>22</v>
      </c>
      <c r="G15" s="93" t="s">
        <v>59</v>
      </c>
      <c r="H15" s="82" t="s">
        <v>154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1" t="s">
        <v>155</v>
      </c>
      <c r="P15" s="119" t="s">
        <v>103</v>
      </c>
      <c r="Q15" s="119" t="s">
        <v>75</v>
      </c>
    </row>
    <row r="16" spans="1:21" x14ac:dyDescent="0.25">
      <c r="A16" s="85" t="s">
        <v>156</v>
      </c>
      <c r="B16" s="83">
        <v>7</v>
      </c>
      <c r="C16" s="85" t="s">
        <v>89</v>
      </c>
      <c r="D16" s="83" t="s">
        <v>197</v>
      </c>
      <c r="E16" s="88">
        <v>23</v>
      </c>
      <c r="F16" s="88">
        <v>24</v>
      </c>
      <c r="G16" s="93" t="s">
        <v>59</v>
      </c>
      <c r="H16" s="82" t="s">
        <v>157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1" t="s">
        <v>158</v>
      </c>
      <c r="P16" s="119" t="s">
        <v>104</v>
      </c>
      <c r="Q16" s="119" t="s">
        <v>75</v>
      </c>
    </row>
    <row r="17" spans="1:21" x14ac:dyDescent="0.25">
      <c r="A17" s="85" t="s">
        <v>159</v>
      </c>
      <c r="B17" s="83">
        <v>7</v>
      </c>
      <c r="C17" s="85" t="s">
        <v>89</v>
      </c>
      <c r="D17" s="83" t="s">
        <v>198</v>
      </c>
      <c r="E17" s="82">
        <v>25</v>
      </c>
      <c r="F17" s="82">
        <v>26</v>
      </c>
      <c r="G17" s="93" t="s">
        <v>59</v>
      </c>
      <c r="H17" s="82" t="s">
        <v>160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1" t="s">
        <v>161</v>
      </c>
      <c r="P17" s="119" t="s">
        <v>200</v>
      </c>
      <c r="Q17" s="119" t="s">
        <v>75</v>
      </c>
    </row>
    <row r="18" spans="1:21" x14ac:dyDescent="0.25">
      <c r="A18" s="90" t="s">
        <v>162</v>
      </c>
      <c r="B18" s="83">
        <v>3</v>
      </c>
      <c r="C18" s="83" t="s">
        <v>2</v>
      </c>
      <c r="D18" s="83" t="s">
        <v>197</v>
      </c>
      <c r="E18" s="82">
        <v>31</v>
      </c>
      <c r="F18" s="82">
        <v>48</v>
      </c>
      <c r="G18" s="93" t="s">
        <v>93</v>
      </c>
      <c r="H18" s="82" t="s">
        <v>163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1" t="s">
        <v>164</v>
      </c>
      <c r="P18" s="119" t="s">
        <v>105</v>
      </c>
      <c r="Q18" s="119" t="s">
        <v>75</v>
      </c>
      <c r="R18" s="91" t="s">
        <v>229</v>
      </c>
      <c r="S18" s="91" t="s">
        <v>231</v>
      </c>
      <c r="T18" s="91" t="s">
        <v>232</v>
      </c>
      <c r="U18" s="91" t="s">
        <v>230</v>
      </c>
    </row>
    <row r="19" spans="1:21" x14ac:dyDescent="0.25">
      <c r="A19" s="90" t="s">
        <v>165</v>
      </c>
      <c r="B19" s="83">
        <v>4</v>
      </c>
      <c r="C19" s="83" t="s">
        <v>162</v>
      </c>
      <c r="D19" s="83" t="s">
        <v>59</v>
      </c>
      <c r="E19" s="82">
        <v>32</v>
      </c>
      <c r="F19" s="82">
        <v>47</v>
      </c>
      <c r="G19" s="93" t="s">
        <v>93</v>
      </c>
      <c r="H19" s="82" t="s">
        <v>166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1" t="s">
        <v>167</v>
      </c>
      <c r="P19" s="119" t="s">
        <v>106</v>
      </c>
      <c r="Q19" s="119" t="s">
        <v>75</v>
      </c>
      <c r="R19" s="91" t="s">
        <v>221</v>
      </c>
      <c r="S19" s="91" t="s">
        <v>225</v>
      </c>
      <c r="T19" s="91" t="s">
        <v>227</v>
      </c>
      <c r="U19" s="91" t="s">
        <v>223</v>
      </c>
    </row>
    <row r="20" spans="1:21" x14ac:dyDescent="0.25">
      <c r="A20" s="90" t="s">
        <v>168</v>
      </c>
      <c r="B20" s="83">
        <v>5</v>
      </c>
      <c r="C20" s="83" t="s">
        <v>165</v>
      </c>
      <c r="D20" s="83" t="s">
        <v>59</v>
      </c>
      <c r="E20" s="82">
        <v>33</v>
      </c>
      <c r="F20" s="82">
        <v>46</v>
      </c>
      <c r="G20" s="93" t="s">
        <v>93</v>
      </c>
      <c r="H20" s="82" t="s">
        <v>163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1" t="s">
        <v>169</v>
      </c>
      <c r="P20" s="119" t="s">
        <v>107</v>
      </c>
      <c r="Q20" s="119" t="s">
        <v>75</v>
      </c>
      <c r="R20" s="91" t="s">
        <v>213</v>
      </c>
      <c r="S20" s="91" t="s">
        <v>217</v>
      </c>
      <c r="T20" s="91" t="s">
        <v>219</v>
      </c>
      <c r="U20" s="91" t="s">
        <v>215</v>
      </c>
    </row>
    <row r="21" spans="1:21" x14ac:dyDescent="0.25">
      <c r="A21" s="83" t="s">
        <v>170</v>
      </c>
      <c r="B21" s="83">
        <v>6</v>
      </c>
      <c r="C21" s="83" t="s">
        <v>168</v>
      </c>
      <c r="D21" s="83" t="s">
        <v>59</v>
      </c>
      <c r="E21" s="82">
        <v>34</v>
      </c>
      <c r="F21" s="82">
        <v>45</v>
      </c>
      <c r="G21" s="93" t="s">
        <v>93</v>
      </c>
      <c r="H21" s="82" t="s">
        <v>171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1" t="s">
        <v>172</v>
      </c>
      <c r="P21" s="119" t="s">
        <v>108</v>
      </c>
      <c r="Q21" s="119" t="s">
        <v>75</v>
      </c>
      <c r="R21" s="91" t="s">
        <v>202</v>
      </c>
      <c r="S21" s="91" t="s">
        <v>208</v>
      </c>
      <c r="T21" s="91" t="s">
        <v>211</v>
      </c>
      <c r="U21" s="91" t="s">
        <v>205</v>
      </c>
    </row>
    <row r="22" spans="1:21" x14ac:dyDescent="0.25">
      <c r="A22" s="91" t="s">
        <v>173</v>
      </c>
      <c r="B22" s="91">
        <v>7</v>
      </c>
      <c r="C22" s="91" t="s">
        <v>170</v>
      </c>
      <c r="D22" s="91" t="s">
        <v>59</v>
      </c>
      <c r="E22">
        <v>35</v>
      </c>
      <c r="F22">
        <v>36</v>
      </c>
      <c r="G22" s="94" t="s">
        <v>59</v>
      </c>
      <c r="H22" t="s">
        <v>174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1" t="s">
        <v>175</v>
      </c>
      <c r="P22" s="119" t="s">
        <v>233</v>
      </c>
      <c r="Q22" s="119" t="s">
        <v>75</v>
      </c>
    </row>
    <row r="23" spans="1:21" x14ac:dyDescent="0.25">
      <c r="A23" s="85" t="s">
        <v>176</v>
      </c>
      <c r="B23" s="83">
        <v>7</v>
      </c>
      <c r="C23" s="92" t="s">
        <v>170</v>
      </c>
      <c r="D23" s="83" t="s">
        <v>92</v>
      </c>
      <c r="E23" s="82">
        <v>37</v>
      </c>
      <c r="F23" s="82">
        <v>38</v>
      </c>
      <c r="G23" s="93" t="s">
        <v>59</v>
      </c>
      <c r="H23" s="82" t="s">
        <v>177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1" t="s">
        <v>178</v>
      </c>
      <c r="P23" s="119" t="s">
        <v>152</v>
      </c>
      <c r="Q23" s="119" t="s">
        <v>75</v>
      </c>
    </row>
    <row r="24" spans="1:21" x14ac:dyDescent="0.25">
      <c r="A24" s="90" t="s">
        <v>179</v>
      </c>
      <c r="B24" s="83">
        <v>7</v>
      </c>
      <c r="C24" s="83" t="s">
        <v>170</v>
      </c>
      <c r="D24" s="83" t="s">
        <v>197</v>
      </c>
      <c r="E24" s="82">
        <v>39</v>
      </c>
      <c r="F24" s="82">
        <v>40</v>
      </c>
      <c r="G24" s="93" t="s">
        <v>59</v>
      </c>
      <c r="H24" s="82" t="s">
        <v>180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1" t="s">
        <v>181</v>
      </c>
      <c r="P24" s="119" t="s">
        <v>155</v>
      </c>
      <c r="Q24" s="119" t="s">
        <v>75</v>
      </c>
    </row>
    <row r="25" spans="1:21" x14ac:dyDescent="0.25">
      <c r="A25" s="90" t="s">
        <v>182</v>
      </c>
      <c r="B25" s="83">
        <v>7</v>
      </c>
      <c r="C25" s="83" t="s">
        <v>170</v>
      </c>
      <c r="D25" s="83" t="s">
        <v>198</v>
      </c>
      <c r="E25" s="82">
        <v>41</v>
      </c>
      <c r="F25" s="82">
        <v>42</v>
      </c>
      <c r="G25" s="93" t="s">
        <v>59</v>
      </c>
      <c r="H25" s="82" t="s">
        <v>183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1" t="s">
        <v>184</v>
      </c>
      <c r="P25" s="119" t="s">
        <v>158</v>
      </c>
      <c r="Q25" s="119" t="s">
        <v>75</v>
      </c>
    </row>
    <row r="26" spans="1:21" x14ac:dyDescent="0.25">
      <c r="A26" s="90" t="s">
        <v>185</v>
      </c>
      <c r="B26" s="83">
        <v>7</v>
      </c>
      <c r="C26" s="83" t="s">
        <v>170</v>
      </c>
      <c r="D26" s="83" t="s">
        <v>199</v>
      </c>
      <c r="E26" s="82">
        <v>43</v>
      </c>
      <c r="F26" s="82">
        <v>44</v>
      </c>
      <c r="G26" s="93" t="s">
        <v>59</v>
      </c>
      <c r="H26" s="82" t="s">
        <v>186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1" t="s">
        <v>187</v>
      </c>
      <c r="P26" s="119" t="s">
        <v>161</v>
      </c>
      <c r="Q26" s="119" t="s">
        <v>75</v>
      </c>
    </row>
    <row r="27" spans="1:21" x14ac:dyDescent="0.25">
      <c r="A27" s="91" t="s">
        <v>188</v>
      </c>
      <c r="B27" s="91">
        <v>3</v>
      </c>
      <c r="C27" s="91" t="s">
        <v>2</v>
      </c>
      <c r="D27" s="91" t="s">
        <v>198</v>
      </c>
      <c r="E27">
        <v>49</v>
      </c>
      <c r="F27">
        <v>56</v>
      </c>
      <c r="G27" s="94" t="s">
        <v>93</v>
      </c>
      <c r="H27" t="s">
        <v>189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1" t="s">
        <v>190</v>
      </c>
      <c r="P27" s="119" t="s">
        <v>234</v>
      </c>
      <c r="Q27" s="119" t="s">
        <v>75</v>
      </c>
      <c r="R27" s="91" t="s">
        <v>222</v>
      </c>
      <c r="S27" s="91" t="s">
        <v>226</v>
      </c>
      <c r="T27" s="91" t="s">
        <v>228</v>
      </c>
      <c r="U27" s="91" t="s">
        <v>224</v>
      </c>
    </row>
    <row r="28" spans="1:21" x14ac:dyDescent="0.25">
      <c r="A28" s="91" t="s">
        <v>191</v>
      </c>
      <c r="B28" s="91">
        <v>4</v>
      </c>
      <c r="C28" s="91" t="s">
        <v>188</v>
      </c>
      <c r="D28" s="91" t="s">
        <v>59</v>
      </c>
      <c r="E28">
        <v>50</v>
      </c>
      <c r="F28">
        <v>55</v>
      </c>
      <c r="G28" s="94" t="s">
        <v>93</v>
      </c>
      <c r="H28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1" t="s">
        <v>192</v>
      </c>
      <c r="P28" s="119" t="s">
        <v>164</v>
      </c>
      <c r="Q28" s="119" t="s">
        <v>75</v>
      </c>
      <c r="R28" s="91" t="s">
        <v>214</v>
      </c>
      <c r="S28" s="91" t="s">
        <v>218</v>
      </c>
      <c r="T28" s="91" t="s">
        <v>220</v>
      </c>
      <c r="U28" s="91" t="s">
        <v>216</v>
      </c>
    </row>
    <row r="29" spans="1:21" x14ac:dyDescent="0.25">
      <c r="A29" s="91" t="s">
        <v>193</v>
      </c>
      <c r="B29" s="91">
        <v>5</v>
      </c>
      <c r="C29" s="91" t="s">
        <v>191</v>
      </c>
      <c r="D29" s="91" t="s">
        <v>59</v>
      </c>
      <c r="E29">
        <v>51</v>
      </c>
      <c r="F29">
        <v>54</v>
      </c>
      <c r="G29" s="94" t="s">
        <v>93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1" t="s">
        <v>194</v>
      </c>
      <c r="P29" s="119" t="s">
        <v>167</v>
      </c>
      <c r="Q29" s="119" t="s">
        <v>75</v>
      </c>
      <c r="R29" s="91" t="s">
        <v>203</v>
      </c>
      <c r="S29" s="91" t="s">
        <v>209</v>
      </c>
      <c r="T29" s="91" t="s">
        <v>212</v>
      </c>
      <c r="U29" s="91" t="s">
        <v>206</v>
      </c>
    </row>
    <row r="30" spans="1:21" x14ac:dyDescent="0.25">
      <c r="A30" s="91" t="s">
        <v>195</v>
      </c>
      <c r="B30" s="91">
        <v>6</v>
      </c>
      <c r="C30" s="91" t="s">
        <v>193</v>
      </c>
      <c r="D30" s="91" t="s">
        <v>59</v>
      </c>
      <c r="E30">
        <v>52</v>
      </c>
      <c r="F30">
        <v>53</v>
      </c>
      <c r="G30" s="94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1" t="s">
        <v>196</v>
      </c>
      <c r="P30" s="119" t="s">
        <v>169</v>
      </c>
      <c r="Q30" s="119" t="s">
        <v>75</v>
      </c>
    </row>
    <row r="31" spans="1:21" x14ac:dyDescent="0.25">
      <c r="A31" s="91" t="s">
        <v>235</v>
      </c>
      <c r="B31" s="91">
        <v>3</v>
      </c>
      <c r="C31" s="91" t="s">
        <v>2</v>
      </c>
      <c r="D31" s="91" t="s">
        <v>199</v>
      </c>
      <c r="E31">
        <v>57</v>
      </c>
      <c r="F31">
        <v>72</v>
      </c>
      <c r="G31" s="94" t="s">
        <v>93</v>
      </c>
      <c r="H31" t="s">
        <v>236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1" t="s">
        <v>237</v>
      </c>
      <c r="P31" s="119" t="s">
        <v>172</v>
      </c>
      <c r="Q31" s="119" t="s">
        <v>75</v>
      </c>
      <c r="R31" s="91" t="s">
        <v>582</v>
      </c>
      <c r="S31" s="91" t="s">
        <v>597</v>
      </c>
      <c r="T31" s="91" t="s">
        <v>604</v>
      </c>
      <c r="U31" s="91" t="s">
        <v>590</v>
      </c>
    </row>
    <row r="32" spans="1:21" x14ac:dyDescent="0.25">
      <c r="A32" s="91" t="s">
        <v>238</v>
      </c>
      <c r="B32" s="91">
        <v>4</v>
      </c>
      <c r="C32" s="91" t="s">
        <v>235</v>
      </c>
      <c r="D32" s="91" t="s">
        <v>59</v>
      </c>
      <c r="E32">
        <v>58</v>
      </c>
      <c r="F32">
        <v>71</v>
      </c>
      <c r="G32" s="94" t="s">
        <v>93</v>
      </c>
      <c r="H32" t="s">
        <v>236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1" t="s">
        <v>239</v>
      </c>
      <c r="P32" s="119" t="s">
        <v>612</v>
      </c>
      <c r="Q32" s="119" t="s">
        <v>75</v>
      </c>
      <c r="R32" s="91" t="s">
        <v>547</v>
      </c>
      <c r="S32" s="91" t="s">
        <v>565</v>
      </c>
      <c r="T32" s="91" t="s">
        <v>574</v>
      </c>
      <c r="U32" s="91" t="s">
        <v>556</v>
      </c>
    </row>
    <row r="33" spans="1:21" x14ac:dyDescent="0.25">
      <c r="A33" s="91" t="s">
        <v>240</v>
      </c>
      <c r="B33" s="91">
        <v>5</v>
      </c>
      <c r="C33" s="91" t="s">
        <v>238</v>
      </c>
      <c r="D33" s="91" t="s">
        <v>59</v>
      </c>
      <c r="E33">
        <v>59</v>
      </c>
      <c r="F33">
        <v>70</v>
      </c>
      <c r="G33" s="94" t="s">
        <v>93</v>
      </c>
      <c r="H33" t="s">
        <v>236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1" t="s">
        <v>241</v>
      </c>
      <c r="P33" s="119" t="s">
        <v>175</v>
      </c>
      <c r="Q33" s="119" t="s">
        <v>75</v>
      </c>
      <c r="R33" s="91" t="s">
        <v>511</v>
      </c>
      <c r="S33" s="91" t="s">
        <v>529</v>
      </c>
      <c r="T33" s="91" t="s">
        <v>538</v>
      </c>
      <c r="U33" s="91" t="s">
        <v>520</v>
      </c>
    </row>
    <row r="34" spans="1:21" x14ac:dyDescent="0.25">
      <c r="A34" s="91" t="s">
        <v>242</v>
      </c>
      <c r="B34" s="91">
        <v>6</v>
      </c>
      <c r="C34" s="91" t="s">
        <v>240</v>
      </c>
      <c r="D34" s="91" t="s">
        <v>59</v>
      </c>
      <c r="E34">
        <v>60</v>
      </c>
      <c r="F34">
        <v>69</v>
      </c>
      <c r="G34" s="94" t="s">
        <v>93</v>
      </c>
      <c r="H34" t="s">
        <v>78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1" t="s">
        <v>243</v>
      </c>
      <c r="P34" s="119" t="s">
        <v>178</v>
      </c>
      <c r="Q34" s="119" t="s">
        <v>75</v>
      </c>
      <c r="R34" s="91" t="s">
        <v>472</v>
      </c>
      <c r="S34" s="91" t="s">
        <v>492</v>
      </c>
      <c r="T34" s="91" t="s">
        <v>502</v>
      </c>
      <c r="U34" s="91" t="s">
        <v>482</v>
      </c>
    </row>
    <row r="35" spans="1:21" x14ac:dyDescent="0.25">
      <c r="A35" s="91" t="s">
        <v>244</v>
      </c>
      <c r="B35" s="91">
        <v>7</v>
      </c>
      <c r="C35" s="91" t="s">
        <v>242</v>
      </c>
      <c r="D35" s="91" t="s">
        <v>59</v>
      </c>
      <c r="E35">
        <v>61</v>
      </c>
      <c r="F35">
        <v>62</v>
      </c>
      <c r="G35" s="94" t="s">
        <v>59</v>
      </c>
      <c r="H35" t="s">
        <v>245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1" t="s">
        <v>246</v>
      </c>
      <c r="P35" s="119" t="s">
        <v>181</v>
      </c>
      <c r="Q35" s="119" t="s">
        <v>75</v>
      </c>
    </row>
    <row r="36" spans="1:21" x14ac:dyDescent="0.25">
      <c r="A36" s="91" t="s">
        <v>247</v>
      </c>
      <c r="B36" s="91">
        <v>7</v>
      </c>
      <c r="C36" s="91" t="s">
        <v>242</v>
      </c>
      <c r="D36" s="91" t="s">
        <v>92</v>
      </c>
      <c r="E36">
        <v>63</v>
      </c>
      <c r="F36">
        <v>64</v>
      </c>
      <c r="G36" s="94" t="s">
        <v>59</v>
      </c>
      <c r="H36" t="s">
        <v>248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1" t="s">
        <v>249</v>
      </c>
      <c r="P36" s="119" t="s">
        <v>184</v>
      </c>
      <c r="Q36" s="119" t="s">
        <v>75</v>
      </c>
    </row>
    <row r="37" spans="1:21" x14ac:dyDescent="0.25">
      <c r="A37" s="91" t="s">
        <v>250</v>
      </c>
      <c r="B37" s="91">
        <v>7</v>
      </c>
      <c r="C37" s="91" t="s">
        <v>242</v>
      </c>
      <c r="D37" s="91" t="s">
        <v>197</v>
      </c>
      <c r="E37">
        <v>65</v>
      </c>
      <c r="F37">
        <v>66</v>
      </c>
      <c r="G37" s="94" t="s">
        <v>59</v>
      </c>
      <c r="H37" t="s">
        <v>82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1" t="s">
        <v>251</v>
      </c>
      <c r="P37" s="119" t="s">
        <v>187</v>
      </c>
      <c r="Q37" s="119" t="s">
        <v>75</v>
      </c>
    </row>
    <row r="38" spans="1:21" x14ac:dyDescent="0.25">
      <c r="A38" s="91" t="s">
        <v>252</v>
      </c>
      <c r="B38" s="91">
        <v>7</v>
      </c>
      <c r="C38" s="91" t="s">
        <v>242</v>
      </c>
      <c r="D38" s="91" t="s">
        <v>198</v>
      </c>
      <c r="E38">
        <v>67</v>
      </c>
      <c r="F38">
        <v>68</v>
      </c>
      <c r="G38" s="94" t="s">
        <v>59</v>
      </c>
      <c r="H38" t="s">
        <v>253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1" t="s">
        <v>254</v>
      </c>
      <c r="P38" s="119" t="s">
        <v>613</v>
      </c>
      <c r="Q38" s="119" t="s">
        <v>75</v>
      </c>
    </row>
    <row r="39" spans="1:21" x14ac:dyDescent="0.25">
      <c r="A39" s="91" t="s">
        <v>255</v>
      </c>
      <c r="B39" s="91">
        <v>3</v>
      </c>
      <c r="C39" s="91" t="s">
        <v>2</v>
      </c>
      <c r="D39" s="91" t="s">
        <v>463</v>
      </c>
      <c r="E39">
        <v>73</v>
      </c>
      <c r="F39">
        <v>88</v>
      </c>
      <c r="G39" s="94" t="s">
        <v>93</v>
      </c>
      <c r="H39" t="s">
        <v>256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1" t="s">
        <v>257</v>
      </c>
      <c r="P39" s="119" t="s">
        <v>190</v>
      </c>
      <c r="Q39" s="119" t="s">
        <v>75</v>
      </c>
      <c r="R39" s="91" t="s">
        <v>583</v>
      </c>
      <c r="S39" s="91" t="s">
        <v>598</v>
      </c>
      <c r="T39" s="91" t="s">
        <v>605</v>
      </c>
      <c r="U39" s="91" t="s">
        <v>591</v>
      </c>
    </row>
    <row r="40" spans="1:21" x14ac:dyDescent="0.25">
      <c r="A40" s="91" t="s">
        <v>258</v>
      </c>
      <c r="B40" s="91">
        <v>4</v>
      </c>
      <c r="C40" s="91" t="s">
        <v>255</v>
      </c>
      <c r="D40" s="91" t="s">
        <v>59</v>
      </c>
      <c r="E40">
        <v>74</v>
      </c>
      <c r="F40">
        <v>87</v>
      </c>
      <c r="G40" s="94" t="s">
        <v>93</v>
      </c>
      <c r="H40" t="s">
        <v>256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1" t="s">
        <v>259</v>
      </c>
      <c r="P40" s="119" t="s">
        <v>192</v>
      </c>
      <c r="Q40" s="119" t="s">
        <v>75</v>
      </c>
      <c r="R40" s="91" t="s">
        <v>548</v>
      </c>
      <c r="S40" s="91" t="s">
        <v>566</v>
      </c>
      <c r="T40" s="91" t="s">
        <v>575</v>
      </c>
      <c r="U40" s="91" t="s">
        <v>557</v>
      </c>
    </row>
    <row r="41" spans="1:21" x14ac:dyDescent="0.25">
      <c r="A41" s="91" t="s">
        <v>260</v>
      </c>
      <c r="B41" s="91">
        <v>5</v>
      </c>
      <c r="C41" s="91" t="s">
        <v>258</v>
      </c>
      <c r="D41" s="91" t="s">
        <v>59</v>
      </c>
      <c r="E41">
        <v>75</v>
      </c>
      <c r="F41">
        <v>86</v>
      </c>
      <c r="G41" s="94" t="s">
        <v>93</v>
      </c>
      <c r="H41" t="s">
        <v>256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1" t="s">
        <v>261</v>
      </c>
      <c r="P41" s="119" t="s">
        <v>194</v>
      </c>
      <c r="Q41" s="119" t="s">
        <v>75</v>
      </c>
      <c r="R41" s="91" t="s">
        <v>512</v>
      </c>
      <c r="S41" s="91" t="s">
        <v>530</v>
      </c>
      <c r="T41" s="91" t="s">
        <v>539</v>
      </c>
      <c r="U41" s="91" t="s">
        <v>521</v>
      </c>
    </row>
    <row r="42" spans="1:21" x14ac:dyDescent="0.25">
      <c r="A42" s="91" t="s">
        <v>262</v>
      </c>
      <c r="B42" s="91">
        <v>6</v>
      </c>
      <c r="C42" s="91" t="s">
        <v>260</v>
      </c>
      <c r="D42" s="91" t="s">
        <v>59</v>
      </c>
      <c r="E42">
        <v>76</v>
      </c>
      <c r="F42">
        <v>85</v>
      </c>
      <c r="G42" s="94" t="s">
        <v>93</v>
      </c>
      <c r="H42" t="s">
        <v>90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1" t="s">
        <v>263</v>
      </c>
      <c r="P42" s="119" t="s">
        <v>196</v>
      </c>
      <c r="Q42" s="119" t="s">
        <v>75</v>
      </c>
      <c r="R42" s="91" t="s">
        <v>473</v>
      </c>
      <c r="S42" s="91" t="s">
        <v>493</v>
      </c>
      <c r="T42" s="91" t="s">
        <v>503</v>
      </c>
      <c r="U42" s="91" t="s">
        <v>483</v>
      </c>
    </row>
    <row r="43" spans="1:21" x14ac:dyDescent="0.25">
      <c r="A43" s="91" t="s">
        <v>264</v>
      </c>
      <c r="B43" s="91">
        <v>7</v>
      </c>
      <c r="C43" s="91" t="s">
        <v>262</v>
      </c>
      <c r="D43" s="91" t="s">
        <v>59</v>
      </c>
      <c r="E43">
        <v>77</v>
      </c>
      <c r="F43">
        <v>78</v>
      </c>
      <c r="G43" s="94" t="s">
        <v>59</v>
      </c>
      <c r="H43" t="s">
        <v>151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1" t="s">
        <v>265</v>
      </c>
      <c r="P43" s="119" t="s">
        <v>614</v>
      </c>
      <c r="Q43" s="119" t="s">
        <v>75</v>
      </c>
    </row>
    <row r="44" spans="1:21" x14ac:dyDescent="0.25">
      <c r="A44" s="91" t="s">
        <v>266</v>
      </c>
      <c r="B44" s="91">
        <v>7</v>
      </c>
      <c r="C44" s="91" t="s">
        <v>262</v>
      </c>
      <c r="D44" s="91" t="s">
        <v>92</v>
      </c>
      <c r="E44">
        <v>79</v>
      </c>
      <c r="F44">
        <v>80</v>
      </c>
      <c r="G44" s="94" t="s">
        <v>59</v>
      </c>
      <c r="H44" t="s">
        <v>154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1" t="s">
        <v>267</v>
      </c>
      <c r="P44" s="119" t="s">
        <v>237</v>
      </c>
      <c r="Q44" s="119" t="s">
        <v>75</v>
      </c>
    </row>
    <row r="45" spans="1:21" x14ac:dyDescent="0.25">
      <c r="A45" s="91" t="s">
        <v>268</v>
      </c>
      <c r="B45" s="91">
        <v>7</v>
      </c>
      <c r="C45" s="91" t="s">
        <v>262</v>
      </c>
      <c r="D45" s="91" t="s">
        <v>197</v>
      </c>
      <c r="E45">
        <v>81</v>
      </c>
      <c r="F45">
        <v>82</v>
      </c>
      <c r="G45" s="94" t="s">
        <v>59</v>
      </c>
      <c r="H45" t="s">
        <v>157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1" t="s">
        <v>269</v>
      </c>
      <c r="P45" s="119" t="s">
        <v>239</v>
      </c>
      <c r="Q45" s="119" t="s">
        <v>75</v>
      </c>
    </row>
    <row r="46" spans="1:21" x14ac:dyDescent="0.25">
      <c r="A46" s="91" t="s">
        <v>270</v>
      </c>
      <c r="B46" s="91">
        <v>7</v>
      </c>
      <c r="C46" s="91" t="s">
        <v>262</v>
      </c>
      <c r="D46" s="91" t="s">
        <v>198</v>
      </c>
      <c r="E46">
        <v>83</v>
      </c>
      <c r="F46">
        <v>84</v>
      </c>
      <c r="G46" s="94" t="s">
        <v>59</v>
      </c>
      <c r="H46" t="s">
        <v>160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1" t="s">
        <v>271</v>
      </c>
      <c r="P46" s="119" t="s">
        <v>241</v>
      </c>
      <c r="Q46" s="119" t="s">
        <v>75</v>
      </c>
    </row>
    <row r="47" spans="1:21" x14ac:dyDescent="0.25">
      <c r="A47" s="91" t="s">
        <v>272</v>
      </c>
      <c r="B47" s="91">
        <v>3</v>
      </c>
      <c r="C47" s="91" t="s">
        <v>2</v>
      </c>
      <c r="D47" s="91" t="s">
        <v>464</v>
      </c>
      <c r="E47">
        <v>89</v>
      </c>
      <c r="F47">
        <v>98</v>
      </c>
      <c r="G47" s="94" t="s">
        <v>93</v>
      </c>
      <c r="H47" t="s">
        <v>273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1" t="s">
        <v>274</v>
      </c>
      <c r="P47" s="119" t="s">
        <v>243</v>
      </c>
      <c r="Q47" s="119" t="s">
        <v>75</v>
      </c>
      <c r="R47" s="91" t="s">
        <v>584</v>
      </c>
      <c r="S47" s="91" t="s">
        <v>599</v>
      </c>
      <c r="T47" s="91" t="s">
        <v>606</v>
      </c>
      <c r="U47" s="91" t="s">
        <v>592</v>
      </c>
    </row>
    <row r="48" spans="1:21" x14ac:dyDescent="0.25">
      <c r="A48" s="91" t="s">
        <v>275</v>
      </c>
      <c r="B48" s="91">
        <v>4</v>
      </c>
      <c r="C48" s="91" t="s">
        <v>272</v>
      </c>
      <c r="D48" s="91" t="s">
        <v>59</v>
      </c>
      <c r="E48">
        <v>90</v>
      </c>
      <c r="F48">
        <v>97</v>
      </c>
      <c r="G48" s="94" t="s">
        <v>93</v>
      </c>
      <c r="H48" t="s">
        <v>276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1" t="s">
        <v>277</v>
      </c>
      <c r="P48" s="119" t="s">
        <v>615</v>
      </c>
      <c r="Q48" s="119" t="s">
        <v>75</v>
      </c>
      <c r="R48" s="91" t="s">
        <v>549</v>
      </c>
      <c r="S48" s="91" t="s">
        <v>567</v>
      </c>
      <c r="T48" s="91" t="s">
        <v>576</v>
      </c>
      <c r="U48" s="91" t="s">
        <v>558</v>
      </c>
    </row>
    <row r="49" spans="1:21" x14ac:dyDescent="0.25">
      <c r="A49" s="91" t="s">
        <v>278</v>
      </c>
      <c r="B49" s="91">
        <v>5</v>
      </c>
      <c r="C49" s="91" t="s">
        <v>275</v>
      </c>
      <c r="D49" s="91" t="s">
        <v>59</v>
      </c>
      <c r="E49">
        <v>91</v>
      </c>
      <c r="F49">
        <v>96</v>
      </c>
      <c r="G49" s="94" t="s">
        <v>93</v>
      </c>
      <c r="H49" t="s">
        <v>273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1" t="s">
        <v>279</v>
      </c>
      <c r="P49" s="119" t="s">
        <v>246</v>
      </c>
      <c r="Q49" s="119" t="s">
        <v>75</v>
      </c>
      <c r="R49" s="91" t="s">
        <v>513</v>
      </c>
      <c r="S49" s="91" t="s">
        <v>531</v>
      </c>
      <c r="T49" s="91" t="s">
        <v>540</v>
      </c>
      <c r="U49" s="91" t="s">
        <v>522</v>
      </c>
    </row>
    <row r="50" spans="1:21" x14ac:dyDescent="0.25">
      <c r="A50" s="91" t="s">
        <v>280</v>
      </c>
      <c r="B50" s="91">
        <v>6</v>
      </c>
      <c r="C50" s="91" t="s">
        <v>278</v>
      </c>
      <c r="D50" s="91" t="s">
        <v>59</v>
      </c>
      <c r="E50">
        <v>92</v>
      </c>
      <c r="F50">
        <v>95</v>
      </c>
      <c r="G50" s="94" t="s">
        <v>93</v>
      </c>
      <c r="H50" t="s">
        <v>281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1" t="s">
        <v>282</v>
      </c>
      <c r="P50" s="119" t="s">
        <v>249</v>
      </c>
      <c r="Q50" s="119" t="s">
        <v>75</v>
      </c>
      <c r="R50" s="91" t="s">
        <v>474</v>
      </c>
      <c r="S50" s="91" t="s">
        <v>494</v>
      </c>
      <c r="T50" s="91" t="s">
        <v>504</v>
      </c>
      <c r="U50" s="91" t="s">
        <v>484</v>
      </c>
    </row>
    <row r="51" spans="1:21" x14ac:dyDescent="0.25">
      <c r="A51" s="91" t="s">
        <v>283</v>
      </c>
      <c r="B51" s="91">
        <v>7</v>
      </c>
      <c r="C51" s="91" t="s">
        <v>280</v>
      </c>
      <c r="D51" s="91" t="s">
        <v>59</v>
      </c>
      <c r="E51">
        <v>93</v>
      </c>
      <c r="F51">
        <v>94</v>
      </c>
      <c r="G51" s="94" t="s">
        <v>59</v>
      </c>
      <c r="H51" t="s">
        <v>284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1" t="s">
        <v>285</v>
      </c>
      <c r="P51" s="119" t="s">
        <v>251</v>
      </c>
      <c r="Q51" s="119" t="s">
        <v>75</v>
      </c>
    </row>
    <row r="52" spans="1:21" x14ac:dyDescent="0.25">
      <c r="A52" s="91" t="s">
        <v>286</v>
      </c>
      <c r="B52" s="91">
        <v>3</v>
      </c>
      <c r="C52" s="91" t="s">
        <v>2</v>
      </c>
      <c r="D52" s="91" t="s">
        <v>465</v>
      </c>
      <c r="E52">
        <v>99</v>
      </c>
      <c r="F52">
        <v>108</v>
      </c>
      <c r="G52" s="94" t="s">
        <v>93</v>
      </c>
      <c r="H52" t="s">
        <v>287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1" t="s">
        <v>288</v>
      </c>
      <c r="P52" s="119" t="s">
        <v>254</v>
      </c>
      <c r="Q52" s="119" t="s">
        <v>75</v>
      </c>
      <c r="R52" s="91" t="s">
        <v>585</v>
      </c>
      <c r="S52" s="91" t="s">
        <v>600</v>
      </c>
      <c r="T52" s="91" t="s">
        <v>607</v>
      </c>
      <c r="U52" s="91" t="s">
        <v>593</v>
      </c>
    </row>
    <row r="53" spans="1:21" x14ac:dyDescent="0.25">
      <c r="A53" s="91" t="s">
        <v>289</v>
      </c>
      <c r="B53" s="91">
        <v>4</v>
      </c>
      <c r="C53" s="91" t="s">
        <v>286</v>
      </c>
      <c r="D53" s="91" t="s">
        <v>59</v>
      </c>
      <c r="E53">
        <v>100</v>
      </c>
      <c r="F53">
        <v>107</v>
      </c>
      <c r="G53" s="94" t="s">
        <v>93</v>
      </c>
      <c r="H53" t="s">
        <v>287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1" t="s">
        <v>290</v>
      </c>
      <c r="P53" s="119" t="s">
        <v>616</v>
      </c>
      <c r="Q53" s="119" t="s">
        <v>75</v>
      </c>
      <c r="R53" s="91" t="s">
        <v>550</v>
      </c>
      <c r="S53" s="91" t="s">
        <v>568</v>
      </c>
      <c r="T53" s="91" t="s">
        <v>577</v>
      </c>
      <c r="U53" s="91" t="s">
        <v>559</v>
      </c>
    </row>
    <row r="54" spans="1:21" x14ac:dyDescent="0.25">
      <c r="A54" s="91" t="s">
        <v>291</v>
      </c>
      <c r="B54" s="91">
        <v>5</v>
      </c>
      <c r="C54" s="91" t="s">
        <v>289</v>
      </c>
      <c r="D54" s="91" t="s">
        <v>59</v>
      </c>
      <c r="E54">
        <v>101</v>
      </c>
      <c r="F54">
        <v>106</v>
      </c>
      <c r="G54" s="94" t="s">
        <v>93</v>
      </c>
      <c r="H54" t="s">
        <v>287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1" t="s">
        <v>292</v>
      </c>
      <c r="P54" s="119" t="s">
        <v>257</v>
      </c>
      <c r="Q54" s="119" t="s">
        <v>75</v>
      </c>
      <c r="R54" s="91" t="s">
        <v>514</v>
      </c>
      <c r="S54" s="91" t="s">
        <v>532</v>
      </c>
      <c r="T54" s="91" t="s">
        <v>541</v>
      </c>
      <c r="U54" s="91" t="s">
        <v>523</v>
      </c>
    </row>
    <row r="55" spans="1:21" x14ac:dyDescent="0.25">
      <c r="A55" s="91" t="s">
        <v>293</v>
      </c>
      <c r="B55" s="91">
        <v>6</v>
      </c>
      <c r="C55" s="91" t="s">
        <v>291</v>
      </c>
      <c r="D55" s="91" t="s">
        <v>59</v>
      </c>
      <c r="E55">
        <v>102</v>
      </c>
      <c r="F55">
        <v>105</v>
      </c>
      <c r="G55" s="94" t="s">
        <v>93</v>
      </c>
      <c r="H55" t="s">
        <v>294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1" t="s">
        <v>295</v>
      </c>
      <c r="P55" s="119" t="s">
        <v>259</v>
      </c>
      <c r="Q55" s="119" t="s">
        <v>75</v>
      </c>
      <c r="R55" s="91" t="s">
        <v>475</v>
      </c>
      <c r="S55" s="91" t="s">
        <v>495</v>
      </c>
      <c r="T55" s="91" t="s">
        <v>505</v>
      </c>
      <c r="U55" s="91" t="s">
        <v>485</v>
      </c>
    </row>
    <row r="56" spans="1:21" x14ac:dyDescent="0.25">
      <c r="A56" s="91" t="s">
        <v>296</v>
      </c>
      <c r="B56" s="91">
        <v>7</v>
      </c>
      <c r="C56" s="91" t="s">
        <v>293</v>
      </c>
      <c r="D56" s="91" t="s">
        <v>59</v>
      </c>
      <c r="E56">
        <v>103</v>
      </c>
      <c r="F56">
        <v>104</v>
      </c>
      <c r="G56" s="94" t="s">
        <v>59</v>
      </c>
      <c r="H56" t="s">
        <v>297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1" t="s">
        <v>298</v>
      </c>
      <c r="P56" s="119" t="s">
        <v>261</v>
      </c>
      <c r="Q56" s="119" t="s">
        <v>75</v>
      </c>
    </row>
    <row r="57" spans="1:21" x14ac:dyDescent="0.25">
      <c r="A57" s="91" t="s">
        <v>299</v>
      </c>
      <c r="B57" s="91">
        <v>3</v>
      </c>
      <c r="C57" s="91" t="s">
        <v>2</v>
      </c>
      <c r="D57" s="91" t="s">
        <v>466</v>
      </c>
      <c r="E57">
        <v>109</v>
      </c>
      <c r="F57">
        <v>122</v>
      </c>
      <c r="G57" s="94" t="s">
        <v>93</v>
      </c>
      <c r="H57" t="s">
        <v>300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1" t="s">
        <v>301</v>
      </c>
      <c r="P57" s="119" t="s">
        <v>263</v>
      </c>
      <c r="Q57" s="119" t="s">
        <v>75</v>
      </c>
      <c r="R57" s="91" t="s">
        <v>586</v>
      </c>
      <c r="S57" s="91" t="s">
        <v>601</v>
      </c>
      <c r="T57" s="91" t="s">
        <v>608</v>
      </c>
      <c r="U57" s="91" t="s">
        <v>594</v>
      </c>
    </row>
    <row r="58" spans="1:21" x14ac:dyDescent="0.25">
      <c r="A58" s="91" t="s">
        <v>302</v>
      </c>
      <c r="B58" s="91">
        <v>4</v>
      </c>
      <c r="C58" s="91" t="s">
        <v>299</v>
      </c>
      <c r="D58" s="91" t="s">
        <v>59</v>
      </c>
      <c r="E58">
        <v>110</v>
      </c>
      <c r="F58">
        <v>121</v>
      </c>
      <c r="G58" s="94" t="s">
        <v>93</v>
      </c>
      <c r="H58" t="s">
        <v>300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1" t="s">
        <v>303</v>
      </c>
      <c r="P58" s="119" t="s">
        <v>617</v>
      </c>
      <c r="Q58" s="119" t="s">
        <v>75</v>
      </c>
      <c r="R58" s="91" t="s">
        <v>551</v>
      </c>
      <c r="S58" s="91" t="s">
        <v>569</v>
      </c>
      <c r="T58" s="91" t="s">
        <v>578</v>
      </c>
      <c r="U58" s="91" t="s">
        <v>560</v>
      </c>
    </row>
    <row r="59" spans="1:21" x14ac:dyDescent="0.25">
      <c r="A59" s="91" t="s">
        <v>304</v>
      </c>
      <c r="B59" s="91">
        <v>5</v>
      </c>
      <c r="C59" s="91" t="s">
        <v>302</v>
      </c>
      <c r="D59" s="91" t="s">
        <v>59</v>
      </c>
      <c r="E59">
        <v>111</v>
      </c>
      <c r="F59">
        <v>120</v>
      </c>
      <c r="G59" s="94" t="s">
        <v>93</v>
      </c>
      <c r="H59" t="s">
        <v>300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1" t="s">
        <v>305</v>
      </c>
      <c r="P59" s="119" t="s">
        <v>265</v>
      </c>
      <c r="Q59" s="119" t="s">
        <v>75</v>
      </c>
      <c r="R59" s="91" t="s">
        <v>515</v>
      </c>
      <c r="S59" s="91" t="s">
        <v>533</v>
      </c>
      <c r="T59" s="91" t="s">
        <v>542</v>
      </c>
      <c r="U59" s="91" t="s">
        <v>524</v>
      </c>
    </row>
    <row r="60" spans="1:21" x14ac:dyDescent="0.25">
      <c r="A60" s="91" t="s">
        <v>306</v>
      </c>
      <c r="B60" s="91">
        <v>6</v>
      </c>
      <c r="C60" s="91" t="s">
        <v>304</v>
      </c>
      <c r="D60" s="91" t="s">
        <v>59</v>
      </c>
      <c r="E60">
        <v>112</v>
      </c>
      <c r="F60">
        <v>119</v>
      </c>
      <c r="G60" s="94" t="s">
        <v>93</v>
      </c>
      <c r="H60" t="s">
        <v>281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1" t="s">
        <v>307</v>
      </c>
      <c r="P60" s="119" t="s">
        <v>267</v>
      </c>
      <c r="Q60" s="119" t="s">
        <v>75</v>
      </c>
      <c r="R60" s="91" t="s">
        <v>476</v>
      </c>
      <c r="S60" s="91" t="s">
        <v>496</v>
      </c>
      <c r="T60" s="91" t="s">
        <v>506</v>
      </c>
      <c r="U60" s="91" t="s">
        <v>486</v>
      </c>
    </row>
    <row r="61" spans="1:21" x14ac:dyDescent="0.25">
      <c r="A61" s="91" t="s">
        <v>308</v>
      </c>
      <c r="B61" s="91">
        <v>7</v>
      </c>
      <c r="C61" s="91" t="s">
        <v>306</v>
      </c>
      <c r="D61" s="91" t="s">
        <v>59</v>
      </c>
      <c r="E61">
        <v>113</v>
      </c>
      <c r="F61">
        <v>114</v>
      </c>
      <c r="G61" s="94" t="s">
        <v>59</v>
      </c>
      <c r="H61" t="s">
        <v>309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1" t="s">
        <v>310</v>
      </c>
      <c r="P61" s="119" t="s">
        <v>269</v>
      </c>
      <c r="Q61" s="119" t="s">
        <v>75</v>
      </c>
    </row>
    <row r="62" spans="1:21" x14ac:dyDescent="0.25">
      <c r="A62" s="91" t="s">
        <v>311</v>
      </c>
      <c r="B62" s="91">
        <v>7</v>
      </c>
      <c r="C62" s="91" t="s">
        <v>306</v>
      </c>
      <c r="D62" s="91" t="s">
        <v>92</v>
      </c>
      <c r="E62">
        <v>115</v>
      </c>
      <c r="F62">
        <v>116</v>
      </c>
      <c r="G62" s="94" t="s">
        <v>59</v>
      </c>
      <c r="H62" t="s">
        <v>312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1" t="s">
        <v>313</v>
      </c>
      <c r="P62" s="119" t="s">
        <v>271</v>
      </c>
      <c r="Q62" s="119" t="s">
        <v>75</v>
      </c>
    </row>
    <row r="63" spans="1:21" x14ac:dyDescent="0.25">
      <c r="A63" s="91" t="s">
        <v>314</v>
      </c>
      <c r="B63" s="91">
        <v>7</v>
      </c>
      <c r="C63" s="91" t="s">
        <v>306</v>
      </c>
      <c r="D63" s="91" t="s">
        <v>197</v>
      </c>
      <c r="E63">
        <v>117</v>
      </c>
      <c r="F63">
        <v>118</v>
      </c>
      <c r="G63" s="94" t="s">
        <v>59</v>
      </c>
      <c r="H63" t="s">
        <v>315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1" t="s">
        <v>316</v>
      </c>
      <c r="P63" s="119" t="s">
        <v>618</v>
      </c>
      <c r="Q63" s="119" t="s">
        <v>75</v>
      </c>
    </row>
    <row r="64" spans="1:21" x14ac:dyDescent="0.25">
      <c r="A64" s="91" t="s">
        <v>317</v>
      </c>
      <c r="B64" s="91">
        <v>3</v>
      </c>
      <c r="C64" s="91" t="s">
        <v>2</v>
      </c>
      <c r="D64" s="91" t="s">
        <v>467</v>
      </c>
      <c r="E64">
        <v>123</v>
      </c>
      <c r="F64">
        <v>132</v>
      </c>
      <c r="G64" s="94" t="s">
        <v>93</v>
      </c>
      <c r="H64" t="s">
        <v>318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1" t="s">
        <v>319</v>
      </c>
      <c r="P64" s="119" t="s">
        <v>274</v>
      </c>
      <c r="Q64" s="119" t="s">
        <v>75</v>
      </c>
      <c r="R64" s="91" t="s">
        <v>544</v>
      </c>
      <c r="S64" s="91" t="s">
        <v>562</v>
      </c>
      <c r="T64" s="91" t="s">
        <v>571</v>
      </c>
      <c r="U64" s="91" t="s">
        <v>553</v>
      </c>
    </row>
    <row r="65" spans="1:21" x14ac:dyDescent="0.25">
      <c r="A65" s="91" t="s">
        <v>320</v>
      </c>
      <c r="B65" s="91">
        <v>4</v>
      </c>
      <c r="C65" s="91" t="s">
        <v>317</v>
      </c>
      <c r="D65" s="91" t="s">
        <v>59</v>
      </c>
      <c r="E65">
        <v>124</v>
      </c>
      <c r="F65">
        <v>131</v>
      </c>
      <c r="G65" s="94" t="s">
        <v>93</v>
      </c>
      <c r="H65" t="s">
        <v>318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1" t="s">
        <v>321</v>
      </c>
      <c r="P65" s="119" t="s">
        <v>277</v>
      </c>
      <c r="Q65" s="119" t="s">
        <v>75</v>
      </c>
      <c r="R65" s="91" t="s">
        <v>508</v>
      </c>
      <c r="S65" s="91" t="s">
        <v>526</v>
      </c>
      <c r="T65" s="91" t="s">
        <v>535</v>
      </c>
      <c r="U65" s="91" t="s">
        <v>517</v>
      </c>
    </row>
    <row r="66" spans="1:21" x14ac:dyDescent="0.25">
      <c r="A66" s="91" t="s">
        <v>322</v>
      </c>
      <c r="B66" s="91">
        <v>5</v>
      </c>
      <c r="C66" s="91" t="s">
        <v>320</v>
      </c>
      <c r="D66" s="91" t="s">
        <v>59</v>
      </c>
      <c r="E66">
        <v>125</v>
      </c>
      <c r="F66">
        <v>130</v>
      </c>
      <c r="G66" s="94" t="s">
        <v>93</v>
      </c>
      <c r="H66" t="s">
        <v>318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1" t="s">
        <v>323</v>
      </c>
      <c r="P66" s="119" t="s">
        <v>279</v>
      </c>
      <c r="Q66" s="119" t="s">
        <v>75</v>
      </c>
      <c r="R66" s="91" t="s">
        <v>468</v>
      </c>
      <c r="S66" s="91" t="s">
        <v>488</v>
      </c>
      <c r="T66" s="91" t="s">
        <v>498</v>
      </c>
      <c r="U66" s="91" t="s">
        <v>478</v>
      </c>
    </row>
    <row r="67" spans="1:21" x14ac:dyDescent="0.25">
      <c r="A67" s="91" t="s">
        <v>324</v>
      </c>
      <c r="B67" s="91">
        <v>6</v>
      </c>
      <c r="C67" s="91" t="s">
        <v>322</v>
      </c>
      <c r="D67" s="91" t="s">
        <v>59</v>
      </c>
      <c r="E67">
        <v>126</v>
      </c>
      <c r="F67">
        <v>127</v>
      </c>
      <c r="G67" s="94" t="s">
        <v>59</v>
      </c>
      <c r="H67" t="s">
        <v>325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1" t="s">
        <v>326</v>
      </c>
      <c r="P67" s="119" t="s">
        <v>282</v>
      </c>
      <c r="Q67" s="119" t="s">
        <v>75</v>
      </c>
    </row>
    <row r="68" spans="1:21" x14ac:dyDescent="0.25">
      <c r="A68" s="91" t="s">
        <v>327</v>
      </c>
      <c r="B68" s="91">
        <v>6</v>
      </c>
      <c r="C68" s="91" t="s">
        <v>322</v>
      </c>
      <c r="D68" s="91" t="s">
        <v>92</v>
      </c>
      <c r="E68">
        <v>128</v>
      </c>
      <c r="F68">
        <v>129</v>
      </c>
      <c r="G68" s="94" t="s">
        <v>59</v>
      </c>
      <c r="H68" t="s">
        <v>328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1" t="s">
        <v>329</v>
      </c>
      <c r="P68" s="119" t="s">
        <v>619</v>
      </c>
      <c r="Q68" s="119" t="s">
        <v>75</v>
      </c>
    </row>
    <row r="69" spans="1:21" x14ac:dyDescent="0.25">
      <c r="A69" s="91" t="s">
        <v>330</v>
      </c>
      <c r="B69" s="91">
        <v>3</v>
      </c>
      <c r="C69" s="91" t="s">
        <v>2</v>
      </c>
      <c r="D69" s="91" t="s">
        <v>145</v>
      </c>
      <c r="E69">
        <v>133</v>
      </c>
      <c r="F69">
        <v>202</v>
      </c>
      <c r="G69" s="94" t="s">
        <v>93</v>
      </c>
      <c r="H69" t="s">
        <v>331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1" t="s">
        <v>332</v>
      </c>
      <c r="P69" s="119" t="s">
        <v>285</v>
      </c>
      <c r="Q69" s="119" t="s">
        <v>75</v>
      </c>
      <c r="R69" s="91" t="s">
        <v>581</v>
      </c>
      <c r="S69" s="91" t="s">
        <v>596</v>
      </c>
      <c r="T69" s="91" t="s">
        <v>603</v>
      </c>
      <c r="U69" s="91" t="s">
        <v>589</v>
      </c>
    </row>
    <row r="70" spans="1:21" x14ac:dyDescent="0.25">
      <c r="A70" s="91" t="s">
        <v>333</v>
      </c>
      <c r="B70" s="91">
        <v>4</v>
      </c>
      <c r="C70" s="91" t="s">
        <v>330</v>
      </c>
      <c r="D70" s="91" t="s">
        <v>59</v>
      </c>
      <c r="E70">
        <v>134</v>
      </c>
      <c r="F70">
        <v>201</v>
      </c>
      <c r="G70" s="94" t="s">
        <v>93</v>
      </c>
      <c r="H70" t="s">
        <v>331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1" t="s">
        <v>334</v>
      </c>
      <c r="P70" s="119" t="s">
        <v>620</v>
      </c>
      <c r="Q70" s="119" t="s">
        <v>75</v>
      </c>
      <c r="R70" s="91" t="s">
        <v>545</v>
      </c>
      <c r="S70" s="91" t="s">
        <v>563</v>
      </c>
      <c r="T70" s="91" t="s">
        <v>572</v>
      </c>
      <c r="U70" s="91" t="s">
        <v>554</v>
      </c>
    </row>
    <row r="71" spans="1:21" x14ac:dyDescent="0.25">
      <c r="A71" s="91" t="s">
        <v>335</v>
      </c>
      <c r="B71" s="91">
        <v>5</v>
      </c>
      <c r="C71" s="91" t="s">
        <v>333</v>
      </c>
      <c r="D71" s="91" t="s">
        <v>59</v>
      </c>
      <c r="E71">
        <v>135</v>
      </c>
      <c r="F71">
        <v>200</v>
      </c>
      <c r="G71" s="94" t="s">
        <v>93</v>
      </c>
      <c r="H71" t="s">
        <v>331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1" t="s">
        <v>336</v>
      </c>
      <c r="P71" s="119" t="s">
        <v>288</v>
      </c>
      <c r="Q71" s="119" t="s">
        <v>75</v>
      </c>
      <c r="R71" s="91" t="s">
        <v>509</v>
      </c>
      <c r="S71" s="91" t="s">
        <v>527</v>
      </c>
      <c r="T71" s="91" t="s">
        <v>536</v>
      </c>
      <c r="U71" s="91" t="s">
        <v>518</v>
      </c>
    </row>
    <row r="72" spans="1:21" x14ac:dyDescent="0.25">
      <c r="A72" s="91" t="s">
        <v>337</v>
      </c>
      <c r="B72" s="91">
        <v>6</v>
      </c>
      <c r="C72" s="91" t="s">
        <v>335</v>
      </c>
      <c r="D72" s="91" t="s">
        <v>59</v>
      </c>
      <c r="E72">
        <v>136</v>
      </c>
      <c r="F72">
        <v>193</v>
      </c>
      <c r="G72" s="94" t="s">
        <v>93</v>
      </c>
      <c r="H72" t="s">
        <v>338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1" t="s">
        <v>339</v>
      </c>
      <c r="P72" s="119" t="s">
        <v>290</v>
      </c>
      <c r="Q72" s="119" t="s">
        <v>75</v>
      </c>
      <c r="R72" s="91" t="s">
        <v>469</v>
      </c>
      <c r="S72" s="91" t="s">
        <v>489</v>
      </c>
      <c r="T72" s="91" t="s">
        <v>499</v>
      </c>
      <c r="U72" s="91" t="s">
        <v>479</v>
      </c>
    </row>
    <row r="73" spans="1:21" x14ac:dyDescent="0.25">
      <c r="A73" s="91" t="s">
        <v>340</v>
      </c>
      <c r="B73" s="91">
        <v>7</v>
      </c>
      <c r="C73" s="91" t="s">
        <v>337</v>
      </c>
      <c r="D73" s="91" t="s">
        <v>59</v>
      </c>
      <c r="E73">
        <v>137</v>
      </c>
      <c r="F73">
        <v>138</v>
      </c>
      <c r="G73" s="94" t="s">
        <v>59</v>
      </c>
      <c r="H73" t="s">
        <v>341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1" t="s">
        <v>342</v>
      </c>
      <c r="P73" s="119" t="s">
        <v>292</v>
      </c>
      <c r="Q73" s="119" t="s">
        <v>75</v>
      </c>
    </row>
    <row r="74" spans="1:21" x14ac:dyDescent="0.25">
      <c r="A74" s="91" t="s">
        <v>343</v>
      </c>
      <c r="B74" s="91">
        <v>7</v>
      </c>
      <c r="C74" s="91" t="s">
        <v>337</v>
      </c>
      <c r="D74" s="91" t="s">
        <v>92</v>
      </c>
      <c r="E74">
        <v>139</v>
      </c>
      <c r="F74">
        <v>140</v>
      </c>
      <c r="G74" s="94" t="s">
        <v>59</v>
      </c>
      <c r="H74" t="s">
        <v>344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1" t="s">
        <v>345</v>
      </c>
      <c r="P74" s="119" t="s">
        <v>295</v>
      </c>
      <c r="Q74" s="119" t="s">
        <v>75</v>
      </c>
    </row>
    <row r="75" spans="1:21" x14ac:dyDescent="0.25">
      <c r="A75" s="91" t="s">
        <v>346</v>
      </c>
      <c r="B75" s="91">
        <v>7</v>
      </c>
      <c r="C75" s="91" t="s">
        <v>337</v>
      </c>
      <c r="D75" s="91" t="s">
        <v>197</v>
      </c>
      <c r="E75">
        <v>141</v>
      </c>
      <c r="F75">
        <v>142</v>
      </c>
      <c r="G75" s="94" t="s">
        <v>59</v>
      </c>
      <c r="H75" t="s">
        <v>347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1" t="s">
        <v>348</v>
      </c>
      <c r="P75" s="119" t="s">
        <v>621</v>
      </c>
      <c r="Q75" s="119" t="s">
        <v>75</v>
      </c>
    </row>
    <row r="76" spans="1:21" x14ac:dyDescent="0.25">
      <c r="A76" s="91" t="s">
        <v>349</v>
      </c>
      <c r="B76" s="91">
        <v>7</v>
      </c>
      <c r="C76" s="91" t="s">
        <v>337</v>
      </c>
      <c r="D76" s="91" t="s">
        <v>198</v>
      </c>
      <c r="E76">
        <v>143</v>
      </c>
      <c r="F76">
        <v>144</v>
      </c>
      <c r="G76" s="94" t="s">
        <v>59</v>
      </c>
      <c r="H76" t="s">
        <v>350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1" t="s">
        <v>351</v>
      </c>
      <c r="P76" s="119" t="s">
        <v>298</v>
      </c>
      <c r="Q76" s="119" t="s">
        <v>75</v>
      </c>
    </row>
    <row r="77" spans="1:21" x14ac:dyDescent="0.25">
      <c r="A77" s="91" t="s">
        <v>352</v>
      </c>
      <c r="B77" s="91">
        <v>7</v>
      </c>
      <c r="C77" s="91" t="s">
        <v>337</v>
      </c>
      <c r="D77" s="91" t="s">
        <v>199</v>
      </c>
      <c r="E77">
        <v>145</v>
      </c>
      <c r="F77">
        <v>146</v>
      </c>
      <c r="G77" s="94" t="s">
        <v>59</v>
      </c>
      <c r="H77" t="s">
        <v>353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1" t="s">
        <v>354</v>
      </c>
      <c r="P77" s="119" t="s">
        <v>622</v>
      </c>
      <c r="Q77" s="119" t="s">
        <v>75</v>
      </c>
    </row>
    <row r="78" spans="1:21" x14ac:dyDescent="0.25">
      <c r="A78" s="91" t="s">
        <v>355</v>
      </c>
      <c r="B78" s="91">
        <v>7</v>
      </c>
      <c r="C78" s="91" t="s">
        <v>337</v>
      </c>
      <c r="D78" s="91" t="s">
        <v>463</v>
      </c>
      <c r="E78">
        <v>147</v>
      </c>
      <c r="F78">
        <v>148</v>
      </c>
      <c r="G78" s="94" t="s">
        <v>59</v>
      </c>
      <c r="H78" t="s">
        <v>356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1" t="s">
        <v>357</v>
      </c>
      <c r="P78" s="119" t="s">
        <v>301</v>
      </c>
      <c r="Q78" s="119" t="s">
        <v>75</v>
      </c>
    </row>
    <row r="79" spans="1:21" x14ac:dyDescent="0.25">
      <c r="A79" s="91" t="s">
        <v>358</v>
      </c>
      <c r="B79" s="91">
        <v>7</v>
      </c>
      <c r="C79" s="91" t="s">
        <v>337</v>
      </c>
      <c r="D79" s="91" t="s">
        <v>464</v>
      </c>
      <c r="E79">
        <v>149</v>
      </c>
      <c r="F79">
        <v>150</v>
      </c>
      <c r="G79" s="94" t="s">
        <v>59</v>
      </c>
      <c r="H79" t="s">
        <v>359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1" t="s">
        <v>360</v>
      </c>
      <c r="P79" s="119" t="s">
        <v>303</v>
      </c>
      <c r="Q79" s="119" t="s">
        <v>75</v>
      </c>
    </row>
    <row r="80" spans="1:21" x14ac:dyDescent="0.25">
      <c r="A80" s="91" t="s">
        <v>361</v>
      </c>
      <c r="B80" s="91">
        <v>7</v>
      </c>
      <c r="C80" s="91" t="s">
        <v>337</v>
      </c>
      <c r="D80" s="91" t="s">
        <v>465</v>
      </c>
      <c r="E80">
        <v>151</v>
      </c>
      <c r="F80">
        <v>152</v>
      </c>
      <c r="G80" s="94" t="s">
        <v>59</v>
      </c>
      <c r="H80" t="s">
        <v>362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1" t="s">
        <v>363</v>
      </c>
      <c r="P80" s="119" t="s">
        <v>305</v>
      </c>
      <c r="Q80" s="119" t="s">
        <v>75</v>
      </c>
    </row>
    <row r="81" spans="1:17" x14ac:dyDescent="0.25">
      <c r="A81" s="91" t="s">
        <v>364</v>
      </c>
      <c r="B81" s="91">
        <v>7</v>
      </c>
      <c r="C81" s="91" t="s">
        <v>337</v>
      </c>
      <c r="D81" s="91" t="s">
        <v>466</v>
      </c>
      <c r="E81">
        <v>153</v>
      </c>
      <c r="F81">
        <v>154</v>
      </c>
      <c r="G81" s="94" t="s">
        <v>59</v>
      </c>
      <c r="H81" t="s">
        <v>365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1" t="s">
        <v>366</v>
      </c>
      <c r="P81" s="119" t="s">
        <v>307</v>
      </c>
      <c r="Q81" s="119" t="s">
        <v>75</v>
      </c>
    </row>
    <row r="82" spans="1:17" x14ac:dyDescent="0.25">
      <c r="A82" s="91" t="s">
        <v>367</v>
      </c>
      <c r="B82" s="91">
        <v>7</v>
      </c>
      <c r="C82" s="91" t="s">
        <v>337</v>
      </c>
      <c r="D82" s="91" t="s">
        <v>467</v>
      </c>
      <c r="E82">
        <v>155</v>
      </c>
      <c r="F82">
        <v>156</v>
      </c>
      <c r="G82" s="94" t="s">
        <v>59</v>
      </c>
      <c r="H82" t="s">
        <v>368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1" t="s">
        <v>369</v>
      </c>
      <c r="P82" s="119" t="s">
        <v>623</v>
      </c>
      <c r="Q82" s="119" t="s">
        <v>75</v>
      </c>
    </row>
    <row r="83" spans="1:17" x14ac:dyDescent="0.25">
      <c r="A83" s="91" t="s">
        <v>370</v>
      </c>
      <c r="B83" s="91">
        <v>7</v>
      </c>
      <c r="C83" s="91" t="s">
        <v>337</v>
      </c>
      <c r="D83" s="91" t="s">
        <v>145</v>
      </c>
      <c r="E83">
        <v>157</v>
      </c>
      <c r="F83">
        <v>158</v>
      </c>
      <c r="G83" s="94" t="s">
        <v>59</v>
      </c>
      <c r="H83" t="s">
        <v>371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1" t="s">
        <v>372</v>
      </c>
      <c r="P83" s="119" t="s">
        <v>310</v>
      </c>
      <c r="Q83" s="119" t="s">
        <v>75</v>
      </c>
    </row>
    <row r="84" spans="1:17" x14ac:dyDescent="0.25">
      <c r="A84" s="91" t="s">
        <v>373</v>
      </c>
      <c r="B84" s="91">
        <v>7</v>
      </c>
      <c r="C84" s="91" t="s">
        <v>337</v>
      </c>
      <c r="D84" s="91" t="s">
        <v>146</v>
      </c>
      <c r="E84">
        <v>159</v>
      </c>
      <c r="F84">
        <v>160</v>
      </c>
      <c r="G84" s="94" t="s">
        <v>59</v>
      </c>
      <c r="H84" t="s">
        <v>374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1" t="s">
        <v>375</v>
      </c>
      <c r="P84" s="119" t="s">
        <v>313</v>
      </c>
      <c r="Q84" s="119" t="s">
        <v>75</v>
      </c>
    </row>
    <row r="85" spans="1:17" x14ac:dyDescent="0.25">
      <c r="A85" s="91" t="s">
        <v>376</v>
      </c>
      <c r="B85" s="91">
        <v>7</v>
      </c>
      <c r="C85" s="91" t="s">
        <v>337</v>
      </c>
      <c r="D85" s="91" t="s">
        <v>147</v>
      </c>
      <c r="E85">
        <v>161</v>
      </c>
      <c r="F85">
        <v>162</v>
      </c>
      <c r="G85" s="94" t="s">
        <v>59</v>
      </c>
      <c r="H85" t="s">
        <v>377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1" t="s">
        <v>378</v>
      </c>
      <c r="P85" s="119" t="s">
        <v>316</v>
      </c>
      <c r="Q85" s="119" t="s">
        <v>75</v>
      </c>
    </row>
    <row r="86" spans="1:17" x14ac:dyDescent="0.25">
      <c r="A86" s="91" t="s">
        <v>379</v>
      </c>
      <c r="B86" s="91">
        <v>7</v>
      </c>
      <c r="C86" s="91" t="s">
        <v>337</v>
      </c>
      <c r="D86" s="91" t="s">
        <v>148</v>
      </c>
      <c r="E86">
        <v>163</v>
      </c>
      <c r="F86">
        <v>164</v>
      </c>
      <c r="G86" s="94" t="s">
        <v>59</v>
      </c>
      <c r="H86" t="s">
        <v>380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1" t="s">
        <v>381</v>
      </c>
      <c r="P86" s="119" t="s">
        <v>624</v>
      </c>
      <c r="Q86" s="119" t="s">
        <v>75</v>
      </c>
    </row>
    <row r="87" spans="1:17" x14ac:dyDescent="0.25">
      <c r="A87" s="91" t="s">
        <v>382</v>
      </c>
      <c r="B87" s="91">
        <v>7</v>
      </c>
      <c r="C87" s="91" t="s">
        <v>337</v>
      </c>
      <c r="D87" s="91" t="s">
        <v>97</v>
      </c>
      <c r="E87">
        <v>165</v>
      </c>
      <c r="F87">
        <v>166</v>
      </c>
      <c r="G87" s="94" t="s">
        <v>59</v>
      </c>
      <c r="H87" t="s">
        <v>383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1" t="s">
        <v>384</v>
      </c>
      <c r="P87" s="119" t="s">
        <v>319</v>
      </c>
      <c r="Q87" s="119" t="s">
        <v>75</v>
      </c>
    </row>
    <row r="88" spans="1:17" x14ac:dyDescent="0.25">
      <c r="A88" s="91" t="s">
        <v>385</v>
      </c>
      <c r="B88" s="91">
        <v>7</v>
      </c>
      <c r="C88" s="91" t="s">
        <v>337</v>
      </c>
      <c r="D88" s="91" t="s">
        <v>98</v>
      </c>
      <c r="E88">
        <v>167</v>
      </c>
      <c r="F88">
        <v>168</v>
      </c>
      <c r="G88" s="94" t="s">
        <v>59</v>
      </c>
      <c r="H88" t="s">
        <v>386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1" t="s">
        <v>387</v>
      </c>
      <c r="P88" s="119" t="s">
        <v>321</v>
      </c>
      <c r="Q88" s="119" t="s">
        <v>75</v>
      </c>
    </row>
    <row r="89" spans="1:17" x14ac:dyDescent="0.25">
      <c r="A89" s="91" t="s">
        <v>388</v>
      </c>
      <c r="B89" s="91">
        <v>7</v>
      </c>
      <c r="C89" s="91" t="s">
        <v>337</v>
      </c>
      <c r="D89" s="91" t="s">
        <v>99</v>
      </c>
      <c r="E89">
        <v>169</v>
      </c>
      <c r="F89">
        <v>170</v>
      </c>
      <c r="G89" s="94" t="s">
        <v>59</v>
      </c>
      <c r="H89" t="s">
        <v>389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1" t="s">
        <v>390</v>
      </c>
      <c r="P89" s="119" t="s">
        <v>323</v>
      </c>
      <c r="Q89" s="119" t="s">
        <v>75</v>
      </c>
    </row>
    <row r="90" spans="1:17" x14ac:dyDescent="0.25">
      <c r="A90" s="91" t="s">
        <v>391</v>
      </c>
      <c r="B90" s="91">
        <v>7</v>
      </c>
      <c r="C90" s="91" t="s">
        <v>337</v>
      </c>
      <c r="D90" s="91" t="s">
        <v>100</v>
      </c>
      <c r="E90">
        <v>171</v>
      </c>
      <c r="F90">
        <v>172</v>
      </c>
      <c r="G90" s="94" t="s">
        <v>59</v>
      </c>
      <c r="H90" t="s">
        <v>392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1" t="s">
        <v>393</v>
      </c>
      <c r="P90" s="119" t="s">
        <v>326</v>
      </c>
      <c r="Q90" s="119" t="s">
        <v>75</v>
      </c>
    </row>
    <row r="91" spans="1:17" x14ac:dyDescent="0.25">
      <c r="A91" s="91" t="s">
        <v>394</v>
      </c>
      <c r="B91" s="91">
        <v>7</v>
      </c>
      <c r="C91" s="91" t="s">
        <v>337</v>
      </c>
      <c r="D91" s="91" t="s">
        <v>101</v>
      </c>
      <c r="E91">
        <v>173</v>
      </c>
      <c r="F91">
        <v>174</v>
      </c>
      <c r="G91" s="94" t="s">
        <v>59</v>
      </c>
      <c r="H91" t="s">
        <v>395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1" t="s">
        <v>396</v>
      </c>
      <c r="P91" s="119" t="s">
        <v>329</v>
      </c>
      <c r="Q91" s="119" t="s">
        <v>75</v>
      </c>
    </row>
    <row r="92" spans="1:17" x14ac:dyDescent="0.25">
      <c r="A92" s="91" t="s">
        <v>397</v>
      </c>
      <c r="B92" s="91">
        <v>7</v>
      </c>
      <c r="C92" s="91" t="s">
        <v>337</v>
      </c>
      <c r="D92" s="91" t="s">
        <v>102</v>
      </c>
      <c r="E92">
        <v>175</v>
      </c>
      <c r="F92">
        <v>176</v>
      </c>
      <c r="G92" s="94" t="s">
        <v>59</v>
      </c>
      <c r="H92" t="s">
        <v>398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1" t="s">
        <v>399</v>
      </c>
      <c r="P92" s="119" t="s">
        <v>625</v>
      </c>
      <c r="Q92" s="119" t="s">
        <v>75</v>
      </c>
    </row>
    <row r="93" spans="1:17" x14ac:dyDescent="0.25">
      <c r="A93" s="91" t="s">
        <v>400</v>
      </c>
      <c r="B93" s="91">
        <v>7</v>
      </c>
      <c r="C93" s="91" t="s">
        <v>337</v>
      </c>
      <c r="D93" s="91" t="s">
        <v>149</v>
      </c>
      <c r="E93">
        <v>177</v>
      </c>
      <c r="F93">
        <v>178</v>
      </c>
      <c r="G93" s="94" t="s">
        <v>59</v>
      </c>
      <c r="H93" t="s">
        <v>401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1" t="s">
        <v>402</v>
      </c>
      <c r="P93" s="119" t="s">
        <v>332</v>
      </c>
      <c r="Q93" s="119" t="s">
        <v>75</v>
      </c>
    </row>
    <row r="94" spans="1:17" x14ac:dyDescent="0.25">
      <c r="A94" s="91" t="s">
        <v>403</v>
      </c>
      <c r="B94" s="91">
        <v>7</v>
      </c>
      <c r="C94" s="91" t="s">
        <v>337</v>
      </c>
      <c r="D94" s="91" t="s">
        <v>103</v>
      </c>
      <c r="E94">
        <v>179</v>
      </c>
      <c r="F94">
        <v>180</v>
      </c>
      <c r="G94" s="94" t="s">
        <v>59</v>
      </c>
      <c r="H94" t="s">
        <v>404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1" t="s">
        <v>405</v>
      </c>
      <c r="P94" s="119" t="s">
        <v>334</v>
      </c>
      <c r="Q94" s="119" t="s">
        <v>75</v>
      </c>
    </row>
    <row r="95" spans="1:17" x14ac:dyDescent="0.25">
      <c r="A95" s="91" t="s">
        <v>406</v>
      </c>
      <c r="B95" s="91">
        <v>7</v>
      </c>
      <c r="C95" s="91" t="s">
        <v>337</v>
      </c>
      <c r="D95" s="91" t="s">
        <v>104</v>
      </c>
      <c r="E95">
        <v>181</v>
      </c>
      <c r="F95">
        <v>182</v>
      </c>
      <c r="G95" s="94" t="s">
        <v>59</v>
      </c>
      <c r="H95" t="s">
        <v>407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1" t="s">
        <v>408</v>
      </c>
      <c r="P95" s="119" t="s">
        <v>336</v>
      </c>
      <c r="Q95" s="119" t="s">
        <v>75</v>
      </c>
    </row>
    <row r="96" spans="1:17" x14ac:dyDescent="0.25">
      <c r="A96" s="91" t="s">
        <v>409</v>
      </c>
      <c r="B96" s="91">
        <v>7</v>
      </c>
      <c r="C96" s="91" t="s">
        <v>337</v>
      </c>
      <c r="D96" s="91" t="s">
        <v>200</v>
      </c>
      <c r="E96">
        <v>183</v>
      </c>
      <c r="F96">
        <v>184</v>
      </c>
      <c r="G96" s="94" t="s">
        <v>59</v>
      </c>
      <c r="H96" t="s">
        <v>410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1" t="s">
        <v>411</v>
      </c>
      <c r="P96" s="119" t="s">
        <v>339</v>
      </c>
      <c r="Q96" s="119" t="s">
        <v>75</v>
      </c>
    </row>
    <row r="97" spans="1:21" x14ac:dyDescent="0.25">
      <c r="A97" s="91" t="s">
        <v>412</v>
      </c>
      <c r="B97" s="91">
        <v>7</v>
      </c>
      <c r="C97" s="91" t="s">
        <v>337</v>
      </c>
      <c r="D97" s="91" t="s">
        <v>105</v>
      </c>
      <c r="E97">
        <v>185</v>
      </c>
      <c r="F97">
        <v>186</v>
      </c>
      <c r="G97" s="94" t="s">
        <v>59</v>
      </c>
      <c r="H97" t="s">
        <v>413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1" t="s">
        <v>414</v>
      </c>
      <c r="P97" s="119" t="s">
        <v>626</v>
      </c>
      <c r="Q97" s="119" t="s">
        <v>75</v>
      </c>
    </row>
    <row r="98" spans="1:21" x14ac:dyDescent="0.25">
      <c r="A98" s="91" t="s">
        <v>415</v>
      </c>
      <c r="B98" s="91">
        <v>7</v>
      </c>
      <c r="C98" s="91" t="s">
        <v>337</v>
      </c>
      <c r="D98" s="91" t="s">
        <v>106</v>
      </c>
      <c r="E98">
        <v>187</v>
      </c>
      <c r="F98">
        <v>188</v>
      </c>
      <c r="G98" s="94" t="s">
        <v>59</v>
      </c>
      <c r="H98" t="s">
        <v>416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1" t="s">
        <v>417</v>
      </c>
      <c r="P98" s="119" t="s">
        <v>342</v>
      </c>
      <c r="Q98" s="119" t="s">
        <v>75</v>
      </c>
    </row>
    <row r="99" spans="1:21" x14ac:dyDescent="0.25">
      <c r="A99" s="91" t="s">
        <v>418</v>
      </c>
      <c r="B99" s="91">
        <v>7</v>
      </c>
      <c r="C99" s="91" t="s">
        <v>337</v>
      </c>
      <c r="D99" s="91" t="s">
        <v>107</v>
      </c>
      <c r="E99">
        <v>189</v>
      </c>
      <c r="F99">
        <v>190</v>
      </c>
      <c r="G99" s="94" t="s">
        <v>59</v>
      </c>
      <c r="H99" t="s">
        <v>419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1" t="s">
        <v>420</v>
      </c>
      <c r="P99" s="119" t="s">
        <v>345</v>
      </c>
      <c r="Q99" s="119" t="s">
        <v>75</v>
      </c>
    </row>
    <row r="100" spans="1:21" x14ac:dyDescent="0.25">
      <c r="A100" s="91" t="s">
        <v>421</v>
      </c>
      <c r="B100" s="91">
        <v>7</v>
      </c>
      <c r="C100" s="91" t="s">
        <v>337</v>
      </c>
      <c r="D100" s="91" t="s">
        <v>108</v>
      </c>
      <c r="E100">
        <v>191</v>
      </c>
      <c r="F100">
        <v>192</v>
      </c>
      <c r="G100" s="94" t="s">
        <v>59</v>
      </c>
      <c r="H100" t="s">
        <v>422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1" t="s">
        <v>423</v>
      </c>
      <c r="P100" s="119" t="s">
        <v>348</v>
      </c>
      <c r="Q100" s="119" t="s">
        <v>75</v>
      </c>
    </row>
    <row r="101" spans="1:21" x14ac:dyDescent="0.25">
      <c r="A101" s="91" t="s">
        <v>424</v>
      </c>
      <c r="B101" s="91">
        <v>6</v>
      </c>
      <c r="C101" s="91" t="s">
        <v>335</v>
      </c>
      <c r="D101" s="91" t="s">
        <v>92</v>
      </c>
      <c r="E101">
        <v>194</v>
      </c>
      <c r="F101">
        <v>199</v>
      </c>
      <c r="G101" s="94" t="s">
        <v>93</v>
      </c>
      <c r="H101" t="s">
        <v>338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1" t="s">
        <v>425</v>
      </c>
      <c r="P101" s="119" t="s">
        <v>351</v>
      </c>
      <c r="Q101" s="119" t="s">
        <v>75</v>
      </c>
      <c r="R101" s="91" t="s">
        <v>470</v>
      </c>
      <c r="S101" s="91" t="s">
        <v>490</v>
      </c>
      <c r="T101" s="91" t="s">
        <v>500</v>
      </c>
      <c r="U101" s="91" t="s">
        <v>480</v>
      </c>
    </row>
    <row r="102" spans="1:21" x14ac:dyDescent="0.25">
      <c r="A102" s="91" t="s">
        <v>426</v>
      </c>
      <c r="B102" s="91">
        <v>7</v>
      </c>
      <c r="C102" s="91" t="s">
        <v>424</v>
      </c>
      <c r="D102" s="91" t="s">
        <v>59</v>
      </c>
      <c r="E102">
        <v>195</v>
      </c>
      <c r="F102">
        <v>196</v>
      </c>
      <c r="G102" s="94" t="s">
        <v>59</v>
      </c>
      <c r="H102" t="s">
        <v>427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1" t="s">
        <v>428</v>
      </c>
      <c r="P102" s="119" t="s">
        <v>354</v>
      </c>
      <c r="Q102" s="119" t="s">
        <v>75</v>
      </c>
    </row>
    <row r="103" spans="1:21" x14ac:dyDescent="0.25">
      <c r="A103" s="91" t="s">
        <v>429</v>
      </c>
      <c r="B103" s="91">
        <v>7</v>
      </c>
      <c r="C103" s="91" t="s">
        <v>424</v>
      </c>
      <c r="D103" s="91" t="s">
        <v>92</v>
      </c>
      <c r="E103">
        <v>197</v>
      </c>
      <c r="F103">
        <v>198</v>
      </c>
      <c r="G103" s="94" t="s">
        <v>59</v>
      </c>
      <c r="H103" t="s">
        <v>430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1" t="s">
        <v>431</v>
      </c>
      <c r="P103" s="119" t="s">
        <v>357</v>
      </c>
      <c r="Q103" s="119" t="s">
        <v>75</v>
      </c>
    </row>
    <row r="104" spans="1:21" x14ac:dyDescent="0.25">
      <c r="A104" s="91" t="s">
        <v>432</v>
      </c>
      <c r="B104" s="91">
        <v>3</v>
      </c>
      <c r="C104" s="91" t="s">
        <v>2</v>
      </c>
      <c r="D104" s="91" t="s">
        <v>146</v>
      </c>
      <c r="E104">
        <v>203</v>
      </c>
      <c r="F104">
        <v>214</v>
      </c>
      <c r="G104" s="94" t="s">
        <v>93</v>
      </c>
      <c r="H104" t="s">
        <v>433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1" t="s">
        <v>434</v>
      </c>
      <c r="P104" s="119" t="s">
        <v>360</v>
      </c>
      <c r="Q104" s="119" t="s">
        <v>75</v>
      </c>
      <c r="R104" s="91" t="s">
        <v>546</v>
      </c>
      <c r="S104" s="91" t="s">
        <v>564</v>
      </c>
      <c r="T104" s="91" t="s">
        <v>573</v>
      </c>
      <c r="U104" s="91" t="s">
        <v>555</v>
      </c>
    </row>
    <row r="105" spans="1:21" x14ac:dyDescent="0.25">
      <c r="A105" s="91" t="s">
        <v>435</v>
      </c>
      <c r="B105" s="91">
        <v>4</v>
      </c>
      <c r="C105" s="91" t="s">
        <v>432</v>
      </c>
      <c r="D105" s="91" t="s">
        <v>59</v>
      </c>
      <c r="E105">
        <v>204</v>
      </c>
      <c r="F105">
        <v>213</v>
      </c>
      <c r="G105" s="94" t="s">
        <v>93</v>
      </c>
      <c r="H105" t="s">
        <v>433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1" t="s">
        <v>436</v>
      </c>
      <c r="P105" s="119" t="s">
        <v>363</v>
      </c>
      <c r="Q105" s="119" t="s">
        <v>75</v>
      </c>
      <c r="R105" s="91" t="s">
        <v>510</v>
      </c>
      <c r="S105" s="91" t="s">
        <v>528</v>
      </c>
      <c r="T105" s="91" t="s">
        <v>537</v>
      </c>
      <c r="U105" s="91" t="s">
        <v>519</v>
      </c>
    </row>
    <row r="106" spans="1:21" x14ac:dyDescent="0.25">
      <c r="A106" s="91" t="s">
        <v>437</v>
      </c>
      <c r="B106" s="91">
        <v>5</v>
      </c>
      <c r="C106" s="91" t="s">
        <v>435</v>
      </c>
      <c r="D106" s="91" t="s">
        <v>59</v>
      </c>
      <c r="E106">
        <v>205</v>
      </c>
      <c r="F106">
        <v>212</v>
      </c>
      <c r="G106" s="94" t="s">
        <v>93</v>
      </c>
      <c r="H106" t="s">
        <v>433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1" t="s">
        <v>438</v>
      </c>
      <c r="P106" s="119" t="s">
        <v>366</v>
      </c>
      <c r="Q106" s="119" t="s">
        <v>75</v>
      </c>
      <c r="R106" s="91" t="s">
        <v>471</v>
      </c>
      <c r="S106" s="91" t="s">
        <v>491</v>
      </c>
      <c r="T106" s="91" t="s">
        <v>501</v>
      </c>
      <c r="U106" s="91" t="s">
        <v>481</v>
      </c>
    </row>
    <row r="107" spans="1:21" x14ac:dyDescent="0.25">
      <c r="A107" s="91" t="s">
        <v>439</v>
      </c>
      <c r="B107" s="91">
        <v>6</v>
      </c>
      <c r="C107" s="91" t="s">
        <v>437</v>
      </c>
      <c r="D107" s="91" t="s">
        <v>59</v>
      </c>
      <c r="E107">
        <v>206</v>
      </c>
      <c r="F107">
        <v>207</v>
      </c>
      <c r="G107" s="94" t="s">
        <v>59</v>
      </c>
      <c r="H107" t="s">
        <v>440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1" t="s">
        <v>441</v>
      </c>
      <c r="P107" s="119" t="s">
        <v>369</v>
      </c>
      <c r="Q107" s="119" t="s">
        <v>75</v>
      </c>
    </row>
    <row r="108" spans="1:21" x14ac:dyDescent="0.25">
      <c r="A108" s="91" t="s">
        <v>442</v>
      </c>
      <c r="B108" s="91">
        <v>6</v>
      </c>
      <c r="C108" s="91" t="s">
        <v>437</v>
      </c>
      <c r="D108" s="91" t="s">
        <v>92</v>
      </c>
      <c r="E108">
        <v>208</v>
      </c>
      <c r="F108">
        <v>209</v>
      </c>
      <c r="G108" s="94" t="s">
        <v>59</v>
      </c>
      <c r="H108" t="s">
        <v>443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1" t="s">
        <v>444</v>
      </c>
      <c r="P108" s="119" t="s">
        <v>372</v>
      </c>
      <c r="Q108" s="119" t="s">
        <v>75</v>
      </c>
    </row>
    <row r="109" spans="1:21" x14ac:dyDescent="0.25">
      <c r="A109" s="91" t="s">
        <v>445</v>
      </c>
      <c r="B109" s="91">
        <v>6</v>
      </c>
      <c r="C109" s="91" t="s">
        <v>437</v>
      </c>
      <c r="D109" s="91" t="s">
        <v>197</v>
      </c>
      <c r="E109">
        <v>210</v>
      </c>
      <c r="F109">
        <v>211</v>
      </c>
      <c r="G109" s="94" t="s">
        <v>59</v>
      </c>
      <c r="H109" t="s">
        <v>446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1" t="s">
        <v>447</v>
      </c>
      <c r="P109" s="119" t="s">
        <v>375</v>
      </c>
      <c r="Q109" s="119" t="s">
        <v>75</v>
      </c>
    </row>
    <row r="110" spans="1:21" x14ac:dyDescent="0.25">
      <c r="A110" s="91" t="s">
        <v>448</v>
      </c>
      <c r="B110" s="91">
        <v>2</v>
      </c>
      <c r="C110" s="91" t="s">
        <v>59</v>
      </c>
      <c r="D110" s="91" t="s">
        <v>92</v>
      </c>
      <c r="E110">
        <v>216</v>
      </c>
      <c r="F110">
        <v>225</v>
      </c>
      <c r="G110" s="94" t="s">
        <v>93</v>
      </c>
      <c r="H110" t="s">
        <v>449</v>
      </c>
      <c r="I110">
        <v>1</v>
      </c>
      <c r="J110">
        <f>SUM(K111)</f>
        <v>19559.404049410001</v>
      </c>
      <c r="K110">
        <f>I110*J110</f>
        <v>19559.404049410001</v>
      </c>
      <c r="L110">
        <f>100*(1-(M110/K110))</f>
        <v>27.83</v>
      </c>
      <c r="M110">
        <f>I110*SUM(M111)</f>
        <v>14116.021902459197</v>
      </c>
      <c r="N110">
        <v>110</v>
      </c>
      <c r="O110" s="91" t="s">
        <v>450</v>
      </c>
      <c r="P110" s="119" t="s">
        <v>467</v>
      </c>
      <c r="Q110" s="119" t="s">
        <v>449</v>
      </c>
      <c r="R110" s="91" t="s">
        <v>587</v>
      </c>
      <c r="S110" s="91" t="s">
        <v>602</v>
      </c>
      <c r="T110" s="91" t="s">
        <v>609</v>
      </c>
      <c r="U110" s="91" t="s">
        <v>595</v>
      </c>
    </row>
    <row r="111" spans="1:21" x14ac:dyDescent="0.25">
      <c r="A111" s="91" t="s">
        <v>451</v>
      </c>
      <c r="B111" s="91">
        <v>3</v>
      </c>
      <c r="C111" s="91" t="s">
        <v>448</v>
      </c>
      <c r="D111" s="91" t="s">
        <v>59</v>
      </c>
      <c r="E111">
        <v>217</v>
      </c>
      <c r="F111">
        <v>224</v>
      </c>
      <c r="G111" s="94" t="s">
        <v>93</v>
      </c>
      <c r="H111" t="s">
        <v>452</v>
      </c>
      <c r="I111">
        <v>1</v>
      </c>
      <c r="J111">
        <f>SUM(K112)</f>
        <v>19559.404049410001</v>
      </c>
      <c r="K111">
        <f>I111*J111</f>
        <v>19559.404049410001</v>
      </c>
      <c r="L111">
        <f>100*(1-(M111/K111))</f>
        <v>27.83</v>
      </c>
      <c r="M111">
        <f>I111*SUM(M112)</f>
        <v>14116.021902459197</v>
      </c>
      <c r="N111">
        <v>111</v>
      </c>
      <c r="O111" s="91" t="s">
        <v>453</v>
      </c>
      <c r="P111" s="119" t="s">
        <v>145</v>
      </c>
      <c r="Q111" s="119" t="s">
        <v>449</v>
      </c>
      <c r="R111" s="91" t="s">
        <v>552</v>
      </c>
      <c r="S111" s="91" t="s">
        <v>570</v>
      </c>
      <c r="T111" s="91" t="s">
        <v>579</v>
      </c>
      <c r="U111" s="91" t="s">
        <v>561</v>
      </c>
    </row>
    <row r="112" spans="1:21" x14ac:dyDescent="0.25">
      <c r="A112" s="91" t="s">
        <v>454</v>
      </c>
      <c r="B112" s="91">
        <v>4</v>
      </c>
      <c r="C112" s="91" t="s">
        <v>451</v>
      </c>
      <c r="D112" s="91" t="s">
        <v>59</v>
      </c>
      <c r="E112">
        <v>218</v>
      </c>
      <c r="F112">
        <v>223</v>
      </c>
      <c r="G112" s="94" t="s">
        <v>93</v>
      </c>
      <c r="H112" t="s">
        <v>455</v>
      </c>
      <c r="I112">
        <v>1</v>
      </c>
      <c r="J112">
        <f>SUM(K113)</f>
        <v>19559.404049410001</v>
      </c>
      <c r="K112">
        <f>I112*J112</f>
        <v>19559.404049410001</v>
      </c>
      <c r="L112">
        <f>100*(1-(M112/K112))</f>
        <v>27.83</v>
      </c>
      <c r="M112">
        <f>I112*SUM(M113)</f>
        <v>14116.021902459197</v>
      </c>
      <c r="N112">
        <v>112</v>
      </c>
      <c r="O112" s="91" t="s">
        <v>456</v>
      </c>
      <c r="P112" s="119" t="s">
        <v>146</v>
      </c>
      <c r="Q112" s="119" t="s">
        <v>449</v>
      </c>
      <c r="R112" s="91" t="s">
        <v>516</v>
      </c>
      <c r="S112" s="91" t="s">
        <v>534</v>
      </c>
      <c r="T112" s="91" t="s">
        <v>543</v>
      </c>
      <c r="U112" s="91" t="s">
        <v>525</v>
      </c>
    </row>
    <row r="113" spans="1:21" x14ac:dyDescent="0.25">
      <c r="A113" s="91" t="s">
        <v>457</v>
      </c>
      <c r="B113" s="91">
        <v>5</v>
      </c>
      <c r="C113" s="91" t="s">
        <v>454</v>
      </c>
      <c r="D113" s="91" t="s">
        <v>59</v>
      </c>
      <c r="E113">
        <v>219</v>
      </c>
      <c r="F113">
        <v>222</v>
      </c>
      <c r="G113" s="94" t="s">
        <v>93</v>
      </c>
      <c r="H113" t="s">
        <v>458</v>
      </c>
      <c r="I113">
        <v>1</v>
      </c>
      <c r="J113">
        <f>SUM(K114)</f>
        <v>19559.404049410001</v>
      </c>
      <c r="K113">
        <f>I113*J113</f>
        <v>19559.404049410001</v>
      </c>
      <c r="L113">
        <f>100*(1-(M113/K113))</f>
        <v>27.83</v>
      </c>
      <c r="M113">
        <f>I113*SUM(M114)</f>
        <v>14116.021902459197</v>
      </c>
      <c r="N113">
        <v>113</v>
      </c>
      <c r="O113" s="91" t="s">
        <v>459</v>
      </c>
      <c r="P113" s="119" t="s">
        <v>147</v>
      </c>
      <c r="Q113" s="119" t="s">
        <v>449</v>
      </c>
      <c r="R113" s="91" t="s">
        <v>477</v>
      </c>
      <c r="S113" s="91" t="s">
        <v>497</v>
      </c>
      <c r="T113" s="91" t="s">
        <v>507</v>
      </c>
      <c r="U113" s="91" t="s">
        <v>487</v>
      </c>
    </row>
    <row r="114" spans="1:21" x14ac:dyDescent="0.25">
      <c r="A114" s="91" t="s">
        <v>460</v>
      </c>
      <c r="B114" s="91">
        <v>6</v>
      </c>
      <c r="C114" s="91" t="s">
        <v>457</v>
      </c>
      <c r="D114" s="91" t="s">
        <v>59</v>
      </c>
      <c r="E114">
        <v>220</v>
      </c>
      <c r="F114">
        <v>221</v>
      </c>
      <c r="G114" s="94" t="s">
        <v>59</v>
      </c>
      <c r="H114" t="s">
        <v>461</v>
      </c>
      <c r="I114">
        <v>1</v>
      </c>
      <c r="J114">
        <v>19559.404049410001</v>
      </c>
      <c r="K114">
        <f>I114*J114</f>
        <v>19559.404049410001</v>
      </c>
      <c r="L114">
        <v>27.83</v>
      </c>
      <c r="M114">
        <f>(1-(L114/100))*K114</f>
        <v>14116.021902459197</v>
      </c>
      <c r="N114">
        <v>114</v>
      </c>
      <c r="O114" s="91" t="s">
        <v>462</v>
      </c>
      <c r="P114" s="119" t="s">
        <v>148</v>
      </c>
      <c r="Q114" s="119" t="s">
        <v>449</v>
      </c>
    </row>
    <row r="115" spans="1:21" x14ac:dyDescent="0.25">
      <c r="G115" s="94"/>
      <c r="P115" s="119"/>
      <c r="Q115" s="119"/>
    </row>
    <row r="116" spans="1:21" x14ac:dyDescent="0.25">
      <c r="G116" s="94"/>
      <c r="P116" s="119"/>
      <c r="Q116" s="119"/>
    </row>
    <row r="117" spans="1:21" x14ac:dyDescent="0.25">
      <c r="G117" s="94"/>
      <c r="P117" s="119"/>
      <c r="Q117" s="119"/>
    </row>
    <row r="118" spans="1:21" x14ac:dyDescent="0.25">
      <c r="G118" s="94"/>
      <c r="P118" s="119"/>
      <c r="Q118" s="119"/>
    </row>
    <row r="119" spans="1:21" x14ac:dyDescent="0.25">
      <c r="G119" s="94"/>
      <c r="P119" s="119"/>
      <c r="Q119" s="119"/>
    </row>
    <row r="120" spans="1:21" x14ac:dyDescent="0.25">
      <c r="G120" s="94"/>
      <c r="P120" s="119"/>
      <c r="Q120" s="119"/>
    </row>
    <row r="121" spans="1:21" x14ac:dyDescent="0.25">
      <c r="G121" s="94"/>
      <c r="P121" s="119"/>
      <c r="Q121" s="119"/>
    </row>
    <row r="122" spans="1:21" x14ac:dyDescent="0.25">
      <c r="G122" s="94"/>
      <c r="P122" s="119"/>
      <c r="Q122" s="119"/>
    </row>
    <row r="123" spans="1:21" x14ac:dyDescent="0.25">
      <c r="G123" s="94"/>
      <c r="P123" s="119"/>
      <c r="Q123" s="119"/>
    </row>
    <row r="124" spans="1:21" x14ac:dyDescent="0.25">
      <c r="G124" s="94"/>
      <c r="P124" s="119"/>
      <c r="Q124" s="119"/>
    </row>
    <row r="125" spans="1:21" x14ac:dyDescent="0.25">
      <c r="G125" s="94"/>
      <c r="P125" s="119"/>
      <c r="Q125" s="119"/>
    </row>
    <row r="126" spans="1:21" x14ac:dyDescent="0.25">
      <c r="G126" s="94"/>
      <c r="P126" s="119"/>
      <c r="Q126" s="119"/>
    </row>
    <row r="127" spans="1:21" x14ac:dyDescent="0.25">
      <c r="G127" s="94"/>
      <c r="P127" s="119"/>
      <c r="Q127" s="119"/>
    </row>
    <row r="128" spans="1:21" x14ac:dyDescent="0.25">
      <c r="G128" s="94"/>
      <c r="P128" s="119"/>
      <c r="Q128" s="119"/>
    </row>
    <row r="129" spans="7:17" x14ac:dyDescent="0.25">
      <c r="G129" s="94"/>
      <c r="P129" s="119"/>
      <c r="Q129" s="119"/>
    </row>
    <row r="130" spans="7:17" x14ac:dyDescent="0.25">
      <c r="G130" s="94"/>
      <c r="P130" s="119"/>
      <c r="Q130" s="119"/>
    </row>
    <row r="131" spans="7:17" x14ac:dyDescent="0.25">
      <c r="G131" s="94"/>
      <c r="P131" s="119"/>
      <c r="Q131" s="119"/>
    </row>
    <row r="132" spans="7:17" x14ac:dyDescent="0.25">
      <c r="G132" s="94"/>
      <c r="P132" s="119"/>
      <c r="Q132" s="119"/>
    </row>
    <row r="133" spans="7:17" x14ac:dyDescent="0.25">
      <c r="G133" s="94"/>
      <c r="P133" s="119"/>
      <c r="Q133" s="119"/>
    </row>
    <row r="134" spans="7:17" x14ac:dyDescent="0.25">
      <c r="G134" s="94"/>
      <c r="P134" s="119"/>
      <c r="Q134" s="119"/>
    </row>
    <row r="135" spans="7:17" x14ac:dyDescent="0.25">
      <c r="G135" s="94"/>
      <c r="P135" s="119"/>
      <c r="Q135" s="119"/>
    </row>
    <row r="136" spans="7:17" x14ac:dyDescent="0.25">
      <c r="G136" s="94"/>
      <c r="P136" s="119"/>
      <c r="Q136" s="119"/>
    </row>
    <row r="137" spans="7:17" x14ac:dyDescent="0.25">
      <c r="G137" s="94"/>
      <c r="P137" s="119"/>
      <c r="Q137" s="119"/>
    </row>
    <row r="138" spans="7:17" x14ac:dyDescent="0.25">
      <c r="G138" s="94"/>
      <c r="P138" s="119"/>
      <c r="Q138" s="119"/>
    </row>
    <row r="139" spans="7:17" x14ac:dyDescent="0.25">
      <c r="G139" s="94"/>
      <c r="P139" s="119"/>
      <c r="Q139" s="119"/>
    </row>
    <row r="140" spans="7:17" x14ac:dyDescent="0.25">
      <c r="G140" s="94"/>
      <c r="P140" s="119"/>
      <c r="Q140" s="119"/>
    </row>
    <row r="141" spans="7:17" x14ac:dyDescent="0.25">
      <c r="G141" s="94"/>
      <c r="P141" s="119"/>
      <c r="Q141" s="119"/>
    </row>
    <row r="142" spans="7:17" x14ac:dyDescent="0.25">
      <c r="G142" s="94"/>
      <c r="P142" s="119"/>
      <c r="Q142" s="119"/>
    </row>
    <row r="143" spans="7:17" x14ac:dyDescent="0.25">
      <c r="G143" s="94"/>
      <c r="P143" s="119"/>
      <c r="Q143" s="119"/>
    </row>
    <row r="144" spans="7:17" x14ac:dyDescent="0.25">
      <c r="G144" s="94"/>
      <c r="P144" s="119"/>
      <c r="Q144" s="119"/>
    </row>
    <row r="145" spans="7:17" x14ac:dyDescent="0.25">
      <c r="G145" s="94"/>
      <c r="P145" s="119"/>
      <c r="Q145" s="119"/>
    </row>
    <row r="146" spans="7:17" x14ac:dyDescent="0.25">
      <c r="G146" s="94"/>
      <c r="P146" s="119"/>
      <c r="Q146" s="119"/>
    </row>
    <row r="147" spans="7:17" x14ac:dyDescent="0.25">
      <c r="G147" s="94"/>
      <c r="P147" s="119"/>
      <c r="Q147" s="119"/>
    </row>
    <row r="148" spans="7:17" x14ac:dyDescent="0.25">
      <c r="G148" s="94"/>
      <c r="P148" s="119"/>
      <c r="Q148" s="119"/>
    </row>
    <row r="149" spans="7:17" x14ac:dyDescent="0.25">
      <c r="G149" s="94"/>
      <c r="P149" s="119"/>
      <c r="Q149" s="119"/>
    </row>
    <row r="150" spans="7:17" x14ac:dyDescent="0.25">
      <c r="G150" s="94"/>
      <c r="P150" s="119"/>
      <c r="Q150" s="119"/>
    </row>
    <row r="151" spans="7:17" x14ac:dyDescent="0.25">
      <c r="G151" s="94"/>
      <c r="P151" s="119"/>
      <c r="Q151" s="119"/>
    </row>
    <row r="152" spans="7:17" x14ac:dyDescent="0.25">
      <c r="G152" s="94"/>
      <c r="P152" s="119"/>
      <c r="Q152" s="119"/>
    </row>
    <row r="153" spans="7:17" x14ac:dyDescent="0.25">
      <c r="G153" s="94"/>
      <c r="P153" s="119"/>
      <c r="Q153" s="119"/>
    </row>
    <row r="154" spans="7:17" x14ac:dyDescent="0.25">
      <c r="G154" s="94"/>
      <c r="P154" s="119"/>
      <c r="Q154" s="119"/>
    </row>
    <row r="155" spans="7:17" x14ac:dyDescent="0.25">
      <c r="G155" s="94"/>
      <c r="P155" s="119"/>
      <c r="Q155" s="119"/>
    </row>
    <row r="156" spans="7:17" x14ac:dyDescent="0.25">
      <c r="G156" s="94"/>
      <c r="P156" s="119"/>
      <c r="Q156" s="119"/>
    </row>
    <row r="157" spans="7:17" x14ac:dyDescent="0.25">
      <c r="G157" s="94"/>
      <c r="P157" s="119"/>
      <c r="Q157" s="119"/>
    </row>
    <row r="158" spans="7:17" x14ac:dyDescent="0.25">
      <c r="G158" s="94"/>
      <c r="P158" s="119"/>
      <c r="Q158" s="119"/>
    </row>
    <row r="159" spans="7:17" x14ac:dyDescent="0.25">
      <c r="G159" s="94"/>
      <c r="P159" s="119"/>
      <c r="Q159" s="119"/>
    </row>
    <row r="160" spans="7:17" x14ac:dyDescent="0.25">
      <c r="G160" s="94"/>
      <c r="P160" s="119"/>
      <c r="Q160" s="119"/>
    </row>
    <row r="161" spans="7:17" x14ac:dyDescent="0.25">
      <c r="G161" s="94"/>
      <c r="P161" s="119"/>
      <c r="Q161" s="119"/>
    </row>
    <row r="162" spans="7:17" x14ac:dyDescent="0.25">
      <c r="G162" s="94"/>
      <c r="P162" s="119"/>
      <c r="Q162" s="119"/>
    </row>
    <row r="163" spans="7:17" x14ac:dyDescent="0.25">
      <c r="G163" s="94"/>
      <c r="P163" s="119"/>
      <c r="Q163" s="119"/>
    </row>
    <row r="164" spans="7:17" x14ac:dyDescent="0.25">
      <c r="G164" s="94"/>
      <c r="P164" s="119"/>
      <c r="Q164" s="119"/>
    </row>
    <row r="165" spans="7:17" x14ac:dyDescent="0.25">
      <c r="G165" s="94"/>
      <c r="P165" s="119"/>
      <c r="Q165" s="119"/>
    </row>
    <row r="166" spans="7:17" x14ac:dyDescent="0.25">
      <c r="G166" s="94"/>
      <c r="P166" s="119"/>
      <c r="Q166" s="119"/>
    </row>
    <row r="167" spans="7:17" x14ac:dyDescent="0.25">
      <c r="G167" s="94"/>
      <c r="P167" s="119"/>
      <c r="Q167" s="119"/>
    </row>
    <row r="168" spans="7:17" x14ac:dyDescent="0.25">
      <c r="G168" s="94"/>
      <c r="P168" s="119"/>
      <c r="Q168" s="119"/>
    </row>
    <row r="169" spans="7:17" x14ac:dyDescent="0.25">
      <c r="G169" s="94"/>
      <c r="P169" s="119"/>
      <c r="Q169" s="119"/>
    </row>
    <row r="170" spans="7:17" x14ac:dyDescent="0.25">
      <c r="G170" s="94"/>
      <c r="P170" s="119"/>
      <c r="Q170" s="119"/>
    </row>
    <row r="171" spans="7:17" x14ac:dyDescent="0.25">
      <c r="G171" s="94"/>
      <c r="P171" s="119"/>
      <c r="Q171" s="119"/>
    </row>
    <row r="172" spans="7:17" x14ac:dyDescent="0.25">
      <c r="G172" s="94"/>
      <c r="P172" s="119"/>
      <c r="Q172" s="119"/>
    </row>
    <row r="173" spans="7:17" x14ac:dyDescent="0.25">
      <c r="G173" s="94"/>
      <c r="P173" s="119"/>
      <c r="Q173" s="119"/>
    </row>
    <row r="174" spans="7:17" x14ac:dyDescent="0.25">
      <c r="G174" s="94"/>
      <c r="P174" s="119"/>
      <c r="Q174" s="119"/>
    </row>
    <row r="175" spans="7:17" x14ac:dyDescent="0.25">
      <c r="G175" s="94"/>
      <c r="P175" s="119"/>
      <c r="Q175" s="119"/>
    </row>
    <row r="176" spans="7:17" x14ac:dyDescent="0.25">
      <c r="G176" s="94"/>
      <c r="P176" s="119"/>
      <c r="Q176" s="119"/>
    </row>
    <row r="177" spans="7:17" x14ac:dyDescent="0.25">
      <c r="G177" s="94"/>
      <c r="P177" s="119"/>
      <c r="Q177" s="119"/>
    </row>
    <row r="178" spans="7:17" x14ac:dyDescent="0.25">
      <c r="G178" s="94"/>
      <c r="P178" s="119"/>
      <c r="Q178" s="119"/>
    </row>
    <row r="179" spans="7:17" x14ac:dyDescent="0.25">
      <c r="G179" s="94"/>
      <c r="P179" s="119"/>
      <c r="Q179" s="119"/>
    </row>
    <row r="180" spans="7:17" x14ac:dyDescent="0.25">
      <c r="G180" s="94"/>
      <c r="P180" s="119"/>
      <c r="Q180" s="119"/>
    </row>
    <row r="181" spans="7:17" x14ac:dyDescent="0.25">
      <c r="G181" s="94"/>
      <c r="P181" s="119"/>
      <c r="Q181" s="119"/>
    </row>
    <row r="182" spans="7:17" x14ac:dyDescent="0.25">
      <c r="G182" s="94"/>
      <c r="P182" s="119"/>
      <c r="Q182" s="119"/>
    </row>
    <row r="183" spans="7:17" x14ac:dyDescent="0.25">
      <c r="G183" s="94"/>
      <c r="P183" s="119"/>
      <c r="Q183" s="119"/>
    </row>
    <row r="184" spans="7:17" x14ac:dyDescent="0.25">
      <c r="G184" s="94"/>
      <c r="P184" s="119"/>
      <c r="Q184" s="119"/>
    </row>
    <row r="185" spans="7:17" x14ac:dyDescent="0.25">
      <c r="G185" s="94"/>
      <c r="P185" s="119"/>
      <c r="Q185" s="119"/>
    </row>
    <row r="186" spans="7:17" x14ac:dyDescent="0.25">
      <c r="G186" s="94"/>
      <c r="P186" s="119"/>
      <c r="Q186" s="119"/>
    </row>
    <row r="187" spans="7:17" x14ac:dyDescent="0.25">
      <c r="G187" s="94"/>
      <c r="P187" s="119"/>
      <c r="Q187" s="119"/>
    </row>
    <row r="188" spans="7:17" x14ac:dyDescent="0.25">
      <c r="G188" s="94"/>
      <c r="P188" s="119"/>
      <c r="Q188" s="119"/>
    </row>
    <row r="189" spans="7:17" x14ac:dyDescent="0.25">
      <c r="G189" s="94"/>
      <c r="P189" s="119"/>
      <c r="Q189" s="119"/>
    </row>
    <row r="190" spans="7:17" x14ac:dyDescent="0.25">
      <c r="G190" s="94"/>
      <c r="P190" s="119"/>
      <c r="Q190" s="119"/>
    </row>
    <row r="191" spans="7:17" x14ac:dyDescent="0.25">
      <c r="G191" s="94"/>
      <c r="P191" s="119"/>
      <c r="Q191" s="119"/>
    </row>
    <row r="192" spans="7:17" x14ac:dyDescent="0.25">
      <c r="G192" s="94"/>
      <c r="P192" s="119"/>
      <c r="Q192" s="119"/>
    </row>
    <row r="193" spans="7:17" x14ac:dyDescent="0.25">
      <c r="G193" s="94"/>
      <c r="P193" s="119"/>
      <c r="Q193" s="119"/>
    </row>
    <row r="194" spans="7:17" x14ac:dyDescent="0.25">
      <c r="G194" s="94"/>
      <c r="P194" s="119"/>
      <c r="Q194" s="119"/>
    </row>
    <row r="195" spans="7:17" x14ac:dyDescent="0.25">
      <c r="G195" s="94"/>
      <c r="P195" s="119"/>
      <c r="Q195" s="119"/>
    </row>
    <row r="196" spans="7:17" x14ac:dyDescent="0.25">
      <c r="G196" s="94"/>
      <c r="P196" s="119"/>
      <c r="Q196" s="119"/>
    </row>
    <row r="197" spans="7:17" x14ac:dyDescent="0.25">
      <c r="G197" s="94"/>
      <c r="P197" s="119"/>
      <c r="Q197" s="119"/>
    </row>
    <row r="198" spans="7:17" x14ac:dyDescent="0.25">
      <c r="G198" s="94"/>
      <c r="P198" s="119"/>
      <c r="Q198" s="119"/>
    </row>
    <row r="199" spans="7:17" x14ac:dyDescent="0.25">
      <c r="G199" s="94"/>
      <c r="P199" s="119"/>
      <c r="Q199" s="119"/>
    </row>
    <row r="200" spans="7:17" x14ac:dyDescent="0.25">
      <c r="G200" s="94"/>
      <c r="P200" s="119"/>
      <c r="Q200" s="119"/>
    </row>
    <row r="201" spans="7:17" x14ac:dyDescent="0.25">
      <c r="G201" s="94"/>
      <c r="P201" s="119"/>
      <c r="Q201" s="119"/>
    </row>
    <row r="202" spans="7:17" x14ac:dyDescent="0.25">
      <c r="G202" s="94"/>
      <c r="P202" s="119"/>
      <c r="Q202" s="119"/>
    </row>
    <row r="203" spans="7:17" x14ac:dyDescent="0.25">
      <c r="G203" s="94"/>
      <c r="P203" s="119"/>
      <c r="Q203" s="119"/>
    </row>
    <row r="204" spans="7:17" x14ac:dyDescent="0.25">
      <c r="G204" s="94"/>
      <c r="P204" s="119"/>
      <c r="Q204" s="119"/>
    </row>
    <row r="205" spans="7:17" x14ac:dyDescent="0.25">
      <c r="G205" s="94"/>
      <c r="P205" s="119"/>
      <c r="Q205" s="119"/>
    </row>
    <row r="206" spans="7:17" x14ac:dyDescent="0.25">
      <c r="G206" s="94"/>
      <c r="P206" s="119"/>
      <c r="Q206" s="119"/>
    </row>
    <row r="207" spans="7:17" x14ac:dyDescent="0.25">
      <c r="G207" s="94"/>
      <c r="P207" s="119"/>
      <c r="Q207" s="119"/>
    </row>
    <row r="208" spans="7:17" x14ac:dyDescent="0.25">
      <c r="G208" s="94"/>
      <c r="P208" s="119"/>
      <c r="Q208" s="119"/>
    </row>
    <row r="209" spans="7:17" x14ac:dyDescent="0.25">
      <c r="G209" s="94"/>
      <c r="P209" s="119"/>
      <c r="Q209" s="119"/>
    </row>
    <row r="210" spans="7:17" x14ac:dyDescent="0.25">
      <c r="G210" s="94"/>
      <c r="P210" s="119"/>
      <c r="Q210" s="119"/>
    </row>
    <row r="211" spans="7:17" x14ac:dyDescent="0.25">
      <c r="G211" s="94"/>
      <c r="P211" s="119"/>
      <c r="Q211" s="119"/>
    </row>
    <row r="212" spans="7:17" x14ac:dyDescent="0.25">
      <c r="G212" s="94"/>
      <c r="P212" s="119"/>
      <c r="Q212" s="119"/>
    </row>
    <row r="213" spans="7:17" x14ac:dyDescent="0.25">
      <c r="G213" s="94"/>
      <c r="P213" s="119"/>
      <c r="Q213" s="119"/>
    </row>
    <row r="214" spans="7:17" x14ac:dyDescent="0.25">
      <c r="G214" s="94"/>
      <c r="P214" s="119"/>
      <c r="Q214" s="119"/>
    </row>
    <row r="215" spans="7:17" x14ac:dyDescent="0.25">
      <c r="G215" s="94"/>
      <c r="P215" s="119"/>
      <c r="Q215" s="119"/>
    </row>
    <row r="216" spans="7:17" x14ac:dyDescent="0.25">
      <c r="G216" s="94"/>
      <c r="P216" s="119"/>
      <c r="Q216" s="119"/>
    </row>
    <row r="217" spans="7:17" x14ac:dyDescent="0.25">
      <c r="G217" s="94"/>
      <c r="P217" s="119"/>
      <c r="Q217" s="119"/>
    </row>
    <row r="218" spans="7:17" x14ac:dyDescent="0.25">
      <c r="G218" s="94"/>
      <c r="P218" s="119"/>
      <c r="Q218" s="119"/>
    </row>
    <row r="219" spans="7:17" x14ac:dyDescent="0.25">
      <c r="G219" s="94"/>
      <c r="P219" s="119"/>
      <c r="Q219" s="119"/>
    </row>
    <row r="220" spans="7:17" x14ac:dyDescent="0.25">
      <c r="G220" s="94"/>
      <c r="P220" s="119"/>
      <c r="Q220" s="119"/>
    </row>
    <row r="221" spans="7:17" x14ac:dyDescent="0.25">
      <c r="G221" s="94"/>
      <c r="P221" s="119"/>
      <c r="Q221" s="119"/>
    </row>
    <row r="222" spans="7:17" x14ac:dyDescent="0.25">
      <c r="G222" s="94"/>
      <c r="P222" s="119"/>
      <c r="Q222" s="119"/>
    </row>
    <row r="223" spans="7:17" x14ac:dyDescent="0.25">
      <c r="G223" s="94"/>
      <c r="P223" s="119"/>
      <c r="Q223" s="119"/>
    </row>
    <row r="224" spans="7:17" x14ac:dyDescent="0.25">
      <c r="G224" s="94"/>
      <c r="P224" s="119"/>
      <c r="Q224" s="119"/>
    </row>
    <row r="225" spans="7:17" x14ac:dyDescent="0.25">
      <c r="G225" s="94"/>
      <c r="P225" s="119"/>
      <c r="Q225" s="119"/>
    </row>
    <row r="226" spans="7:17" x14ac:dyDescent="0.25">
      <c r="G226" s="94"/>
      <c r="P226" s="119"/>
      <c r="Q226" s="119"/>
    </row>
    <row r="227" spans="7:17" x14ac:dyDescent="0.25">
      <c r="G227" s="94"/>
      <c r="P227" s="119"/>
      <c r="Q227" s="119"/>
    </row>
    <row r="228" spans="7:17" x14ac:dyDescent="0.25">
      <c r="G228" s="94"/>
      <c r="P228" s="119"/>
      <c r="Q228" s="119"/>
    </row>
    <row r="229" spans="7:17" x14ac:dyDescent="0.25">
      <c r="G229" s="94"/>
      <c r="P229" s="119"/>
      <c r="Q229" s="119"/>
    </row>
    <row r="230" spans="7:17" x14ac:dyDescent="0.25">
      <c r="G230" s="94"/>
      <c r="P230" s="119"/>
      <c r="Q230" s="119"/>
    </row>
    <row r="231" spans="7:17" x14ac:dyDescent="0.25">
      <c r="G231" s="94"/>
      <c r="P231" s="119"/>
      <c r="Q231" s="119"/>
    </row>
    <row r="232" spans="7:17" x14ac:dyDescent="0.25">
      <c r="G232" s="94"/>
      <c r="P232" s="119"/>
      <c r="Q232" s="119"/>
    </row>
    <row r="233" spans="7:17" x14ac:dyDescent="0.25">
      <c r="G233" s="94"/>
      <c r="P233" s="119"/>
      <c r="Q233" s="119"/>
    </row>
    <row r="234" spans="7:17" x14ac:dyDescent="0.25">
      <c r="G234" s="94"/>
      <c r="P234" s="119"/>
      <c r="Q234" s="119"/>
    </row>
    <row r="235" spans="7:17" x14ac:dyDescent="0.25">
      <c r="G235" s="94"/>
      <c r="P235" s="119"/>
      <c r="Q235" s="119"/>
    </row>
    <row r="236" spans="7:17" x14ac:dyDescent="0.25">
      <c r="G236" s="94"/>
      <c r="P236" s="119"/>
      <c r="Q236" s="119"/>
    </row>
    <row r="237" spans="7:17" x14ac:dyDescent="0.25">
      <c r="G237" s="94"/>
      <c r="P237" s="119"/>
      <c r="Q237" s="119"/>
    </row>
    <row r="238" spans="7:17" x14ac:dyDescent="0.25">
      <c r="G238" s="94"/>
      <c r="P238" s="119"/>
      <c r="Q238" s="119"/>
    </row>
    <row r="239" spans="7:17" x14ac:dyDescent="0.25">
      <c r="G239" s="94"/>
      <c r="P239" s="119"/>
      <c r="Q239" s="119"/>
    </row>
    <row r="240" spans="7:17" x14ac:dyDescent="0.25">
      <c r="G240" s="94"/>
      <c r="P240" s="119"/>
      <c r="Q240" s="119"/>
    </row>
    <row r="241" spans="7:17" x14ac:dyDescent="0.25">
      <c r="G241" s="94"/>
      <c r="P241" s="119"/>
      <c r="Q241" s="119"/>
    </row>
    <row r="242" spans="7:17" x14ac:dyDescent="0.25">
      <c r="G242" s="94"/>
      <c r="P242" s="119"/>
      <c r="Q242" s="119"/>
    </row>
    <row r="243" spans="7:17" x14ac:dyDescent="0.25">
      <c r="G243" s="94"/>
      <c r="P243" s="119"/>
      <c r="Q243" s="119"/>
    </row>
    <row r="244" spans="7:17" x14ac:dyDescent="0.25">
      <c r="G244" s="94"/>
      <c r="P244" s="119"/>
      <c r="Q244" s="119"/>
    </row>
    <row r="245" spans="7:17" x14ac:dyDescent="0.25">
      <c r="G245" s="94"/>
      <c r="P245" s="119"/>
      <c r="Q245" s="119"/>
    </row>
    <row r="246" spans="7:17" x14ac:dyDescent="0.25">
      <c r="G246" s="94"/>
      <c r="P246" s="119"/>
      <c r="Q246" s="119"/>
    </row>
    <row r="247" spans="7:17" x14ac:dyDescent="0.25">
      <c r="G247" s="94"/>
      <c r="P247" s="119"/>
      <c r="Q247" s="119"/>
    </row>
    <row r="248" spans="7:17" x14ac:dyDescent="0.25">
      <c r="G248" s="94"/>
      <c r="P248" s="119"/>
      <c r="Q248" s="119"/>
    </row>
    <row r="249" spans="7:17" x14ac:dyDescent="0.25">
      <c r="G249" s="94"/>
      <c r="P249" s="119"/>
      <c r="Q249" s="119"/>
    </row>
    <row r="250" spans="7:17" x14ac:dyDescent="0.25">
      <c r="G250" s="94"/>
      <c r="P250" s="119"/>
      <c r="Q250" s="119"/>
    </row>
    <row r="251" spans="7:17" x14ac:dyDescent="0.25">
      <c r="G251" s="94"/>
      <c r="P251" s="119"/>
      <c r="Q251" s="119"/>
    </row>
    <row r="252" spans="7:17" x14ac:dyDescent="0.25">
      <c r="G252" s="94"/>
      <c r="P252" s="119"/>
      <c r="Q252" s="119"/>
    </row>
    <row r="253" spans="7:17" x14ac:dyDescent="0.25">
      <c r="G253" s="94"/>
      <c r="P253" s="119"/>
      <c r="Q253" s="119"/>
    </row>
    <row r="254" spans="7:17" x14ac:dyDescent="0.25">
      <c r="G254" s="94"/>
      <c r="P254" s="119"/>
      <c r="Q254" s="119"/>
    </row>
    <row r="255" spans="7:17" x14ac:dyDescent="0.25">
      <c r="G255" s="94"/>
      <c r="P255" s="119"/>
      <c r="Q255" s="119"/>
    </row>
    <row r="256" spans="7:17" x14ac:dyDescent="0.25">
      <c r="G256" s="94"/>
      <c r="P256" s="119"/>
      <c r="Q256" s="119"/>
    </row>
    <row r="257" spans="7:17" x14ac:dyDescent="0.25">
      <c r="G257" s="94"/>
      <c r="P257" s="119"/>
      <c r="Q257" s="119"/>
    </row>
    <row r="258" spans="7:17" x14ac:dyDescent="0.25">
      <c r="G258" s="94"/>
      <c r="P258" s="119"/>
      <c r="Q258" s="119"/>
    </row>
    <row r="259" spans="7:17" x14ac:dyDescent="0.25">
      <c r="G259" s="94"/>
      <c r="P259" s="119"/>
      <c r="Q259" s="119"/>
    </row>
    <row r="260" spans="7:17" x14ac:dyDescent="0.25">
      <c r="G260" s="94"/>
    </row>
    <row r="261" spans="7:17" x14ac:dyDescent="0.25">
      <c r="G261" s="94"/>
    </row>
    <row r="262" spans="7:17" x14ac:dyDescent="0.25">
      <c r="G262" s="94"/>
    </row>
    <row r="263" spans="7:17" x14ac:dyDescent="0.25">
      <c r="G263" s="94"/>
    </row>
    <row r="264" spans="7:17" x14ac:dyDescent="0.25">
      <c r="G264" s="94"/>
    </row>
    <row r="265" spans="7:17" x14ac:dyDescent="0.25">
      <c r="G265" s="94"/>
    </row>
    <row r="266" spans="7:17" x14ac:dyDescent="0.25">
      <c r="G266" s="94"/>
    </row>
    <row r="267" spans="7:17" x14ac:dyDescent="0.25">
      <c r="G267" s="94"/>
    </row>
    <row r="268" spans="7:17" x14ac:dyDescent="0.25">
      <c r="G268" s="94"/>
    </row>
    <row r="269" spans="7:17" x14ac:dyDescent="0.25">
      <c r="G269" s="94"/>
    </row>
    <row r="270" spans="7:17" x14ac:dyDescent="0.25">
      <c r="G270" s="94"/>
    </row>
    <row r="271" spans="7:17" x14ac:dyDescent="0.25">
      <c r="G271" s="94"/>
    </row>
    <row r="272" spans="7:17" x14ac:dyDescent="0.25">
      <c r="G272" s="94"/>
    </row>
    <row r="273" spans="7:7" x14ac:dyDescent="0.25">
      <c r="G273" s="94"/>
    </row>
    <row r="274" spans="7:7" x14ac:dyDescent="0.25">
      <c r="G274" s="94"/>
    </row>
    <row r="275" spans="7:7" x14ac:dyDescent="0.25">
      <c r="G275" s="94"/>
    </row>
    <row r="276" spans="7:7" x14ac:dyDescent="0.25">
      <c r="G276" s="94"/>
    </row>
    <row r="277" spans="7:7" x14ac:dyDescent="0.25">
      <c r="G277" s="94"/>
    </row>
    <row r="278" spans="7:7" x14ac:dyDescent="0.25">
      <c r="G278" s="94"/>
    </row>
    <row r="279" spans="7:7" x14ac:dyDescent="0.25">
      <c r="G279" s="94"/>
    </row>
    <row r="280" spans="7:7" x14ac:dyDescent="0.25">
      <c r="G280" s="94"/>
    </row>
    <row r="281" spans="7:7" x14ac:dyDescent="0.25">
      <c r="G281" s="94"/>
    </row>
    <row r="282" spans="7:7" x14ac:dyDescent="0.25">
      <c r="G282" s="94"/>
    </row>
    <row r="283" spans="7:7" x14ac:dyDescent="0.25">
      <c r="G283" s="94"/>
    </row>
    <row r="284" spans="7:7" x14ac:dyDescent="0.25">
      <c r="G284" s="94"/>
    </row>
    <row r="285" spans="7:7" x14ac:dyDescent="0.25">
      <c r="G285" s="94"/>
    </row>
    <row r="286" spans="7:7" x14ac:dyDescent="0.25">
      <c r="G286" s="94"/>
    </row>
    <row r="287" spans="7:7" x14ac:dyDescent="0.25">
      <c r="G287" s="94"/>
    </row>
    <row r="288" spans="7:7" x14ac:dyDescent="0.25">
      <c r="G288" s="94"/>
    </row>
    <row r="289" spans="7:7" x14ac:dyDescent="0.25">
      <c r="G289" s="94"/>
    </row>
    <row r="290" spans="7:7" x14ac:dyDescent="0.25">
      <c r="G290" s="94"/>
    </row>
    <row r="291" spans="7:7" x14ac:dyDescent="0.25">
      <c r="G291" s="94"/>
    </row>
    <row r="292" spans="7:7" x14ac:dyDescent="0.25">
      <c r="G292" s="94"/>
    </row>
    <row r="293" spans="7:7" x14ac:dyDescent="0.25">
      <c r="G293" s="94"/>
    </row>
    <row r="294" spans="7:7" x14ac:dyDescent="0.25">
      <c r="G294" s="94"/>
    </row>
    <row r="295" spans="7:7" x14ac:dyDescent="0.25">
      <c r="G295" s="94"/>
    </row>
    <row r="296" spans="7:7" x14ac:dyDescent="0.25">
      <c r="G296" s="94"/>
    </row>
    <row r="297" spans="7:7" x14ac:dyDescent="0.25">
      <c r="G297" s="94"/>
    </row>
    <row r="298" spans="7:7" x14ac:dyDescent="0.25">
      <c r="G298" s="94"/>
    </row>
    <row r="299" spans="7:7" x14ac:dyDescent="0.25">
      <c r="G299" s="94"/>
    </row>
    <row r="300" spans="7:7" x14ac:dyDescent="0.25">
      <c r="G300" s="94"/>
    </row>
    <row r="301" spans="7:7" x14ac:dyDescent="0.25">
      <c r="G301" s="94"/>
    </row>
    <row r="302" spans="7:7" x14ac:dyDescent="0.25">
      <c r="G302" s="94"/>
    </row>
    <row r="303" spans="7:7" x14ac:dyDescent="0.25">
      <c r="G303" s="94"/>
    </row>
    <row r="304" spans="7:7" x14ac:dyDescent="0.25">
      <c r="G304" s="94"/>
    </row>
    <row r="305" spans="7:7" x14ac:dyDescent="0.25">
      <c r="G305" s="94"/>
    </row>
    <row r="306" spans="7:7" x14ac:dyDescent="0.25">
      <c r="G306" s="94"/>
    </row>
    <row r="307" spans="7:7" x14ac:dyDescent="0.25">
      <c r="G307" s="94"/>
    </row>
    <row r="308" spans="7:7" x14ac:dyDescent="0.25">
      <c r="G308" s="94"/>
    </row>
    <row r="309" spans="7:7" x14ac:dyDescent="0.25">
      <c r="G309" s="94"/>
    </row>
    <row r="310" spans="7:7" x14ac:dyDescent="0.25">
      <c r="G310" s="94"/>
    </row>
    <row r="311" spans="7:7" x14ac:dyDescent="0.25">
      <c r="G311" s="94"/>
    </row>
    <row r="312" spans="7:7" x14ac:dyDescent="0.25">
      <c r="G312" s="94"/>
    </row>
    <row r="313" spans="7:7" x14ac:dyDescent="0.25">
      <c r="G313" s="94"/>
    </row>
    <row r="314" spans="7:7" x14ac:dyDescent="0.25">
      <c r="G314" s="94"/>
    </row>
    <row r="315" spans="7:7" x14ac:dyDescent="0.25">
      <c r="G315" s="94"/>
    </row>
    <row r="316" spans="7:7" x14ac:dyDescent="0.25">
      <c r="G316" s="94"/>
    </row>
    <row r="317" spans="7:7" x14ac:dyDescent="0.25">
      <c r="G317" s="94"/>
    </row>
    <row r="318" spans="7:7" x14ac:dyDescent="0.25">
      <c r="G318" s="94"/>
    </row>
    <row r="319" spans="7:7" x14ac:dyDescent="0.25">
      <c r="G319" s="94"/>
    </row>
    <row r="320" spans="7:7" x14ac:dyDescent="0.25">
      <c r="G320" s="94"/>
    </row>
    <row r="321" spans="7:7" x14ac:dyDescent="0.25">
      <c r="G321" s="94"/>
    </row>
    <row r="322" spans="7:7" x14ac:dyDescent="0.25">
      <c r="G322" s="94"/>
    </row>
    <row r="323" spans="7:7" x14ac:dyDescent="0.25">
      <c r="G323" s="94"/>
    </row>
    <row r="324" spans="7:7" x14ac:dyDescent="0.25">
      <c r="G324" s="94"/>
    </row>
    <row r="325" spans="7:7" x14ac:dyDescent="0.25">
      <c r="G325" s="94"/>
    </row>
    <row r="326" spans="7:7" x14ac:dyDescent="0.25">
      <c r="G326" s="94"/>
    </row>
    <row r="327" spans="7:7" x14ac:dyDescent="0.25">
      <c r="G327" s="94"/>
    </row>
    <row r="328" spans="7:7" x14ac:dyDescent="0.25">
      <c r="G328" s="94"/>
    </row>
    <row r="329" spans="7:7" x14ac:dyDescent="0.25">
      <c r="G329" s="94"/>
    </row>
    <row r="330" spans="7:7" x14ac:dyDescent="0.25">
      <c r="G330" s="94"/>
    </row>
    <row r="331" spans="7:7" x14ac:dyDescent="0.25">
      <c r="G331" s="94"/>
    </row>
    <row r="332" spans="7:7" x14ac:dyDescent="0.25">
      <c r="G332" s="94"/>
    </row>
    <row r="333" spans="7:7" x14ac:dyDescent="0.25">
      <c r="G333" s="94"/>
    </row>
    <row r="334" spans="7:7" x14ac:dyDescent="0.25">
      <c r="G334" s="94"/>
    </row>
    <row r="335" spans="7:7" x14ac:dyDescent="0.25">
      <c r="G335" s="94"/>
    </row>
    <row r="336" spans="7:7" x14ac:dyDescent="0.25">
      <c r="G336" s="94"/>
    </row>
    <row r="337" spans="7:7" x14ac:dyDescent="0.25">
      <c r="G337" s="94"/>
    </row>
    <row r="338" spans="7:7" x14ac:dyDescent="0.25">
      <c r="G338" s="94"/>
    </row>
    <row r="339" spans="7:7" x14ac:dyDescent="0.25">
      <c r="G339" s="94"/>
    </row>
    <row r="340" spans="7:7" x14ac:dyDescent="0.25">
      <c r="G340" s="94"/>
    </row>
    <row r="341" spans="7:7" x14ac:dyDescent="0.25">
      <c r="G341" s="94"/>
    </row>
    <row r="342" spans="7:7" x14ac:dyDescent="0.25">
      <c r="G342" s="94"/>
    </row>
    <row r="343" spans="7:7" x14ac:dyDescent="0.25">
      <c r="G343" s="94"/>
    </row>
    <row r="344" spans="7:7" x14ac:dyDescent="0.25">
      <c r="G344" s="94"/>
    </row>
    <row r="345" spans="7:7" x14ac:dyDescent="0.25">
      <c r="G345" s="94"/>
    </row>
    <row r="346" spans="7:7" x14ac:dyDescent="0.25">
      <c r="G346" s="94"/>
    </row>
    <row r="347" spans="7:7" x14ac:dyDescent="0.25">
      <c r="G347" s="94"/>
    </row>
    <row r="348" spans="7:7" x14ac:dyDescent="0.25">
      <c r="G348" s="94"/>
    </row>
    <row r="349" spans="7:7" x14ac:dyDescent="0.25">
      <c r="G349" s="94"/>
    </row>
    <row r="350" spans="7:7" x14ac:dyDescent="0.25">
      <c r="G350" s="94"/>
    </row>
    <row r="351" spans="7:7" x14ac:dyDescent="0.25">
      <c r="G351" s="94"/>
    </row>
    <row r="352" spans="7:7" x14ac:dyDescent="0.25">
      <c r="G352" s="94"/>
    </row>
    <row r="353" spans="7:7" x14ac:dyDescent="0.25">
      <c r="G353" s="94"/>
    </row>
    <row r="354" spans="7:7" x14ac:dyDescent="0.25">
      <c r="G354" s="94"/>
    </row>
    <row r="355" spans="7:7" x14ac:dyDescent="0.25">
      <c r="G355" s="94"/>
    </row>
    <row r="356" spans="7:7" x14ac:dyDescent="0.25">
      <c r="G356" s="94"/>
    </row>
    <row r="357" spans="7:7" x14ac:dyDescent="0.25">
      <c r="G357" s="94"/>
    </row>
    <row r="358" spans="7:7" x14ac:dyDescent="0.25">
      <c r="G358" s="94"/>
    </row>
    <row r="359" spans="7:7" x14ac:dyDescent="0.25">
      <c r="G359" s="94"/>
    </row>
    <row r="360" spans="7:7" x14ac:dyDescent="0.25">
      <c r="G360" s="94"/>
    </row>
    <row r="361" spans="7:7" x14ac:dyDescent="0.25">
      <c r="G361" s="94"/>
    </row>
    <row r="362" spans="7:7" x14ac:dyDescent="0.25">
      <c r="G362" s="94"/>
    </row>
    <row r="363" spans="7:7" x14ac:dyDescent="0.25">
      <c r="G363" s="94"/>
    </row>
    <row r="364" spans="7:7" x14ac:dyDescent="0.25">
      <c r="G364" s="94"/>
    </row>
    <row r="365" spans="7:7" x14ac:dyDescent="0.25">
      <c r="G365" s="94"/>
    </row>
    <row r="366" spans="7:7" x14ac:dyDescent="0.25">
      <c r="G366" s="94"/>
    </row>
    <row r="367" spans="7:7" x14ac:dyDescent="0.25">
      <c r="G367" s="94"/>
    </row>
    <row r="368" spans="7:7" x14ac:dyDescent="0.25">
      <c r="G368" s="94"/>
    </row>
    <row r="369" spans="7:7" x14ac:dyDescent="0.25">
      <c r="G369" s="94"/>
    </row>
    <row r="370" spans="7:7" x14ac:dyDescent="0.25">
      <c r="G370" s="94"/>
    </row>
    <row r="371" spans="7:7" x14ac:dyDescent="0.25">
      <c r="G371" s="94"/>
    </row>
    <row r="372" spans="7:7" x14ac:dyDescent="0.25">
      <c r="G372" s="94"/>
    </row>
    <row r="373" spans="7:7" x14ac:dyDescent="0.25">
      <c r="G373" s="94"/>
    </row>
    <row r="374" spans="7:7" x14ac:dyDescent="0.25">
      <c r="G374" s="94"/>
    </row>
    <row r="375" spans="7:7" x14ac:dyDescent="0.25">
      <c r="G375" s="94"/>
    </row>
    <row r="376" spans="7:7" x14ac:dyDescent="0.25">
      <c r="G376" s="94"/>
    </row>
    <row r="377" spans="7:7" x14ac:dyDescent="0.25">
      <c r="G377" s="94"/>
    </row>
    <row r="378" spans="7:7" x14ac:dyDescent="0.25">
      <c r="G378" s="94"/>
    </row>
    <row r="379" spans="7:7" x14ac:dyDescent="0.25">
      <c r="G379" s="94"/>
    </row>
    <row r="380" spans="7:7" x14ac:dyDescent="0.25">
      <c r="G380" s="94"/>
    </row>
    <row r="381" spans="7:7" x14ac:dyDescent="0.25">
      <c r="G381" s="94"/>
    </row>
    <row r="382" spans="7:7" x14ac:dyDescent="0.25">
      <c r="G382" s="94"/>
    </row>
    <row r="383" spans="7:7" x14ac:dyDescent="0.25">
      <c r="G383" s="94"/>
    </row>
    <row r="384" spans="7:7" x14ac:dyDescent="0.25">
      <c r="G384" s="94"/>
    </row>
    <row r="385" spans="7:7" x14ac:dyDescent="0.25">
      <c r="G385" s="94"/>
    </row>
    <row r="386" spans="7:7" x14ac:dyDescent="0.25">
      <c r="G386" s="94"/>
    </row>
    <row r="387" spans="7:7" x14ac:dyDescent="0.25">
      <c r="G387" s="94"/>
    </row>
    <row r="388" spans="7:7" x14ac:dyDescent="0.25">
      <c r="G388" s="94"/>
    </row>
    <row r="389" spans="7:7" x14ac:dyDescent="0.25">
      <c r="G389" s="94"/>
    </row>
    <row r="390" spans="7:7" x14ac:dyDescent="0.25">
      <c r="G390" s="94"/>
    </row>
    <row r="391" spans="7:7" x14ac:dyDescent="0.25">
      <c r="G391" s="94"/>
    </row>
    <row r="392" spans="7:7" x14ac:dyDescent="0.25">
      <c r="G392" s="94"/>
    </row>
    <row r="393" spans="7:7" x14ac:dyDescent="0.25">
      <c r="G393" s="94"/>
    </row>
    <row r="394" spans="7:7" x14ac:dyDescent="0.25">
      <c r="G394" s="94"/>
    </row>
    <row r="395" spans="7:7" x14ac:dyDescent="0.25">
      <c r="G395" s="94"/>
    </row>
    <row r="396" spans="7:7" x14ac:dyDescent="0.25">
      <c r="G396" s="94"/>
    </row>
    <row r="397" spans="7:7" x14ac:dyDescent="0.25">
      <c r="G397" s="94"/>
    </row>
    <row r="398" spans="7:7" x14ac:dyDescent="0.25">
      <c r="G398" s="94"/>
    </row>
    <row r="399" spans="7:7" x14ac:dyDescent="0.25">
      <c r="G399" s="94"/>
    </row>
    <row r="400" spans="7:7" x14ac:dyDescent="0.25">
      <c r="G400" s="94"/>
    </row>
    <row r="401" spans="7:7" x14ac:dyDescent="0.25">
      <c r="G401" s="94"/>
    </row>
    <row r="402" spans="7:7" x14ac:dyDescent="0.25">
      <c r="G402" s="94"/>
    </row>
    <row r="403" spans="7:7" x14ac:dyDescent="0.25">
      <c r="G403" s="94"/>
    </row>
    <row r="404" spans="7:7" x14ac:dyDescent="0.25">
      <c r="G404" s="94"/>
    </row>
    <row r="405" spans="7:7" x14ac:dyDescent="0.25">
      <c r="G405" s="94"/>
    </row>
    <row r="406" spans="7:7" x14ac:dyDescent="0.25">
      <c r="G406" s="94"/>
    </row>
    <row r="407" spans="7:7" x14ac:dyDescent="0.25">
      <c r="G407" s="94"/>
    </row>
    <row r="408" spans="7:7" x14ac:dyDescent="0.25">
      <c r="G408" s="94"/>
    </row>
    <row r="409" spans="7:7" x14ac:dyDescent="0.25">
      <c r="G409" s="94"/>
    </row>
    <row r="410" spans="7:7" x14ac:dyDescent="0.25">
      <c r="G410" s="94"/>
    </row>
    <row r="411" spans="7:7" x14ac:dyDescent="0.25">
      <c r="G411" s="94"/>
    </row>
    <row r="412" spans="7:7" x14ac:dyDescent="0.25">
      <c r="G412" s="94"/>
    </row>
    <row r="413" spans="7:7" x14ac:dyDescent="0.25">
      <c r="G413" s="94"/>
    </row>
    <row r="414" spans="7:7" x14ac:dyDescent="0.25">
      <c r="G414" s="94"/>
    </row>
    <row r="415" spans="7:7" x14ac:dyDescent="0.25">
      <c r="G415" s="94"/>
    </row>
    <row r="416" spans="7:7" x14ac:dyDescent="0.25">
      <c r="G416" s="94"/>
    </row>
    <row r="417" spans="7:7" x14ac:dyDescent="0.25">
      <c r="G417" s="94"/>
    </row>
    <row r="418" spans="7:7" x14ac:dyDescent="0.25">
      <c r="G418" s="94"/>
    </row>
    <row r="419" spans="7:7" x14ac:dyDescent="0.25">
      <c r="G419" s="94"/>
    </row>
    <row r="420" spans="7:7" x14ac:dyDescent="0.25">
      <c r="G420" s="94"/>
    </row>
    <row r="421" spans="7:7" x14ac:dyDescent="0.25">
      <c r="G421" s="94"/>
    </row>
    <row r="422" spans="7:7" x14ac:dyDescent="0.25">
      <c r="G422" s="94"/>
    </row>
    <row r="423" spans="7:7" x14ac:dyDescent="0.25">
      <c r="G423" s="94"/>
    </row>
    <row r="424" spans="7:7" x14ac:dyDescent="0.25">
      <c r="G424" s="94"/>
    </row>
    <row r="425" spans="7:7" x14ac:dyDescent="0.25">
      <c r="G425" s="94"/>
    </row>
    <row r="426" spans="7:7" x14ac:dyDescent="0.25">
      <c r="G426" s="94"/>
    </row>
    <row r="427" spans="7:7" x14ac:dyDescent="0.25">
      <c r="G427" s="94"/>
    </row>
    <row r="428" spans="7:7" x14ac:dyDescent="0.25">
      <c r="G428" s="94"/>
    </row>
    <row r="429" spans="7:7" x14ac:dyDescent="0.25">
      <c r="G429" s="94"/>
    </row>
    <row r="430" spans="7:7" x14ac:dyDescent="0.25">
      <c r="G430" s="94"/>
    </row>
    <row r="431" spans="7:7" x14ac:dyDescent="0.25">
      <c r="G431" s="94"/>
    </row>
    <row r="432" spans="7:7" x14ac:dyDescent="0.25">
      <c r="G432" s="94"/>
    </row>
    <row r="433" spans="7:7" x14ac:dyDescent="0.25">
      <c r="G433" s="94"/>
    </row>
    <row r="434" spans="7:7" x14ac:dyDescent="0.25">
      <c r="G434" s="94"/>
    </row>
    <row r="435" spans="7:7" x14ac:dyDescent="0.25">
      <c r="G435" s="94"/>
    </row>
    <row r="436" spans="7:7" x14ac:dyDescent="0.25">
      <c r="G436" s="94"/>
    </row>
    <row r="437" spans="7:7" x14ac:dyDescent="0.25">
      <c r="G437" s="94"/>
    </row>
    <row r="438" spans="7:7" x14ac:dyDescent="0.25">
      <c r="G438" s="94"/>
    </row>
    <row r="439" spans="7:7" x14ac:dyDescent="0.25">
      <c r="G439" s="94"/>
    </row>
    <row r="440" spans="7:7" x14ac:dyDescent="0.25">
      <c r="G440" s="94"/>
    </row>
    <row r="441" spans="7:7" x14ac:dyDescent="0.25">
      <c r="G441" s="94"/>
    </row>
    <row r="442" spans="7:7" x14ac:dyDescent="0.25">
      <c r="G442" s="94"/>
    </row>
    <row r="443" spans="7:7" x14ac:dyDescent="0.25">
      <c r="G443" s="94"/>
    </row>
    <row r="444" spans="7:7" x14ac:dyDescent="0.25">
      <c r="G444" s="94"/>
    </row>
    <row r="445" spans="7:7" x14ac:dyDescent="0.25">
      <c r="G445" s="94"/>
    </row>
    <row r="446" spans="7:7" x14ac:dyDescent="0.25">
      <c r="G446" s="94"/>
    </row>
    <row r="447" spans="7:7" x14ac:dyDescent="0.25">
      <c r="G447" s="94"/>
    </row>
    <row r="448" spans="7:7" x14ac:dyDescent="0.25">
      <c r="G448" s="94"/>
    </row>
    <row r="449" spans="7:7" x14ac:dyDescent="0.25">
      <c r="G449" s="94"/>
    </row>
    <row r="450" spans="7:7" x14ac:dyDescent="0.25">
      <c r="G450" s="94"/>
    </row>
    <row r="451" spans="7:7" x14ac:dyDescent="0.25">
      <c r="G451" s="94"/>
    </row>
    <row r="452" spans="7:7" x14ac:dyDescent="0.25">
      <c r="G452" s="94"/>
    </row>
    <row r="453" spans="7:7" x14ac:dyDescent="0.25">
      <c r="G453" s="94"/>
    </row>
    <row r="454" spans="7:7" x14ac:dyDescent="0.25">
      <c r="G454" s="94"/>
    </row>
    <row r="455" spans="7:7" x14ac:dyDescent="0.25">
      <c r="G455" s="94"/>
    </row>
    <row r="456" spans="7:7" x14ac:dyDescent="0.25">
      <c r="G456" s="94"/>
    </row>
    <row r="457" spans="7:7" x14ac:dyDescent="0.25">
      <c r="G457" s="94"/>
    </row>
    <row r="458" spans="7:7" x14ac:dyDescent="0.25">
      <c r="G458" s="94"/>
    </row>
    <row r="459" spans="7:7" x14ac:dyDescent="0.25">
      <c r="G459" s="94"/>
    </row>
    <row r="460" spans="7:7" x14ac:dyDescent="0.25">
      <c r="G460" s="94"/>
    </row>
    <row r="461" spans="7:7" x14ac:dyDescent="0.25">
      <c r="G461" s="94"/>
    </row>
    <row r="462" spans="7:7" x14ac:dyDescent="0.25">
      <c r="G462" s="94"/>
    </row>
    <row r="463" spans="7:7" x14ac:dyDescent="0.25">
      <c r="G463" s="94"/>
    </row>
    <row r="464" spans="7:7" x14ac:dyDescent="0.25">
      <c r="G464" s="94"/>
    </row>
    <row r="465" spans="7:7" x14ac:dyDescent="0.25">
      <c r="G465" s="94"/>
    </row>
    <row r="466" spans="7:7" x14ac:dyDescent="0.25">
      <c r="G466" s="94"/>
    </row>
    <row r="467" spans="7:7" x14ac:dyDescent="0.25">
      <c r="G467" s="94"/>
    </row>
    <row r="468" spans="7:7" x14ac:dyDescent="0.25">
      <c r="G468" s="94"/>
    </row>
    <row r="469" spans="7:7" x14ac:dyDescent="0.25">
      <c r="G469" s="94"/>
    </row>
    <row r="470" spans="7:7" x14ac:dyDescent="0.25">
      <c r="G470" s="94"/>
    </row>
    <row r="471" spans="7:7" x14ac:dyDescent="0.25">
      <c r="G471" s="94"/>
    </row>
    <row r="472" spans="7:7" x14ac:dyDescent="0.25">
      <c r="G472" s="94"/>
    </row>
    <row r="473" spans="7:7" x14ac:dyDescent="0.25">
      <c r="G473" s="94"/>
    </row>
    <row r="474" spans="7:7" x14ac:dyDescent="0.25">
      <c r="G474" s="94"/>
    </row>
    <row r="475" spans="7:7" x14ac:dyDescent="0.25">
      <c r="G475" s="94"/>
    </row>
    <row r="476" spans="7:7" x14ac:dyDescent="0.25">
      <c r="G476" s="94"/>
    </row>
    <row r="477" spans="7:7" x14ac:dyDescent="0.25">
      <c r="G477" s="94"/>
    </row>
    <row r="478" spans="7:7" x14ac:dyDescent="0.25">
      <c r="G478" s="94"/>
    </row>
    <row r="479" spans="7:7" x14ac:dyDescent="0.25">
      <c r="G479" s="94"/>
    </row>
    <row r="480" spans="7:7" x14ac:dyDescent="0.25">
      <c r="G480" s="94"/>
    </row>
    <row r="481" spans="7:7" x14ac:dyDescent="0.25">
      <c r="G481" s="94"/>
    </row>
    <row r="482" spans="7:7" x14ac:dyDescent="0.25">
      <c r="G482" s="94"/>
    </row>
    <row r="483" spans="7:7" x14ac:dyDescent="0.25">
      <c r="G483" s="94"/>
    </row>
    <row r="484" spans="7:7" x14ac:dyDescent="0.25">
      <c r="G484" s="94"/>
    </row>
    <row r="485" spans="7:7" x14ac:dyDescent="0.25">
      <c r="G485" s="94"/>
    </row>
    <row r="486" spans="7:7" x14ac:dyDescent="0.25">
      <c r="G486" s="94"/>
    </row>
    <row r="487" spans="7:7" x14ac:dyDescent="0.25">
      <c r="G487" s="94"/>
    </row>
    <row r="488" spans="7:7" x14ac:dyDescent="0.25">
      <c r="G488" s="94"/>
    </row>
    <row r="489" spans="7:7" x14ac:dyDescent="0.25">
      <c r="G489" s="94"/>
    </row>
    <row r="490" spans="7:7" x14ac:dyDescent="0.25">
      <c r="G490" s="94"/>
    </row>
    <row r="491" spans="7:7" x14ac:dyDescent="0.25">
      <c r="G491" s="94"/>
    </row>
    <row r="492" spans="7:7" x14ac:dyDescent="0.25">
      <c r="G492" s="94"/>
    </row>
    <row r="493" spans="7:7" x14ac:dyDescent="0.25">
      <c r="G493" s="94"/>
    </row>
    <row r="494" spans="7:7" x14ac:dyDescent="0.25">
      <c r="G494" s="94"/>
    </row>
    <row r="495" spans="7:7" x14ac:dyDescent="0.25">
      <c r="G495" s="94"/>
    </row>
    <row r="496" spans="7:7" x14ac:dyDescent="0.25">
      <c r="G496" s="94"/>
    </row>
    <row r="497" spans="7:7" x14ac:dyDescent="0.25">
      <c r="G497" s="94"/>
    </row>
    <row r="498" spans="7:7" x14ac:dyDescent="0.25">
      <c r="G498" s="94"/>
    </row>
    <row r="499" spans="7:7" x14ac:dyDescent="0.25">
      <c r="G499" s="94"/>
    </row>
    <row r="500" spans="7:7" x14ac:dyDescent="0.25">
      <c r="G500" s="94"/>
    </row>
    <row r="501" spans="7:7" x14ac:dyDescent="0.25">
      <c r="G501" s="94"/>
    </row>
    <row r="502" spans="7:7" x14ac:dyDescent="0.25">
      <c r="G502" s="94"/>
    </row>
    <row r="503" spans="7:7" x14ac:dyDescent="0.25">
      <c r="G503" s="94"/>
    </row>
    <row r="504" spans="7:7" x14ac:dyDescent="0.25">
      <c r="G504" s="94"/>
    </row>
    <row r="505" spans="7:7" x14ac:dyDescent="0.25">
      <c r="G505" s="94"/>
    </row>
    <row r="506" spans="7:7" x14ac:dyDescent="0.25">
      <c r="G506" s="94"/>
    </row>
    <row r="507" spans="7:7" x14ac:dyDescent="0.25">
      <c r="G507" s="94"/>
    </row>
    <row r="508" spans="7:7" x14ac:dyDescent="0.25">
      <c r="G508" s="94"/>
    </row>
    <row r="509" spans="7:7" x14ac:dyDescent="0.25">
      <c r="G509" s="94"/>
    </row>
    <row r="510" spans="7:7" x14ac:dyDescent="0.25">
      <c r="G510" s="94"/>
    </row>
    <row r="511" spans="7:7" x14ac:dyDescent="0.25">
      <c r="G511" s="94"/>
    </row>
    <row r="512" spans="7:7" x14ac:dyDescent="0.25">
      <c r="G512" s="94"/>
    </row>
    <row r="513" spans="7:7" x14ac:dyDescent="0.25">
      <c r="G513" s="94"/>
    </row>
    <row r="514" spans="7:7" x14ac:dyDescent="0.25">
      <c r="G514" s="94"/>
    </row>
    <row r="515" spans="7:7" x14ac:dyDescent="0.25">
      <c r="G515" s="94"/>
    </row>
    <row r="516" spans="7:7" x14ac:dyDescent="0.25">
      <c r="G516" s="94"/>
    </row>
    <row r="517" spans="7:7" x14ac:dyDescent="0.25">
      <c r="G517" s="94"/>
    </row>
    <row r="518" spans="7:7" x14ac:dyDescent="0.25">
      <c r="G518" s="94"/>
    </row>
    <row r="519" spans="7:7" x14ac:dyDescent="0.25">
      <c r="G519" s="94"/>
    </row>
    <row r="520" spans="7:7" x14ac:dyDescent="0.25">
      <c r="G520" s="94"/>
    </row>
    <row r="521" spans="7:7" x14ac:dyDescent="0.25">
      <c r="G521" s="94"/>
    </row>
    <row r="522" spans="7:7" x14ac:dyDescent="0.25">
      <c r="G522" s="94"/>
    </row>
    <row r="523" spans="7:7" x14ac:dyDescent="0.25">
      <c r="G523" s="94"/>
    </row>
    <row r="524" spans="7:7" x14ac:dyDescent="0.25">
      <c r="G524" s="94"/>
    </row>
    <row r="525" spans="7:7" x14ac:dyDescent="0.25">
      <c r="G525" s="94"/>
    </row>
    <row r="526" spans="7:7" x14ac:dyDescent="0.25">
      <c r="G526" s="94"/>
    </row>
    <row r="527" spans="7:7" x14ac:dyDescent="0.25">
      <c r="G527" s="94"/>
    </row>
    <row r="528" spans="7:7" x14ac:dyDescent="0.25">
      <c r="G528" s="94"/>
    </row>
    <row r="529" spans="7:7" x14ac:dyDescent="0.25">
      <c r="G529" s="94"/>
    </row>
    <row r="530" spans="7:7" x14ac:dyDescent="0.25">
      <c r="G530" s="94"/>
    </row>
    <row r="531" spans="7:7" x14ac:dyDescent="0.25">
      <c r="G531" s="94"/>
    </row>
    <row r="532" spans="7:7" x14ac:dyDescent="0.25">
      <c r="G532" s="94"/>
    </row>
    <row r="533" spans="7:7" x14ac:dyDescent="0.25">
      <c r="G533" s="94"/>
    </row>
    <row r="534" spans="7:7" x14ac:dyDescent="0.25">
      <c r="G534" s="94"/>
    </row>
    <row r="535" spans="7:7" x14ac:dyDescent="0.25">
      <c r="G535" s="94"/>
    </row>
    <row r="536" spans="7:7" x14ac:dyDescent="0.25">
      <c r="G536" s="94"/>
    </row>
    <row r="537" spans="7:7" x14ac:dyDescent="0.25">
      <c r="G537" s="94"/>
    </row>
    <row r="538" spans="7:7" x14ac:dyDescent="0.25">
      <c r="G538" s="94"/>
    </row>
    <row r="539" spans="7:7" x14ac:dyDescent="0.25">
      <c r="G539" s="94"/>
    </row>
    <row r="540" spans="7:7" x14ac:dyDescent="0.25">
      <c r="G540" s="94"/>
    </row>
    <row r="541" spans="7:7" x14ac:dyDescent="0.25">
      <c r="G541" s="94"/>
    </row>
    <row r="542" spans="7:7" x14ac:dyDescent="0.25">
      <c r="G542" s="94"/>
    </row>
    <row r="543" spans="7:7" x14ac:dyDescent="0.25">
      <c r="G543" s="94"/>
    </row>
    <row r="544" spans="7:7" x14ac:dyDescent="0.25">
      <c r="G544" s="94"/>
    </row>
    <row r="545" spans="7:7" x14ac:dyDescent="0.25">
      <c r="G545" s="94"/>
    </row>
    <row r="546" spans="7:7" x14ac:dyDescent="0.25">
      <c r="G546" s="94"/>
    </row>
    <row r="547" spans="7:7" x14ac:dyDescent="0.25">
      <c r="G547" s="94"/>
    </row>
    <row r="548" spans="7:7" x14ac:dyDescent="0.25">
      <c r="G548" s="94"/>
    </row>
    <row r="549" spans="7:7" x14ac:dyDescent="0.25">
      <c r="G549" s="94"/>
    </row>
    <row r="550" spans="7:7" x14ac:dyDescent="0.25">
      <c r="G550" s="94"/>
    </row>
    <row r="551" spans="7:7" x14ac:dyDescent="0.25">
      <c r="G551" s="94"/>
    </row>
    <row r="552" spans="7:7" x14ac:dyDescent="0.25">
      <c r="G552" s="94"/>
    </row>
    <row r="553" spans="7:7" x14ac:dyDescent="0.25">
      <c r="G553" s="94"/>
    </row>
    <row r="554" spans="7:7" x14ac:dyDescent="0.25">
      <c r="G554" s="94"/>
    </row>
    <row r="555" spans="7:7" x14ac:dyDescent="0.25">
      <c r="G555" s="94"/>
    </row>
    <row r="556" spans="7:7" x14ac:dyDescent="0.25">
      <c r="G556" s="94"/>
    </row>
    <row r="557" spans="7:7" x14ac:dyDescent="0.25">
      <c r="G557" s="94"/>
    </row>
    <row r="558" spans="7:7" x14ac:dyDescent="0.25">
      <c r="G558" s="94"/>
    </row>
    <row r="559" spans="7:7" x14ac:dyDescent="0.25">
      <c r="G559" s="94"/>
    </row>
    <row r="560" spans="7:7" x14ac:dyDescent="0.25">
      <c r="G560" s="94"/>
    </row>
    <row r="561" spans="7:7" x14ac:dyDescent="0.25">
      <c r="G561" s="94"/>
    </row>
    <row r="562" spans="7:7" x14ac:dyDescent="0.25">
      <c r="G562" s="94"/>
    </row>
    <row r="563" spans="7:7" x14ac:dyDescent="0.25">
      <c r="G563" s="94"/>
    </row>
    <row r="564" spans="7:7" x14ac:dyDescent="0.25">
      <c r="G564" s="94"/>
    </row>
    <row r="565" spans="7:7" x14ac:dyDescent="0.25">
      <c r="G565" s="94"/>
    </row>
    <row r="566" spans="7:7" x14ac:dyDescent="0.25">
      <c r="G566" s="94"/>
    </row>
    <row r="567" spans="7:7" x14ac:dyDescent="0.25">
      <c r="G567" s="94"/>
    </row>
    <row r="568" spans="7:7" x14ac:dyDescent="0.25">
      <c r="G568" s="94"/>
    </row>
    <row r="569" spans="7:7" x14ac:dyDescent="0.25">
      <c r="G569" s="94"/>
    </row>
    <row r="570" spans="7:7" x14ac:dyDescent="0.25">
      <c r="G570" s="94"/>
    </row>
    <row r="571" spans="7:7" x14ac:dyDescent="0.25">
      <c r="G571" s="94"/>
    </row>
    <row r="572" spans="7:7" x14ac:dyDescent="0.25">
      <c r="G572" s="94"/>
    </row>
    <row r="573" spans="7:7" x14ac:dyDescent="0.25">
      <c r="G573" s="94"/>
    </row>
    <row r="574" spans="7:7" x14ac:dyDescent="0.25">
      <c r="G574" s="94"/>
    </row>
    <row r="575" spans="7:7" x14ac:dyDescent="0.25">
      <c r="G575" s="94"/>
    </row>
    <row r="576" spans="7:7" x14ac:dyDescent="0.25">
      <c r="G576" s="94"/>
    </row>
    <row r="577" spans="7:7" x14ac:dyDescent="0.25">
      <c r="G577" s="94"/>
    </row>
    <row r="578" spans="7:7" x14ac:dyDescent="0.25">
      <c r="G578" s="94"/>
    </row>
    <row r="579" spans="7:7" x14ac:dyDescent="0.25">
      <c r="G579" s="94"/>
    </row>
    <row r="580" spans="7:7" x14ac:dyDescent="0.25">
      <c r="G580" s="94"/>
    </row>
    <row r="581" spans="7:7" x14ac:dyDescent="0.25">
      <c r="G581" s="94"/>
    </row>
    <row r="582" spans="7:7" x14ac:dyDescent="0.25">
      <c r="G582" s="94"/>
    </row>
    <row r="583" spans="7:7" x14ac:dyDescent="0.25">
      <c r="G583" s="94"/>
    </row>
    <row r="584" spans="7:7" x14ac:dyDescent="0.25">
      <c r="G584" s="94"/>
    </row>
    <row r="585" spans="7:7" x14ac:dyDescent="0.25">
      <c r="G585" s="94"/>
    </row>
    <row r="586" spans="7:7" x14ac:dyDescent="0.25">
      <c r="G586" s="94"/>
    </row>
    <row r="587" spans="7:7" x14ac:dyDescent="0.25">
      <c r="G587" s="94"/>
    </row>
    <row r="588" spans="7:7" x14ac:dyDescent="0.25">
      <c r="G588" s="94"/>
    </row>
    <row r="589" spans="7:7" x14ac:dyDescent="0.25">
      <c r="G589" s="94"/>
    </row>
    <row r="590" spans="7:7" x14ac:dyDescent="0.25">
      <c r="G590" s="94"/>
    </row>
    <row r="591" spans="7:7" x14ac:dyDescent="0.25">
      <c r="G591" s="94"/>
    </row>
    <row r="592" spans="7:7" x14ac:dyDescent="0.25">
      <c r="G592" s="94"/>
    </row>
    <row r="593" spans="7:7" x14ac:dyDescent="0.25">
      <c r="G593" s="94"/>
    </row>
    <row r="594" spans="7:7" x14ac:dyDescent="0.25">
      <c r="G594" s="94"/>
    </row>
    <row r="595" spans="7:7" x14ac:dyDescent="0.25">
      <c r="G595" s="94"/>
    </row>
    <row r="596" spans="7:7" x14ac:dyDescent="0.25">
      <c r="G596" s="94"/>
    </row>
    <row r="597" spans="7:7" x14ac:dyDescent="0.25">
      <c r="G597" s="94"/>
    </row>
    <row r="598" spans="7:7" x14ac:dyDescent="0.25">
      <c r="G598" s="94"/>
    </row>
    <row r="599" spans="7:7" x14ac:dyDescent="0.25">
      <c r="G599" s="94"/>
    </row>
    <row r="600" spans="7:7" x14ac:dyDescent="0.25">
      <c r="G600" s="94"/>
    </row>
    <row r="601" spans="7:7" x14ac:dyDescent="0.25">
      <c r="G601" s="94"/>
    </row>
    <row r="602" spans="7:7" x14ac:dyDescent="0.25">
      <c r="G602" s="94"/>
    </row>
    <row r="603" spans="7:7" x14ac:dyDescent="0.25">
      <c r="G603" s="94"/>
    </row>
    <row r="604" spans="7:7" x14ac:dyDescent="0.25">
      <c r="G604" s="94"/>
    </row>
    <row r="605" spans="7:7" x14ac:dyDescent="0.25">
      <c r="G605" s="94"/>
    </row>
    <row r="606" spans="7:7" x14ac:dyDescent="0.25">
      <c r="G606" s="94"/>
    </row>
    <row r="607" spans="7:7" x14ac:dyDescent="0.25">
      <c r="G607" s="94"/>
    </row>
    <row r="608" spans="7:7" x14ac:dyDescent="0.25">
      <c r="G608" s="94"/>
    </row>
    <row r="609" spans="7:7" x14ac:dyDescent="0.25">
      <c r="G609" s="94"/>
    </row>
    <row r="610" spans="7:7" x14ac:dyDescent="0.25">
      <c r="G610" s="94"/>
    </row>
    <row r="611" spans="7:7" x14ac:dyDescent="0.25">
      <c r="G611" s="94"/>
    </row>
    <row r="612" spans="7:7" x14ac:dyDescent="0.25">
      <c r="G612" s="94"/>
    </row>
    <row r="613" spans="7:7" x14ac:dyDescent="0.25">
      <c r="G613" s="94"/>
    </row>
    <row r="614" spans="7:7" x14ac:dyDescent="0.25">
      <c r="G614" s="94"/>
    </row>
    <row r="615" spans="7:7" x14ac:dyDescent="0.25">
      <c r="G615" s="94"/>
    </row>
    <row r="616" spans="7:7" x14ac:dyDescent="0.25">
      <c r="G616" s="94"/>
    </row>
    <row r="617" spans="7:7" x14ac:dyDescent="0.25">
      <c r="G617" s="94"/>
    </row>
    <row r="618" spans="7:7" x14ac:dyDescent="0.25">
      <c r="G618" s="94"/>
    </row>
    <row r="619" spans="7:7" x14ac:dyDescent="0.25">
      <c r="G619" s="94"/>
    </row>
    <row r="620" spans="7:7" x14ac:dyDescent="0.25">
      <c r="G620" s="94"/>
    </row>
    <row r="621" spans="7:7" x14ac:dyDescent="0.25">
      <c r="G621" s="94"/>
    </row>
    <row r="622" spans="7:7" x14ac:dyDescent="0.25">
      <c r="G622" s="94"/>
    </row>
    <row r="623" spans="7:7" x14ac:dyDescent="0.25">
      <c r="G623" s="94"/>
    </row>
    <row r="624" spans="7:7" x14ac:dyDescent="0.25">
      <c r="G624" s="94"/>
    </row>
    <row r="625" spans="7:7" x14ac:dyDescent="0.25">
      <c r="G625" s="94"/>
    </row>
    <row r="626" spans="7:7" x14ac:dyDescent="0.25">
      <c r="G626" s="94"/>
    </row>
    <row r="627" spans="7:7" x14ac:dyDescent="0.25">
      <c r="G627" s="94"/>
    </row>
    <row r="628" spans="7:7" x14ac:dyDescent="0.25">
      <c r="G628" s="94"/>
    </row>
    <row r="629" spans="7:7" x14ac:dyDescent="0.25">
      <c r="G629" s="94"/>
    </row>
    <row r="630" spans="7:7" x14ac:dyDescent="0.25">
      <c r="G630" s="94"/>
    </row>
    <row r="631" spans="7:7" x14ac:dyDescent="0.25">
      <c r="G631" s="94"/>
    </row>
    <row r="632" spans="7:7" x14ac:dyDescent="0.25">
      <c r="G632" s="94"/>
    </row>
    <row r="633" spans="7:7" x14ac:dyDescent="0.25">
      <c r="G633" s="94"/>
    </row>
    <row r="634" spans="7:7" x14ac:dyDescent="0.25">
      <c r="G634" s="94"/>
    </row>
    <row r="635" spans="7:7" x14ac:dyDescent="0.25">
      <c r="G635" s="94"/>
    </row>
    <row r="636" spans="7:7" x14ac:dyDescent="0.25">
      <c r="G636" s="94"/>
    </row>
    <row r="637" spans="7:7" x14ac:dyDescent="0.25">
      <c r="G637" s="94"/>
    </row>
    <row r="638" spans="7:7" x14ac:dyDescent="0.25">
      <c r="G638" s="94"/>
    </row>
    <row r="639" spans="7:7" x14ac:dyDescent="0.25">
      <c r="G639" s="94"/>
    </row>
    <row r="640" spans="7:7" x14ac:dyDescent="0.25">
      <c r="G640" s="94"/>
    </row>
    <row r="641" spans="7:7" x14ac:dyDescent="0.25">
      <c r="G641" s="94"/>
    </row>
    <row r="642" spans="7:7" x14ac:dyDescent="0.25">
      <c r="G642" s="94"/>
    </row>
    <row r="643" spans="7:7" x14ac:dyDescent="0.25">
      <c r="G643" s="94"/>
    </row>
    <row r="644" spans="7:7" x14ac:dyDescent="0.25">
      <c r="G644" s="94"/>
    </row>
    <row r="645" spans="7:7" x14ac:dyDescent="0.25">
      <c r="G645" s="94"/>
    </row>
    <row r="646" spans="7:7" x14ac:dyDescent="0.25">
      <c r="G646" s="94"/>
    </row>
    <row r="647" spans="7:7" x14ac:dyDescent="0.25">
      <c r="G647" s="94"/>
    </row>
    <row r="648" spans="7:7" x14ac:dyDescent="0.25">
      <c r="G648" s="94"/>
    </row>
    <row r="649" spans="7:7" x14ac:dyDescent="0.25">
      <c r="G649" s="94"/>
    </row>
    <row r="650" spans="7:7" x14ac:dyDescent="0.25">
      <c r="G650" s="94"/>
    </row>
    <row r="651" spans="7:7" x14ac:dyDescent="0.25">
      <c r="G651" s="94"/>
    </row>
    <row r="652" spans="7:7" x14ac:dyDescent="0.25">
      <c r="G652" s="94"/>
    </row>
    <row r="653" spans="7:7" x14ac:dyDescent="0.25">
      <c r="G653" s="94"/>
    </row>
    <row r="654" spans="7:7" x14ac:dyDescent="0.25">
      <c r="G654" s="94"/>
    </row>
    <row r="655" spans="7:7" x14ac:dyDescent="0.25">
      <c r="G655" s="94"/>
    </row>
    <row r="656" spans="7:7" x14ac:dyDescent="0.25">
      <c r="G656" s="94"/>
    </row>
    <row r="657" spans="7:7" x14ac:dyDescent="0.25">
      <c r="G657" s="94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A10" sqref="A10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H19" sqref="H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2012-04-27T02:48:15Z</dcterms:modified>
</cp:coreProperties>
</file>
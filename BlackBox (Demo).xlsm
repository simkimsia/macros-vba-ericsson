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4" i="2"/>
  <c r="K4" i="2"/>
  <c r="M4" i="2"/>
  <c r="J4" i="2"/>
  <c r="L10" i="2"/>
  <c r="L5" i="2"/>
  <c r="K10" i="2"/>
  <c r="K5" i="2"/>
  <c r="M10" i="2"/>
  <c r="M5" i="2"/>
  <c r="J10" i="2"/>
  <c r="J5" i="2"/>
  <c r="L11" i="2"/>
  <c r="L6" i="2"/>
  <c r="K11" i="2"/>
  <c r="K6" i="2"/>
  <c r="M11" i="2"/>
  <c r="M6" i="2"/>
  <c r="J11" i="2"/>
  <c r="J6" i="2"/>
  <c r="L12" i="2"/>
  <c r="L7" i="2"/>
  <c r="K12" i="2"/>
  <c r="K7" i="2"/>
  <c r="M12" i="2"/>
  <c r="M7" i="2"/>
  <c r="J12" i="2"/>
  <c r="J7" i="2"/>
  <c r="M13" i="2"/>
  <c r="K13" i="2"/>
  <c r="M9" i="2"/>
  <c r="K9" i="2"/>
  <c r="M8" i="2"/>
  <c r="K8" i="2"/>
  <c r="H34" i="4" l="1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<sst xmlns="http://schemas.openxmlformats.org/spreadsheetml/2006/main" count="437" uniqueCount="385">
  <si>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</si>
  <si>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</si>
  <si>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</si>
  <si>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</si>
  <si>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</si>
  <si>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</si>
  <si>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</si>
  <si>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</si>
  <si>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</si>
  <si>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</si>
  <si>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</si>
  <si>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</si>
  <si>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</si>
  <si>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</si>
  <si>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</si>
  <si>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</si>
  <si>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</si>
  <si>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</si>
  <si>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</si>
  <si>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</si>
  <si>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</si>
  <si>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</si>
  <si>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</si>
  <si>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</si>
  <si>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</si>
  <si>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</si>
  <si>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</si>
  <si>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</si>
  <si>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</si>
  <si>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</si>
  <si>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</si>
  <si>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</si>
  <si>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</si>
  <si>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</si>
  <si>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</si>
  <si>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</si>
  <si>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</si>
  <si>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</si>
  <si>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</si>
  <si>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</si>
  <si>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</si>
  <si>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</si>
  <si>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</si>
  <si>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</si>
  <si>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</si>
  <si>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</si>
  <si>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</si>
  <si>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</si>
  <si>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</si>
  <si>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</si>
  <si>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</si>
  <si>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</si>
  <si>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</si>
  <si>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</si>
  <si>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</si>
  <si>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</si>
  <si>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</si>
  <si>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</si>
  <si>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</si>
  <si>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</si>
  <si>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</si>
  <si>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</si>
  <si>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</si>
  <si>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</si>
  <si>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</si>
  <si>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</si>
  <si>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</si>
  <si>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</si>
  <si>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</si>
  <si>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</si>
  <si>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</si>
  <si>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</si>
  <si>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</si>
  <si>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</si>
  <si>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</si>
  <si>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</si>
  <si>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</si>
  <si>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</si>
  <si>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</si>
  <si>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</si>
  <si>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</si>
  <si>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</si>
  <si>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</si>
  <si>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</si>
  <si>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</si>
  <si>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</si>
  <si>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</si>
  <si>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</si>
  <si>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</si>
  <si>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</si>
  <si>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</si>
  <si>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</si>
  <si>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</si>
  <si>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</si>
  <si>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</si>
  <si>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</si>
  <si>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</si>
  <si>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</si>
  <si>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</si>
  <si>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</si>
  <si>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</si>
  <si>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</si>
  <si>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</si>
  <si>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</si>
  <si>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</si>
  <si>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</si>
  <si>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</si>
  <si>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</si>
  <si>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</si>
  <si>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</si>
  <si>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</si>
  <si>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</si>
  <si>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</si>
  <si>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</si>
  <si>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</si>
  <si>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</si>
  <si>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</si>
  <si>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</si>
  <si>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</si>
  <si>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</si>
  <si>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</si>
  <si>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</si>
  <si>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</si>
  <si>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</si>
  <si>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</si>
  <si>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</si>
  <si>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</si>
  <si>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</si>
  <si>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</si>
  <si>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</si>
  <si>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</si>
  <si>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</si>
  <si>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</si>
  <si>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</si>
  <si>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</si>
  <si>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</si>
  <si>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31</t>
  </si>
  <si>
    <t>32</t>
  </si>
  <si>
    <t>33</t>
  </si>
  <si>
    <t>35</t>
  </si>
  <si>
    <t>36</t>
  </si>
  <si>
    <t>37</t>
  </si>
  <si>
    <t>38</t>
  </si>
  <si>
    <t>40</t>
  </si>
  <si>
    <t>41</t>
  </si>
  <si>
    <t>42</t>
  </si>
  <si>
    <t>43</t>
  </si>
  <si>
    <t>44</t>
  </si>
  <si>
    <t>46</t>
  </si>
  <si>
    <t>47</t>
  </si>
  <si>
    <t>48</t>
  </si>
  <si>
    <t>49</t>
  </si>
  <si>
    <t>51</t>
  </si>
  <si>
    <t>52</t>
  </si>
  <si>
    <t>53</t>
  </si>
  <si>
    <t>54</t>
  </si>
  <si>
    <t>56</t>
  </si>
  <si>
    <t>57</t>
  </si>
  <si>
    <t>58</t>
  </si>
  <si>
    <t>59</t>
  </si>
  <si>
    <t>61</t>
  </si>
  <si>
    <t>62</t>
  </si>
  <si>
    <t>63</t>
  </si>
  <si>
    <t>64</t>
  </si>
  <si>
    <t>66</t>
  </si>
  <si>
    <t>67</t>
  </si>
  <si>
    <t>68</t>
  </si>
  <si>
    <t>69</t>
  </si>
  <si>
    <t>71</t>
  </si>
  <si>
    <t>72</t>
  </si>
  <si>
    <t>73</t>
  </si>
  <si>
    <t>74</t>
  </si>
  <si>
    <t>76</t>
  </si>
  <si>
    <t>78</t>
  </si>
  <si>
    <t>79</t>
  </si>
  <si>
    <t>80</t>
  </si>
  <si>
    <t>81</t>
  </si>
  <si>
    <t>83</t>
  </si>
  <si>
    <t>85</t>
  </si>
  <si>
    <t>86</t>
  </si>
  <si>
    <t>87</t>
  </si>
  <si>
    <t>88</t>
  </si>
  <si>
    <t>90</t>
  </si>
  <si>
    <t>91</t>
  </si>
  <si>
    <t>92</t>
  </si>
  <si>
    <t>94</t>
  </si>
  <si>
    <t>95</t>
  </si>
  <si>
    <t>96</t>
  </si>
  <si>
    <t>97</t>
  </si>
  <si>
    <t>98</t>
  </si>
  <si>
    <t>100</t>
  </si>
  <si>
    <t>101</t>
  </si>
  <si>
    <t>102</t>
  </si>
  <si>
    <t>103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</si>
  <si>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</si>
  <si>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</si>
  <si>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</si>
  <si>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</si>
  <si>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</si>
  <si>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</si>
  <si>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</si>
  <si>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</si>
  <si>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</si>
  <si>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</si>
  <si>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</si>
  <si>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</si>
  <si>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</si>
  <si>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</si>
  <si>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</si>
  <si>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</si>
  <si>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</si>
  <si>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</si>
  <si>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</si>
  <si>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</si>
  <si>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</si>
  <si>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</si>
  <si>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</si>
  <si>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</si>
  <si>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</si>
  <si>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</si>
  <si>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</si>
  <si>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</si>
  <si>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</si>
  <si>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135</t>
  </si>
  <si>
    <t>136</t>
  </si>
  <si>
    <t>138</t>
  </si>
  <si>
    <t>139</t>
  </si>
  <si>
    <t>140</t>
  </si>
  <si>
    <t>141</t>
  </si>
  <si>
    <t>142</t>
  </si>
  <si>
    <t>143</t>
  </si>
  <si>
    <t>145</t>
  </si>
  <si>
    <t>146</t>
  </si>
  <si>
    <t>147</t>
  </si>
  <si>
    <t>148</t>
  </si>
  <si>
    <t>149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</si>
  <si>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</si>
  <si>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</si>
  <si>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</si>
  <si>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</si>
  <si>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</si>
  <si>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</si>
  <si>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</si>
  <si>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</si>
  <si>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</si>
  <si>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163</t>
  </si>
  <si>
    <t>164</t>
  </si>
  <si>
    <t>165</t>
  </si>
  <si>
    <t>166</t>
  </si>
  <si>
    <t>168</t>
  </si>
  <si>
    <t>169</t>
  </si>
  <si>
    <t>171</t>
  </si>
  <si>
    <t>172</t>
  </si>
  <si>
    <t>173</t>
  </si>
  <si>
    <t>175</t>
  </si>
  <si>
    <t>176</t>
  </si>
  <si>
    <t>177</t>
  </si>
  <si>
    <t>178</t>
  </si>
  <si>
    <t>180</t>
  </si>
  <si>
    <t>181</t>
  </si>
  <si>
    <t>183</t>
  </si>
  <si>
    <t>184</t>
  </si>
  <si>
    <t>185</t>
  </si>
  <si>
    <t>187</t>
  </si>
  <si>
    <t>188</t>
  </si>
  <si>
    <t>189</t>
  </si>
  <si>
    <t>190</t>
  </si>
  <si>
    <t>192</t>
  </si>
  <si>
    <t>193</t>
  </si>
  <si>
    <t>195</t>
  </si>
  <si>
    <t>196</t>
  </si>
  <si>
    <t>197</t>
  </si>
  <si>
    <t>199</t>
  </si>
  <si>
    <t>200</t>
  </si>
  <si>
    <t>201</t>
  </si>
  <si>
    <t>202</t>
  </si>
  <si>
    <t>204</t>
  </si>
  <si>
    <t>205</t>
  </si>
  <si>
    <t>207</t>
  </si>
  <si>
    <t>208</t>
  </si>
  <si>
    <t>209</t>
  </si>
  <si>
    <t>211</t>
  </si>
  <si>
    <t>212</t>
  </si>
  <si>
    <t>213</t>
  </si>
  <si>
    <t>214</t>
  </si>
  <si>
    <t>216</t>
  </si>
  <si>
    <t>217</t>
  </si>
  <si>
    <t>219</t>
  </si>
  <si>
    <t>220</t>
  </si>
  <si>
    <t>221</t>
  </si>
  <si>
    <t>222</t>
  </si>
  <si>
    <t>223</t>
  </si>
  <si>
    <t>224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</si>
  <si>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</si>
  <si>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</si>
  <si>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</si>
  <si>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</si>
  <si>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</si>
  <si>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</si>
  <si>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</si>
  <si>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</si>
  <si>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</si>
  <si>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</si>
  <si>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238</t>
  </si>
  <si>
    <t>239</t>
  </si>
  <si>
    <t>241</t>
  </si>
  <si>
    <t>242</t>
  </si>
  <si>
    <t>244</t>
  </si>
  <si>
    <t>245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</si>
  <si>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</si>
  <si>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</si>
  <si>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</si>
  <si>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</si>
  <si>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</si>
  <si>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</si>
  <si>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</si>
  <si>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</si>
  <si>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</si>
  <si>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</si>
  <si>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</si>
  <si>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</si>
  <si>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</si>
  <si>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</si>
  <si>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</si>
  <si>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</si>
  <si>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</si>
  <si>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</si>
  <si>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</si>
  <si>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</si>
  <si>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</si>
  <si>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</si>
  <si>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</si>
  <si>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</si>
  <si>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</si>
  <si>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</si>
  <si>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</si>
  <si>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</si>
  <si>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</si>
  <si>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</si>
  <si>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</si>
  <si>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</si>
  <si>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281</t>
  </si>
  <si>
    <t>282</t>
  </si>
  <si>
    <t>284</t>
  </si>
  <si>
    <t>286</t>
  </si>
  <si>
    <t>287</t>
  </si>
  <si>
    <t>288</t>
  </si>
  <si>
    <t>289</t>
  </si>
  <si>
    <t>290</t>
  </si>
  <si>
    <t>291</t>
  </si>
  <si>
    <t>293</t>
  </si>
  <si>
    <t>294</t>
  </si>
  <si>
    <t>295</t>
  </si>
  <si>
    <t>296</t>
  </si>
  <si>
    <t>298</t>
  </si>
  <si>
    <t>299</t>
  </si>
  <si>
    <t>300</t>
  </si>
  <si>
    <t>301</t>
  </si>
  <si>
    <t>303</t>
  </si>
  <si>
    <t>304</t>
  </si>
  <si>
    <t>305</t>
  </si>
  <si>
    <t>307</t>
  </si>
  <si>
    <t>308</t>
  </si>
  <si>
    <t>310</t>
  </si>
  <si>
    <t>311</t>
  </si>
  <si>
    <t>312</t>
  </si>
  <si>
    <t>313</t>
  </si>
  <si>
    <t>314</t>
  </si>
  <si>
    <t>315</t>
  </si>
  <si>
    <t>317</t>
  </si>
  <si>
    <t>318</t>
  </si>
  <si>
    <t>319</t>
  </si>
  <si>
    <t>320</t>
  </si>
  <si>
    <t>321</t>
  </si>
  <si>
    <t>322</t>
  </si>
  <si>
    <t>324</t>
  </si>
  <si>
    <t>325</t>
  </si>
  <si>
    <t>326</t>
  </si>
  <si>
    <t>327</t>
  </si>
  <si>
    <t>328</t>
  </si>
  <si>
    <t>329</t>
  </si>
  <si>
    <t>Unit Gross Formula</t>
  </si>
  <si>
    <t>Total Gross Formula</t>
  </si>
  <si>
    <t>Discount Formula</t>
  </si>
  <si>
    <t>Total Net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</si>
</sst>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topLeftCell="I1" workbookViewId="0">
      <selection activeCell="J2" sqref="J2:J11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  <col min="18" max="18" width="18" style="99" customWidth="1"/>
  </cols>
  <sheetData>
    <row r="1" spans="1:21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  <c r="R1" s="90" t="s">
        <v>381</v>
      </c>
      <c r="S1" s="90" t="s">
        <v>382</v>
      </c>
      <c r="T1" s="90" t="s">
        <v>383</v>
      </c>
      <c r="U1" s="90" t="s">
        <v>384</v>
      </c>
    </row>
    <row r="2" spans="1:21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24</v>
      </c>
      <c r="G2" s="101" t="s">
        <v>120</v>
      </c>
      <c r="H2" s="90" t="s">
        <v>101</v>
      </c>
      <c r="I2" s="90">
        <v>1</v>
      </c>
      <c r="J2" s="90">
        <f>SUM(K3)</f>
        <v>2168621.0420985599</v>
      </c>
      <c r="K2" s="90">
        <f>I2*J2</f>
        <v>2168621.0420985599</v>
      </c>
      <c r="L2" s="90">
        <f>100*(1-(M2/K2))</f>
        <v>100</v>
      </c>
      <c r="M2" s="90">
        <f>I2*SUM(M3)</f>
        <v>0</v>
      </c>
      <c r="N2">
        <v>2</v>
      </c>
      <c r="O2" s="99" t="s">
        <v>124</v>
      </c>
    </row>
    <row r="3" spans="1:21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23</v>
      </c>
      <c r="G3" s="101" t="s">
        <v>120</v>
      </c>
      <c r="H3" s="90" t="s">
        <v>102</v>
      </c>
      <c r="I3">
        <v>1</v>
      </c>
      <c r="J3">
        <f>SUM(K4,K10)</f>
        <v>2168621.0420985599</v>
      </c>
      <c r="K3">
        <f>I3*J3</f>
        <v>2168621.0420985599</v>
      </c>
      <c r="L3">
        <f>100*(1-(M3/K3))</f>
        <v>100</v>
      </c>
      <c r="M3">
        <f>I3*SUM(M4,M10)</f>
        <v>0</v>
      </c>
      <c r="N3">
        <v>3</v>
      </c>
      <c r="O3" s="99" t="s">
        <v>125</v>
      </c>
    </row>
    <row r="4" spans="1:21" x14ac:dyDescent="0.25">
      <c r="A4" s="93" t="s">
        <v>76</v>
      </c>
      <c r="B4" s="91">
        <v>3</v>
      </c>
      <c r="C4" s="92" t="s">
        <v>10</v>
      </c>
      <c r="D4" s="91" t="s">
        <v>73</v>
      </c>
      <c r="E4" s="96">
        <v>3</v>
      </c>
      <c r="F4" s="96">
        <v>14</v>
      </c>
      <c r="G4" s="101" t="s">
        <v>120</v>
      </c>
      <c r="H4" s="90" t="s">
        <v>103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9" t="s">
        <v>126</v>
      </c>
    </row>
    <row r="5" spans="1:21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9" t="s">
        <v>127</v>
      </c>
    </row>
    <row r="6" spans="1:21" x14ac:dyDescent="0.25">
      <c r="A6" s="93" t="s">
        <v>80</v>
      </c>
      <c r="B6" s="91">
        <v>5</v>
      </c>
      <c r="C6" s="93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9" t="s">
        <v>128</v>
      </c>
    </row>
    <row r="7" spans="1:21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9" t="s">
        <v>129</v>
      </c>
    </row>
    <row r="8" spans="1:21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9" t="s">
        <v>130</v>
      </c>
    </row>
    <row r="9" spans="1:21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9" t="s">
        <v>131</v>
      </c>
    </row>
    <row r="10" spans="1:21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22</v>
      </c>
      <c r="G10" s="101" t="s">
        <v>120</v>
      </c>
      <c r="H10" s="90" t="s">
        <v>111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9" t="s">
        <v>132</v>
      </c>
    </row>
    <row r="11" spans="1:21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21</v>
      </c>
      <c r="G11" s="101" t="s">
        <v>120</v>
      </c>
      <c r="H11" s="90" t="s">
        <v>113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9" t="s">
        <v>133</v>
      </c>
    </row>
    <row r="12" spans="1:21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20</v>
      </c>
      <c r="G12" s="101" t="s">
        <v>120</v>
      </c>
      <c r="H12" s="90" t="s">
        <v>115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9" t="s">
        <v>134</v>
      </c>
    </row>
    <row r="13" spans="1:21" x14ac:dyDescent="0.25">
      <c r="A13" s="92" t="s">
        <v>116</v>
      </c>
      <c r="B13" s="91">
        <v>6</v>
      </c>
      <c r="C13" s="95" t="s">
        <v>114</v>
      </c>
      <c r="D13" s="91" t="s">
        <v>73</v>
      </c>
      <c r="E13" s="97">
        <v>18</v>
      </c>
      <c r="F13" s="97">
        <v>19</v>
      </c>
      <c r="G13" s="101" t="s">
        <v>73</v>
      </c>
      <c r="H13" s="90" t="s">
        <v>117</v>
      </c>
      <c r="I13">
        <v>1</v>
      </c>
      <c r="J13">
        <v>73140</v>
      </c>
      <c r="K13">
        <f>I13*J13</f>
        <v>73140</v>
      </c>
      <c r="L13">
        <v>100</v>
      </c>
      <c r="M13">
        <f>(1-(L13/100))*K13</f>
        <v>0</v>
      </c>
      <c r="N13">
        <v>13</v>
      </c>
      <c r="O13" s="99" t="s">
        <v>135</v>
      </c>
    </row>
    <row r="14" spans="1:21" x14ac:dyDescent="0.25">
      <c r="A14" s="93"/>
      <c r="B14" s="91"/>
      <c r="C14" s="93"/>
      <c r="D14" s="91"/>
      <c r="E14" s="96"/>
      <c r="F14" s="96"/>
      <c r="G14" s="101"/>
      <c r="H14" s="90"/>
      <c r="O14" s="99" t="s">
        <v>136</v>
      </c>
    </row>
    <row r="15" spans="1:21" x14ac:dyDescent="0.25">
      <c r="A15" s="93"/>
      <c r="B15" s="91"/>
      <c r="C15" s="93"/>
      <c r="D15" s="91"/>
      <c r="E15" s="96"/>
      <c r="F15" s="96"/>
      <c r="G15" s="101"/>
      <c r="H15" s="90"/>
      <c r="O15" s="99" t="s">
        <v>137</v>
      </c>
    </row>
    <row r="16" spans="1:21" x14ac:dyDescent="0.25">
      <c r="A16" s="93"/>
      <c r="B16" s="91"/>
      <c r="C16" s="93"/>
      <c r="D16" s="91"/>
      <c r="E16" s="96"/>
      <c r="F16" s="96"/>
      <c r="G16" s="101"/>
      <c r="H16" s="90"/>
      <c r="O16" s="99" t="s">
        <v>138</v>
      </c>
    </row>
    <row r="17" spans="1:15" x14ac:dyDescent="0.25">
      <c r="A17" s="93"/>
      <c r="B17" s="91"/>
      <c r="C17" s="93"/>
      <c r="D17" s="91"/>
      <c r="E17" s="90"/>
      <c r="F17" s="90"/>
      <c r="G17" s="101"/>
      <c r="H17" s="90"/>
      <c r="O17" s="99" t="s">
        <v>139</v>
      </c>
    </row>
    <row r="18" spans="1:15" x14ac:dyDescent="0.25">
      <c r="A18" s="98"/>
      <c r="B18" s="91"/>
      <c r="C18" s="91"/>
      <c r="D18" s="91"/>
      <c r="E18" s="90"/>
      <c r="F18" s="90"/>
      <c r="G18" s="101"/>
      <c r="H18" s="90"/>
      <c r="O18" s="99" t="s">
        <v>140</v>
      </c>
    </row>
    <row r="19" spans="1:15" x14ac:dyDescent="0.25">
      <c r="A19" s="98"/>
      <c r="B19" s="91"/>
      <c r="C19" s="91"/>
      <c r="D19" s="91"/>
      <c r="E19" s="90"/>
      <c r="F19" s="90"/>
      <c r="G19" s="101"/>
      <c r="H19" s="90"/>
      <c r="O19" s="99" t="s">
        <v>141</v>
      </c>
    </row>
    <row r="20" spans="1:15" x14ac:dyDescent="0.25">
      <c r="A20" s="98"/>
      <c r="B20" s="91"/>
      <c r="C20" s="91"/>
      <c r="D20" s="91"/>
      <c r="E20" s="90"/>
      <c r="F20" s="90"/>
      <c r="G20" s="101"/>
      <c r="H20" s="90"/>
      <c r="O20" s="99" t="s">
        <v>142</v>
      </c>
    </row>
    <row r="21" spans="1:15" x14ac:dyDescent="0.25">
      <c r="A21" s="91"/>
      <c r="B21" s="91"/>
      <c r="C21" s="91"/>
      <c r="D21" s="91"/>
      <c r="E21" s="90"/>
      <c r="F21" s="90"/>
      <c r="G21" s="101"/>
      <c r="H21" s="90"/>
      <c r="O21" s="99" t="s">
        <v>143</v>
      </c>
    </row>
    <row r="22" spans="1:15" x14ac:dyDescent="0.25">
      <c r="G22" s="102"/>
      <c r="O22" s="99" t="s">
        <v>144</v>
      </c>
    </row>
    <row r="23" spans="1:15" x14ac:dyDescent="0.25">
      <c r="A23" s="93"/>
      <c r="B23" s="91"/>
      <c r="C23" s="100"/>
      <c r="D23" s="91"/>
      <c r="E23" s="90"/>
      <c r="F23" s="90"/>
      <c r="G23" s="101"/>
      <c r="H23" s="90"/>
      <c r="O23" s="99" t="s">
        <v>145</v>
      </c>
    </row>
    <row r="24" spans="1:15" x14ac:dyDescent="0.25">
      <c r="A24" s="98"/>
      <c r="B24" s="91"/>
      <c r="C24" s="91"/>
      <c r="D24" s="91"/>
      <c r="E24" s="90"/>
      <c r="F24" s="90"/>
      <c r="G24" s="101"/>
      <c r="H24" s="90"/>
      <c r="O24" s="99" t="s">
        <v>146</v>
      </c>
    </row>
    <row r="25" spans="1:15" x14ac:dyDescent="0.25">
      <c r="A25" s="98"/>
      <c r="B25" s="91"/>
      <c r="C25" s="91"/>
      <c r="D25" s="91"/>
      <c r="E25" s="90"/>
      <c r="F25" s="90"/>
      <c r="G25" s="101"/>
      <c r="H25" s="90"/>
      <c r="O25" s="99" t="s">
        <v>147</v>
      </c>
    </row>
    <row r="26" spans="1:15" x14ac:dyDescent="0.25">
      <c r="A26" s="98"/>
      <c r="B26" s="91"/>
      <c r="C26" s="91"/>
      <c r="D26" s="91"/>
      <c r="E26" s="90"/>
      <c r="F26" s="90"/>
      <c r="G26" s="101"/>
      <c r="H26" s="90"/>
      <c r="O26" s="99" t="s">
        <v>148</v>
      </c>
    </row>
    <row r="27" spans="1:15" x14ac:dyDescent="0.25">
      <c r="G27" s="102"/>
      <c r="O27" s="99" t="s">
        <v>149</v>
      </c>
    </row>
    <row r="28" spans="1:15" x14ac:dyDescent="0.25">
      <c r="G28" s="102"/>
      <c r="O28" s="99" t="s">
        <v>150</v>
      </c>
    </row>
    <row r="29" spans="1:15" x14ac:dyDescent="0.25">
      <c r="G29" s="102"/>
      <c r="O29" s="99" t="s">
        <v>151</v>
      </c>
    </row>
    <row r="30" spans="1:15" x14ac:dyDescent="0.25">
      <c r="G30" s="102"/>
      <c r="O30" s="99" t="s">
        <v>152</v>
      </c>
    </row>
    <row r="31" spans="1:15" x14ac:dyDescent="0.25">
      <c r="G31" s="102"/>
      <c r="O31" s="99" t="s">
        <v>153</v>
      </c>
    </row>
    <row r="32" spans="1:15" x14ac:dyDescent="0.25">
      <c r="G32" s="102"/>
      <c r="O32" s="99" t="s">
        <v>154</v>
      </c>
    </row>
    <row r="33" spans="7:15" x14ac:dyDescent="0.25">
      <c r="G33" s="102"/>
      <c r="O33" s="99" t="s">
        <v>155</v>
      </c>
    </row>
    <row r="34" spans="7:15" x14ac:dyDescent="0.25">
      <c r="G34" s="102"/>
      <c r="O34" s="99" t="s">
        <v>156</v>
      </c>
    </row>
    <row r="35" spans="7:15" x14ac:dyDescent="0.25">
      <c r="G35" s="102"/>
      <c r="O35" s="99" t="s">
        <v>157</v>
      </c>
    </row>
    <row r="36" spans="7:15" x14ac:dyDescent="0.25">
      <c r="G36" s="102"/>
      <c r="O36" s="99" t="s">
        <v>158</v>
      </c>
    </row>
    <row r="37" spans="7:15" x14ac:dyDescent="0.25">
      <c r="G37" s="102"/>
      <c r="O37" s="99" t="s">
        <v>159</v>
      </c>
    </row>
    <row r="38" spans="7:15" x14ac:dyDescent="0.25">
      <c r="G38" s="102"/>
      <c r="O38" s="99" t="s">
        <v>160</v>
      </c>
    </row>
    <row r="39" spans="7:15" x14ac:dyDescent="0.25">
      <c r="G39" s="102"/>
      <c r="O39" s="99" t="s">
        <v>161</v>
      </c>
    </row>
    <row r="40" spans="7:15" x14ac:dyDescent="0.25">
      <c r="G40" s="102"/>
      <c r="O40" s="99" t="s">
        <v>162</v>
      </c>
    </row>
    <row r="41" spans="7:15" x14ac:dyDescent="0.25">
      <c r="G41" s="102"/>
      <c r="O41" s="99" t="s">
        <v>163</v>
      </c>
    </row>
    <row r="42" spans="7:15" x14ac:dyDescent="0.25">
      <c r="G42" s="102"/>
      <c r="O42" s="99" t="s">
        <v>164</v>
      </c>
    </row>
    <row r="43" spans="7:15" x14ac:dyDescent="0.25">
      <c r="G43" s="102"/>
      <c r="O43" s="99" t="s">
        <v>165</v>
      </c>
    </row>
    <row r="44" spans="7:15" x14ac:dyDescent="0.25">
      <c r="G44" s="102"/>
      <c r="O44" s="99" t="s">
        <v>166</v>
      </c>
    </row>
    <row r="45" spans="7:15" x14ac:dyDescent="0.25">
      <c r="G45" s="102"/>
      <c r="O45" s="99" t="s">
        <v>167</v>
      </c>
    </row>
    <row r="46" spans="7:15" x14ac:dyDescent="0.25">
      <c r="G46" s="102"/>
      <c r="O46" s="99" t="s">
        <v>168</v>
      </c>
    </row>
    <row r="47" spans="7:15" x14ac:dyDescent="0.25">
      <c r="G47" s="102"/>
      <c r="O47" s="99" t="s">
        <v>169</v>
      </c>
    </row>
    <row r="48" spans="7:15" x14ac:dyDescent="0.25">
      <c r="G48" s="102"/>
      <c r="O48" s="99" t="s">
        <v>170</v>
      </c>
    </row>
    <row r="49" spans="7:15" x14ac:dyDescent="0.25">
      <c r="G49" s="102"/>
      <c r="O49" s="99" t="s">
        <v>171</v>
      </c>
    </row>
    <row r="50" spans="7:15" x14ac:dyDescent="0.25">
      <c r="G50" s="102"/>
      <c r="O50" s="99" t="s">
        <v>172</v>
      </c>
    </row>
    <row r="51" spans="7:15" x14ac:dyDescent="0.25">
      <c r="G51" s="102"/>
      <c r="O51" s="99" t="s">
        <v>173</v>
      </c>
    </row>
    <row r="52" spans="7:15" x14ac:dyDescent="0.25">
      <c r="G52" s="102"/>
      <c r="O52" s="99" t="s">
        <v>174</v>
      </c>
    </row>
    <row r="53" spans="7:15" x14ac:dyDescent="0.25">
      <c r="G53" s="102"/>
      <c r="O53" s="99" t="s">
        <v>175</v>
      </c>
    </row>
    <row r="54" spans="7:15" x14ac:dyDescent="0.25">
      <c r="G54" s="102"/>
      <c r="O54" s="99" t="s">
        <v>176</v>
      </c>
    </row>
    <row r="55" spans="7:15" x14ac:dyDescent="0.25">
      <c r="G55" s="102"/>
      <c r="O55" s="99" t="s">
        <v>177</v>
      </c>
    </row>
    <row r="56" spans="7:15" x14ac:dyDescent="0.25">
      <c r="G56" s="102"/>
      <c r="O56" s="99" t="s">
        <v>178</v>
      </c>
    </row>
    <row r="57" spans="7:15" x14ac:dyDescent="0.25">
      <c r="G57" s="102"/>
      <c r="O57" s="99" t="s">
        <v>179</v>
      </c>
    </row>
    <row r="58" spans="7:15" x14ac:dyDescent="0.25">
      <c r="G58" s="102"/>
      <c r="O58" s="99" t="s">
        <v>180</v>
      </c>
    </row>
    <row r="59" spans="7:15" x14ac:dyDescent="0.25">
      <c r="G59" s="102"/>
      <c r="O59" s="99" t="s">
        <v>181</v>
      </c>
    </row>
    <row r="60" spans="7:15" x14ac:dyDescent="0.25">
      <c r="G60" s="102"/>
      <c r="O60" s="99" t="s">
        <v>182</v>
      </c>
    </row>
    <row r="61" spans="7:15" x14ac:dyDescent="0.25">
      <c r="G61" s="102"/>
      <c r="O61" s="99" t="s">
        <v>183</v>
      </c>
    </row>
    <row r="62" spans="7:15" x14ac:dyDescent="0.25">
      <c r="G62" s="102"/>
      <c r="O62" s="99" t="s">
        <v>184</v>
      </c>
    </row>
    <row r="63" spans="7:15" x14ac:dyDescent="0.25">
      <c r="G63" s="102"/>
      <c r="O63" s="99" t="s">
        <v>185</v>
      </c>
    </row>
    <row r="64" spans="7:15" x14ac:dyDescent="0.25">
      <c r="G64" s="102"/>
      <c r="O64" s="99" t="s">
        <v>186</v>
      </c>
    </row>
    <row r="65" spans="7:15" x14ac:dyDescent="0.25">
      <c r="G65" s="102"/>
      <c r="O65" s="99" t="s">
        <v>187</v>
      </c>
    </row>
    <row r="66" spans="7:15" x14ac:dyDescent="0.25">
      <c r="G66" s="102"/>
      <c r="O66" s="99" t="s">
        <v>188</v>
      </c>
    </row>
    <row r="67" spans="7:15" x14ac:dyDescent="0.25">
      <c r="G67" s="102"/>
      <c r="O67" s="99" t="s">
        <v>189</v>
      </c>
    </row>
    <row r="68" spans="7:15" x14ac:dyDescent="0.25">
      <c r="G68" s="102"/>
      <c r="O68" s="99" t="s">
        <v>190</v>
      </c>
    </row>
    <row r="69" spans="7:15" x14ac:dyDescent="0.25">
      <c r="G69" s="102"/>
      <c r="O69" s="99" t="s">
        <v>191</v>
      </c>
    </row>
    <row r="70" spans="7:15" x14ac:dyDescent="0.25">
      <c r="G70" s="102"/>
      <c r="O70" s="99" t="s">
        <v>192</v>
      </c>
    </row>
    <row r="71" spans="7:15" x14ac:dyDescent="0.25">
      <c r="G71" s="102"/>
      <c r="O71" s="99" t="s">
        <v>193</v>
      </c>
    </row>
    <row r="72" spans="7:15" x14ac:dyDescent="0.25">
      <c r="G72" s="102"/>
      <c r="O72" s="99" t="s">
        <v>194</v>
      </c>
    </row>
    <row r="73" spans="7:15" x14ac:dyDescent="0.25">
      <c r="G73" s="102"/>
      <c r="O73" s="99" t="s">
        <v>195</v>
      </c>
    </row>
    <row r="74" spans="7:15" x14ac:dyDescent="0.25">
      <c r="G74" s="102"/>
      <c r="O74" s="99" t="s">
        <v>196</v>
      </c>
    </row>
    <row r="75" spans="7:15" x14ac:dyDescent="0.25">
      <c r="G75" s="102"/>
      <c r="O75" s="99" t="s">
        <v>197</v>
      </c>
    </row>
    <row r="76" spans="7:15" x14ac:dyDescent="0.25">
      <c r="G76" s="102"/>
      <c r="O76" s="99" t="s">
        <v>198</v>
      </c>
    </row>
    <row r="77" spans="7:15" x14ac:dyDescent="0.25">
      <c r="G77" s="102"/>
      <c r="O77" s="99" t="s">
        <v>199</v>
      </c>
    </row>
    <row r="78" spans="7:15" x14ac:dyDescent="0.25">
      <c r="G78" s="102"/>
      <c r="O78" s="99" t="s">
        <v>200</v>
      </c>
    </row>
    <row r="79" spans="7:15" x14ac:dyDescent="0.25">
      <c r="G79" s="102"/>
      <c r="O79" s="99" t="s">
        <v>201</v>
      </c>
    </row>
    <row r="80" spans="7:15" x14ac:dyDescent="0.25">
      <c r="G80" s="102"/>
      <c r="O80" s="99" t="s">
        <v>202</v>
      </c>
    </row>
    <row r="81" spans="7:15" x14ac:dyDescent="0.25">
      <c r="G81" s="102"/>
      <c r="O81" s="99" t="s">
        <v>203</v>
      </c>
    </row>
    <row r="82" spans="7:15" x14ac:dyDescent="0.25">
      <c r="G82" s="102"/>
      <c r="O82" s="99" t="s">
        <v>204</v>
      </c>
    </row>
    <row r="83" spans="7:15" x14ac:dyDescent="0.25">
      <c r="G83" s="102"/>
      <c r="O83" s="99" t="s">
        <v>205</v>
      </c>
    </row>
    <row r="84" spans="7:15" x14ac:dyDescent="0.25">
      <c r="G84" s="102"/>
      <c r="O84" s="99" t="s">
        <v>206</v>
      </c>
    </row>
    <row r="85" spans="7:15" x14ac:dyDescent="0.25">
      <c r="G85" s="102"/>
      <c r="O85" s="99" t="s">
        <v>207</v>
      </c>
    </row>
    <row r="86" spans="7:15" x14ac:dyDescent="0.25">
      <c r="G86" s="102"/>
      <c r="O86" s="99" t="s">
        <v>208</v>
      </c>
    </row>
    <row r="87" spans="7:15" x14ac:dyDescent="0.25">
      <c r="G87" s="102"/>
      <c r="O87" s="99" t="s">
        <v>209</v>
      </c>
    </row>
    <row r="88" spans="7:15" x14ac:dyDescent="0.25">
      <c r="G88" s="102"/>
      <c r="O88" s="99" t="s">
        <v>210</v>
      </c>
    </row>
    <row r="89" spans="7:15" x14ac:dyDescent="0.25">
      <c r="G89" s="102"/>
      <c r="O89" s="99" t="s">
        <v>211</v>
      </c>
    </row>
    <row r="90" spans="7:15" x14ac:dyDescent="0.25">
      <c r="G90" s="102"/>
      <c r="O90" s="99" t="s">
        <v>212</v>
      </c>
    </row>
    <row r="91" spans="7:15" x14ac:dyDescent="0.25">
      <c r="G91" s="102"/>
      <c r="O91" s="99" t="s">
        <v>213</v>
      </c>
    </row>
    <row r="92" spans="7:15" x14ac:dyDescent="0.25">
      <c r="G92" s="102"/>
      <c r="O92" s="99" t="s">
        <v>214</v>
      </c>
    </row>
    <row r="93" spans="7:15" x14ac:dyDescent="0.25">
      <c r="G93" s="102"/>
      <c r="O93" s="99" t="s">
        <v>215</v>
      </c>
    </row>
    <row r="94" spans="7:15" x14ac:dyDescent="0.25">
      <c r="G94" s="102"/>
      <c r="O94" s="99" t="s">
        <v>216</v>
      </c>
    </row>
    <row r="95" spans="7:15" x14ac:dyDescent="0.25">
      <c r="G95" s="102"/>
      <c r="O95" s="99" t="s">
        <v>217</v>
      </c>
    </row>
    <row r="96" spans="7:15" x14ac:dyDescent="0.25">
      <c r="G96" s="102"/>
      <c r="O96" s="99" t="s">
        <v>218</v>
      </c>
    </row>
    <row r="97" spans="7:15" x14ac:dyDescent="0.25">
      <c r="G97" s="102"/>
      <c r="O97" s="99" t="s">
        <v>219</v>
      </c>
    </row>
    <row r="98" spans="7:15" x14ac:dyDescent="0.25">
      <c r="G98" s="102"/>
      <c r="O98" s="99" t="s">
        <v>220</v>
      </c>
    </row>
    <row r="99" spans="7:15" x14ac:dyDescent="0.25">
      <c r="G99" s="102"/>
      <c r="O99" s="99" t="s">
        <v>221</v>
      </c>
    </row>
    <row r="100" spans="7:15" x14ac:dyDescent="0.25">
      <c r="G100" s="102"/>
      <c r="O100" s="99" t="s">
        <v>222</v>
      </c>
    </row>
    <row r="101" spans="7:15" x14ac:dyDescent="0.25">
      <c r="G101" s="102"/>
      <c r="O101" s="99" t="s">
        <v>223</v>
      </c>
    </row>
    <row r="102" spans="7:15" x14ac:dyDescent="0.25">
      <c r="G102" s="102"/>
      <c r="O102" s="99" t="s">
        <v>224</v>
      </c>
    </row>
    <row r="103" spans="7:15" x14ac:dyDescent="0.25">
      <c r="G103" s="102"/>
      <c r="O103" s="99" t="s">
        <v>225</v>
      </c>
    </row>
    <row r="104" spans="7:15" x14ac:dyDescent="0.25">
      <c r="G104" s="102"/>
      <c r="O104" s="99" t="s">
        <v>226</v>
      </c>
    </row>
    <row r="105" spans="7:15" x14ac:dyDescent="0.25">
      <c r="G105" s="102"/>
      <c r="O105" s="99" t="s">
        <v>227</v>
      </c>
    </row>
    <row r="106" spans="7:15" x14ac:dyDescent="0.25">
      <c r="G106" s="102"/>
      <c r="O106" s="99" t="s">
        <v>228</v>
      </c>
    </row>
    <row r="107" spans="7:15" x14ac:dyDescent="0.25">
      <c r="G107" s="102"/>
      <c r="O107" s="99" t="s">
        <v>229</v>
      </c>
    </row>
    <row r="108" spans="7:15" x14ac:dyDescent="0.25">
      <c r="G108" s="102"/>
      <c r="O108" s="99" t="s">
        <v>230</v>
      </c>
    </row>
    <row r="109" spans="7:15" x14ac:dyDescent="0.25">
      <c r="G109" s="102"/>
      <c r="O109" s="99" t="s">
        <v>231</v>
      </c>
    </row>
    <row r="110" spans="7:15" x14ac:dyDescent="0.25">
      <c r="G110" s="102"/>
      <c r="O110" s="99" t="s">
        <v>232</v>
      </c>
    </row>
    <row r="111" spans="7:15" x14ac:dyDescent="0.25">
      <c r="G111" s="102"/>
      <c r="O111" s="99" t="s">
        <v>233</v>
      </c>
    </row>
    <row r="112" spans="7:15" x14ac:dyDescent="0.25">
      <c r="G112" s="102"/>
      <c r="O112" s="99" t="s">
        <v>234</v>
      </c>
    </row>
    <row r="113" spans="7:15" x14ac:dyDescent="0.25">
      <c r="G113" s="102"/>
      <c r="O113" s="99" t="s">
        <v>235</v>
      </c>
    </row>
    <row r="114" spans="7:15" x14ac:dyDescent="0.25">
      <c r="G114" s="102"/>
      <c r="O114" s="99" t="s">
        <v>236</v>
      </c>
    </row>
    <row r="115" spans="7:15" x14ac:dyDescent="0.25">
      <c r="G115" s="102"/>
      <c r="O115" s="99" t="s">
        <v>237</v>
      </c>
    </row>
    <row r="116" spans="7:15" x14ac:dyDescent="0.25">
      <c r="G116" s="102"/>
      <c r="O116" s="99" t="s">
        <v>238</v>
      </c>
    </row>
    <row r="117" spans="7:15" x14ac:dyDescent="0.25">
      <c r="G117" s="102"/>
      <c r="O117" s="99" t="s">
        <v>239</v>
      </c>
    </row>
    <row r="118" spans="7:15" x14ac:dyDescent="0.25">
      <c r="G118" s="102"/>
      <c r="O118" s="99" t="s">
        <v>240</v>
      </c>
    </row>
    <row r="119" spans="7:15" x14ac:dyDescent="0.25">
      <c r="G119" s="102"/>
      <c r="O119" s="99" t="s">
        <v>241</v>
      </c>
    </row>
    <row r="120" spans="7:15" x14ac:dyDescent="0.25">
      <c r="G120" s="102"/>
      <c r="O120" s="99" t="s">
        <v>242</v>
      </c>
    </row>
    <row r="121" spans="7:15" x14ac:dyDescent="0.25">
      <c r="G121" s="102"/>
      <c r="O121" s="99" t="s">
        <v>243</v>
      </c>
    </row>
    <row r="122" spans="7:15" x14ac:dyDescent="0.25">
      <c r="G122" s="102"/>
      <c r="O122" s="99" t="s">
        <v>244</v>
      </c>
    </row>
    <row r="123" spans="7:15" x14ac:dyDescent="0.25">
      <c r="G123" s="102"/>
      <c r="O123" s="99" t="s">
        <v>245</v>
      </c>
    </row>
    <row r="124" spans="7:15" x14ac:dyDescent="0.25">
      <c r="G124" s="102"/>
      <c r="O124" s="99" t="s">
        <v>246</v>
      </c>
    </row>
    <row r="125" spans="7:15" x14ac:dyDescent="0.25">
      <c r="G125" s="102"/>
      <c r="O125" s="99" t="s">
        <v>247</v>
      </c>
    </row>
    <row r="126" spans="7:15" x14ac:dyDescent="0.25">
      <c r="G126" s="102"/>
      <c r="O126" s="99" t="s">
        <v>248</v>
      </c>
    </row>
    <row r="127" spans="7:15" x14ac:dyDescent="0.25">
      <c r="G127" s="102"/>
      <c r="O127" s="99" t="s">
        <v>249</v>
      </c>
    </row>
    <row r="128" spans="7:15" x14ac:dyDescent="0.25">
      <c r="G128" s="102"/>
      <c r="O128" s="99" t="s">
        <v>250</v>
      </c>
    </row>
    <row r="129" spans="7:15" x14ac:dyDescent="0.25">
      <c r="G129" s="102"/>
      <c r="O129" s="99" t="s">
        <v>251</v>
      </c>
    </row>
    <row r="130" spans="7:15" x14ac:dyDescent="0.25">
      <c r="G130" s="102"/>
      <c r="O130" s="99" t="s">
        <v>252</v>
      </c>
    </row>
    <row r="131" spans="7:15" x14ac:dyDescent="0.25">
      <c r="G131" s="102"/>
      <c r="O131" s="99" t="s">
        <v>253</v>
      </c>
    </row>
    <row r="132" spans="7:15" x14ac:dyDescent="0.25">
      <c r="G132" s="102"/>
      <c r="O132" s="99" t="s">
        <v>254</v>
      </c>
    </row>
    <row r="133" spans="7:15" x14ac:dyDescent="0.25">
      <c r="G133" s="102"/>
      <c r="O133" s="99" t="s">
        <v>255</v>
      </c>
    </row>
    <row r="134" spans="7:15" x14ac:dyDescent="0.25">
      <c r="G134" s="102"/>
      <c r="O134" s="99" t="s">
        <v>256</v>
      </c>
    </row>
    <row r="135" spans="7:15" x14ac:dyDescent="0.25">
      <c r="G135" s="102"/>
      <c r="O135" s="99" t="s">
        <v>257</v>
      </c>
    </row>
    <row r="136" spans="7:15" x14ac:dyDescent="0.25">
      <c r="G136" s="102"/>
      <c r="O136" s="99" t="s">
        <v>258</v>
      </c>
    </row>
    <row r="137" spans="7:15" x14ac:dyDescent="0.25">
      <c r="G137" s="102"/>
      <c r="O137" s="99" t="s">
        <v>259</v>
      </c>
    </row>
    <row r="138" spans="7:15" x14ac:dyDescent="0.25">
      <c r="G138" s="102"/>
      <c r="O138" s="99" t="s">
        <v>260</v>
      </c>
    </row>
    <row r="139" spans="7:15" x14ac:dyDescent="0.25">
      <c r="G139" s="102"/>
      <c r="O139" s="99" t="s">
        <v>261</v>
      </c>
    </row>
    <row r="140" spans="7:15" x14ac:dyDescent="0.25">
      <c r="G140" s="102"/>
      <c r="O140" s="99" t="s">
        <v>262</v>
      </c>
    </row>
    <row r="141" spans="7:15" x14ac:dyDescent="0.25">
      <c r="G141" s="102"/>
      <c r="O141" s="99" t="s">
        <v>263</v>
      </c>
    </row>
    <row r="142" spans="7:15" x14ac:dyDescent="0.25">
      <c r="G142" s="102"/>
      <c r="O142" s="99" t="s">
        <v>264</v>
      </c>
    </row>
    <row r="143" spans="7:15" x14ac:dyDescent="0.25">
      <c r="G143" s="102"/>
      <c r="O143" s="99" t="s">
        <v>265</v>
      </c>
    </row>
    <row r="144" spans="7:15" x14ac:dyDescent="0.25">
      <c r="G144" s="102"/>
      <c r="O144" s="99" t="s">
        <v>266</v>
      </c>
    </row>
    <row r="145" spans="7:15" x14ac:dyDescent="0.25">
      <c r="G145" s="102"/>
      <c r="O145" s="99" t="s">
        <v>267</v>
      </c>
    </row>
    <row r="146" spans="7:15" x14ac:dyDescent="0.25">
      <c r="G146" s="102"/>
      <c r="O146" s="99" t="s">
        <v>268</v>
      </c>
    </row>
    <row r="147" spans="7:15" x14ac:dyDescent="0.25">
      <c r="G147" s="102"/>
      <c r="O147" s="99" t="s">
        <v>269</v>
      </c>
    </row>
    <row r="148" spans="7:15" x14ac:dyDescent="0.25">
      <c r="G148" s="102"/>
      <c r="O148" s="99" t="s">
        <v>270</v>
      </c>
    </row>
    <row r="149" spans="7:15" x14ac:dyDescent="0.25">
      <c r="G149" s="102"/>
      <c r="O149" s="99" t="s">
        <v>271</v>
      </c>
    </row>
    <row r="150" spans="7:15" x14ac:dyDescent="0.25">
      <c r="G150" s="102"/>
      <c r="O150" s="99" t="s">
        <v>272</v>
      </c>
    </row>
    <row r="151" spans="7:15" x14ac:dyDescent="0.25">
      <c r="G151" s="102"/>
      <c r="O151" s="99" t="s">
        <v>273</v>
      </c>
    </row>
    <row r="152" spans="7:15" x14ac:dyDescent="0.25">
      <c r="G152" s="102"/>
      <c r="O152" s="99" t="s">
        <v>274</v>
      </c>
    </row>
    <row r="153" spans="7:15" x14ac:dyDescent="0.25">
      <c r="G153" s="102"/>
      <c r="O153" s="99" t="s">
        <v>275</v>
      </c>
    </row>
    <row r="154" spans="7:15" x14ac:dyDescent="0.25">
      <c r="G154" s="102"/>
      <c r="O154" s="99" t="s">
        <v>276</v>
      </c>
    </row>
    <row r="155" spans="7:15" x14ac:dyDescent="0.25">
      <c r="G155" s="102"/>
      <c r="O155" s="99" t="s">
        <v>277</v>
      </c>
    </row>
    <row r="156" spans="7:15" x14ac:dyDescent="0.25">
      <c r="G156" s="102"/>
      <c r="O156" s="99" t="s">
        <v>278</v>
      </c>
    </row>
    <row r="157" spans="7:15" x14ac:dyDescent="0.25">
      <c r="G157" s="102"/>
      <c r="O157" s="99" t="s">
        <v>279</v>
      </c>
    </row>
    <row r="158" spans="7:15" x14ac:dyDescent="0.25">
      <c r="G158" s="102"/>
      <c r="O158" s="99" t="s">
        <v>280</v>
      </c>
    </row>
    <row r="159" spans="7:15" x14ac:dyDescent="0.25">
      <c r="G159" s="102"/>
      <c r="O159" s="99" t="s">
        <v>281</v>
      </c>
    </row>
    <row r="160" spans="7:15" x14ac:dyDescent="0.25">
      <c r="G160" s="102"/>
      <c r="O160" s="99" t="s">
        <v>282</v>
      </c>
    </row>
    <row r="161" spans="7:15" x14ac:dyDescent="0.25">
      <c r="G161" s="102"/>
      <c r="O161" s="99" t="s">
        <v>283</v>
      </c>
    </row>
    <row r="162" spans="7:15" x14ac:dyDescent="0.25">
      <c r="G162" s="102"/>
      <c r="O162" s="99" t="s">
        <v>284</v>
      </c>
    </row>
    <row r="163" spans="7:15" x14ac:dyDescent="0.25">
      <c r="G163" s="102"/>
      <c r="O163" s="99" t="s">
        <v>285</v>
      </c>
    </row>
    <row r="164" spans="7:15" x14ac:dyDescent="0.25">
      <c r="G164" s="102"/>
      <c r="O164" s="99" t="s">
        <v>286</v>
      </c>
    </row>
    <row r="165" spans="7:15" x14ac:dyDescent="0.25">
      <c r="G165" s="102"/>
      <c r="O165" s="99" t="s">
        <v>287</v>
      </c>
    </row>
    <row r="166" spans="7:15" x14ac:dyDescent="0.25">
      <c r="G166" s="102"/>
      <c r="O166" s="99" t="s">
        <v>288</v>
      </c>
    </row>
    <row r="167" spans="7:15" x14ac:dyDescent="0.25">
      <c r="G167" s="102"/>
      <c r="O167" s="99" t="s">
        <v>289</v>
      </c>
    </row>
    <row r="168" spans="7:15" x14ac:dyDescent="0.25">
      <c r="G168" s="102"/>
      <c r="O168" s="99" t="s">
        <v>290</v>
      </c>
    </row>
    <row r="169" spans="7:15" x14ac:dyDescent="0.25">
      <c r="G169" s="102"/>
      <c r="O169" s="99" t="s">
        <v>291</v>
      </c>
    </row>
    <row r="170" spans="7:15" x14ac:dyDescent="0.25">
      <c r="G170" s="102"/>
      <c r="O170" s="99" t="s">
        <v>292</v>
      </c>
    </row>
    <row r="171" spans="7:15" x14ac:dyDescent="0.25">
      <c r="G171" s="102"/>
      <c r="O171" s="99" t="s">
        <v>293</v>
      </c>
    </row>
    <row r="172" spans="7:15" x14ac:dyDescent="0.25">
      <c r="G172" s="102"/>
      <c r="O172" s="99" t="s">
        <v>294</v>
      </c>
    </row>
    <row r="173" spans="7:15" x14ac:dyDescent="0.25">
      <c r="G173" s="102"/>
      <c r="O173" s="99" t="s">
        <v>295</v>
      </c>
    </row>
    <row r="174" spans="7:15" x14ac:dyDescent="0.25">
      <c r="G174" s="102"/>
      <c r="O174" s="99" t="s">
        <v>296</v>
      </c>
    </row>
    <row r="175" spans="7:15" x14ac:dyDescent="0.25">
      <c r="G175" s="102"/>
      <c r="O175" s="99" t="s">
        <v>297</v>
      </c>
    </row>
    <row r="176" spans="7:15" x14ac:dyDescent="0.25">
      <c r="G176" s="102"/>
      <c r="O176" s="99" t="s">
        <v>298</v>
      </c>
    </row>
    <row r="177" spans="7:15" x14ac:dyDescent="0.25">
      <c r="G177" s="102"/>
      <c r="O177" s="99" t="s">
        <v>299</v>
      </c>
    </row>
    <row r="178" spans="7:15" x14ac:dyDescent="0.25">
      <c r="G178" s="102"/>
      <c r="O178" s="99" t="s">
        <v>300</v>
      </c>
    </row>
    <row r="179" spans="7:15" x14ac:dyDescent="0.25">
      <c r="G179" s="102"/>
      <c r="O179" s="99" t="s">
        <v>301</v>
      </c>
    </row>
    <row r="180" spans="7:15" x14ac:dyDescent="0.25">
      <c r="G180" s="102"/>
      <c r="O180" s="99" t="s">
        <v>302</v>
      </c>
    </row>
    <row r="181" spans="7:15" x14ac:dyDescent="0.25">
      <c r="G181" s="102"/>
      <c r="O181" s="99" t="s">
        <v>303</v>
      </c>
    </row>
    <row r="182" spans="7:15" x14ac:dyDescent="0.25">
      <c r="G182" s="102"/>
      <c r="O182" s="99" t="s">
        <v>304</v>
      </c>
    </row>
    <row r="183" spans="7:15" x14ac:dyDescent="0.25">
      <c r="G183" s="102"/>
      <c r="O183" s="99" t="s">
        <v>305</v>
      </c>
    </row>
    <row r="184" spans="7:15" x14ac:dyDescent="0.25">
      <c r="G184" s="102"/>
      <c r="O184" s="99" t="s">
        <v>306</v>
      </c>
    </row>
    <row r="185" spans="7:15" x14ac:dyDescent="0.25">
      <c r="G185" s="102"/>
      <c r="O185" s="99" t="s">
        <v>307</v>
      </c>
    </row>
    <row r="186" spans="7:15" x14ac:dyDescent="0.25">
      <c r="G186" s="102"/>
      <c r="O186" s="99" t="s">
        <v>308</v>
      </c>
    </row>
    <row r="187" spans="7:15" x14ac:dyDescent="0.25">
      <c r="G187" s="102"/>
      <c r="O187" s="99" t="s">
        <v>309</v>
      </c>
    </row>
    <row r="188" spans="7:15" x14ac:dyDescent="0.25">
      <c r="G188" s="102"/>
      <c r="O188" s="99" t="s">
        <v>310</v>
      </c>
    </row>
    <row r="189" spans="7:15" x14ac:dyDescent="0.25">
      <c r="G189" s="102"/>
      <c r="O189" s="99" t="s">
        <v>311</v>
      </c>
    </row>
    <row r="190" spans="7:15" x14ac:dyDescent="0.25">
      <c r="G190" s="102"/>
      <c r="O190" s="99" t="s">
        <v>312</v>
      </c>
    </row>
    <row r="191" spans="7:15" x14ac:dyDescent="0.25">
      <c r="G191" s="102"/>
      <c r="O191" s="99" t="s">
        <v>313</v>
      </c>
    </row>
    <row r="192" spans="7:15" x14ac:dyDescent="0.25">
      <c r="G192" s="102"/>
      <c r="O192" s="99" t="s">
        <v>314</v>
      </c>
    </row>
    <row r="193" spans="7:15" x14ac:dyDescent="0.25">
      <c r="G193" s="102"/>
      <c r="O193" s="99" t="s">
        <v>315</v>
      </c>
    </row>
    <row r="194" spans="7:15" x14ac:dyDescent="0.25">
      <c r="G194" s="102"/>
      <c r="O194" s="99" t="s">
        <v>316</v>
      </c>
    </row>
    <row r="195" spans="7:15" x14ac:dyDescent="0.25">
      <c r="G195" s="102"/>
      <c r="O195" s="99" t="s">
        <v>317</v>
      </c>
    </row>
    <row r="196" spans="7:15" x14ac:dyDescent="0.25">
      <c r="G196" s="102"/>
      <c r="O196" s="99" t="s">
        <v>318</v>
      </c>
    </row>
    <row r="197" spans="7:15" x14ac:dyDescent="0.25">
      <c r="G197" s="102"/>
      <c r="O197" s="99" t="s">
        <v>319</v>
      </c>
    </row>
    <row r="198" spans="7:15" x14ac:dyDescent="0.25">
      <c r="G198" s="102"/>
      <c r="O198" s="99" t="s">
        <v>320</v>
      </c>
    </row>
    <row r="199" spans="7:15" x14ac:dyDescent="0.25">
      <c r="G199" s="102"/>
      <c r="O199" s="99" t="s">
        <v>321</v>
      </c>
    </row>
    <row r="200" spans="7:15" x14ac:dyDescent="0.25">
      <c r="G200" s="102"/>
      <c r="O200" s="99" t="s">
        <v>322</v>
      </c>
    </row>
    <row r="201" spans="7:15" x14ac:dyDescent="0.25">
      <c r="G201" s="102"/>
      <c r="O201" s="99" t="s">
        <v>323</v>
      </c>
    </row>
    <row r="202" spans="7:15" x14ac:dyDescent="0.25">
      <c r="G202" s="102"/>
      <c r="O202" s="99" t="s">
        <v>324</v>
      </c>
    </row>
    <row r="203" spans="7:15" x14ac:dyDescent="0.25">
      <c r="G203" s="102"/>
      <c r="O203" s="99" t="s">
        <v>325</v>
      </c>
    </row>
    <row r="204" spans="7:15" x14ac:dyDescent="0.25">
      <c r="G204" s="102"/>
      <c r="O204" s="99" t="s">
        <v>326</v>
      </c>
    </row>
    <row r="205" spans="7:15" x14ac:dyDescent="0.25">
      <c r="G205" s="102"/>
      <c r="O205" s="99" t="s">
        <v>327</v>
      </c>
    </row>
    <row r="206" spans="7:15" x14ac:dyDescent="0.25">
      <c r="G206" s="102"/>
      <c r="O206" s="99" t="s">
        <v>328</v>
      </c>
    </row>
    <row r="207" spans="7:15" x14ac:dyDescent="0.25">
      <c r="G207" s="102"/>
      <c r="O207" s="99" t="s">
        <v>329</v>
      </c>
    </row>
    <row r="208" spans="7:15" x14ac:dyDescent="0.25">
      <c r="G208" s="102"/>
      <c r="O208" s="99" t="s">
        <v>330</v>
      </c>
    </row>
    <row r="209" spans="7:15" x14ac:dyDescent="0.25">
      <c r="G209" s="102"/>
      <c r="O209" s="99" t="s">
        <v>331</v>
      </c>
    </row>
    <row r="210" spans="7:15" x14ac:dyDescent="0.25">
      <c r="G210" s="102"/>
      <c r="O210" s="99" t="s">
        <v>332</v>
      </c>
    </row>
    <row r="211" spans="7:15" x14ac:dyDescent="0.25">
      <c r="G211" s="102"/>
      <c r="O211" s="99" t="s">
        <v>333</v>
      </c>
    </row>
    <row r="212" spans="7:15" x14ac:dyDescent="0.25">
      <c r="G212" s="102"/>
      <c r="O212" s="99" t="s">
        <v>334</v>
      </c>
    </row>
    <row r="213" spans="7:15" x14ac:dyDescent="0.25">
      <c r="G213" s="102"/>
      <c r="O213" s="99" t="s">
        <v>335</v>
      </c>
    </row>
    <row r="214" spans="7:15" x14ac:dyDescent="0.25">
      <c r="G214" s="102"/>
      <c r="O214" s="99" t="s">
        <v>336</v>
      </c>
    </row>
    <row r="215" spans="7:15" x14ac:dyDescent="0.25">
      <c r="G215" s="102"/>
      <c r="O215" s="99" t="s">
        <v>337</v>
      </c>
    </row>
    <row r="216" spans="7:15" x14ac:dyDescent="0.25">
      <c r="G216" s="102"/>
      <c r="O216" s="99" t="s">
        <v>338</v>
      </c>
    </row>
    <row r="217" spans="7:15" x14ac:dyDescent="0.25">
      <c r="G217" s="102"/>
      <c r="O217" s="99" t="s">
        <v>339</v>
      </c>
    </row>
    <row r="218" spans="7:15" x14ac:dyDescent="0.25">
      <c r="G218" s="102"/>
      <c r="O218" s="99" t="s">
        <v>340</v>
      </c>
    </row>
    <row r="219" spans="7:15" x14ac:dyDescent="0.25">
      <c r="G219" s="102"/>
      <c r="O219" s="99" t="s">
        <v>341</v>
      </c>
    </row>
    <row r="220" spans="7:15" x14ac:dyDescent="0.25">
      <c r="G220" s="102"/>
      <c r="O220" s="99" t="s">
        <v>342</v>
      </c>
    </row>
    <row r="221" spans="7:15" x14ac:dyDescent="0.25">
      <c r="G221" s="102"/>
      <c r="O221" s="99" t="s">
        <v>343</v>
      </c>
    </row>
    <row r="222" spans="7:15" x14ac:dyDescent="0.25">
      <c r="G222" s="102"/>
      <c r="O222" s="99" t="s">
        <v>344</v>
      </c>
    </row>
    <row r="223" spans="7:15" x14ac:dyDescent="0.25">
      <c r="G223" s="102"/>
      <c r="O223" s="99" t="s">
        <v>345</v>
      </c>
    </row>
    <row r="224" spans="7:15" x14ac:dyDescent="0.25">
      <c r="G224" s="102"/>
      <c r="O224" s="99" t="s">
        <v>346</v>
      </c>
    </row>
    <row r="225" spans="7:15" x14ac:dyDescent="0.25">
      <c r="G225" s="102"/>
      <c r="O225" s="99" t="s">
        <v>347</v>
      </c>
    </row>
    <row r="226" spans="7:15" x14ac:dyDescent="0.25">
      <c r="G226" s="102"/>
      <c r="O226" s="99" t="s">
        <v>348</v>
      </c>
    </row>
    <row r="227" spans="7:15" x14ac:dyDescent="0.25">
      <c r="G227" s="102"/>
      <c r="O227" s="99" t="s">
        <v>349</v>
      </c>
    </row>
    <row r="228" spans="7:15" x14ac:dyDescent="0.25">
      <c r="G228" s="102"/>
      <c r="O228" s="99" t="s">
        <v>350</v>
      </c>
    </row>
    <row r="229" spans="7:15" x14ac:dyDescent="0.25">
      <c r="G229" s="102"/>
      <c r="O229" s="99" t="s">
        <v>351</v>
      </c>
    </row>
    <row r="230" spans="7:15" x14ac:dyDescent="0.25">
      <c r="G230" s="102"/>
      <c r="O230" s="99" t="s">
        <v>352</v>
      </c>
    </row>
    <row r="231" spans="7:15" x14ac:dyDescent="0.25">
      <c r="G231" s="102"/>
      <c r="O231" s="99" t="s">
        <v>353</v>
      </c>
    </row>
    <row r="232" spans="7:15" x14ac:dyDescent="0.25">
      <c r="G232" s="102"/>
      <c r="O232" s="99" t="s">
        <v>354</v>
      </c>
    </row>
    <row r="233" spans="7:15" x14ac:dyDescent="0.25">
      <c r="G233" s="102"/>
      <c r="O233" s="99" t="s">
        <v>355</v>
      </c>
    </row>
    <row r="234" spans="7:15" x14ac:dyDescent="0.25">
      <c r="G234" s="102"/>
      <c r="O234" s="99" t="s">
        <v>356</v>
      </c>
    </row>
    <row r="235" spans="7:15" x14ac:dyDescent="0.25">
      <c r="G235" s="102"/>
      <c r="O235" s="99" t="s">
        <v>357</v>
      </c>
    </row>
    <row r="236" spans="7:15" x14ac:dyDescent="0.25">
      <c r="G236" s="102"/>
      <c r="O236" s="99" t="s">
        <v>358</v>
      </c>
    </row>
    <row r="237" spans="7:15" x14ac:dyDescent="0.25">
      <c r="G237" s="102"/>
      <c r="O237" s="99" t="s">
        <v>359</v>
      </c>
    </row>
    <row r="238" spans="7:15" x14ac:dyDescent="0.25">
      <c r="G238" s="102"/>
      <c r="O238" s="99" t="s">
        <v>360</v>
      </c>
    </row>
    <row r="239" spans="7:15" x14ac:dyDescent="0.25">
      <c r="G239" s="102"/>
      <c r="O239" s="99" t="s">
        <v>361</v>
      </c>
    </row>
    <row r="240" spans="7:15" x14ac:dyDescent="0.25">
      <c r="G240" s="102"/>
      <c r="O240" s="99" t="s">
        <v>362</v>
      </c>
    </row>
    <row r="241" spans="7:15" x14ac:dyDescent="0.25">
      <c r="G241" s="102"/>
      <c r="O241" s="99" t="s">
        <v>363</v>
      </c>
    </row>
    <row r="242" spans="7:15" x14ac:dyDescent="0.25">
      <c r="G242" s="102"/>
      <c r="O242" s="99" t="s">
        <v>364</v>
      </c>
    </row>
    <row r="243" spans="7:15" x14ac:dyDescent="0.25">
      <c r="G243" s="102"/>
      <c r="O243" s="99" t="s">
        <v>365</v>
      </c>
    </row>
    <row r="244" spans="7:15" x14ac:dyDescent="0.25">
      <c r="G244" s="102"/>
      <c r="O244" s="99" t="s">
        <v>366</v>
      </c>
    </row>
    <row r="245" spans="7:15" x14ac:dyDescent="0.25">
      <c r="G245" s="102"/>
      <c r="O245" s="99" t="s">
        <v>367</v>
      </c>
    </row>
    <row r="246" spans="7:15" x14ac:dyDescent="0.25">
      <c r="G246" s="102"/>
      <c r="O246" s="99" t="s">
        <v>368</v>
      </c>
    </row>
    <row r="247" spans="7:15" x14ac:dyDescent="0.25">
      <c r="G247" s="102"/>
      <c r="O247" s="99" t="s">
        <v>369</v>
      </c>
    </row>
    <row r="248" spans="7:15" x14ac:dyDescent="0.25">
      <c r="G248" s="102"/>
      <c r="O248" s="99" t="s">
        <v>370</v>
      </c>
    </row>
    <row r="249" spans="7:15" x14ac:dyDescent="0.25">
      <c r="G249" s="102"/>
      <c r="O249" s="99" t="s">
        <v>371</v>
      </c>
    </row>
    <row r="250" spans="7:15" x14ac:dyDescent="0.25">
      <c r="G250" s="102"/>
      <c r="O250" s="99" t="s">
        <v>372</v>
      </c>
    </row>
    <row r="251" spans="7:15" x14ac:dyDescent="0.25">
      <c r="G251" s="102"/>
      <c r="O251" s="99" t="s">
        <v>373</v>
      </c>
    </row>
    <row r="252" spans="7:15" x14ac:dyDescent="0.25">
      <c r="G252" s="102"/>
      <c r="O252" s="99" t="s">
        <v>374</v>
      </c>
    </row>
    <row r="253" spans="7:15" x14ac:dyDescent="0.25">
      <c r="G253" s="102"/>
      <c r="O253" s="99" t="s">
        <v>375</v>
      </c>
    </row>
    <row r="254" spans="7:15" x14ac:dyDescent="0.25">
      <c r="G254" s="102"/>
      <c r="O254" s="99" t="s">
        <v>376</v>
      </c>
    </row>
    <row r="255" spans="7:15" x14ac:dyDescent="0.25">
      <c r="G255" s="102"/>
      <c r="O255" s="99" t="s">
        <v>377</v>
      </c>
    </row>
    <row r="256" spans="7:15" x14ac:dyDescent="0.25">
      <c r="G256" s="102"/>
      <c r="O256" s="99" t="s">
        <v>378</v>
      </c>
    </row>
    <row r="257" spans="7:15" x14ac:dyDescent="0.25">
      <c r="G257" s="102"/>
      <c r="O257" s="99" t="s">
        <v>379</v>
      </c>
    </row>
    <row r="258" spans="7:15" x14ac:dyDescent="0.25">
      <c r="G258" s="102"/>
      <c r="O258" s="99" t="s">
        <v>380</v>
      </c>
    </row>
    <row r="259" spans="7:15" x14ac:dyDescent="0.25">
      <c r="G259" s="102"/>
    </row>
    <row r="260" spans="7:15" x14ac:dyDescent="0.25">
      <c r="G260" s="102"/>
    </row>
    <row r="261" spans="7:15" x14ac:dyDescent="0.25">
      <c r="G261" s="102"/>
    </row>
    <row r="262" spans="7:15" x14ac:dyDescent="0.25">
      <c r="G262" s="102"/>
    </row>
    <row r="263" spans="7:15" x14ac:dyDescent="0.25">
      <c r="G263" s="102"/>
    </row>
    <row r="264" spans="7:15" x14ac:dyDescent="0.25">
      <c r="G264" s="102"/>
    </row>
    <row r="265" spans="7:15" x14ac:dyDescent="0.25">
      <c r="G265" s="102"/>
    </row>
    <row r="266" spans="7:15" x14ac:dyDescent="0.25">
      <c r="G266" s="102"/>
    </row>
    <row r="267" spans="7:15" x14ac:dyDescent="0.25">
      <c r="G267" s="102"/>
    </row>
    <row r="268" spans="7:15" x14ac:dyDescent="0.25">
      <c r="G268" s="102"/>
    </row>
    <row r="269" spans="7:15" x14ac:dyDescent="0.25">
      <c r="G269" s="102"/>
    </row>
    <row r="270" spans="7:15" x14ac:dyDescent="0.25">
      <c r="G270" s="102"/>
    </row>
    <row r="271" spans="7:15" x14ac:dyDescent="0.25">
      <c r="G271" s="102"/>
    </row>
    <row r="272" spans="7:15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A11" sqref="A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2012-04-20T02:04:26Z</dcterms:modified>
</cp:coreProperties>
</file>
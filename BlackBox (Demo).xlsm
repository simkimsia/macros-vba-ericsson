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15" windowWidth="13140" windowHeight="44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173" i="2" l="1"/>
  <c r="L111" i="2"/>
  <c r="L4" i="2"/>
  <c r="L3" i="2"/>
  <c r="K173" i="2"/>
  <c r="K111" i="2"/>
  <c r="K4" i="2"/>
  <c r="M173" i="2"/>
  <c r="M111" i="2"/>
  <c r="M4" i="2"/>
  <c r="J173" i="2"/>
  <c r="J111" i="2"/>
  <c r="J4" i="2"/>
  <c r="L203" i="2"/>
  <c r="L174" i="2"/>
  <c r="L112" i="2"/>
  <c r="L58" i="2"/>
  <c r="L53" i="2"/>
  <c r="L48" i="2"/>
  <c r="L40" i="2"/>
  <c r="L32" i="2"/>
  <c r="L19" i="2"/>
  <c r="L11" i="2"/>
  <c r="L70" i="2"/>
  <c r="L5" i="2"/>
  <c r="K203" i="2"/>
  <c r="K174" i="2"/>
  <c r="K112" i="2"/>
  <c r="K58" i="2"/>
  <c r="K53" i="2"/>
  <c r="K48" i="2"/>
  <c r="K40" i="2"/>
  <c r="K32" i="2"/>
  <c r="K19" i="2"/>
  <c r="K11" i="2"/>
  <c r="K70" i="2"/>
  <c r="K5" i="2"/>
  <c r="M203" i="2"/>
  <c r="M174" i="2"/>
  <c r="M112" i="2"/>
  <c r="M58" i="2"/>
  <c r="M53" i="2"/>
  <c r="M48" i="2"/>
  <c r="M40" i="2"/>
  <c r="M32" i="2"/>
  <c r="M19" i="2"/>
  <c r="M11" i="2"/>
  <c r="M70" i="2"/>
  <c r="M5" i="2"/>
  <c r="J203" i="2"/>
  <c r="J174" i="2"/>
  <c r="J112" i="2"/>
  <c r="J58" i="2"/>
  <c r="J53" i="2"/>
  <c r="J48" i="2"/>
  <c r="J40" i="2"/>
  <c r="J32" i="2"/>
  <c r="J19" i="2"/>
  <c r="J11" i="2"/>
  <c r="J70" i="2"/>
  <c r="J5" i="2"/>
  <c r="L255" i="2"/>
  <c r="L249" i="2"/>
  <c r="L243" i="2"/>
  <c r="L234" i="2"/>
  <c r="L230" i="2"/>
  <c r="L204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4" i="2"/>
  <c r="K230" i="2"/>
  <c r="K204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4" i="2"/>
  <c r="M230" i="2"/>
  <c r="M204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4" i="2"/>
  <c r="J230" i="2"/>
  <c r="J204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38" i="2"/>
  <c r="L235" i="2"/>
  <c r="L231" i="2"/>
  <c r="L224" i="2"/>
  <c r="L221" i="2"/>
  <c r="L187" i="2"/>
  <c r="L183" i="2"/>
  <c r="L176" i="2"/>
  <c r="L168" i="2"/>
  <c r="L159" i="2"/>
  <c r="L150" i="2"/>
  <c r="L141" i="2"/>
  <c r="L132" i="2"/>
  <c r="L123" i="2"/>
  <c r="L114" i="2"/>
  <c r="L60" i="2"/>
  <c r="L55" i="2"/>
  <c r="L50" i="2"/>
  <c r="L42" i="2"/>
  <c r="L34" i="2"/>
  <c r="L29" i="2"/>
  <c r="L21" i="2"/>
  <c r="L13" i="2"/>
  <c r="L106" i="2"/>
  <c r="L72" i="2"/>
  <c r="L66" i="2"/>
  <c r="L7" i="2"/>
  <c r="K256" i="2"/>
  <c r="K250" i="2"/>
  <c r="K244" i="2"/>
  <c r="K238" i="2"/>
  <c r="K235" i="2"/>
  <c r="K231" i="2"/>
  <c r="K224" i="2"/>
  <c r="K221" i="2"/>
  <c r="K187" i="2"/>
  <c r="K183" i="2"/>
  <c r="K176" i="2"/>
  <c r="K168" i="2"/>
  <c r="K159" i="2"/>
  <c r="K150" i="2"/>
  <c r="K141" i="2"/>
  <c r="K132" i="2"/>
  <c r="K123" i="2"/>
  <c r="K114" i="2"/>
  <c r="K60" i="2"/>
  <c r="K55" i="2"/>
  <c r="K50" i="2"/>
  <c r="K42" i="2"/>
  <c r="K34" i="2"/>
  <c r="K29" i="2"/>
  <c r="K21" i="2"/>
  <c r="K13" i="2"/>
  <c r="K106" i="2"/>
  <c r="K72" i="2"/>
  <c r="K66" i="2"/>
  <c r="K7" i="2"/>
  <c r="M256" i="2"/>
  <c r="M250" i="2"/>
  <c r="M244" i="2"/>
  <c r="M238" i="2"/>
  <c r="M235" i="2"/>
  <c r="M231" i="2"/>
  <c r="M224" i="2"/>
  <c r="M221" i="2"/>
  <c r="M187" i="2"/>
  <c r="M183" i="2"/>
  <c r="M176" i="2"/>
  <c r="M168" i="2"/>
  <c r="M159" i="2"/>
  <c r="M150" i="2"/>
  <c r="M141" i="2"/>
  <c r="M132" i="2"/>
  <c r="M123" i="2"/>
  <c r="M114" i="2"/>
  <c r="M60" i="2"/>
  <c r="M55" i="2"/>
  <c r="M50" i="2"/>
  <c r="M42" i="2"/>
  <c r="M34" i="2"/>
  <c r="M29" i="2"/>
  <c r="M21" i="2"/>
  <c r="M13" i="2"/>
  <c r="M106" i="2"/>
  <c r="M72" i="2"/>
  <c r="M66" i="2"/>
  <c r="M7" i="2"/>
  <c r="J256" i="2"/>
  <c r="J250" i="2"/>
  <c r="J244" i="2"/>
  <c r="J238" i="2"/>
  <c r="J235" i="2"/>
  <c r="J231" i="2"/>
  <c r="J224" i="2"/>
  <c r="J221" i="2"/>
  <c r="J187" i="2"/>
  <c r="J183" i="2"/>
  <c r="J176" i="2"/>
  <c r="J168" i="2"/>
  <c r="J159" i="2"/>
  <c r="J150" i="2"/>
  <c r="J141" i="2"/>
  <c r="J132" i="2"/>
  <c r="J123" i="2"/>
  <c r="J114" i="2"/>
  <c r="J60" i="2"/>
  <c r="J55" i="2"/>
  <c r="J50" i="2"/>
  <c r="J42" i="2"/>
  <c r="J34" i="2"/>
  <c r="J29" i="2"/>
  <c r="J21" i="2"/>
  <c r="J13" i="2"/>
  <c r="J106" i="2"/>
  <c r="J72" i="2"/>
  <c r="J66" i="2"/>
  <c r="J7" i="2"/>
  <c r="L257" i="2"/>
  <c r="L251" i="2"/>
  <c r="L245" i="2"/>
  <c r="L241" i="2"/>
  <c r="L239" i="2"/>
  <c r="L236" i="2"/>
  <c r="L232" i="2"/>
  <c r="L225" i="2"/>
  <c r="L222" i="2"/>
  <c r="L205" i="2"/>
  <c r="L188" i="2"/>
  <c r="L184" i="2"/>
  <c r="L177" i="2"/>
  <c r="L169" i="2"/>
  <c r="L164" i="2"/>
  <c r="L160" i="2"/>
  <c r="L155" i="2"/>
  <c r="L151" i="2"/>
  <c r="L146" i="2"/>
  <c r="L142" i="2"/>
  <c r="L137" i="2"/>
  <c r="L133" i="2"/>
  <c r="L128" i="2"/>
  <c r="L124" i="2"/>
  <c r="L119" i="2"/>
  <c r="L115" i="2"/>
  <c r="L61" i="2"/>
  <c r="L56" i="2"/>
  <c r="L51" i="2"/>
  <c r="L43" i="2"/>
  <c r="L35" i="2"/>
  <c r="L30" i="2"/>
  <c r="L22" i="2"/>
  <c r="L14" i="2"/>
  <c r="L107" i="2"/>
  <c r="L102" i="2"/>
  <c r="L73" i="2"/>
  <c r="L67" i="2"/>
  <c r="L8" i="2"/>
  <c r="K257" i="2"/>
  <c r="K251" i="2"/>
  <c r="K245" i="2"/>
  <c r="K241" i="2"/>
  <c r="K239" i="2"/>
  <c r="K236" i="2"/>
  <c r="K232" i="2"/>
  <c r="K225" i="2"/>
  <c r="K222" i="2"/>
  <c r="K205" i="2"/>
  <c r="K188" i="2"/>
  <c r="K184" i="2"/>
  <c r="K177" i="2"/>
  <c r="K169" i="2"/>
  <c r="K164" i="2"/>
  <c r="K160" i="2"/>
  <c r="K155" i="2"/>
  <c r="K151" i="2"/>
  <c r="K146" i="2"/>
  <c r="K142" i="2"/>
  <c r="K137" i="2"/>
  <c r="K133" i="2"/>
  <c r="K128" i="2"/>
  <c r="K124" i="2"/>
  <c r="K119" i="2"/>
  <c r="K115" i="2"/>
  <c r="K61" i="2"/>
  <c r="K56" i="2"/>
  <c r="K51" i="2"/>
  <c r="K43" i="2"/>
  <c r="K35" i="2"/>
  <c r="K30" i="2"/>
  <c r="K22" i="2"/>
  <c r="K14" i="2"/>
  <c r="K107" i="2"/>
  <c r="K102" i="2"/>
  <c r="K73" i="2"/>
  <c r="K67" i="2"/>
  <c r="K8" i="2"/>
  <c r="M257" i="2"/>
  <c r="M251" i="2"/>
  <c r="M245" i="2"/>
  <c r="M241" i="2"/>
  <c r="M239" i="2"/>
  <c r="M236" i="2"/>
  <c r="M232" i="2"/>
  <c r="M225" i="2"/>
  <c r="M222" i="2"/>
  <c r="M205" i="2"/>
  <c r="M188" i="2"/>
  <c r="M184" i="2"/>
  <c r="M177" i="2"/>
  <c r="M169" i="2"/>
  <c r="M164" i="2"/>
  <c r="M160" i="2"/>
  <c r="M155" i="2"/>
  <c r="M151" i="2"/>
  <c r="M146" i="2"/>
  <c r="M142" i="2"/>
  <c r="M137" i="2"/>
  <c r="M133" i="2"/>
  <c r="M128" i="2"/>
  <c r="M124" i="2"/>
  <c r="M119" i="2"/>
  <c r="M115" i="2"/>
  <c r="M61" i="2"/>
  <c r="M56" i="2"/>
  <c r="M51" i="2"/>
  <c r="M43" i="2"/>
  <c r="M35" i="2"/>
  <c r="M30" i="2"/>
  <c r="M22" i="2"/>
  <c r="M14" i="2"/>
  <c r="M107" i="2"/>
  <c r="M102" i="2"/>
  <c r="M73" i="2"/>
  <c r="M67" i="2"/>
  <c r="M8" i="2"/>
  <c r="J257" i="2"/>
  <c r="J251" i="2"/>
  <c r="J245" i="2"/>
  <c r="J241" i="2"/>
  <c r="J239" i="2"/>
  <c r="J236" i="2"/>
  <c r="J232" i="2"/>
  <c r="J225" i="2"/>
  <c r="J222" i="2"/>
  <c r="J205" i="2"/>
  <c r="J188" i="2"/>
  <c r="J184" i="2"/>
  <c r="J177" i="2"/>
  <c r="J169" i="2"/>
  <c r="J164" i="2"/>
  <c r="J160" i="2"/>
  <c r="J155" i="2"/>
  <c r="J151" i="2"/>
  <c r="J146" i="2"/>
  <c r="J142" i="2"/>
  <c r="J137" i="2"/>
  <c r="J133" i="2"/>
  <c r="J128" i="2"/>
  <c r="J124" i="2"/>
  <c r="J119" i="2"/>
  <c r="J115" i="2"/>
  <c r="J61" i="2"/>
  <c r="J56" i="2"/>
  <c r="J51" i="2"/>
  <c r="J43" i="2"/>
  <c r="J35" i="2"/>
  <c r="J30" i="2"/>
  <c r="J22" i="2"/>
  <c r="J14" i="2"/>
  <c r="J107" i="2"/>
  <c r="J102" i="2"/>
  <c r="J73" i="2"/>
  <c r="J67" i="2"/>
  <c r="J8" i="2"/>
  <c r="M260" i="2"/>
  <c r="K260" i="2"/>
  <c r="M259" i="2"/>
  <c r="K259" i="2"/>
  <c r="M258" i="2"/>
  <c r="K258" i="2"/>
  <c r="M254" i="2"/>
  <c r="K254" i="2"/>
  <c r="M253" i="2"/>
  <c r="K253" i="2"/>
  <c r="M252" i="2"/>
  <c r="K252" i="2"/>
  <c r="M248" i="2"/>
  <c r="K248" i="2"/>
  <c r="M247" i="2"/>
  <c r="K247" i="2"/>
  <c r="M246" i="2"/>
  <c r="K246" i="2"/>
  <c r="M242" i="2"/>
  <c r="K242" i="2"/>
  <c r="M240" i="2"/>
  <c r="K240" i="2"/>
  <c r="M237" i="2"/>
  <c r="K237" i="2"/>
  <c r="M233" i="2"/>
  <c r="K233" i="2"/>
  <c r="M229" i="2"/>
  <c r="K229" i="2"/>
  <c r="M228" i="2"/>
  <c r="K228" i="2"/>
  <c r="M227" i="2"/>
  <c r="K227" i="2"/>
  <c r="M226" i="2"/>
  <c r="K226" i="2"/>
  <c r="M223" i="2"/>
  <c r="K223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6" i="2"/>
  <c r="K186" i="2"/>
  <c r="M185" i="2"/>
  <c r="K185" i="2"/>
  <c r="M182" i="2"/>
  <c r="K182" i="2"/>
  <c r="M181" i="2"/>
  <c r="K181" i="2"/>
  <c r="M180" i="2"/>
  <c r="K180" i="2"/>
  <c r="M179" i="2"/>
  <c r="K179" i="2"/>
  <c r="M178" i="2"/>
  <c r="K178" i="2"/>
  <c r="M172" i="2"/>
  <c r="K172" i="2"/>
  <c r="M171" i="2"/>
  <c r="K171" i="2"/>
  <c r="M170" i="2"/>
  <c r="K170" i="2"/>
  <c r="M166" i="2"/>
  <c r="K166" i="2"/>
  <c r="M165" i="2"/>
  <c r="K165" i="2"/>
  <c r="M163" i="2"/>
  <c r="K163" i="2"/>
  <c r="M162" i="2"/>
  <c r="K162" i="2"/>
  <c r="M161" i="2"/>
  <c r="K161" i="2"/>
  <c r="M157" i="2"/>
  <c r="K157" i="2"/>
  <c r="M156" i="2"/>
  <c r="K156" i="2"/>
  <c r="M154" i="2"/>
  <c r="K154" i="2"/>
  <c r="M153" i="2"/>
  <c r="K153" i="2"/>
  <c r="M152" i="2"/>
  <c r="K152" i="2"/>
  <c r="M148" i="2"/>
  <c r="K148" i="2"/>
  <c r="M147" i="2"/>
  <c r="K147" i="2"/>
  <c r="M145" i="2"/>
  <c r="K145" i="2"/>
  <c r="M144" i="2"/>
  <c r="K144" i="2"/>
  <c r="M143" i="2"/>
  <c r="K143" i="2"/>
  <c r="M139" i="2"/>
  <c r="K139" i="2"/>
  <c r="M138" i="2"/>
  <c r="K138" i="2"/>
  <c r="M136" i="2"/>
  <c r="K136" i="2"/>
  <c r="M135" i="2"/>
  <c r="K135" i="2"/>
  <c r="M134" i="2"/>
  <c r="K134" i="2"/>
  <c r="M130" i="2"/>
  <c r="K130" i="2"/>
  <c r="M129" i="2"/>
  <c r="K129" i="2"/>
  <c r="M127" i="2"/>
  <c r="K127" i="2"/>
  <c r="M126" i="2"/>
  <c r="K126" i="2"/>
  <c r="M125" i="2"/>
  <c r="K125" i="2"/>
  <c r="M121" i="2"/>
  <c r="K121" i="2"/>
  <c r="M120" i="2"/>
  <c r="K120" i="2"/>
  <c r="M118" i="2"/>
  <c r="K118" i="2"/>
  <c r="M117" i="2"/>
  <c r="K117" i="2"/>
  <c r="M116" i="2"/>
  <c r="K116" i="2"/>
  <c r="M110" i="2"/>
  <c r="K110" i="2"/>
  <c r="M109" i="2"/>
  <c r="K109" i="2"/>
  <c r="M108" i="2"/>
  <c r="K108" i="2"/>
  <c r="M104" i="2"/>
  <c r="K104" i="2"/>
  <c r="M103" i="2"/>
  <c r="K103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69" i="2"/>
  <c r="K69" i="2"/>
  <c r="M68" i="2"/>
  <c r="K68" i="2"/>
  <c r="M64" i="2"/>
  <c r="K64" i="2"/>
  <c r="M63" i="2"/>
  <c r="K63" i="2"/>
  <c r="M62" i="2"/>
  <c r="K62" i="2"/>
  <c r="M57" i="2"/>
  <c r="K57" i="2"/>
  <c r="M52" i="2"/>
  <c r="K52" i="2"/>
  <c r="M47" i="2"/>
  <c r="K47" i="2"/>
  <c r="M46" i="2"/>
  <c r="K46" i="2"/>
  <c r="M45" i="2"/>
  <c r="K45" i="2"/>
  <c r="M44" i="2"/>
  <c r="K44" i="2"/>
  <c r="M39" i="2"/>
  <c r="K39" i="2"/>
  <c r="M38" i="2"/>
  <c r="K38" i="2"/>
  <c r="M37" i="2"/>
  <c r="K37" i="2"/>
  <c r="M36" i="2"/>
  <c r="K36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M3" i="2" l="1"/>
  <c r="G28" i="5"/>
  <c r="F28" i="5"/>
  <c r="E28" i="5"/>
  <c r="H27" i="5"/>
  <c r="G25" i="5"/>
  <c r="E25" i="5"/>
  <c r="G20" i="5"/>
  <c r="E20" i="5"/>
  <c r="G19" i="5"/>
  <c r="F19" i="5"/>
  <c r="E19" i="5"/>
  <c r="H14" i="4"/>
  <c r="H13" i="4"/>
  <c r="H16" i="4" s="1"/>
  <c r="H12" i="4"/>
  <c r="J3" i="2" l="1"/>
  <c r="K3" i="2" s="1"/>
</calcChain>
</file>

<file path=xl/sharedStrings.xml><?xml version="1.0" encoding="utf-8"?>
<sst xmlns="http://schemas.openxmlformats.org/spreadsheetml/2006/main" count="3111" uniqueCount="1251">
  <si>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</si>
  <si>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</si>
  <si>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</si>
  <si>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</si>
  <si>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</si>
  <si>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</si>
  <si>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</si>
  <si>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</si>
  <si>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</si>
  <si>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</si>
  <si>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</si>
  <si>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</si>
  <si>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</si>
  <si>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</si>
  <si>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</si>
  <si>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</si>
  <si>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</si>
  <si>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</si>
  <si>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</si>
  <si>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</si>
  <si>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</si>
  <si>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</si>
  <si>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</si>
  <si>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</si>
  <si>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</si>
  <si>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</si>
  <si>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</si>
  <si>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</si>
  <si>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</si>
  <si>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</si>
  <si>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</si>
  <si>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</si>
  <si>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</si>
  <si>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</si>
  <si>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</si>
  <si>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</si>
  <si>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</si>
  <si>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</si>
  <si>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</si>
  <si>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</si>
  <si>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</si>
  <si>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</si>
  <si>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</si>
  <si>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</si>
  <si>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</si>
  <si>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</si>
  <si>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</si>
  <si>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</si>
  <si>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</si>
  <si>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</si>
  <si>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</si>
  <si>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</si>
  <si>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</si>
  <si>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</si>
  <si>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</si>
  <si>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</si>
  <si>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</si>
  <si>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</si>
  <si>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</si>
  <si>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</si>
  <si>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</si>
  <si>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</si>
  <si>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</si>
  <si>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</si>
  <si>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</si>
  <si>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</si>
  <si>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</si>
  <si>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</si>
  <si>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</si>
  <si>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</si>
  <si>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</si>
  <si>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</si>
  <si>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</si>
  <si>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</si>
  <si>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</si>
  <si>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</si>
  <si>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</si>
  <si>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</si>
  <si>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</si>
  <si>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</si>
  <si>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</si>
  <si>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</si>
  <si>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</si>
  <si>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</si>
  <si>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</si>
  <si>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</si>
  <si>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</si>
  <si>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</si>
  <si>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</si>
  <si>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</si>
  <si>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</si>
  <si>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</si>
  <si>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</si>
  <si>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</si>
  <si>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PRODUCT PACKAGE/HLR-FE Blade HW 1.0 (FAP1302383)</t>
  </si>
  <si>
    <t>20</t>
  </si>
  <si>
    <t>HLR Blade Server 1.0 Base Configuration  (incl 3 blades)</t>
  </si>
  <si>
    <t>22</t>
  </si>
  <si>
    <t>Power Cable (6.0 mm2)</t>
  </si>
  <si>
    <t>23</t>
  </si>
  <si>
    <t>25</t>
  </si>
  <si>
    <t>26</t>
  </si>
  <si>
    <t>27</t>
  </si>
  <si>
    <t>28</t>
  </si>
  <si>
    <t>29</t>
  </si>
  <si>
    <t>30</t>
  </si>
  <si>
    <t>31</t>
  </si>
  <si>
    <t>33</t>
  </si>
  <si>
    <t>34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</si>
  <si>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</si>
  <si>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</si>
  <si>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</si>
  <si>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</si>
  <si>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</si>
  <si>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</si>
  <si>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</si>
  <si>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</si>
  <si>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</si>
  <si>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</si>
  <si>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</si>
  <si>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</si>
  <si>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GEP3-HD300</t>
  </si>
  <si>
    <t>PFM HOD</t>
  </si>
  <si>
    <t>SCXB2</t>
  </si>
  <si>
    <t>Subrack + Backplane</t>
  </si>
  <si>
    <t>4</t>
  </si>
  <si>
    <t>5</t>
  </si>
  <si>
    <t>11</t>
  </si>
  <si>
    <t>12</t>
  </si>
  <si>
    <t>13</t>
  </si>
  <si>
    <t>14</t>
  </si>
  <si>
    <t>21</t>
  </si>
  <si>
    <t>24</t>
  </si>
  <si>
    <t>=SUM(K9,K10)</t>
  </si>
  <si>
    <t>=I8*SUM(M9,M10)</t>
  </si>
  <si>
    <t>=I8*J8</t>
  </si>
  <si>
    <t>=I19*J19</t>
  </si>
  <si>
    <t>=I30*J30</t>
  </si>
  <si>
    <t>=100*(1-(M8/K8))</t>
  </si>
  <si>
    <t>=100*(1-(M19/K19))</t>
  </si>
  <si>
    <t>=100*(1-(M30/K30))</t>
  </si>
  <si>
    <t>=SUM(K8)</t>
  </si>
  <si>
    <t>=SUM(K30)</t>
  </si>
  <si>
    <t>=I7*SUM(M8)</t>
  </si>
  <si>
    <t>=I29*SUM(M30)</t>
  </si>
  <si>
    <t>=I7*J7</t>
  </si>
  <si>
    <t>=I14*J14</t>
  </si>
  <si>
    <t>=I29*J29</t>
  </si>
  <si>
    <t>=100*(1-(M7/K7))</t>
  </si>
  <si>
    <t>=100*(1-(M14/K14))</t>
  </si>
  <si>
    <t>=100*(1-(M29/K29))</t>
  </si>
  <si>
    <t>=SUM(K7)</t>
  </si>
  <si>
    <t>=I6*SUM(M7)</t>
  </si>
  <si>
    <t>=I6*J6</t>
  </si>
  <si>
    <t>=I13*J13</t>
  </si>
  <si>
    <t>=100*(1-(M6/K6))</t>
  </si>
  <si>
    <t>=100*(1-(M13/K13))</t>
  </si>
  <si>
    <t>=SUM(K6)</t>
  </si>
  <si>
    <t>=I5*SUM(M6)</t>
  </si>
  <si>
    <t>=I4*J4</t>
  </si>
  <si>
    <t>=I5*J5</t>
  </si>
  <si>
    <t>=I12*J12</t>
  </si>
  <si>
    <t>=100*(1-(M4/K4))</t>
  </si>
  <si>
    <t>=100*(1-(M5/K5))</t>
  </si>
  <si>
    <t>=100*(1-(M12/K12))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</si>
  <si>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</si>
  <si>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</si>
  <si>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</si>
  <si>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</si>
  <si>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</si>
  <si>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</si>
  <si>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</si>
  <si>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</si>
  <si>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1.1.2</t>
  </si>
  <si>
    <t>1.1.3</t>
  </si>
  <si>
    <t>1.1.4</t>
  </si>
  <si>
    <t>1.1.2.1</t>
  </si>
  <si>
    <t>1.1.3.1</t>
  </si>
  <si>
    <t>1.1.4.1</t>
  </si>
  <si>
    <t>1.1.2.1.1</t>
  </si>
  <si>
    <t>1.1.3.1.1</t>
  </si>
  <si>
    <t>1.1.4.1.1</t>
  </si>
  <si>
    <t>1.1.2.1.1.1</t>
  </si>
  <si>
    <t>1.1.3.1.1.1</t>
  </si>
  <si>
    <t>1.1.4.1.1.1</t>
  </si>
  <si>
    <t>1.1.2.1.1.1.1</t>
  </si>
  <si>
    <t>1.1.3.1.1.1.1</t>
  </si>
  <si>
    <t>1.1.1.1.1.2.1</t>
  </si>
  <si>
    <t>1.1.1.1.1.2.3</t>
  </si>
  <si>
    <t>EVO 2</t>
  </si>
  <si>
    <t>CUDB BC_OLP 1</t>
  </si>
  <si>
    <t>CUDB BC_OLP</t>
  </si>
  <si>
    <t>PRODUCT PACKAGE/EBS based CUDB HW v1.0 (FAP1302595)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</si>
  <si>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</si>
  <si>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</si>
  <si>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</si>
  <si>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</si>
  <si>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</si>
  <si>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</si>
  <si>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</si>
  <si>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CUDB Spares</t>
  </si>
  <si>
    <t>CUDB Spares 1</t>
  </si>
  <si>
    <t>PRODUCT PACKAGE/SP CUDB 11B (FAP1302513)</t>
  </si>
  <si>
    <t>1.1.3.1.1.1.2</t>
  </si>
  <si>
    <t>NWI-E 450A</t>
  </si>
  <si>
    <t>1.1.3.1.1.1.3</t>
  </si>
  <si>
    <t>1.1.3.1.1.1.4</t>
  </si>
  <si>
    <t>1.1.3.1.1.1.5</t>
  </si>
  <si>
    <t>HLR-FE Spares</t>
  </si>
  <si>
    <t>1.1.1.1.1.2</t>
  </si>
  <si>
    <t>=SUM(K15,K16,K17,K18)</t>
  </si>
  <si>
    <t>=SUM(K23,K24,K25,K26,K27)</t>
  </si>
  <si>
    <t>=SUM(K31)</t>
  </si>
  <si>
    <t>=I14*SUM(M15,M16,M17,M18)</t>
  </si>
  <si>
    <t>=I22*SUM(M23,M24,M25,M26,M27)</t>
  </si>
  <si>
    <t>=I30*SUM(M31)</t>
  </si>
  <si>
    <t>=SUM(K14)</t>
  </si>
  <si>
    <t>=SUM(K22)</t>
  </si>
  <si>
    <t>=I13*SUM(M14)</t>
  </si>
  <si>
    <t>=I21*SUM(M22)</t>
  </si>
  <si>
    <t>=I21*J21</t>
  </si>
  <si>
    <t>=100*(1-(M21/K21))</t>
  </si>
  <si>
    <t>=SUM(K13)</t>
  </si>
  <si>
    <t>=SUM(K21)</t>
  </si>
  <si>
    <t>=SUM(K29)</t>
  </si>
  <si>
    <t>=I12*SUM(M13)</t>
  </si>
  <si>
    <t>=I20*SUM(M21)</t>
  </si>
  <si>
    <t>=I28*SUM(M29)</t>
  </si>
  <si>
    <t>=I20*J20</t>
  </si>
  <si>
    <t>=I28*J28</t>
  </si>
  <si>
    <t>=100*(1-(M20/K20))</t>
  </si>
  <si>
    <t>=100*(1-(M28/K28))</t>
  </si>
  <si>
    <t>=SUM(K12)</t>
  </si>
  <si>
    <t>=SUM(K20)</t>
  </si>
  <si>
    <t>=I11*SUM(M12)</t>
  </si>
  <si>
    <t>=I19*SUM(M20)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</si>
  <si>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</si>
  <si>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</si>
  <si>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</si>
  <si>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</si>
  <si>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</si>
  <si>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</si>
  <si>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</si>
  <si>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</si>
  <si>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</si>
  <si>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</si>
  <si>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</si>
  <si>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</si>
  <si>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</si>
  <si>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</si>
  <si>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</si>
  <si>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</si>
  <si>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</si>
  <si>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</si>
  <si>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</si>
  <si>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</si>
  <si>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</si>
  <si>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</si>
  <si>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</si>
  <si>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</si>
  <si>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</si>
  <si>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</si>
  <si>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</si>
  <si>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</si>
  <si>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</si>
  <si>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</si>
  <si>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</si>
  <si>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</si>
  <si>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</si>
  <si>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</si>
  <si>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</si>
  <si>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</si>
  <si>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</si>
  <si>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</si>
  <si>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</si>
  <si>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</si>
  <si>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</si>
  <si>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</si>
  <si>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</si>
  <si>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</si>
  <si>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</si>
  <si>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</si>
  <si>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</si>
  <si>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</si>
  <si>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</si>
  <si>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</si>
  <si>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</si>
  <si>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</si>
  <si>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</si>
  <si>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</si>
  <si>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</si>
  <si>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</si>
  <si>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</si>
  <si>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</si>
  <si>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</si>
  <si>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</si>
  <si>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</si>
  <si>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</si>
  <si>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</si>
  <si>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</si>
  <si>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</si>
  <si>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</si>
  <si>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</si>
  <si>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</si>
  <si>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</si>
  <si>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</si>
  <si>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</si>
  <si>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</si>
  <si>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</si>
  <si>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</si>
  <si>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</si>
  <si>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</si>
  <si>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</si>
  <si>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</si>
  <si>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</si>
  <si>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</si>
  <si>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</si>
  <si>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</si>
  <si>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</si>
  <si>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</si>
  <si>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</si>
  <si>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</si>
  <si>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</si>
  <si>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</si>
  <si>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</si>
  <si>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</si>
  <si>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</si>
  <si>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</si>
  <si>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</si>
  <si>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</si>
  <si>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</si>
  <si>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</si>
  <si>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</si>
  <si>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</si>
  <si>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</si>
  <si>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</si>
  <si>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</si>
  <si>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</si>
  <si>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</si>
  <si>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</si>
  <si>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</si>
  <si>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</si>
  <si>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</si>
  <si>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</si>
  <si>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</si>
  <si>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</si>
  <si>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</si>
  <si>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</si>
  <si>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</si>
  <si>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</si>
  <si>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</si>
  <si>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</si>
  <si>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</si>
  <si>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</si>
  <si>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</si>
  <si>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</si>
  <si>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</si>
  <si>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</si>
  <si>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</si>
  <si>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</si>
  <si>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</si>
  <si>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</si>
  <si>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</si>
  <si>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</si>
  <si>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</si>
  <si>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</si>
  <si>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</si>
  <si>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</si>
  <si>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</si>
  <si>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</si>
  <si>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</si>
  <si>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</si>
  <si>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</si>
  <si>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</si>
  <si>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</si>
  <si>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</si>
  <si>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</si>
  <si>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</si>
  <si>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</si>
  <si>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</si>
  <si>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</si>
  <si>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</si>
  <si>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</si>
  <si>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</si>
  <si>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</si>
  <si>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</si>
  <si>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</si>
  <si>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</si>
  <si>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</si>
  <si>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</si>
  <si>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</si>
  <si>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</si>
  <si>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</si>
  <si>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</si>
  <si>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</si>
  <si>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</si>
  <si>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</si>
  <si>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</si>
  <si>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</si>
  <si>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</si>
  <si>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</si>
  <si>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</si>
  <si>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</si>
  <si>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</si>
  <si>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</si>
  <si>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</si>
  <si>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</si>
  <si>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</si>
  <si>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</si>
  <si>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</si>
  <si>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</si>
  <si>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</si>
  <si>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</si>
  <si>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</si>
  <si>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</si>
  <si>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</si>
  <si>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</si>
  <si>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</si>
  <si>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</si>
  <si>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</si>
  <si>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</si>
  <si>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</si>
  <si>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</si>
  <si>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</si>
  <si>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</si>
  <si>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</si>
  <si>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</si>
  <si>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</si>
  <si>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</si>
  <si>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</si>
  <si>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</si>
  <si>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</si>
  <si>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</si>
  <si>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</si>
  <si>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</si>
  <si>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</si>
  <si>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</si>
  <si>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</si>
  <si>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</si>
  <si>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</si>
  <si>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</si>
  <si>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</si>
  <si>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</si>
  <si>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</si>
  <si>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</si>
  <si>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</si>
  <si>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</si>
  <si>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</si>
  <si>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</si>
  <si>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</si>
  <si>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</si>
  <si>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</si>
  <si>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</si>
  <si>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</si>
  <si>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</si>
  <si>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</si>
  <si>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</si>
  <si>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</si>
  <si>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</si>
  <si>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</si>
  <si>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</si>
  <si>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</si>
  <si>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</si>
  <si>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</si>
  <si>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</si>
  <si>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</si>
  <si>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</si>
  <si>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</si>
  <si>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</si>
  <si>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</si>
  <si>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</si>
  <si>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</si>
  <si>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</si>
  <si>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</si>
  <si>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</si>
  <si>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</si>
  <si>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</si>
  <si>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</si>
  <si>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</si>
  <si>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</si>
  <si>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</si>
  <si>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</si>
  <si>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</si>
  <si>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</si>
  <si>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</si>
  <si>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</si>
  <si>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</si>
  <si>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</si>
  <si>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</si>
  <si>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</si>
  <si>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</si>
  <si>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</si>
  <si>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</si>
  <si>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</si>
  <si>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</si>
  <si>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</si>
  <si>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</si>
  <si>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</si>
  <si>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</si>
  <si>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</si>
  <si>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</si>
  <si>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</si>
  <si>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</si>
  <si>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</si>
  <si>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</si>
  <si>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</si>
  <si>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</si>
  <si>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</si>
  <si>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</si>
  <si>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</si>
  <si>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</si>
  <si>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</si>
  <si>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</si>
  <si>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</si>
  <si>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</si>
  <si>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</si>
  <si>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</si>
  <si>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</si>
  <si>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</si>
  <si>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</si>
  <si>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</si>
  <si>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</si>
  <si>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</si>
  <si>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</si>
  <si>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</si>
  <si>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</si>
  <si>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</si>
  <si>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</si>
  <si>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</si>
  <si>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</si>
  <si>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</si>
  <si>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</si>
  <si>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</si>
  <si>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</si>
  <si>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</si>
  <si>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</si>
  <si>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</si>
  <si>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</si>
  <si>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</si>
  <si>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</si>
  <si>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</si>
  <si>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</si>
  <si>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</si>
  <si>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</si>
  <si>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</si>
  <si>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</si>
  <si>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</si>
  <si>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</si>
  <si>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</si>
  <si>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</si>
  <si>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</si>
  <si>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</si>
  <si>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</si>
  <si>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</si>
  <si>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</si>
  <si>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</si>
  <si>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</si>
  <si>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</si>
  <si>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</si>
  <si>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</si>
  <si>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</si>
  <si>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</si>
  <si>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</si>
  <si>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</si>
  <si>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</si>
  <si>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</si>
  <si>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</si>
  <si>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</si>
  <si>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</si>
  <si>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</si>
  <si>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</si>
  <si>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</si>
  <si>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</si>
  <si>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</si>
  <si>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</si>
  <si>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</si>
  <si>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</si>
  <si>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</si>
  <si>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</si>
  <si>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</si>
  <si>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</si>
  <si>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</si>
  <si>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</si>
  <si>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</si>
  <si>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</si>
  <si>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</si>
  <si>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</si>
  <si>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</si>
  <si>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</si>
  <si>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</si>
  <si>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</si>
  <si>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</si>
  <si>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</si>
  <si>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</si>
  <si>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</si>
  <si>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</si>
  <si>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</si>
  <si>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</si>
  <si>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</si>
  <si>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</si>
  <si>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</si>
  <si>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</si>
  <si>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</si>
  <si>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</si>
  <si>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</si>
  <si>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</si>
  <si>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</si>
  <si>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</si>
  <si>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</si>
  <si>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</si>
  <si>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</si>
  <si>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</si>
  <si>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</si>
  <si>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</si>
  <si>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</si>
  <si>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</si>
  <si>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</si>
  <si>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</si>
  <si>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</si>
  <si>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</si>
  <si>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</si>
  <si>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</si>
  <si>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</si>
  <si>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</si>
  <si>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</si>
  <si>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</si>
  <si>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</si>
  <si>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</si>
  <si>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</si>
  <si>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</si>
  <si>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</si>
  <si>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</si>
  <si>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</si>
  <si>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</si>
  <si>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</si>
  <si>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</si>
  <si>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</si>
  <si>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</si>
  <si>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</si>
  <si>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</si>
  <si>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</si>
  <si>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</si>
  <si>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</si>
  <si>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</si>
  <si>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</si>
  <si>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</si>
  <si>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</si>
  <si>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</si>
  <si>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</si>
  <si>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</si>
  <si>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</si>
  <si>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</si>
  <si>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</si>
  <si>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</si>
  <si>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</si>
  <si>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</si>
  <si>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</si>
  <si>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</si>
  <si>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</si>
  <si>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</si>
  <si>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</si>
  <si>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</si>
  <si>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</si>
  <si>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</si>
  <si>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</si>
  <si>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</si>
  <si>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</si>
  <si>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</si>
  <si>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</si>
  <si>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</si>
  <si>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</si>
  <si>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</si>
  <si>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</si>
  <si>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</si>
  <si>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</si>
  <si>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</si>
  <si>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</si>
  <si>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</si>
  <si>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</si>
  <si>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</si>
  <si>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</si>
  <si>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</si>
  <si>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</si>
  <si>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</si>
  <si>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</si>
  <si>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</si>
  <si>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</si>
  <si>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</si>
  <si>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</si>
  <si>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</si>
  <si>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</si>
  <si>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</si>
  <si>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</si>
  <si>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</si>
  <si>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</si>
  <si>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</si>
  <si>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</si>
  <si>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</si>
  <si>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</si>
  <si>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</si>
  <si>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</si>
  <si>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</si>
  <si>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</si>
  <si>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</si>
  <si>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</si>
  <si>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</si>
  <si>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</si>
  <si>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</si>
  <si>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</si>
  <si>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</si>
  <si>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</si>
  <si>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</si>
  <si>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</si>
  <si>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</si>
  <si>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</si>
  <si>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</si>
  <si>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</si>
  <si>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</si>
  <si>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</si>
  <si>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</si>
  <si>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</si>
  <si>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</si>
  <si>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</si>
  <si>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</si>
  <si>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</si>
  <si>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</si>
  <si>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</si>
  <si>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</si>
  <si>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</si>
  <si>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</si>
  <si>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</si>
  <si>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</si>
  <si>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</si>
  <si>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</si>
  <si>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</si>
  <si>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</si>
  <si>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</si>
  <si>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</si>
  <si>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</si>
  <si>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</si>
  <si>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</si>
  <si>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</si>
  <si>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</si>
  <si>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</si>
  <si>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</si>
  <si>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</si>
  <si>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</si>
  <si>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</si>
  <si>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</si>
  <si>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</si>
  <si>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</si>
  <si>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</si>
  <si>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</si>
  <si>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</si>
  <si>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</si>
  <si>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</si>
  <si>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</si>
  <si>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</si>
  <si>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</si>
  <si>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</si>
  <si>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</si>
  <si>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</si>
  <si>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</si>
  <si>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</si>
  <si>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</si>
  <si>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</si>
  <si>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</si>
  <si>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</si>
  <si>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</si>
  <si>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</si>
  <si>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</si>
  <si>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</si>
  <si>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</si>
  <si>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</si>
  <si>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</si>
  <si>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</si>
  <si>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</si>
  <si>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</si>
  <si>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</si>
  <si>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</si>
  <si>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</si>
  <si>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</si>
  <si>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</si>
  <si>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</si>
  <si>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</si>
  <si>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</si>
  <si>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</si>
  <si>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</si>
  <si>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</si>
  <si>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</si>
  <si>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</si>
  <si>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</si>
  <si>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</si>
  <si>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</si>
  <si>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</si>
  <si>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</si>
  <si>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</si>
  <si>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</si>
  <si>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</si>
  <si>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</si>
  <si>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</si>
  <si>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</si>
  <si>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</si>
  <si>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</si>
  <si>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</si>
  <si>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</si>
  <si>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</si>
  <si>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</si>
  <si>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</si>
  <si>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</si>
  <si>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</si>
  <si>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</si>
  <si>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</si>
  <si>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</si>
  <si>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</si>
  <si>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</si>
  <si>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</si>
  <si>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</si>
  <si>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</si>
  <si>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</si>
  <si>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</si>
  <si>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</si>
  <si>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</si>
  <si>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</si>
  <si>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</si>
  <si>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</si>
  <si>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</si>
  <si>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</si>
  <si>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</si>
  <si>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</si>
  <si>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</si>
  <si>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</si>
  <si>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</si>
  <si>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</si>
  <si>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</si>
  <si>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</si>
  <si>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</si>
  <si>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</si>
  <si>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</si>
  <si>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</si>
  <si>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</si>
  <si>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</si>
  <si>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</si>
  <si>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</si>
  <si>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</si>
  <si>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</si>
  <si>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</si>
  <si>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</si>
  <si>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</si>
  <si>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6</t>
  </si>
  <si>
    <t>7</t>
  </si>
  <si>
    <t>8</t>
  </si>
  <si>
    <t>9</t>
  </si>
  <si>
    <t>10</t>
  </si>
  <si>
    <t>1.1.1.1.1.1</t>
  </si>
  <si>
    <t>1.1.1.1.1.2.2</t>
  </si>
  <si>
    <t>=SUM(K68,K69)</t>
  </si>
  <si>
    <t>=SUM(K74,K75,K76,K77,K78,K79,K80,K81,K82,K83,K84,K85,K86,K87,K88,K89,K90,K91,K92,K93,K94,K95,K96,K97,K98,K99,K100,K101)</t>
  </si>
  <si>
    <t>=SUM(K103,K104)</t>
  </si>
  <si>
    <t>=SUM(K108,K109,K110)</t>
  </si>
  <si>
    <t>=SUM(K36,K37,K38,K39)</t>
  </si>
  <si>
    <t>=SUM(K44,K45,K46,K47)</t>
  </si>
  <si>
    <t>=SUM(K52)</t>
  </si>
  <si>
    <t>=SUM(K57)</t>
  </si>
  <si>
    <t>=SUM(K62,K63,K64)</t>
  </si>
  <si>
    <t>=SUM(K116,K117,K118)</t>
  </si>
  <si>
    <t>=SUM(K120,K121)</t>
  </si>
  <si>
    <t>=SUM(K125,K126,K127)</t>
  </si>
  <si>
    <t>=SUM(K129,K130)</t>
  </si>
  <si>
    <t>=SUM(K134,K135,K136)</t>
  </si>
  <si>
    <t>=SUM(K138,K139)</t>
  </si>
  <si>
    <t>=SUM(K143,K144,K145)</t>
  </si>
  <si>
    <t>=SUM(K147,K148)</t>
  </si>
  <si>
    <t>=SUM(K152,K153,K154)</t>
  </si>
  <si>
    <t>=SUM(K156,K157)</t>
  </si>
  <si>
    <t>=SUM(K161,K162,K163)</t>
  </si>
  <si>
    <t>=SUM(K165,K166)</t>
  </si>
  <si>
    <t>=SUM(K170,K171,K172)</t>
  </si>
  <si>
    <t>=SUM(K178,K179,K180,K181,K182)</t>
  </si>
  <si>
    <t>=SUM(K185,K186)</t>
  </si>
  <si>
    <t>=SUM(K189,K190,K191,K192,K193,K194,K195,K196,K197,K198,K199,K200,K201,K202)</t>
  </si>
  <si>
    <t>=SUM(K206,K207,K208,K209,K210,K211,K212,K213,K214,K215,K216,K217,K218,K219,K220)</t>
  </si>
  <si>
    <t>=SUM(K223)</t>
  </si>
  <si>
    <t>=SUM(K226,K227,K228,K229)</t>
  </si>
  <si>
    <t>=SUM(K233)</t>
  </si>
  <si>
    <t>=SUM(K237)</t>
  </si>
  <si>
    <t>=SUM(K240)</t>
  </si>
  <si>
    <t>=SUM(K242)</t>
  </si>
  <si>
    <t>=SUM(K246,K247,K248)</t>
  </si>
  <si>
    <t>=SUM(K252,K253,K254)</t>
  </si>
  <si>
    <t>=SUM(K258,K259,K260)</t>
  </si>
  <si>
    <t>=I67*SUM(M68,M69)</t>
  </si>
  <si>
    <t>=I73*SUM(M74,M75,M76,M77,M78,M79,M80,M81,M82,M83,M84,M85,M86,M87,M88,M89,M90,M91,M92,M93,M94,M95,M96,M97,M98,M99,M100,M101)</t>
  </si>
  <si>
    <t>=I102*SUM(M103,M104)</t>
  </si>
  <si>
    <t>=I107*SUM(M108,M109,M110)</t>
  </si>
  <si>
    <t>=I35*SUM(M36,M37,M38,M39)</t>
  </si>
  <si>
    <t>=I43*SUM(M44,M45,M46,M47)</t>
  </si>
  <si>
    <t>=I51*SUM(M52)</t>
  </si>
  <si>
    <t>=I56*SUM(M57)</t>
  </si>
  <si>
    <t>=I61*SUM(M62,M63,M64)</t>
  </si>
  <si>
    <t>=I115*SUM(M116,M117,M118)</t>
  </si>
  <si>
    <t>=I119*SUM(M120,M121)</t>
  </si>
  <si>
    <t>=I124*SUM(M125,M126,M127)</t>
  </si>
  <si>
    <t>=I128*SUM(M129,M130)</t>
  </si>
  <si>
    <t>=I133*SUM(M134,M135,M136)</t>
  </si>
  <si>
    <t>=I137*SUM(M138,M139)</t>
  </si>
  <si>
    <t>=I142*SUM(M143,M144,M145)</t>
  </si>
  <si>
    <t>=I146*SUM(M147,M148)</t>
  </si>
  <si>
    <t>=I151*SUM(M152,M153,M154)</t>
  </si>
  <si>
    <t>=I155*SUM(M156,M157)</t>
  </si>
  <si>
    <t>=I160*SUM(M161,M162,M163)</t>
  </si>
  <si>
    <t>=I164*SUM(M165,M166)</t>
  </si>
  <si>
    <t>=I169*SUM(M170,M171,M172)</t>
  </si>
  <si>
    <t>=I177*SUM(M178,M179,M180,M181,M182)</t>
  </si>
  <si>
    <t>=I184*SUM(M185,M186)</t>
  </si>
  <si>
    <t>=I188*SUM(M189,M190,M191,M192,M193,M194,M195,M196,M197,M198,M199,M200,M201,M202)</t>
  </si>
  <si>
    <t>=I205*SUM(M206,M207,M208,M209,M210,M211,M212,M213,M214,M215,M216,M217,M218,M219,M220)</t>
  </si>
  <si>
    <t>=I222*SUM(M223)</t>
  </si>
  <si>
    <t>=I225*SUM(M226,M227,M228,M229)</t>
  </si>
  <si>
    <t>=I232*SUM(M233)</t>
  </si>
  <si>
    <t>=I236*SUM(M237)</t>
  </si>
  <si>
    <t>=I239*SUM(M240)</t>
  </si>
  <si>
    <t>=I241*SUM(M242)</t>
  </si>
  <si>
    <t>=I245*SUM(M246,M247,M248)</t>
  </si>
  <si>
    <t>=I251*SUM(M252,M253,M254)</t>
  </si>
  <si>
    <t>=I257*SUM(M258,M259,M260)</t>
  </si>
  <si>
    <t>=I67*J67</t>
  </si>
  <si>
    <t>=I73*J73</t>
  </si>
  <si>
    <t>=I102*J102</t>
  </si>
  <si>
    <t>=I107*J107</t>
  </si>
  <si>
    <t>=I35*J35</t>
  </si>
  <si>
    <t>=I43*J43</t>
  </si>
  <si>
    <t>=I51*J51</t>
  </si>
  <si>
    <t>=I56*J56</t>
  </si>
  <si>
    <t>=I61*J61</t>
  </si>
  <si>
    <t>=I115*J115</t>
  </si>
  <si>
    <t>=I119*J119</t>
  </si>
  <si>
    <t>=I124*J124</t>
  </si>
  <si>
    <t>=I128*J128</t>
  </si>
  <si>
    <t>=I133*J133</t>
  </si>
  <si>
    <t>=I137*J137</t>
  </si>
  <si>
    <t>=I142*J142</t>
  </si>
  <si>
    <t>=I146*J146</t>
  </si>
  <si>
    <t>=I151*J151</t>
  </si>
  <si>
    <t>=I155*J155</t>
  </si>
  <si>
    <t>=I160*J160</t>
  </si>
  <si>
    <t>=I164*J164</t>
  </si>
  <si>
    <t>=I169*J169</t>
  </si>
  <si>
    <t>=I177*J177</t>
  </si>
  <si>
    <t>=I184*J184</t>
  </si>
  <si>
    <t>=I188*J188</t>
  </si>
  <si>
    <t>=I205*J205</t>
  </si>
  <si>
    <t>=I222*J222</t>
  </si>
  <si>
    <t>=I225*J225</t>
  </si>
  <si>
    <t>=I232*J232</t>
  </si>
  <si>
    <t>=I236*J236</t>
  </si>
  <si>
    <t>=I239*J239</t>
  </si>
  <si>
    <t>=I241*J241</t>
  </si>
  <si>
    <t>=I245*J245</t>
  </si>
  <si>
    <t>=I251*J251</t>
  </si>
  <si>
    <t>=I257*J257</t>
  </si>
  <si>
    <t>=100*(1-(M67/K67))</t>
  </si>
  <si>
    <t>=100*(1-(M73/K73))</t>
  </si>
  <si>
    <t>=100*(1-(M102/K102))</t>
  </si>
  <si>
    <t>=100*(1-(M107/K107))</t>
  </si>
  <si>
    <t>=100*(1-(M35/K35))</t>
  </si>
  <si>
    <t>=100*(1-(M43/K43))</t>
  </si>
  <si>
    <t>=100*(1-(M51/K51))</t>
  </si>
  <si>
    <t>=100*(1-(M56/K56))</t>
  </si>
  <si>
    <t>=100*(1-(M61/K61))</t>
  </si>
  <si>
    <t>=100*(1-(M115/K115))</t>
  </si>
  <si>
    <t>=100*(1-(M119/K119))</t>
  </si>
  <si>
    <t>=100*(1-(M124/K124))</t>
  </si>
  <si>
    <t>=100*(1-(M128/K128))</t>
  </si>
  <si>
    <t>=100*(1-(M133/K133))</t>
  </si>
  <si>
    <t>=100*(1-(M137/K137))</t>
  </si>
  <si>
    <t>=100*(1-(M142/K142))</t>
  </si>
  <si>
    <t>=100*(1-(M146/K146))</t>
  </si>
  <si>
    <t>=100*(1-(M151/K151))</t>
  </si>
  <si>
    <t>=100*(1-(M155/K155))</t>
  </si>
  <si>
    <t>=100*(1-(M160/K160))</t>
  </si>
  <si>
    <t>=100*(1-(M164/K164))</t>
  </si>
  <si>
    <t>=100*(1-(M169/K169))</t>
  </si>
  <si>
    <t>=100*(1-(M177/K177))</t>
  </si>
  <si>
    <t>=100*(1-(M184/K184))</t>
  </si>
  <si>
    <t>=100*(1-(M188/K188))</t>
  </si>
  <si>
    <t>=100*(1-(M205/K205))</t>
  </si>
  <si>
    <t>=100*(1-(M222/K222))</t>
  </si>
  <si>
    <t>=100*(1-(M225/K225))</t>
  </si>
  <si>
    <t>=100*(1-(M232/K232))</t>
  </si>
  <si>
    <t>=100*(1-(M236/K236))</t>
  </si>
  <si>
    <t>=100*(1-(M239/K239))</t>
  </si>
  <si>
    <t>=100*(1-(M241/K241))</t>
  </si>
  <si>
    <t>=100*(1-(M245/K245))</t>
  </si>
  <si>
    <t>=100*(1-(M251/K251))</t>
  </si>
  <si>
    <t>=100*(1-(M257/K257))</t>
  </si>
  <si>
    <t>=SUM(K67)</t>
  </si>
  <si>
    <t>=SUM(K73,K102)</t>
  </si>
  <si>
    <t>=SUM(K107)</t>
  </si>
  <si>
    <t>=SUM(K35)</t>
  </si>
  <si>
    <t>=SUM(K43)</t>
  </si>
  <si>
    <t>=SUM(K51)</t>
  </si>
  <si>
    <t>=SUM(K56)</t>
  </si>
  <si>
    <t>=SUM(K61)</t>
  </si>
  <si>
    <t>=SUM(K115,K119)</t>
  </si>
  <si>
    <t>=SUM(K124,K128)</t>
  </si>
  <si>
    <t>=SUM(K133,K137)</t>
  </si>
  <si>
    <t>=SUM(K142,K146)</t>
  </si>
  <si>
    <t>=SUM(K151,K155)</t>
  </si>
  <si>
    <t>=SUM(K160,K164)</t>
  </si>
  <si>
    <t>=SUM(K169)</t>
  </si>
  <si>
    <t>=SUM(K177)</t>
  </si>
  <si>
    <t>=SUM(K184)</t>
  </si>
  <si>
    <t>=SUM(K188)</t>
  </si>
  <si>
    <t>=SUM(K205,K221)</t>
  </si>
  <si>
    <t>=SUM(K222)</t>
  </si>
  <si>
    <t>=SUM(K225)</t>
  </si>
  <si>
    <t>=SUM(K232)</t>
  </si>
  <si>
    <t>=SUM(K236)</t>
  </si>
  <si>
    <t>=SUM(K239,K241)</t>
  </si>
  <si>
    <t>=SUM(K245)</t>
  </si>
  <si>
    <t>=SUM(K251)</t>
  </si>
  <si>
    <t>=SUM(K257)</t>
  </si>
  <si>
    <t>=I66*SUM(M67)</t>
  </si>
  <si>
    <t>=I72*SUM(M73,M102)</t>
  </si>
  <si>
    <t>=I106*SUM(M107)</t>
  </si>
  <si>
    <t>=I34*SUM(M35)</t>
  </si>
  <si>
    <t>=I42*SUM(M43)</t>
  </si>
  <si>
    <t>=I50*SUM(M51)</t>
  </si>
  <si>
    <t>=I55*SUM(M56)</t>
  </si>
  <si>
    <t>=I60*SUM(M61)</t>
  </si>
  <si>
    <t>=I114*SUM(M115,M119)</t>
  </si>
  <si>
    <t>=I123*SUM(M124,M128)</t>
  </si>
  <si>
    <t>=I132*SUM(M133,M137)</t>
  </si>
  <si>
    <t>=I141*SUM(M142,M146)</t>
  </si>
  <si>
    <t>=I150*SUM(M151,M155)</t>
  </si>
  <si>
    <t>=I159*SUM(M160,M164)</t>
  </si>
  <si>
    <t>=I168*SUM(M169)</t>
  </si>
  <si>
    <t>=I176*SUM(M177)</t>
  </si>
  <si>
    <t>=I183*SUM(M184)</t>
  </si>
  <si>
    <t>=I187*SUM(M188)</t>
  </si>
  <si>
    <t>=I204*SUM(M205,M221)</t>
  </si>
  <si>
    <t>=I221*SUM(M222)</t>
  </si>
  <si>
    <t>=I224*SUM(M225)</t>
  </si>
  <si>
    <t>=I231*SUM(M232)</t>
  </si>
  <si>
    <t>=I235*SUM(M236)</t>
  </si>
  <si>
    <t>=I238*SUM(M239,M241)</t>
  </si>
  <si>
    <t>=I244*SUM(M245)</t>
  </si>
  <si>
    <t>=I250*SUM(M251)</t>
  </si>
  <si>
    <t>=I256*SUM(M257)</t>
  </si>
  <si>
    <t>=I66*J66</t>
  </si>
  <si>
    <t>=I72*J72</t>
  </si>
  <si>
    <t>=I106*J106</t>
  </si>
  <si>
    <t>=I34*J34</t>
  </si>
  <si>
    <t>=I42*J42</t>
  </si>
  <si>
    <t>=I50*J50</t>
  </si>
  <si>
    <t>=I55*J55</t>
  </si>
  <si>
    <t>=I60*J60</t>
  </si>
  <si>
    <t>=I114*J114</t>
  </si>
  <si>
    <t>=I123*J123</t>
  </si>
  <si>
    <t>=I132*J132</t>
  </si>
  <si>
    <t>=I141*J141</t>
  </si>
  <si>
    <t>=I150*J150</t>
  </si>
  <si>
    <t>=I159*J159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</si>
  <si>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</si>
  <si>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</si>
  <si>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</si>
  <si>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</si>
  <si>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</si>
  <si>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</si>
  <si>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</si>
  <si>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</si>
  <si>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</si>
  <si>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</si>
  <si>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=I244*J244</t>
  </si>
  <si>
    <t>=I250*J250</t>
  </si>
  <si>
    <t>=I256*J256</t>
  </si>
  <si>
    <t>=100*(1-(M66/K66))</t>
  </si>
  <si>
    <t>=100*(1-(M72/K72))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</si>
  <si>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</si>
  <si>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</si>
  <si>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</si>
  <si>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</si>
  <si>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</si>
  <si>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</si>
  <si>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</si>
  <si>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=100*(1-(M123/K123))</t>
  </si>
  <si>
    <t>=100*(1-(M132/K132))</t>
  </si>
  <si>
    <t>=100*(1-(M141/K141))</t>
  </si>
  <si>
    <t>=100*(1-(M150/K150))</t>
  </si>
  <si>
    <t>=100*(1-(M159/K159))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</si>
  <si>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</si>
  <si>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</si>
  <si>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</si>
  <si>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</si>
  <si>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</si>
  <si>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</si>
  <si>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</si>
  <si>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</si>
  <si>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</si>
  <si>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</si>
  <si>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=100*(1-(M244/K244))</t>
  </si>
  <si>
    <t>=100*(1-(M250/K250))</t>
  </si>
  <si>
    <t>=100*(1-(M256/K256))</t>
  </si>
  <si>
    <t>=SUM(K66)</t>
  </si>
  <si>
    <t>=SUM(K72)</t>
  </si>
  <si>
    <t>=SUM(K106)</t>
  </si>
  <si>
    <t>=SUM(K34)</t>
  </si>
  <si>
    <t>=SUM(K42)</t>
  </si>
  <si>
    <t>=SUM(K50)</t>
  </si>
  <si>
    <t>=SUM(K55)</t>
  </si>
  <si>
    <t>=SUM(K60)</t>
  </si>
  <si>
    <t>=SUM(K114)</t>
  </si>
  <si>
    <t>=SUM(K123)</t>
  </si>
  <si>
    <t>=SUM(K132)</t>
  </si>
  <si>
    <t>=SUM(K141)</t>
  </si>
  <si>
    <t>=SUM(K150)</t>
  </si>
  <si>
    <t>=SUM(K159)</t>
  </si>
  <si>
    <t>=SUM(K168)</t>
  </si>
  <si>
    <t>=SUM(K176,K183,K187)</t>
  </si>
  <si>
    <t>=SUM(K204,K224)</t>
  </si>
  <si>
    <t>=SUM(K231)</t>
  </si>
  <si>
    <t>=SUM(K235,K238)</t>
  </si>
  <si>
    <t>=SUM(K244)</t>
  </si>
  <si>
    <t>=SUM(K250)</t>
  </si>
  <si>
    <t>=SUM(K256)</t>
  </si>
  <si>
    <t>=I65*SUM(M66)</t>
  </si>
  <si>
    <t>=I71*SUM(M72)</t>
  </si>
  <si>
    <t>=I105*SUM(M106)</t>
  </si>
  <si>
    <t>=I33*SUM(M34)</t>
  </si>
  <si>
    <t>=I41*SUM(M42)</t>
  </si>
  <si>
    <t>=I49*SUM(M50)</t>
  </si>
  <si>
    <t>=I54*SUM(M55)</t>
  </si>
  <si>
    <t>=I59*SUM(M60)</t>
  </si>
  <si>
    <t>=I113*SUM(M114)</t>
  </si>
  <si>
    <t>=I122*SUM(M123)</t>
  </si>
  <si>
    <t>=I131*SUM(M132)</t>
  </si>
  <si>
    <t>=I140*SUM(M141)</t>
  </si>
  <si>
    <t>=I149*SUM(M150)</t>
  </si>
  <si>
    <t>=I158*SUM(M159)</t>
  </si>
  <si>
    <t>=I167*SUM(M168)</t>
  </si>
  <si>
    <t>=I175*SUM(M176,M183,M187)</t>
  </si>
  <si>
    <t>=I203*SUM(M204,M224)</t>
  </si>
  <si>
    <t>=I230*SUM(M231)</t>
  </si>
  <si>
    <t>=I234*SUM(M235,M238)</t>
  </si>
  <si>
    <t>=I243*SUM(M244)</t>
  </si>
  <si>
    <t>=I249*SUM(M250)</t>
  </si>
  <si>
    <t>=I255*SUM(M256)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</si>
  <si>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</si>
  <si>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</si>
  <si>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</si>
  <si>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</si>
  <si>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</si>
  <si>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</si>
  <si>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</si>
  <si>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</si>
  <si>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</si>
  <si>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</si>
  <si>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</si>
  <si>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</si>
  <si>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</si>
  <si>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</si>
  <si>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</si>
  <si>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</si>
  <si>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=I203*J203</t>
  </si>
  <si>
    <t>=I230*J230</t>
  </si>
  <si>
    <t>=I234*J234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</si>
  <si>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</si>
  <si>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</si>
  <si>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</si>
  <si>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</si>
  <si>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</si>
  <si>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</si>
  <si>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</si>
  <si>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</si>
  <si>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</si>
  <si>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</si>
  <si>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</si>
  <si>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</si>
  <si>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</si>
  <si>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</si>
  <si>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</si>
  <si>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</si>
  <si>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</si>
  <si>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</si>
  <si>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</si>
  <si>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=100*(1-(M203/K203))</t>
  </si>
  <si>
    <t>=100*(1-(M230/K230))</t>
  </si>
  <si>
    <t>=100*(1-(M234/K234))</t>
  </si>
  <si>
    <t>=100*(1-(M243/K243))</t>
  </si>
  <si>
    <t>=100*(1-(M249/K249))</t>
  </si>
  <si>
    <t>=100*(1-(M255/K255))</t>
  </si>
  <si>
    <t>=SUM(K5,K11,K19,K28,K32,K40,K48,K53,K58,K65,K70,K105)</t>
  </si>
  <si>
    <t>=SUM(K71)</t>
  </si>
  <si>
    <t>=SUM(K33)</t>
  </si>
  <si>
    <t>=SUM(K41)</t>
  </si>
  <si>
    <t>=SUM(K49)</t>
  </si>
  <si>
    <t>=SUM(K54)</t>
  </si>
  <si>
    <t>=SUM(K59)</t>
  </si>
  <si>
    <t>=SUM(K112,K167)</t>
  </si>
  <si>
    <t>=SUM(K113,K122,K131,K140,K149,K158)</t>
  </si>
  <si>
    <t>=SUM(K174,K203,K230,K234,K243,K249,K255)</t>
  </si>
  <si>
    <t>=SUM(K175)</t>
  </si>
  <si>
    <t>=I4*SUM(M5,M11,M19,M28,M32,M40,M48,M53,M58,M65,M70,M105)</t>
  </si>
  <si>
    <t>=I70*SUM(M71)</t>
  </si>
  <si>
    <t>=I32*SUM(M33)</t>
  </si>
  <si>
    <t>=I40*SUM(M41)</t>
  </si>
  <si>
    <t>=I48*SUM(M49)</t>
  </si>
  <si>
    <t>=I53*SUM(M54)</t>
  </si>
  <si>
    <t>=I58*SUM(M59)</t>
  </si>
  <si>
    <t>=I111*SUM(M112,M167)</t>
  </si>
  <si>
    <t>=I112*SUM(M113,M122,M131,M140,M149,M158)</t>
  </si>
  <si>
    <t>=I173*SUM(M174,M203,M230,M234,M243,M249,M255)</t>
  </si>
  <si>
    <t>=I174*SUM(M175)</t>
  </si>
  <si>
    <t>=I70*J70</t>
  </si>
  <si>
    <t>=I32*J32</t>
  </si>
  <si>
    <t>=I40*J40</t>
  </si>
  <si>
    <t>=I48*J48</t>
  </si>
  <si>
    <t>=I53*J53</t>
  </si>
  <si>
    <t>=I58*J58</t>
  </si>
  <si>
    <t>=I111*J111</t>
  </si>
  <si>
    <t>=I112*J112</t>
  </si>
  <si>
    <t>=I173*J173</t>
  </si>
  <si>
    <t>=I174*J174</t>
  </si>
  <si>
    <t>=100*(1-(M70/K70))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</si>
  <si>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</si>
  <si>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</si>
  <si>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</si>
  <si>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</si>
  <si>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</si>
  <si>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</si>
  <si>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=100*(1-(M112/K112))</t>
  </si>
  <si>
    <t>=100*(1-(M173/K173))</t>
  </si>
  <si>
    <t>=100*(1-(M174/K174))</t>
  </si>
  <si>
    <t>=SUM(K4,K111,K173)</t>
  </si>
  <si>
    <t>=I3*SUM(M4,M111,M173)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</si>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</sst>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zoomScale="70" zoomScaleNormal="70" workbookViewId="0">
      <selection activeCell="T27" sqref="T27"/>
    </sheetView>
  </sheetViews>
  <sheetFormatPr defaultRowHeight="15" x14ac:dyDescent="0.25"/>
  <cols>
    <col min="1" max="1" width="12.7109375" style="90" bestFit="1" customWidth="1"/>
    <col min="2" max="2" width="3.140625" style="119" customWidth="1"/>
    <col min="3" max="3" width="10.85546875" style="90" bestFit="1" customWidth="1"/>
    <col min="4" max="4" width="4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10.710937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518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517</v>
      </c>
      <c r="G3" s="92" t="s">
        <v>68</v>
      </c>
      <c r="H3" s="81" t="s">
        <v>81</v>
      </c>
      <c r="I3" s="81">
        <v>1</v>
      </c>
      <c r="J3" s="81">
        <f>SUM(K4,K111,K173)</f>
        <v>22545542.279570911</v>
      </c>
      <c r="K3" s="81">
        <f>I3*J3</f>
        <v>22545542.279570911</v>
      </c>
      <c r="L3" s="81">
        <f>100*(1-(M3/K3))</f>
        <v>37.936261603169953</v>
      </c>
      <c r="M3" s="81">
        <f>I3*SUM(M4,M111,M173)</f>
        <v>13992606.380539604</v>
      </c>
      <c r="N3" s="82">
        <v>3</v>
      </c>
      <c r="O3" s="82" t="s">
        <v>82</v>
      </c>
      <c r="P3" s="82"/>
      <c r="Q3" s="82"/>
      <c r="R3" s="82" t="s">
        <v>1234</v>
      </c>
      <c r="S3" s="82" t="s">
        <v>165</v>
      </c>
      <c r="T3" s="82" t="s">
        <v>168</v>
      </c>
      <c r="U3" s="82" t="s">
        <v>1235</v>
      </c>
      <c r="V3" s="93" t="s">
        <v>78</v>
      </c>
      <c r="W3" s="93" t="s">
        <v>68</v>
      </c>
    </row>
    <row r="4" spans="1:25" x14ac:dyDescent="0.25">
      <c r="A4" s="82" t="s">
        <v>83</v>
      </c>
      <c r="B4" s="120">
        <v>2</v>
      </c>
      <c r="C4" s="85" t="s">
        <v>78</v>
      </c>
      <c r="D4" s="82" t="s">
        <v>78</v>
      </c>
      <c r="E4" s="87">
        <v>3</v>
      </c>
      <c r="F4" s="87">
        <v>216</v>
      </c>
      <c r="G4" s="92" t="s">
        <v>68</v>
      </c>
      <c r="H4" s="81" t="s">
        <v>84</v>
      </c>
      <c r="I4" s="81">
        <v>1</v>
      </c>
      <c r="J4" s="81">
        <f>SUM(K5,K11,K19,K28,K32,K40,K48,K53,K58,K65,K70,K105)</f>
        <v>8183934.1934779091</v>
      </c>
      <c r="K4" s="81">
        <f>I4*J4</f>
        <v>8183934.1934779091</v>
      </c>
      <c r="L4" s="81">
        <f>100*(1-(M4/K4))</f>
        <v>43.158877715638198</v>
      </c>
      <c r="M4" s="81">
        <f>I4*SUM(M5,M11,M19,M28,M32,M40,M48,M53,M58,M65,M70,M105)</f>
        <v>4651840.0425864765</v>
      </c>
      <c r="N4" s="90">
        <v>4</v>
      </c>
      <c r="O4" s="90" t="s">
        <v>85</v>
      </c>
      <c r="P4" s="118" t="s">
        <v>127</v>
      </c>
      <c r="Q4" s="118" t="s">
        <v>84</v>
      </c>
      <c r="R4" s="90" t="s">
        <v>1192</v>
      </c>
      <c r="S4" s="90" t="s">
        <v>159</v>
      </c>
      <c r="T4" s="90" t="s">
        <v>162</v>
      </c>
      <c r="U4" s="90" t="s">
        <v>1203</v>
      </c>
      <c r="V4" s="93" t="s">
        <v>83</v>
      </c>
      <c r="W4" s="93" t="s">
        <v>78</v>
      </c>
    </row>
    <row r="5" spans="1:25" x14ac:dyDescent="0.25">
      <c r="A5" s="83" t="s">
        <v>86</v>
      </c>
      <c r="B5" s="88">
        <v>3</v>
      </c>
      <c r="C5" s="86" t="s">
        <v>83</v>
      </c>
      <c r="D5" s="82" t="s">
        <v>78</v>
      </c>
      <c r="E5" s="88">
        <v>4</v>
      </c>
      <c r="F5" s="88">
        <v>15</v>
      </c>
      <c r="G5" s="92" t="s">
        <v>68</v>
      </c>
      <c r="H5" s="81" t="s">
        <v>87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0">
        <v>5</v>
      </c>
      <c r="O5" s="90" t="s">
        <v>88</v>
      </c>
      <c r="P5" s="118" t="s">
        <v>128</v>
      </c>
      <c r="Q5" s="118" t="s">
        <v>84</v>
      </c>
      <c r="R5" s="90" t="s">
        <v>157</v>
      </c>
      <c r="S5" s="90" t="s">
        <v>160</v>
      </c>
      <c r="T5" s="90" t="s">
        <v>163</v>
      </c>
      <c r="U5" s="90" t="s">
        <v>158</v>
      </c>
      <c r="V5" s="93" t="s">
        <v>86</v>
      </c>
      <c r="W5" s="93" t="s">
        <v>83</v>
      </c>
    </row>
    <row r="6" spans="1:25" x14ac:dyDescent="0.25">
      <c r="A6" s="84" t="s">
        <v>89</v>
      </c>
      <c r="B6" s="88">
        <v>4</v>
      </c>
      <c r="C6" s="83" t="s">
        <v>86</v>
      </c>
      <c r="D6" s="82" t="s">
        <v>78</v>
      </c>
      <c r="E6" s="87">
        <v>5</v>
      </c>
      <c r="F6" s="87">
        <v>14</v>
      </c>
      <c r="G6" s="92" t="s">
        <v>68</v>
      </c>
      <c r="H6" s="81" t="s">
        <v>90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0">
        <v>6</v>
      </c>
      <c r="O6" s="90" t="s">
        <v>91</v>
      </c>
      <c r="P6" s="118" t="s">
        <v>129</v>
      </c>
      <c r="Q6" s="118" t="s">
        <v>84</v>
      </c>
      <c r="R6" s="90" t="s">
        <v>151</v>
      </c>
      <c r="S6" s="90" t="s">
        <v>153</v>
      </c>
      <c r="T6" s="90" t="s">
        <v>155</v>
      </c>
      <c r="U6" s="90" t="s">
        <v>152</v>
      </c>
      <c r="V6" s="93" t="s">
        <v>89</v>
      </c>
      <c r="W6" s="93" t="s">
        <v>86</v>
      </c>
    </row>
    <row r="7" spans="1:25" x14ac:dyDescent="0.25">
      <c r="A7" s="84" t="s">
        <v>92</v>
      </c>
      <c r="B7" s="88">
        <v>5</v>
      </c>
      <c r="C7" s="83" t="s">
        <v>89</v>
      </c>
      <c r="D7" s="82" t="s">
        <v>78</v>
      </c>
      <c r="E7" s="87">
        <v>6</v>
      </c>
      <c r="F7" s="87">
        <v>13</v>
      </c>
      <c r="G7" s="92" t="s">
        <v>68</v>
      </c>
      <c r="H7" s="81" t="s">
        <v>90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0">
        <v>7</v>
      </c>
      <c r="O7" s="90" t="s">
        <v>93</v>
      </c>
      <c r="P7" s="118" t="s">
        <v>130</v>
      </c>
      <c r="Q7" s="118" t="s">
        <v>84</v>
      </c>
      <c r="R7" s="90" t="s">
        <v>141</v>
      </c>
      <c r="S7" s="90" t="s">
        <v>145</v>
      </c>
      <c r="T7" s="90" t="s">
        <v>148</v>
      </c>
      <c r="U7" s="90" t="s">
        <v>143</v>
      </c>
      <c r="V7" s="93" t="s">
        <v>92</v>
      </c>
      <c r="W7" s="93" t="s">
        <v>89</v>
      </c>
    </row>
    <row r="8" spans="1:25" x14ac:dyDescent="0.25">
      <c r="A8" s="84" t="s">
        <v>209</v>
      </c>
      <c r="B8" s="88">
        <v>6</v>
      </c>
      <c r="C8" s="84" t="s">
        <v>92</v>
      </c>
      <c r="D8" s="82" t="s">
        <v>79</v>
      </c>
      <c r="E8" s="87">
        <v>7</v>
      </c>
      <c r="F8" s="87">
        <v>12</v>
      </c>
      <c r="G8" s="92" t="s">
        <v>68</v>
      </c>
      <c r="H8" s="81" t="s">
        <v>94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0">
        <v>8</v>
      </c>
      <c r="O8" s="90" t="s">
        <v>95</v>
      </c>
      <c r="P8" s="118" t="s">
        <v>82</v>
      </c>
      <c r="Q8" s="118" t="s">
        <v>84</v>
      </c>
      <c r="R8" s="90" t="s">
        <v>133</v>
      </c>
      <c r="S8" s="90" t="s">
        <v>135</v>
      </c>
      <c r="T8" s="90" t="s">
        <v>138</v>
      </c>
      <c r="U8" s="90" t="s">
        <v>134</v>
      </c>
      <c r="V8" s="93" t="s">
        <v>854</v>
      </c>
      <c r="W8" s="93" t="s">
        <v>92</v>
      </c>
    </row>
    <row r="9" spans="1:25" x14ac:dyDescent="0.25">
      <c r="A9" s="84" t="s">
        <v>187</v>
      </c>
      <c r="B9" s="88">
        <v>7</v>
      </c>
      <c r="C9" s="84" t="s">
        <v>209</v>
      </c>
      <c r="D9" s="82" t="s">
        <v>78</v>
      </c>
      <c r="E9" s="87">
        <v>8</v>
      </c>
      <c r="F9" s="87">
        <v>9</v>
      </c>
      <c r="G9" s="92" t="s">
        <v>78</v>
      </c>
      <c r="H9" s="81" t="s">
        <v>96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0">
        <v>9</v>
      </c>
      <c r="O9" s="90" t="s">
        <v>97</v>
      </c>
      <c r="P9" s="118" t="s">
        <v>85</v>
      </c>
      <c r="Q9" s="118" t="s">
        <v>84</v>
      </c>
      <c r="V9" s="93" t="s">
        <v>187</v>
      </c>
      <c r="W9" s="93" t="s">
        <v>854</v>
      </c>
    </row>
    <row r="10" spans="1:25" x14ac:dyDescent="0.25">
      <c r="A10" s="84" t="s">
        <v>188</v>
      </c>
      <c r="B10" s="88">
        <v>7</v>
      </c>
      <c r="C10" s="84" t="s">
        <v>209</v>
      </c>
      <c r="D10" s="82" t="s">
        <v>80</v>
      </c>
      <c r="E10" s="87">
        <v>10</v>
      </c>
      <c r="F10" s="87">
        <v>11</v>
      </c>
      <c r="G10" s="92" t="s">
        <v>78</v>
      </c>
      <c r="H10" s="81" t="s">
        <v>98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0">
        <v>10</v>
      </c>
      <c r="O10" s="90" t="s">
        <v>99</v>
      </c>
      <c r="P10" s="118" t="s">
        <v>88</v>
      </c>
      <c r="Q10" s="118" t="s">
        <v>84</v>
      </c>
      <c r="V10" s="93" t="s">
        <v>855</v>
      </c>
      <c r="W10" s="93" t="s">
        <v>854</v>
      </c>
    </row>
    <row r="11" spans="1:25" x14ac:dyDescent="0.25">
      <c r="A11" s="84" t="s">
        <v>173</v>
      </c>
      <c r="B11" s="88">
        <v>3</v>
      </c>
      <c r="C11" s="84" t="s">
        <v>83</v>
      </c>
      <c r="D11" s="82" t="s">
        <v>79</v>
      </c>
      <c r="E11" s="87">
        <v>16</v>
      </c>
      <c r="F11" s="87">
        <v>31</v>
      </c>
      <c r="G11" s="92" t="s">
        <v>68</v>
      </c>
      <c r="H11" s="81" t="s">
        <v>189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 s="90">
        <v>11</v>
      </c>
      <c r="O11" s="90" t="s">
        <v>100</v>
      </c>
      <c r="P11" s="118" t="s">
        <v>91</v>
      </c>
      <c r="Q11" s="118" t="s">
        <v>84</v>
      </c>
      <c r="R11" s="90" t="s">
        <v>232</v>
      </c>
      <c r="S11" s="90" t="s">
        <v>166</v>
      </c>
      <c r="T11" s="90" t="s">
        <v>169</v>
      </c>
      <c r="U11" s="90" t="s">
        <v>234</v>
      </c>
      <c r="V11" s="93" t="s">
        <v>173</v>
      </c>
      <c r="W11" s="93" t="s">
        <v>83</v>
      </c>
    </row>
    <row r="12" spans="1:25" x14ac:dyDescent="0.25">
      <c r="A12" s="84" t="s">
        <v>176</v>
      </c>
      <c r="B12" s="88">
        <v>4</v>
      </c>
      <c r="C12" s="84" t="s">
        <v>173</v>
      </c>
      <c r="D12" s="82" t="s">
        <v>78</v>
      </c>
      <c r="E12" s="87">
        <v>17</v>
      </c>
      <c r="F12" s="87">
        <v>30</v>
      </c>
      <c r="G12" s="92" t="s">
        <v>68</v>
      </c>
      <c r="H12" s="81" t="s">
        <v>190</v>
      </c>
      <c r="I12">
        <v>1</v>
      </c>
      <c r="J12">
        <f>SUM(K13)</f>
        <v>146280</v>
      </c>
      <c r="K12">
        <f>I12*J12</f>
        <v>146280</v>
      </c>
      <c r="L12">
        <f>100*(1-(M12/K12))</f>
        <v>100</v>
      </c>
      <c r="M12">
        <f>I12*SUM(M13)</f>
        <v>0</v>
      </c>
      <c r="N12" s="90">
        <v>12</v>
      </c>
      <c r="O12" s="90" t="s">
        <v>101</v>
      </c>
      <c r="P12" s="118" t="s">
        <v>93</v>
      </c>
      <c r="Q12" s="118" t="s">
        <v>84</v>
      </c>
      <c r="R12" s="90" t="s">
        <v>222</v>
      </c>
      <c r="S12" s="90" t="s">
        <v>161</v>
      </c>
      <c r="T12" s="90" t="s">
        <v>164</v>
      </c>
      <c r="U12" s="90" t="s">
        <v>225</v>
      </c>
      <c r="V12" s="93" t="s">
        <v>176</v>
      </c>
      <c r="W12" s="93" t="s">
        <v>173</v>
      </c>
    </row>
    <row r="13" spans="1:25" x14ac:dyDescent="0.25">
      <c r="A13" s="84" t="s">
        <v>179</v>
      </c>
      <c r="B13" s="88">
        <v>5</v>
      </c>
      <c r="C13" s="84" t="s">
        <v>176</v>
      </c>
      <c r="D13" s="82" t="s">
        <v>78</v>
      </c>
      <c r="E13" s="87">
        <v>18</v>
      </c>
      <c r="F13" s="87">
        <v>29</v>
      </c>
      <c r="G13" s="92" t="s">
        <v>68</v>
      </c>
      <c r="H13" s="81" t="s">
        <v>191</v>
      </c>
      <c r="I13">
        <v>2</v>
      </c>
      <c r="J13">
        <f>SUM(K14)</f>
        <v>73140</v>
      </c>
      <c r="K13">
        <f>I13*J13</f>
        <v>146280</v>
      </c>
      <c r="L13">
        <f>100*(1-(M13/K13))</f>
        <v>100</v>
      </c>
      <c r="M13">
        <f>I13*SUM(M14)</f>
        <v>0</v>
      </c>
      <c r="N13" s="90">
        <v>13</v>
      </c>
      <c r="O13" s="90" t="s">
        <v>102</v>
      </c>
      <c r="P13" s="118" t="s">
        <v>95</v>
      </c>
      <c r="Q13" s="118" t="s">
        <v>84</v>
      </c>
      <c r="R13" s="90" t="s">
        <v>216</v>
      </c>
      <c r="S13" s="90" t="s">
        <v>154</v>
      </c>
      <c r="T13" s="90" t="s">
        <v>156</v>
      </c>
      <c r="U13" s="90" t="s">
        <v>218</v>
      </c>
      <c r="V13" s="93" t="s">
        <v>179</v>
      </c>
      <c r="W13" s="93" t="s">
        <v>176</v>
      </c>
    </row>
    <row r="14" spans="1:25" x14ac:dyDescent="0.25">
      <c r="A14" s="84" t="s">
        <v>182</v>
      </c>
      <c r="B14" s="88">
        <v>6</v>
      </c>
      <c r="C14" s="84" t="s">
        <v>179</v>
      </c>
      <c r="D14" s="82" t="s">
        <v>78</v>
      </c>
      <c r="E14" s="87">
        <v>19</v>
      </c>
      <c r="F14" s="87">
        <v>28</v>
      </c>
      <c r="G14" s="92" t="s">
        <v>68</v>
      </c>
      <c r="H14" s="81" t="s">
        <v>192</v>
      </c>
      <c r="I14">
        <v>1</v>
      </c>
      <c r="J14">
        <f>SUM(K15,K16,K17,K18)</f>
        <v>73140</v>
      </c>
      <c r="K14">
        <f>I14*J14</f>
        <v>73140</v>
      </c>
      <c r="L14">
        <f>100*(1-(M14/K14))</f>
        <v>100</v>
      </c>
      <c r="M14">
        <f>I14*SUM(M15,M16,M17,M18)</f>
        <v>0</v>
      </c>
      <c r="N14" s="90">
        <v>14</v>
      </c>
      <c r="O14" s="90" t="s">
        <v>103</v>
      </c>
      <c r="P14" s="118" t="s">
        <v>131</v>
      </c>
      <c r="Q14" s="118" t="s">
        <v>84</v>
      </c>
      <c r="R14" s="90" t="s">
        <v>210</v>
      </c>
      <c r="S14" s="90" t="s">
        <v>146</v>
      </c>
      <c r="T14" s="90" t="s">
        <v>149</v>
      </c>
      <c r="U14" s="90" t="s">
        <v>213</v>
      </c>
      <c r="V14" s="93" t="s">
        <v>182</v>
      </c>
      <c r="W14" s="93" t="s">
        <v>179</v>
      </c>
    </row>
    <row r="15" spans="1:25" x14ac:dyDescent="0.25">
      <c r="A15" s="83" t="s">
        <v>185</v>
      </c>
      <c r="B15" s="88">
        <v>7</v>
      </c>
      <c r="C15" s="86" t="s">
        <v>182</v>
      </c>
      <c r="D15" s="82" t="s">
        <v>78</v>
      </c>
      <c r="E15" s="88">
        <v>20</v>
      </c>
      <c r="F15" s="88">
        <v>21</v>
      </c>
      <c r="G15" s="92" t="s">
        <v>78</v>
      </c>
      <c r="H15" s="81" t="s">
        <v>193</v>
      </c>
      <c r="I15">
        <v>8</v>
      </c>
      <c r="J15">
        <v>5616</v>
      </c>
      <c r="K15">
        <f>I15*J15</f>
        <v>44928</v>
      </c>
      <c r="L15">
        <v>100</v>
      </c>
      <c r="M15">
        <f>(1-(L15/100))*K15</f>
        <v>0</v>
      </c>
      <c r="N15" s="90">
        <v>15</v>
      </c>
      <c r="O15" s="90" t="s">
        <v>105</v>
      </c>
      <c r="P15" s="118" t="s">
        <v>97</v>
      </c>
      <c r="Q15" s="118" t="s">
        <v>84</v>
      </c>
      <c r="V15" s="93" t="s">
        <v>185</v>
      </c>
      <c r="W15" s="93" t="s">
        <v>182</v>
      </c>
    </row>
    <row r="16" spans="1:25" x14ac:dyDescent="0.25">
      <c r="A16" s="84" t="s">
        <v>194</v>
      </c>
      <c r="B16" s="88">
        <v>7</v>
      </c>
      <c r="C16" s="84" t="s">
        <v>182</v>
      </c>
      <c r="D16" s="82" t="s">
        <v>79</v>
      </c>
      <c r="E16" s="87">
        <v>22</v>
      </c>
      <c r="F16" s="87">
        <v>23</v>
      </c>
      <c r="G16" s="92" t="s">
        <v>78</v>
      </c>
      <c r="H16" s="81" t="s">
        <v>195</v>
      </c>
      <c r="I16">
        <v>1</v>
      </c>
      <c r="J16">
        <v>1604</v>
      </c>
      <c r="K16">
        <f>I16*J16</f>
        <v>1604</v>
      </c>
      <c r="L16">
        <v>100</v>
      </c>
      <c r="M16">
        <f>(1-(L16/100))*K16</f>
        <v>0</v>
      </c>
      <c r="N16" s="90">
        <v>16</v>
      </c>
      <c r="O16" s="90" t="s">
        <v>106</v>
      </c>
      <c r="P16" s="118" t="s">
        <v>99</v>
      </c>
      <c r="Q16" s="118" t="s">
        <v>84</v>
      </c>
      <c r="V16" s="93" t="s">
        <v>194</v>
      </c>
      <c r="W16" s="93" t="s">
        <v>182</v>
      </c>
    </row>
    <row r="17" spans="1:23" x14ac:dyDescent="0.25">
      <c r="A17" s="84" t="s">
        <v>196</v>
      </c>
      <c r="B17" s="88">
        <v>7</v>
      </c>
      <c r="C17" s="84" t="s">
        <v>182</v>
      </c>
      <c r="D17" s="82" t="s">
        <v>80</v>
      </c>
      <c r="E17" s="87">
        <v>24</v>
      </c>
      <c r="F17" s="87">
        <v>25</v>
      </c>
      <c r="G17" s="92" t="s">
        <v>78</v>
      </c>
      <c r="H17" s="81" t="s">
        <v>197</v>
      </c>
      <c r="I17">
        <v>2</v>
      </c>
      <c r="J17">
        <v>7020</v>
      </c>
      <c r="K17">
        <f>I17*J17</f>
        <v>14040</v>
      </c>
      <c r="L17">
        <v>100</v>
      </c>
      <c r="M17">
        <f>(1-(L17/100))*K17</f>
        <v>0</v>
      </c>
      <c r="N17" s="90">
        <v>17</v>
      </c>
      <c r="O17" s="90" t="s">
        <v>171</v>
      </c>
      <c r="P17" s="118" t="s">
        <v>132</v>
      </c>
      <c r="Q17" s="118" t="s">
        <v>84</v>
      </c>
      <c r="V17" s="93" t="s">
        <v>196</v>
      </c>
      <c r="W17" s="93" t="s">
        <v>182</v>
      </c>
    </row>
    <row r="18" spans="1:23" x14ac:dyDescent="0.25">
      <c r="A18" s="84" t="s">
        <v>198</v>
      </c>
      <c r="B18" s="88">
        <v>7</v>
      </c>
      <c r="C18" s="84" t="s">
        <v>182</v>
      </c>
      <c r="D18" s="82" t="s">
        <v>125</v>
      </c>
      <c r="E18" s="87">
        <v>26</v>
      </c>
      <c r="F18" s="87">
        <v>27</v>
      </c>
      <c r="G18" s="92" t="s">
        <v>78</v>
      </c>
      <c r="H18" s="81" t="s">
        <v>199</v>
      </c>
      <c r="I18">
        <v>1</v>
      </c>
      <c r="J18">
        <v>12568</v>
      </c>
      <c r="K18">
        <f>I18*J18</f>
        <v>12568</v>
      </c>
      <c r="L18">
        <v>100</v>
      </c>
      <c r="M18">
        <f>(1-(L18/100))*K18</f>
        <v>0</v>
      </c>
      <c r="N18" s="90">
        <v>18</v>
      </c>
      <c r="O18" s="90" t="s">
        <v>107</v>
      </c>
      <c r="P18" s="118" t="s">
        <v>100</v>
      </c>
      <c r="Q18" s="118" t="s">
        <v>84</v>
      </c>
      <c r="V18" s="93" t="s">
        <v>198</v>
      </c>
      <c r="W18" s="93" t="s">
        <v>182</v>
      </c>
    </row>
    <row r="19" spans="1:23" x14ac:dyDescent="0.25">
      <c r="A19" s="84" t="s">
        <v>174</v>
      </c>
      <c r="B19" s="88">
        <v>3</v>
      </c>
      <c r="C19" s="84" t="s">
        <v>83</v>
      </c>
      <c r="D19" s="82" t="s">
        <v>80</v>
      </c>
      <c r="E19" s="81">
        <v>32</v>
      </c>
      <c r="F19" s="81">
        <v>49</v>
      </c>
      <c r="G19" s="92" t="s">
        <v>68</v>
      </c>
      <c r="H19" s="81" t="s">
        <v>200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 s="90">
        <v>19</v>
      </c>
      <c r="O19" s="90" t="s">
        <v>109</v>
      </c>
      <c r="P19" s="118" t="s">
        <v>101</v>
      </c>
      <c r="Q19" s="118" t="s">
        <v>84</v>
      </c>
      <c r="R19" s="90" t="s">
        <v>233</v>
      </c>
      <c r="S19" s="90" t="s">
        <v>136</v>
      </c>
      <c r="T19" s="90" t="s">
        <v>139</v>
      </c>
      <c r="U19" s="90" t="s">
        <v>235</v>
      </c>
      <c r="V19" s="93" t="s">
        <v>174</v>
      </c>
      <c r="W19" s="93" t="s">
        <v>83</v>
      </c>
    </row>
    <row r="20" spans="1:23" x14ac:dyDescent="0.25">
      <c r="A20" s="89" t="s">
        <v>177</v>
      </c>
      <c r="B20" s="88">
        <v>4</v>
      </c>
      <c r="C20" s="82" t="s">
        <v>174</v>
      </c>
      <c r="D20" s="82" t="s">
        <v>78</v>
      </c>
      <c r="E20" s="81">
        <v>33</v>
      </c>
      <c r="F20" s="81">
        <v>48</v>
      </c>
      <c r="G20" s="92" t="s">
        <v>68</v>
      </c>
      <c r="H20" s="81" t="s">
        <v>201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 s="90">
        <v>20</v>
      </c>
      <c r="O20" s="90" t="s">
        <v>110</v>
      </c>
      <c r="P20" s="118" t="s">
        <v>102</v>
      </c>
      <c r="Q20" s="118" t="s">
        <v>84</v>
      </c>
      <c r="R20" s="90" t="s">
        <v>223</v>
      </c>
      <c r="S20" s="90" t="s">
        <v>228</v>
      </c>
      <c r="T20" s="90" t="s">
        <v>230</v>
      </c>
      <c r="U20" s="90" t="s">
        <v>226</v>
      </c>
      <c r="V20" s="93" t="s">
        <v>177</v>
      </c>
      <c r="W20" s="93" t="s">
        <v>174</v>
      </c>
    </row>
    <row r="21" spans="1:23" x14ac:dyDescent="0.25">
      <c r="A21" s="89" t="s">
        <v>180</v>
      </c>
      <c r="B21" s="88">
        <v>5</v>
      </c>
      <c r="C21" s="82" t="s">
        <v>177</v>
      </c>
      <c r="D21" s="82" t="s">
        <v>78</v>
      </c>
      <c r="E21" s="81">
        <v>34</v>
      </c>
      <c r="F21" s="81">
        <v>47</v>
      </c>
      <c r="G21" s="92" t="s">
        <v>68</v>
      </c>
      <c r="H21" s="81" t="s">
        <v>200</v>
      </c>
      <c r="I21">
        <v>1</v>
      </c>
      <c r="J21">
        <f>SUM(K22)</f>
        <v>34477.15</v>
      </c>
      <c r="K21">
        <f>I21*J21</f>
        <v>34477.15</v>
      </c>
      <c r="L21">
        <f>100*(1-(M21/K21))</f>
        <v>27.83</v>
      </c>
      <c r="M21">
        <f>I21*SUM(M22)</f>
        <v>24882.159155000001</v>
      </c>
      <c r="N21" s="90">
        <v>21</v>
      </c>
      <c r="O21" s="90" t="s">
        <v>172</v>
      </c>
      <c r="P21" s="118" t="s">
        <v>103</v>
      </c>
      <c r="Q21" s="118" t="s">
        <v>84</v>
      </c>
      <c r="R21" s="90" t="s">
        <v>217</v>
      </c>
      <c r="S21" s="90" t="s">
        <v>220</v>
      </c>
      <c r="T21" s="90" t="s">
        <v>221</v>
      </c>
      <c r="U21" s="90" t="s">
        <v>219</v>
      </c>
      <c r="V21" s="93" t="s">
        <v>180</v>
      </c>
      <c r="W21" s="93" t="s">
        <v>177</v>
      </c>
    </row>
    <row r="22" spans="1:23" x14ac:dyDescent="0.25">
      <c r="A22" s="89" t="s">
        <v>183</v>
      </c>
      <c r="B22" s="88">
        <v>6</v>
      </c>
      <c r="C22" s="82" t="s">
        <v>180</v>
      </c>
      <c r="D22" s="82" t="s">
        <v>78</v>
      </c>
      <c r="E22" s="81">
        <v>35</v>
      </c>
      <c r="F22" s="81">
        <v>46</v>
      </c>
      <c r="G22" s="92" t="s">
        <v>68</v>
      </c>
      <c r="H22" s="81" t="s">
        <v>202</v>
      </c>
      <c r="I22">
        <v>1</v>
      </c>
      <c r="J22">
        <f>SUM(K23,K24,K25,K26,K27)</f>
        <v>34477.15</v>
      </c>
      <c r="K22">
        <f>I22*J22</f>
        <v>34477.15</v>
      </c>
      <c r="L22">
        <f>100*(1-(M22/K22))</f>
        <v>27.83</v>
      </c>
      <c r="M22">
        <f>I22*SUM(M23,M24,M25,M26,M27)</f>
        <v>24882.159155000001</v>
      </c>
      <c r="N22" s="90">
        <v>22</v>
      </c>
      <c r="O22" s="90" t="s">
        <v>111</v>
      </c>
      <c r="P22" s="118" t="s">
        <v>104</v>
      </c>
      <c r="Q22" s="118" t="s">
        <v>84</v>
      </c>
      <c r="R22" s="90" t="s">
        <v>211</v>
      </c>
      <c r="S22" s="90" t="s">
        <v>167</v>
      </c>
      <c r="T22" s="90" t="s">
        <v>170</v>
      </c>
      <c r="U22" s="90" t="s">
        <v>214</v>
      </c>
      <c r="V22" s="93" t="s">
        <v>183</v>
      </c>
      <c r="W22" s="93" t="s">
        <v>180</v>
      </c>
    </row>
    <row r="23" spans="1:23" x14ac:dyDescent="0.25">
      <c r="A23" s="82" t="s">
        <v>186</v>
      </c>
      <c r="B23" s="88">
        <v>7</v>
      </c>
      <c r="C23" s="82" t="s">
        <v>183</v>
      </c>
      <c r="D23" s="82" t="s">
        <v>78</v>
      </c>
      <c r="E23" s="81">
        <v>36</v>
      </c>
      <c r="F23" s="81">
        <v>37</v>
      </c>
      <c r="G23" s="92" t="s">
        <v>78</v>
      </c>
      <c r="H23" s="81" t="s">
        <v>121</v>
      </c>
      <c r="I23">
        <v>1</v>
      </c>
      <c r="J23">
        <v>15931.63</v>
      </c>
      <c r="K23">
        <f>I23*J23</f>
        <v>15931.63</v>
      </c>
      <c r="L23">
        <v>27.83</v>
      </c>
      <c r="M23">
        <f>(1-(L23/100))*K23</f>
        <v>11497.857371</v>
      </c>
      <c r="N23" s="90">
        <v>23</v>
      </c>
      <c r="O23" s="90" t="s">
        <v>112</v>
      </c>
      <c r="P23" s="118" t="s">
        <v>105</v>
      </c>
      <c r="Q23" s="118" t="s">
        <v>84</v>
      </c>
      <c r="V23" s="93" t="s">
        <v>186</v>
      </c>
      <c r="W23" s="93" t="s">
        <v>183</v>
      </c>
    </row>
    <row r="24" spans="1:23" x14ac:dyDescent="0.25">
      <c r="A24" s="90" t="s">
        <v>203</v>
      </c>
      <c r="B24" s="119">
        <v>7</v>
      </c>
      <c r="C24" s="90" t="s">
        <v>183</v>
      </c>
      <c r="D24" s="90" t="s">
        <v>79</v>
      </c>
      <c r="E24">
        <v>38</v>
      </c>
      <c r="F24">
        <v>39</v>
      </c>
      <c r="G24" s="93" t="s">
        <v>78</v>
      </c>
      <c r="H24" t="s">
        <v>204</v>
      </c>
      <c r="I24">
        <v>1</v>
      </c>
      <c r="J24">
        <v>5946</v>
      </c>
      <c r="K24">
        <f>I24*J24</f>
        <v>5946</v>
      </c>
      <c r="L24">
        <v>27.83</v>
      </c>
      <c r="M24">
        <f>(1-(L24/100))*K24</f>
        <v>4291.2282000000005</v>
      </c>
      <c r="N24" s="90">
        <v>24</v>
      </c>
      <c r="O24" s="90" t="s">
        <v>113</v>
      </c>
      <c r="P24" s="118" t="s">
        <v>106</v>
      </c>
      <c r="Q24" s="118" t="s">
        <v>84</v>
      </c>
      <c r="V24" s="93" t="s">
        <v>203</v>
      </c>
      <c r="W24" s="93" t="s">
        <v>183</v>
      </c>
    </row>
    <row r="25" spans="1:23" x14ac:dyDescent="0.25">
      <c r="A25" s="84" t="s">
        <v>205</v>
      </c>
      <c r="B25" s="88">
        <v>7</v>
      </c>
      <c r="C25" s="91" t="s">
        <v>183</v>
      </c>
      <c r="D25" s="82" t="s">
        <v>80</v>
      </c>
      <c r="E25" s="81">
        <v>40</v>
      </c>
      <c r="F25" s="81">
        <v>41</v>
      </c>
      <c r="G25" s="92" t="s">
        <v>78</v>
      </c>
      <c r="H25" s="81" t="s">
        <v>122</v>
      </c>
      <c r="I25">
        <v>1</v>
      </c>
      <c r="J25">
        <v>2728.29</v>
      </c>
      <c r="K25">
        <f>I25*J25</f>
        <v>2728.29</v>
      </c>
      <c r="L25">
        <v>27.83</v>
      </c>
      <c r="M25">
        <f>(1-(L25/100))*K25</f>
        <v>1969.006893</v>
      </c>
      <c r="N25" s="90">
        <v>25</v>
      </c>
      <c r="O25" s="90" t="s">
        <v>114</v>
      </c>
      <c r="P25" s="118" t="s">
        <v>171</v>
      </c>
      <c r="Q25" s="118" t="s">
        <v>84</v>
      </c>
      <c r="V25" s="93" t="s">
        <v>205</v>
      </c>
      <c r="W25" s="93" t="s">
        <v>183</v>
      </c>
    </row>
    <row r="26" spans="1:23" x14ac:dyDescent="0.25">
      <c r="A26" s="89" t="s">
        <v>206</v>
      </c>
      <c r="B26" s="88">
        <v>7</v>
      </c>
      <c r="C26" s="82" t="s">
        <v>183</v>
      </c>
      <c r="D26" s="82" t="s">
        <v>125</v>
      </c>
      <c r="E26" s="81">
        <v>42</v>
      </c>
      <c r="F26" s="81">
        <v>43</v>
      </c>
      <c r="G26" s="92" t="s">
        <v>78</v>
      </c>
      <c r="H26" s="81" t="s">
        <v>123</v>
      </c>
      <c r="I26">
        <v>1</v>
      </c>
      <c r="J26">
        <v>6810</v>
      </c>
      <c r="K26">
        <f>I26*J26</f>
        <v>6810</v>
      </c>
      <c r="L26">
        <v>27.83</v>
      </c>
      <c r="M26">
        <f>(1-(L26/100))*K26</f>
        <v>4914.777</v>
      </c>
      <c r="N26" s="90">
        <v>26</v>
      </c>
      <c r="O26" s="90" t="s">
        <v>115</v>
      </c>
      <c r="P26" s="118" t="s">
        <v>107</v>
      </c>
      <c r="Q26" s="118" t="s">
        <v>84</v>
      </c>
      <c r="V26" s="93" t="s">
        <v>206</v>
      </c>
      <c r="W26" s="93" t="s">
        <v>183</v>
      </c>
    </row>
    <row r="27" spans="1:23" x14ac:dyDescent="0.25">
      <c r="A27" s="89" t="s">
        <v>207</v>
      </c>
      <c r="B27" s="88">
        <v>7</v>
      </c>
      <c r="C27" s="82" t="s">
        <v>183</v>
      </c>
      <c r="D27" s="82" t="s">
        <v>126</v>
      </c>
      <c r="E27" s="81">
        <v>44</v>
      </c>
      <c r="F27" s="81">
        <v>45</v>
      </c>
      <c r="G27" s="92" t="s">
        <v>78</v>
      </c>
      <c r="H27" s="81" t="s">
        <v>124</v>
      </c>
      <c r="I27">
        <v>1</v>
      </c>
      <c r="J27">
        <v>3061.23</v>
      </c>
      <c r="K27">
        <f>I27*J27</f>
        <v>3061.23</v>
      </c>
      <c r="L27">
        <v>27.83</v>
      </c>
      <c r="M27">
        <f>(1-(L27/100))*K27</f>
        <v>2209.2896909999999</v>
      </c>
      <c r="N27" s="90">
        <v>27</v>
      </c>
      <c r="O27" s="90" t="s">
        <v>116</v>
      </c>
      <c r="P27" s="118" t="s">
        <v>108</v>
      </c>
      <c r="Q27" s="118" t="s">
        <v>84</v>
      </c>
      <c r="V27" s="93" t="s">
        <v>207</v>
      </c>
      <c r="W27" s="93" t="s">
        <v>183</v>
      </c>
    </row>
    <row r="28" spans="1:23" x14ac:dyDescent="0.25">
      <c r="A28" s="89" t="s">
        <v>175</v>
      </c>
      <c r="B28" s="88">
        <v>3</v>
      </c>
      <c r="C28" s="82" t="s">
        <v>83</v>
      </c>
      <c r="D28" s="82" t="s">
        <v>125</v>
      </c>
      <c r="E28" s="81">
        <v>50</v>
      </c>
      <c r="F28" s="81">
        <v>57</v>
      </c>
      <c r="G28" s="92" t="s">
        <v>68</v>
      </c>
      <c r="H28" s="81" t="s">
        <v>208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 s="90">
        <v>28</v>
      </c>
      <c r="O28" s="90" t="s">
        <v>117</v>
      </c>
      <c r="P28" s="118" t="s">
        <v>109</v>
      </c>
      <c r="Q28" s="118" t="s">
        <v>84</v>
      </c>
      <c r="R28" s="90" t="s">
        <v>224</v>
      </c>
      <c r="S28" s="90" t="s">
        <v>229</v>
      </c>
      <c r="T28" s="90" t="s">
        <v>231</v>
      </c>
      <c r="U28" s="90" t="s">
        <v>227</v>
      </c>
      <c r="V28" s="93" t="s">
        <v>175</v>
      </c>
      <c r="W28" s="93" t="s">
        <v>83</v>
      </c>
    </row>
    <row r="29" spans="1:23" x14ac:dyDescent="0.25">
      <c r="A29" s="90" t="s">
        <v>178</v>
      </c>
      <c r="B29" s="119">
        <v>4</v>
      </c>
      <c r="C29" s="90" t="s">
        <v>175</v>
      </c>
      <c r="D29" s="90" t="s">
        <v>78</v>
      </c>
      <c r="E29">
        <v>51</v>
      </c>
      <c r="F29">
        <v>56</v>
      </c>
      <c r="G29" s="93" t="s">
        <v>68</v>
      </c>
      <c r="H29" t="s">
        <v>208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 s="90">
        <v>29</v>
      </c>
      <c r="O29" s="90" t="s">
        <v>118</v>
      </c>
      <c r="P29" s="118" t="s">
        <v>110</v>
      </c>
      <c r="Q29" s="118" t="s">
        <v>84</v>
      </c>
      <c r="R29" s="90" t="s">
        <v>142</v>
      </c>
      <c r="S29" s="90" t="s">
        <v>147</v>
      </c>
      <c r="T29" s="90" t="s">
        <v>150</v>
      </c>
      <c r="U29" s="90" t="s">
        <v>144</v>
      </c>
      <c r="V29" s="93" t="s">
        <v>178</v>
      </c>
      <c r="W29" s="93" t="s">
        <v>175</v>
      </c>
    </row>
    <row r="30" spans="1:23" x14ac:dyDescent="0.25">
      <c r="A30" s="90" t="s">
        <v>181</v>
      </c>
      <c r="B30" s="119">
        <v>5</v>
      </c>
      <c r="C30" s="90" t="s">
        <v>178</v>
      </c>
      <c r="D30" s="90" t="s">
        <v>78</v>
      </c>
      <c r="E30">
        <v>52</v>
      </c>
      <c r="F30">
        <v>55</v>
      </c>
      <c r="G30" s="93" t="s">
        <v>68</v>
      </c>
      <c r="H30" t="s">
        <v>208</v>
      </c>
      <c r="I30">
        <v>1</v>
      </c>
      <c r="J30">
        <f>SUM(K31)</f>
        <v>1009039.85737935</v>
      </c>
      <c r="K30">
        <f>I30*J30</f>
        <v>1009039.85737935</v>
      </c>
      <c r="L30">
        <f>100*(1-(M30/K30))</f>
        <v>27.83</v>
      </c>
      <c r="M30">
        <f>I30*SUM(M31)</f>
        <v>728224.06507067685</v>
      </c>
      <c r="N30" s="90">
        <v>30</v>
      </c>
      <c r="O30" s="90" t="s">
        <v>119</v>
      </c>
      <c r="P30" s="118" t="s">
        <v>172</v>
      </c>
      <c r="Q30" s="118" t="s">
        <v>84</v>
      </c>
      <c r="R30" s="90" t="s">
        <v>212</v>
      </c>
      <c r="S30" s="90" t="s">
        <v>137</v>
      </c>
      <c r="T30" s="90" t="s">
        <v>140</v>
      </c>
      <c r="U30" s="90" t="s">
        <v>215</v>
      </c>
      <c r="V30" s="93" t="s">
        <v>181</v>
      </c>
      <c r="W30" s="93" t="s">
        <v>178</v>
      </c>
    </row>
    <row r="31" spans="1:23" x14ac:dyDescent="0.25">
      <c r="A31" s="90" t="s">
        <v>184</v>
      </c>
      <c r="B31" s="119">
        <v>6</v>
      </c>
      <c r="C31" s="90" t="s">
        <v>181</v>
      </c>
      <c r="D31" s="90" t="s">
        <v>78</v>
      </c>
      <c r="E31">
        <v>53</v>
      </c>
      <c r="F31">
        <v>54</v>
      </c>
      <c r="G31" s="93" t="s">
        <v>78</v>
      </c>
      <c r="H31" t="s">
        <v>96</v>
      </c>
      <c r="I31">
        <v>1</v>
      </c>
      <c r="J31">
        <v>1009039.85737935</v>
      </c>
      <c r="K31">
        <f>I31*J31</f>
        <v>1009039.85737935</v>
      </c>
      <c r="L31">
        <v>27.83</v>
      </c>
      <c r="M31">
        <f>(1-(L31/100))*K31</f>
        <v>728224.06507067685</v>
      </c>
      <c r="N31" s="90">
        <v>31</v>
      </c>
      <c r="O31" s="90" t="s">
        <v>120</v>
      </c>
      <c r="P31" s="118" t="s">
        <v>111</v>
      </c>
      <c r="Q31" s="118" t="s">
        <v>84</v>
      </c>
      <c r="V31" s="93" t="s">
        <v>184</v>
      </c>
      <c r="W31" s="93" t="s">
        <v>181</v>
      </c>
    </row>
    <row r="32" spans="1:23" x14ac:dyDescent="0.25">
      <c r="A32" s="90" t="s">
        <v>236</v>
      </c>
      <c r="B32" s="119">
        <v>3</v>
      </c>
      <c r="C32" s="90" t="s">
        <v>83</v>
      </c>
      <c r="D32" s="90" t="s">
        <v>126</v>
      </c>
      <c r="E32">
        <v>58</v>
      </c>
      <c r="F32">
        <v>73</v>
      </c>
      <c r="G32" s="93" t="s">
        <v>68</v>
      </c>
      <c r="H32" t="s">
        <v>237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 s="90">
        <v>32</v>
      </c>
      <c r="O32" s="90" t="s">
        <v>238</v>
      </c>
      <c r="P32" s="118" t="s">
        <v>1236</v>
      </c>
      <c r="Q32" s="118" t="s">
        <v>84</v>
      </c>
      <c r="R32" s="90" t="s">
        <v>1194</v>
      </c>
      <c r="S32" s="90" t="s">
        <v>1215</v>
      </c>
      <c r="T32" s="90" t="s">
        <v>1225</v>
      </c>
      <c r="U32" s="90" t="s">
        <v>1205</v>
      </c>
      <c r="V32" s="93" t="s">
        <v>236</v>
      </c>
      <c r="W32" s="93" t="s">
        <v>83</v>
      </c>
    </row>
    <row r="33" spans="1:23" x14ac:dyDescent="0.25">
      <c r="A33" s="90" t="s">
        <v>239</v>
      </c>
      <c r="B33" s="119">
        <v>4</v>
      </c>
      <c r="C33" s="90" t="s">
        <v>236</v>
      </c>
      <c r="D33" s="90" t="s">
        <v>78</v>
      </c>
      <c r="E33">
        <v>59</v>
      </c>
      <c r="F33">
        <v>72</v>
      </c>
      <c r="G33" s="93" t="s">
        <v>68</v>
      </c>
      <c r="H33" t="s">
        <v>237</v>
      </c>
      <c r="I33">
        <v>1</v>
      </c>
      <c r="J33">
        <f>SUM(K34)</f>
        <v>2105148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 s="90">
        <v>33</v>
      </c>
      <c r="O33" s="90" t="s">
        <v>240</v>
      </c>
      <c r="P33" s="118" t="s">
        <v>112</v>
      </c>
      <c r="Q33" s="118" t="s">
        <v>84</v>
      </c>
      <c r="R33" s="90" t="s">
        <v>1107</v>
      </c>
      <c r="S33" s="90" t="s">
        <v>1151</v>
      </c>
      <c r="T33" s="90" t="s">
        <v>1173</v>
      </c>
      <c r="U33" s="90" t="s">
        <v>1129</v>
      </c>
      <c r="V33" s="93" t="s">
        <v>239</v>
      </c>
      <c r="W33" s="93" t="s">
        <v>236</v>
      </c>
    </row>
    <row r="34" spans="1:23" x14ac:dyDescent="0.25">
      <c r="A34" s="90" t="s">
        <v>241</v>
      </c>
      <c r="B34" s="119">
        <v>5</v>
      </c>
      <c r="C34" s="90" t="s">
        <v>239</v>
      </c>
      <c r="D34" s="90" t="s">
        <v>78</v>
      </c>
      <c r="E34">
        <v>60</v>
      </c>
      <c r="F34">
        <v>71</v>
      </c>
      <c r="G34" s="93" t="s">
        <v>68</v>
      </c>
      <c r="H34" t="s">
        <v>237</v>
      </c>
      <c r="I34">
        <v>2</v>
      </c>
      <c r="J34">
        <f>SUM(K35)</f>
        <v>1052574</v>
      </c>
      <c r="K34">
        <f>I34*J34</f>
        <v>2105148</v>
      </c>
      <c r="L34">
        <f>100*(1-(M34/K34))</f>
        <v>27.830000000000009</v>
      </c>
      <c r="M34">
        <f>I34*SUM(M35)</f>
        <v>1519285.3115999999</v>
      </c>
      <c r="N34" s="90">
        <v>34</v>
      </c>
      <c r="O34" s="90" t="s">
        <v>242</v>
      </c>
      <c r="P34" s="118" t="s">
        <v>113</v>
      </c>
      <c r="Q34" s="118" t="s">
        <v>84</v>
      </c>
      <c r="R34" s="90" t="s">
        <v>999</v>
      </c>
      <c r="S34" s="90" t="s">
        <v>1053</v>
      </c>
      <c r="T34" s="90" t="s">
        <v>1080</v>
      </c>
      <c r="U34" s="90" t="s">
        <v>1026</v>
      </c>
      <c r="V34" s="93" t="s">
        <v>241</v>
      </c>
      <c r="W34" s="93" t="s">
        <v>239</v>
      </c>
    </row>
    <row r="35" spans="1:23" x14ac:dyDescent="0.25">
      <c r="A35" s="90" t="s">
        <v>243</v>
      </c>
      <c r="B35" s="119">
        <v>6</v>
      </c>
      <c r="C35" s="90" t="s">
        <v>241</v>
      </c>
      <c r="D35" s="90" t="s">
        <v>78</v>
      </c>
      <c r="E35">
        <v>61</v>
      </c>
      <c r="F35">
        <v>70</v>
      </c>
      <c r="G35" s="93" t="s">
        <v>68</v>
      </c>
      <c r="H35" t="s">
        <v>94</v>
      </c>
      <c r="I35">
        <v>1</v>
      </c>
      <c r="J35">
        <f>SUM(K36,K37,K38,K39)</f>
        <v>1052574</v>
      </c>
      <c r="K35">
        <f>I35*J35</f>
        <v>1052574</v>
      </c>
      <c r="L35">
        <f>100*(1-(M35/K35))</f>
        <v>27.830000000000009</v>
      </c>
      <c r="M35">
        <f>I35*SUM(M36,M37,M38,M39)</f>
        <v>759642.65579999995</v>
      </c>
      <c r="N35" s="90">
        <v>35</v>
      </c>
      <c r="O35" s="90" t="s">
        <v>244</v>
      </c>
      <c r="P35" s="118" t="s">
        <v>114</v>
      </c>
      <c r="Q35" s="118" t="s">
        <v>84</v>
      </c>
      <c r="R35" s="90" t="s">
        <v>860</v>
      </c>
      <c r="S35" s="90" t="s">
        <v>930</v>
      </c>
      <c r="T35" s="90" t="s">
        <v>965</v>
      </c>
      <c r="U35" s="90" t="s">
        <v>895</v>
      </c>
      <c r="V35" s="93" t="s">
        <v>243</v>
      </c>
      <c r="W35" s="93" t="s">
        <v>241</v>
      </c>
    </row>
    <row r="36" spans="1:23" x14ac:dyDescent="0.25">
      <c r="A36" s="90" t="s">
        <v>245</v>
      </c>
      <c r="B36" s="119">
        <v>7</v>
      </c>
      <c r="C36" s="90" t="s">
        <v>243</v>
      </c>
      <c r="D36" s="90" t="s">
        <v>78</v>
      </c>
      <c r="E36">
        <v>62</v>
      </c>
      <c r="F36">
        <v>63</v>
      </c>
      <c r="G36" s="93" t="s">
        <v>78</v>
      </c>
      <c r="H36" t="s">
        <v>246</v>
      </c>
      <c r="I36">
        <v>1</v>
      </c>
      <c r="J36">
        <v>68557.399999999994</v>
      </c>
      <c r="K36">
        <f>I36*J36</f>
        <v>68557.399999999994</v>
      </c>
      <c r="L36">
        <v>27.83</v>
      </c>
      <c r="M36">
        <f>(1-(L36/100))*K36</f>
        <v>49477.87558</v>
      </c>
      <c r="N36" s="90">
        <v>36</v>
      </c>
      <c r="O36" s="90" t="s">
        <v>247</v>
      </c>
      <c r="P36" s="118" t="s">
        <v>115</v>
      </c>
      <c r="Q36" s="118" t="s">
        <v>84</v>
      </c>
      <c r="V36" s="93" t="s">
        <v>245</v>
      </c>
      <c r="W36" s="93" t="s">
        <v>243</v>
      </c>
    </row>
    <row r="37" spans="1:23" x14ac:dyDescent="0.25">
      <c r="A37" s="90" t="s">
        <v>248</v>
      </c>
      <c r="B37" s="119">
        <v>7</v>
      </c>
      <c r="C37" s="90" t="s">
        <v>243</v>
      </c>
      <c r="D37" s="90" t="s">
        <v>79</v>
      </c>
      <c r="E37">
        <v>64</v>
      </c>
      <c r="F37">
        <v>65</v>
      </c>
      <c r="G37" s="93" t="s">
        <v>78</v>
      </c>
      <c r="H37" t="s">
        <v>249</v>
      </c>
      <c r="I37">
        <v>2000</v>
      </c>
      <c r="J37">
        <v>22.62</v>
      </c>
      <c r="K37">
        <f>I37*J37</f>
        <v>45240</v>
      </c>
      <c r="L37">
        <v>27.83</v>
      </c>
      <c r="M37">
        <f>(1-(L37/100))*K37</f>
        <v>32649.707999999999</v>
      </c>
      <c r="N37" s="90">
        <v>37</v>
      </c>
      <c r="O37" s="90" t="s">
        <v>250</v>
      </c>
      <c r="P37" s="118" t="s">
        <v>116</v>
      </c>
      <c r="Q37" s="118" t="s">
        <v>84</v>
      </c>
      <c r="V37" s="93" t="s">
        <v>248</v>
      </c>
      <c r="W37" s="93" t="s">
        <v>243</v>
      </c>
    </row>
    <row r="38" spans="1:23" x14ac:dyDescent="0.25">
      <c r="A38" s="90" t="s">
        <v>251</v>
      </c>
      <c r="B38" s="119">
        <v>7</v>
      </c>
      <c r="C38" s="90" t="s">
        <v>243</v>
      </c>
      <c r="D38" s="90" t="s">
        <v>80</v>
      </c>
      <c r="E38">
        <v>66</v>
      </c>
      <c r="F38">
        <v>67</v>
      </c>
      <c r="G38" s="93" t="s">
        <v>78</v>
      </c>
      <c r="H38" t="s">
        <v>98</v>
      </c>
      <c r="I38">
        <v>1060</v>
      </c>
      <c r="J38">
        <v>2.0099999999999998</v>
      </c>
      <c r="K38">
        <f>I38*J38</f>
        <v>2130.6</v>
      </c>
      <c r="L38">
        <v>27.83</v>
      </c>
      <c r="M38">
        <f>(1-(L38/100))*K38</f>
        <v>1537.6540199999999</v>
      </c>
      <c r="N38" s="90">
        <v>38</v>
      </c>
      <c r="O38" s="90" t="s">
        <v>252</v>
      </c>
      <c r="P38" s="118" t="s">
        <v>1237</v>
      </c>
      <c r="Q38" s="118" t="s">
        <v>84</v>
      </c>
      <c r="V38" s="93" t="s">
        <v>251</v>
      </c>
      <c r="W38" s="93" t="s">
        <v>243</v>
      </c>
    </row>
    <row r="39" spans="1:23" x14ac:dyDescent="0.25">
      <c r="A39" s="90" t="s">
        <v>253</v>
      </c>
      <c r="B39" s="119">
        <v>7</v>
      </c>
      <c r="C39" s="90" t="s">
        <v>243</v>
      </c>
      <c r="D39" s="90" t="s">
        <v>125</v>
      </c>
      <c r="E39">
        <v>68</v>
      </c>
      <c r="F39">
        <v>69</v>
      </c>
      <c r="G39" s="93" t="s">
        <v>78</v>
      </c>
      <c r="H39" t="s">
        <v>254</v>
      </c>
      <c r="I39">
        <v>1</v>
      </c>
      <c r="J39">
        <v>936646</v>
      </c>
      <c r="K39">
        <f>I39*J39</f>
        <v>936646</v>
      </c>
      <c r="L39">
        <v>27.83</v>
      </c>
      <c r="M39">
        <f>(1-(L39/100))*K39</f>
        <v>675977.41819999996</v>
      </c>
      <c r="N39" s="90">
        <v>39</v>
      </c>
      <c r="O39" s="90" t="s">
        <v>255</v>
      </c>
      <c r="P39" s="118" t="s">
        <v>117</v>
      </c>
      <c r="Q39" s="118" t="s">
        <v>84</v>
      </c>
      <c r="V39" s="93" t="s">
        <v>253</v>
      </c>
      <c r="W39" s="93" t="s">
        <v>243</v>
      </c>
    </row>
    <row r="40" spans="1:23" x14ac:dyDescent="0.25">
      <c r="A40" s="90" t="s">
        <v>256</v>
      </c>
      <c r="B40" s="119">
        <v>3</v>
      </c>
      <c r="C40" s="90" t="s">
        <v>83</v>
      </c>
      <c r="D40" s="90" t="s">
        <v>849</v>
      </c>
      <c r="E40">
        <v>74</v>
      </c>
      <c r="F40">
        <v>89</v>
      </c>
      <c r="G40" s="93" t="s">
        <v>68</v>
      </c>
      <c r="H40" t="s">
        <v>257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 s="90">
        <v>40</v>
      </c>
      <c r="O40" s="90" t="s">
        <v>258</v>
      </c>
      <c r="P40" s="118" t="s">
        <v>118</v>
      </c>
      <c r="Q40" s="118" t="s">
        <v>84</v>
      </c>
      <c r="R40" s="90" t="s">
        <v>1195</v>
      </c>
      <c r="S40" s="90" t="s">
        <v>1216</v>
      </c>
      <c r="T40" s="90" t="s">
        <v>1226</v>
      </c>
      <c r="U40" s="90" t="s">
        <v>1206</v>
      </c>
      <c r="V40" s="93" t="s">
        <v>256</v>
      </c>
      <c r="W40" s="93" t="s">
        <v>83</v>
      </c>
    </row>
    <row r="41" spans="1:23" x14ac:dyDescent="0.25">
      <c r="A41" s="90" t="s">
        <v>259</v>
      </c>
      <c r="B41" s="119">
        <v>4</v>
      </c>
      <c r="C41" s="90" t="s">
        <v>256</v>
      </c>
      <c r="D41" s="90" t="s">
        <v>78</v>
      </c>
      <c r="E41">
        <v>75</v>
      </c>
      <c r="F41">
        <v>88</v>
      </c>
      <c r="G41" s="93" t="s">
        <v>68</v>
      </c>
      <c r="H41" t="s">
        <v>257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 s="90">
        <v>41</v>
      </c>
      <c r="O41" s="90" t="s">
        <v>260</v>
      </c>
      <c r="P41" s="118" t="s">
        <v>119</v>
      </c>
      <c r="Q41" s="118" t="s">
        <v>84</v>
      </c>
      <c r="R41" s="90" t="s">
        <v>1108</v>
      </c>
      <c r="S41" s="90" t="s">
        <v>1152</v>
      </c>
      <c r="T41" s="90" t="s">
        <v>1174</v>
      </c>
      <c r="U41" s="90" t="s">
        <v>1130</v>
      </c>
      <c r="V41" s="93" t="s">
        <v>259</v>
      </c>
      <c r="W41" s="93" t="s">
        <v>256</v>
      </c>
    </row>
    <row r="42" spans="1:23" x14ac:dyDescent="0.25">
      <c r="A42" s="90" t="s">
        <v>261</v>
      </c>
      <c r="B42" s="119">
        <v>5</v>
      </c>
      <c r="C42" s="90" t="s">
        <v>259</v>
      </c>
      <c r="D42" s="90" t="s">
        <v>78</v>
      </c>
      <c r="E42">
        <v>76</v>
      </c>
      <c r="F42">
        <v>87</v>
      </c>
      <c r="G42" s="93" t="s">
        <v>68</v>
      </c>
      <c r="H42" t="s">
        <v>257</v>
      </c>
      <c r="I42">
        <v>2</v>
      </c>
      <c r="J42">
        <f>SUM(K43)</f>
        <v>141868</v>
      </c>
      <c r="K42">
        <f>I42*J42</f>
        <v>283736</v>
      </c>
      <c r="L42">
        <f>100*(1-(M42/K42))</f>
        <v>27.83</v>
      </c>
      <c r="M42">
        <f>I42*SUM(M43)</f>
        <v>204772.27120000002</v>
      </c>
      <c r="N42" s="90">
        <v>42</v>
      </c>
      <c r="O42" s="90" t="s">
        <v>262</v>
      </c>
      <c r="P42" s="118" t="s">
        <v>120</v>
      </c>
      <c r="Q42" s="118" t="s">
        <v>84</v>
      </c>
      <c r="R42" s="90" t="s">
        <v>1000</v>
      </c>
      <c r="S42" s="90" t="s">
        <v>1054</v>
      </c>
      <c r="T42" s="90" t="s">
        <v>1081</v>
      </c>
      <c r="U42" s="90" t="s">
        <v>1027</v>
      </c>
      <c r="V42" s="93" t="s">
        <v>261</v>
      </c>
      <c r="W42" s="93" t="s">
        <v>259</v>
      </c>
    </row>
    <row r="43" spans="1:23" x14ac:dyDescent="0.25">
      <c r="A43" s="90" t="s">
        <v>263</v>
      </c>
      <c r="B43" s="119">
        <v>6</v>
      </c>
      <c r="C43" s="90" t="s">
        <v>261</v>
      </c>
      <c r="D43" s="90" t="s">
        <v>78</v>
      </c>
      <c r="E43">
        <v>77</v>
      </c>
      <c r="F43">
        <v>86</v>
      </c>
      <c r="G43" s="93" t="s">
        <v>68</v>
      </c>
      <c r="H43" t="s">
        <v>192</v>
      </c>
      <c r="I43">
        <v>1</v>
      </c>
      <c r="J43">
        <f>SUM(K44,K45,K46,K47)</f>
        <v>141868</v>
      </c>
      <c r="K43">
        <f>I43*J43</f>
        <v>141868</v>
      </c>
      <c r="L43">
        <f>100*(1-(M43/K43))</f>
        <v>27.83</v>
      </c>
      <c r="M43">
        <f>I43*SUM(M44,M45,M46,M47)</f>
        <v>102386.13560000001</v>
      </c>
      <c r="N43" s="90">
        <v>43</v>
      </c>
      <c r="O43" s="90" t="s">
        <v>264</v>
      </c>
      <c r="P43" s="118" t="s">
        <v>1238</v>
      </c>
      <c r="Q43" s="118" t="s">
        <v>84</v>
      </c>
      <c r="R43" s="90" t="s">
        <v>861</v>
      </c>
      <c r="S43" s="90" t="s">
        <v>931</v>
      </c>
      <c r="T43" s="90" t="s">
        <v>966</v>
      </c>
      <c r="U43" s="90" t="s">
        <v>896</v>
      </c>
      <c r="V43" s="93" t="s">
        <v>263</v>
      </c>
      <c r="W43" s="93" t="s">
        <v>261</v>
      </c>
    </row>
    <row r="44" spans="1:23" x14ac:dyDescent="0.25">
      <c r="A44" s="90" t="s">
        <v>265</v>
      </c>
      <c r="B44" s="119">
        <v>7</v>
      </c>
      <c r="C44" s="90" t="s">
        <v>263</v>
      </c>
      <c r="D44" s="90" t="s">
        <v>78</v>
      </c>
      <c r="E44">
        <v>78</v>
      </c>
      <c r="F44">
        <v>79</v>
      </c>
      <c r="G44" s="93" t="s">
        <v>78</v>
      </c>
      <c r="H44" t="s">
        <v>193</v>
      </c>
      <c r="I44">
        <v>18</v>
      </c>
      <c r="J44">
        <v>5616</v>
      </c>
      <c r="K44">
        <f>I44*J44</f>
        <v>101088</v>
      </c>
      <c r="L44">
        <v>27.83</v>
      </c>
      <c r="M44">
        <f>(1-(L44/100))*K44</f>
        <v>72955.209600000002</v>
      </c>
      <c r="N44" s="90">
        <v>44</v>
      </c>
      <c r="O44" s="90" t="s">
        <v>266</v>
      </c>
      <c r="P44" s="118" t="s">
        <v>238</v>
      </c>
      <c r="Q44" s="118" t="s">
        <v>84</v>
      </c>
      <c r="V44" s="93" t="s">
        <v>265</v>
      </c>
      <c r="W44" s="93" t="s">
        <v>263</v>
      </c>
    </row>
    <row r="45" spans="1:23" x14ac:dyDescent="0.25">
      <c r="A45" s="90" t="s">
        <v>267</v>
      </c>
      <c r="B45" s="119">
        <v>7</v>
      </c>
      <c r="C45" s="90" t="s">
        <v>263</v>
      </c>
      <c r="D45" s="90" t="s">
        <v>79</v>
      </c>
      <c r="E45">
        <v>80</v>
      </c>
      <c r="F45">
        <v>81</v>
      </c>
      <c r="G45" s="93" t="s">
        <v>78</v>
      </c>
      <c r="H45" t="s">
        <v>195</v>
      </c>
      <c r="I45">
        <v>1</v>
      </c>
      <c r="J45">
        <v>1604</v>
      </c>
      <c r="K45">
        <f>I45*J45</f>
        <v>1604</v>
      </c>
      <c r="L45">
        <v>27.83</v>
      </c>
      <c r="M45">
        <f>(1-(L45/100))*K45</f>
        <v>1157.6068</v>
      </c>
      <c r="N45" s="90">
        <v>45</v>
      </c>
      <c r="O45" s="90" t="s">
        <v>268</v>
      </c>
      <c r="P45" s="118" t="s">
        <v>240</v>
      </c>
      <c r="Q45" s="118" t="s">
        <v>84</v>
      </c>
      <c r="V45" s="93" t="s">
        <v>267</v>
      </c>
      <c r="W45" s="93" t="s">
        <v>263</v>
      </c>
    </row>
    <row r="46" spans="1:23" x14ac:dyDescent="0.25">
      <c r="A46" s="90" t="s">
        <v>269</v>
      </c>
      <c r="B46" s="119">
        <v>7</v>
      </c>
      <c r="C46" s="90" t="s">
        <v>263</v>
      </c>
      <c r="D46" s="90" t="s">
        <v>80</v>
      </c>
      <c r="E46">
        <v>82</v>
      </c>
      <c r="F46">
        <v>83</v>
      </c>
      <c r="G46" s="93" t="s">
        <v>78</v>
      </c>
      <c r="H46" t="s">
        <v>197</v>
      </c>
      <c r="I46">
        <v>2</v>
      </c>
      <c r="J46">
        <v>7020</v>
      </c>
      <c r="K46">
        <f>I46*J46</f>
        <v>14040</v>
      </c>
      <c r="L46">
        <v>27.83</v>
      </c>
      <c r="M46">
        <f>(1-(L46/100))*K46</f>
        <v>10132.668</v>
      </c>
      <c r="N46" s="90">
        <v>46</v>
      </c>
      <c r="O46" s="90" t="s">
        <v>270</v>
      </c>
      <c r="P46" s="118" t="s">
        <v>242</v>
      </c>
      <c r="Q46" s="118" t="s">
        <v>84</v>
      </c>
      <c r="V46" s="93" t="s">
        <v>269</v>
      </c>
      <c r="W46" s="93" t="s">
        <v>263</v>
      </c>
    </row>
    <row r="47" spans="1:23" x14ac:dyDescent="0.25">
      <c r="A47" s="90" t="s">
        <v>271</v>
      </c>
      <c r="B47" s="119">
        <v>7</v>
      </c>
      <c r="C47" s="90" t="s">
        <v>263</v>
      </c>
      <c r="D47" s="90" t="s">
        <v>125</v>
      </c>
      <c r="E47">
        <v>84</v>
      </c>
      <c r="F47">
        <v>85</v>
      </c>
      <c r="G47" s="93" t="s">
        <v>78</v>
      </c>
      <c r="H47" t="s">
        <v>199</v>
      </c>
      <c r="I47">
        <v>2</v>
      </c>
      <c r="J47">
        <v>12568</v>
      </c>
      <c r="K47">
        <f>I47*J47</f>
        <v>25136</v>
      </c>
      <c r="L47">
        <v>27.83</v>
      </c>
      <c r="M47">
        <f>(1-(L47/100))*K47</f>
        <v>18140.6512</v>
      </c>
      <c r="N47" s="90">
        <v>47</v>
      </c>
      <c r="O47" s="90" t="s">
        <v>272</v>
      </c>
      <c r="P47" s="118" t="s">
        <v>244</v>
      </c>
      <c r="Q47" s="118" t="s">
        <v>84</v>
      </c>
      <c r="V47" s="93" t="s">
        <v>271</v>
      </c>
      <c r="W47" s="93" t="s">
        <v>263</v>
      </c>
    </row>
    <row r="48" spans="1:23" x14ac:dyDescent="0.25">
      <c r="A48" s="90" t="s">
        <v>273</v>
      </c>
      <c r="B48" s="119">
        <v>3</v>
      </c>
      <c r="C48" s="90" t="s">
        <v>83</v>
      </c>
      <c r="D48" s="90" t="s">
        <v>850</v>
      </c>
      <c r="E48">
        <v>90</v>
      </c>
      <c r="F48">
        <v>99</v>
      </c>
      <c r="G48" s="93" t="s">
        <v>68</v>
      </c>
      <c r="H48" t="s">
        <v>274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 s="90">
        <v>48</v>
      </c>
      <c r="O48" s="90" t="s">
        <v>275</v>
      </c>
      <c r="P48" s="118" t="s">
        <v>1239</v>
      </c>
      <c r="Q48" s="118" t="s">
        <v>84</v>
      </c>
      <c r="R48" s="90" t="s">
        <v>1196</v>
      </c>
      <c r="S48" s="90" t="s">
        <v>1217</v>
      </c>
      <c r="T48" s="90" t="s">
        <v>1227</v>
      </c>
      <c r="U48" s="90" t="s">
        <v>1207</v>
      </c>
      <c r="V48" s="93" t="s">
        <v>273</v>
      </c>
      <c r="W48" s="93" t="s">
        <v>83</v>
      </c>
    </row>
    <row r="49" spans="1:23" x14ac:dyDescent="0.25">
      <c r="A49" s="90" t="s">
        <v>276</v>
      </c>
      <c r="B49" s="119">
        <v>4</v>
      </c>
      <c r="C49" s="90" t="s">
        <v>273</v>
      </c>
      <c r="D49" s="90" t="s">
        <v>78</v>
      </c>
      <c r="E49">
        <v>91</v>
      </c>
      <c r="F49">
        <v>98</v>
      </c>
      <c r="G49" s="93" t="s">
        <v>68</v>
      </c>
      <c r="H49" t="s">
        <v>277</v>
      </c>
      <c r="I49">
        <v>1</v>
      </c>
      <c r="J49">
        <f>SUM(K50)</f>
        <v>139055.14000000001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 s="90">
        <v>49</v>
      </c>
      <c r="O49" s="90" t="s">
        <v>278</v>
      </c>
      <c r="P49" s="118" t="s">
        <v>247</v>
      </c>
      <c r="Q49" s="118" t="s">
        <v>84</v>
      </c>
      <c r="R49" s="90" t="s">
        <v>1109</v>
      </c>
      <c r="S49" s="90" t="s">
        <v>1153</v>
      </c>
      <c r="T49" s="90" t="s">
        <v>1175</v>
      </c>
      <c r="U49" s="90" t="s">
        <v>1131</v>
      </c>
      <c r="V49" s="93" t="s">
        <v>276</v>
      </c>
      <c r="W49" s="93" t="s">
        <v>273</v>
      </c>
    </row>
    <row r="50" spans="1:23" x14ac:dyDescent="0.25">
      <c r="A50" s="90" t="s">
        <v>279</v>
      </c>
      <c r="B50" s="119">
        <v>5</v>
      </c>
      <c r="C50" s="90" t="s">
        <v>276</v>
      </c>
      <c r="D50" s="90" t="s">
        <v>78</v>
      </c>
      <c r="E50">
        <v>92</v>
      </c>
      <c r="F50">
        <v>97</v>
      </c>
      <c r="G50" s="93" t="s">
        <v>68</v>
      </c>
      <c r="H50" t="s">
        <v>274</v>
      </c>
      <c r="I50">
        <v>2</v>
      </c>
      <c r="J50">
        <f>SUM(K51)</f>
        <v>69527.570000000007</v>
      </c>
      <c r="K50">
        <f>I50*J50</f>
        <v>139055.14000000001</v>
      </c>
      <c r="L50">
        <f>100*(1-(M50/K50))</f>
        <v>27.83</v>
      </c>
      <c r="M50">
        <f>I50*SUM(M51)</f>
        <v>100356.094538</v>
      </c>
      <c r="N50" s="90">
        <v>50</v>
      </c>
      <c r="O50" s="90" t="s">
        <v>280</v>
      </c>
      <c r="P50" s="118" t="s">
        <v>250</v>
      </c>
      <c r="Q50" s="118" t="s">
        <v>84</v>
      </c>
      <c r="R50" s="90" t="s">
        <v>1001</v>
      </c>
      <c r="S50" s="90" t="s">
        <v>1055</v>
      </c>
      <c r="T50" s="90" t="s">
        <v>1082</v>
      </c>
      <c r="U50" s="90" t="s">
        <v>1028</v>
      </c>
      <c r="V50" s="93" t="s">
        <v>279</v>
      </c>
      <c r="W50" s="93" t="s">
        <v>276</v>
      </c>
    </row>
    <row r="51" spans="1:23" x14ac:dyDescent="0.25">
      <c r="A51" s="90" t="s">
        <v>281</v>
      </c>
      <c r="B51" s="119">
        <v>6</v>
      </c>
      <c r="C51" s="90" t="s">
        <v>279</v>
      </c>
      <c r="D51" s="90" t="s">
        <v>78</v>
      </c>
      <c r="E51">
        <v>93</v>
      </c>
      <c r="F51">
        <v>96</v>
      </c>
      <c r="G51" s="93" t="s">
        <v>68</v>
      </c>
      <c r="H51" t="s">
        <v>282</v>
      </c>
      <c r="I51">
        <v>1</v>
      </c>
      <c r="J51">
        <f>SUM(K52)</f>
        <v>69527.570000000007</v>
      </c>
      <c r="K51">
        <f>I51*J51</f>
        <v>69527.570000000007</v>
      </c>
      <c r="L51">
        <f>100*(1-(M51/K51))</f>
        <v>27.83</v>
      </c>
      <c r="M51">
        <f>I51*SUM(M52)</f>
        <v>50178.047269000002</v>
      </c>
      <c r="N51" s="90">
        <v>51</v>
      </c>
      <c r="O51" s="90" t="s">
        <v>283</v>
      </c>
      <c r="P51" s="118" t="s">
        <v>252</v>
      </c>
      <c r="Q51" s="118" t="s">
        <v>84</v>
      </c>
      <c r="R51" s="90" t="s">
        <v>862</v>
      </c>
      <c r="S51" s="90" t="s">
        <v>932</v>
      </c>
      <c r="T51" s="90" t="s">
        <v>967</v>
      </c>
      <c r="U51" s="90" t="s">
        <v>897</v>
      </c>
      <c r="V51" s="93" t="s">
        <v>281</v>
      </c>
      <c r="W51" s="93" t="s">
        <v>279</v>
      </c>
    </row>
    <row r="52" spans="1:23" x14ac:dyDescent="0.25">
      <c r="A52" s="90" t="s">
        <v>284</v>
      </c>
      <c r="B52" s="119">
        <v>7</v>
      </c>
      <c r="C52" s="90" t="s">
        <v>281</v>
      </c>
      <c r="D52" s="90" t="s">
        <v>78</v>
      </c>
      <c r="E52">
        <v>94</v>
      </c>
      <c r="F52">
        <v>95</v>
      </c>
      <c r="G52" s="93" t="s">
        <v>78</v>
      </c>
      <c r="H52" t="s">
        <v>285</v>
      </c>
      <c r="I52">
        <v>1</v>
      </c>
      <c r="J52">
        <v>69527.570000000007</v>
      </c>
      <c r="K52">
        <f>I52*J52</f>
        <v>69527.570000000007</v>
      </c>
      <c r="L52">
        <v>27.83</v>
      </c>
      <c r="M52">
        <f>(1-(L52/100))*K52</f>
        <v>50178.047269000002</v>
      </c>
      <c r="N52" s="90">
        <v>52</v>
      </c>
      <c r="O52" s="90" t="s">
        <v>286</v>
      </c>
      <c r="P52" s="118" t="s">
        <v>255</v>
      </c>
      <c r="Q52" s="118" t="s">
        <v>84</v>
      </c>
      <c r="V52" s="93" t="s">
        <v>284</v>
      </c>
      <c r="W52" s="93" t="s">
        <v>281</v>
      </c>
    </row>
    <row r="53" spans="1:23" x14ac:dyDescent="0.25">
      <c r="A53" s="90" t="s">
        <v>287</v>
      </c>
      <c r="B53" s="119">
        <v>3</v>
      </c>
      <c r="C53" s="90" t="s">
        <v>83</v>
      </c>
      <c r="D53" s="90" t="s">
        <v>851</v>
      </c>
      <c r="E53">
        <v>100</v>
      </c>
      <c r="F53">
        <v>109</v>
      </c>
      <c r="G53" s="93" t="s">
        <v>68</v>
      </c>
      <c r="H53" t="s">
        <v>288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 s="90">
        <v>53</v>
      </c>
      <c r="O53" s="90" t="s">
        <v>289</v>
      </c>
      <c r="P53" s="118" t="s">
        <v>1240</v>
      </c>
      <c r="Q53" s="118" t="s">
        <v>84</v>
      </c>
      <c r="R53" s="90" t="s">
        <v>1197</v>
      </c>
      <c r="S53" s="90" t="s">
        <v>1218</v>
      </c>
      <c r="T53" s="90" t="s">
        <v>1228</v>
      </c>
      <c r="U53" s="90" t="s">
        <v>1208</v>
      </c>
      <c r="V53" s="93" t="s">
        <v>287</v>
      </c>
      <c r="W53" s="93" t="s">
        <v>83</v>
      </c>
    </row>
    <row r="54" spans="1:23" x14ac:dyDescent="0.25">
      <c r="A54" s="90" t="s">
        <v>290</v>
      </c>
      <c r="B54" s="119">
        <v>4</v>
      </c>
      <c r="C54" s="90" t="s">
        <v>287</v>
      </c>
      <c r="D54" s="90" t="s">
        <v>78</v>
      </c>
      <c r="E54">
        <v>101</v>
      </c>
      <c r="F54">
        <v>108</v>
      </c>
      <c r="G54" s="93" t="s">
        <v>68</v>
      </c>
      <c r="H54" t="s">
        <v>288</v>
      </c>
      <c r="I54">
        <v>1</v>
      </c>
      <c r="J54">
        <f>SUM(K55)</f>
        <v>24067.24</v>
      </c>
      <c r="K54">
        <f>I54*J54</f>
        <v>24067.24</v>
      </c>
      <c r="L54">
        <f>100*(1-(M54/K54))</f>
        <v>100</v>
      </c>
      <c r="M54">
        <f>I54*SUM(M55)</f>
        <v>0</v>
      </c>
      <c r="N54" s="90">
        <v>54</v>
      </c>
      <c r="O54" s="90" t="s">
        <v>291</v>
      </c>
      <c r="P54" s="118" t="s">
        <v>258</v>
      </c>
      <c r="Q54" s="118" t="s">
        <v>84</v>
      </c>
      <c r="R54" s="90" t="s">
        <v>1110</v>
      </c>
      <c r="S54" s="90" t="s">
        <v>1154</v>
      </c>
      <c r="T54" s="90" t="s">
        <v>1176</v>
      </c>
      <c r="U54" s="90" t="s">
        <v>1132</v>
      </c>
      <c r="V54" s="93" t="s">
        <v>290</v>
      </c>
      <c r="W54" s="93" t="s">
        <v>287</v>
      </c>
    </row>
    <row r="55" spans="1:23" x14ac:dyDescent="0.25">
      <c r="A55" s="90" t="s">
        <v>292</v>
      </c>
      <c r="B55" s="119">
        <v>5</v>
      </c>
      <c r="C55" s="90" t="s">
        <v>290</v>
      </c>
      <c r="D55" s="90" t="s">
        <v>78</v>
      </c>
      <c r="E55">
        <v>102</v>
      </c>
      <c r="F55">
        <v>107</v>
      </c>
      <c r="G55" s="93" t="s">
        <v>68</v>
      </c>
      <c r="H55" t="s">
        <v>288</v>
      </c>
      <c r="I55">
        <v>2</v>
      </c>
      <c r="J55">
        <f>SUM(K56)</f>
        <v>12033.62</v>
      </c>
      <c r="K55">
        <f>I55*J55</f>
        <v>24067.24</v>
      </c>
      <c r="L55">
        <f>100*(1-(M55/K55))</f>
        <v>100</v>
      </c>
      <c r="M55">
        <f>I55*SUM(M56)</f>
        <v>0</v>
      </c>
      <c r="N55" s="90">
        <v>55</v>
      </c>
      <c r="O55" s="90" t="s">
        <v>293</v>
      </c>
      <c r="P55" s="118" t="s">
        <v>260</v>
      </c>
      <c r="Q55" s="118" t="s">
        <v>84</v>
      </c>
      <c r="R55" s="90" t="s">
        <v>1002</v>
      </c>
      <c r="S55" s="90" t="s">
        <v>1056</v>
      </c>
      <c r="T55" s="90" t="s">
        <v>1083</v>
      </c>
      <c r="U55" s="90" t="s">
        <v>1029</v>
      </c>
      <c r="V55" s="93" t="s">
        <v>292</v>
      </c>
      <c r="W55" s="93" t="s">
        <v>290</v>
      </c>
    </row>
    <row r="56" spans="1:23" x14ac:dyDescent="0.25">
      <c r="A56" s="90" t="s">
        <v>294</v>
      </c>
      <c r="B56" s="119">
        <v>6</v>
      </c>
      <c r="C56" s="90" t="s">
        <v>292</v>
      </c>
      <c r="D56" s="90" t="s">
        <v>78</v>
      </c>
      <c r="E56">
        <v>103</v>
      </c>
      <c r="F56">
        <v>106</v>
      </c>
      <c r="G56" s="93" t="s">
        <v>68</v>
      </c>
      <c r="H56" t="s">
        <v>295</v>
      </c>
      <c r="I56">
        <v>1</v>
      </c>
      <c r="J56">
        <f>SUM(K57)</f>
        <v>12033.62</v>
      </c>
      <c r="K56">
        <f>I56*J56</f>
        <v>12033.62</v>
      </c>
      <c r="L56">
        <f>100*(1-(M56/K56))</f>
        <v>100</v>
      </c>
      <c r="M56">
        <f>I56*SUM(M57)</f>
        <v>0</v>
      </c>
      <c r="N56" s="90">
        <v>56</v>
      </c>
      <c r="O56" s="90" t="s">
        <v>296</v>
      </c>
      <c r="P56" s="118" t="s">
        <v>262</v>
      </c>
      <c r="Q56" s="118" t="s">
        <v>84</v>
      </c>
      <c r="R56" s="90" t="s">
        <v>863</v>
      </c>
      <c r="S56" s="90" t="s">
        <v>933</v>
      </c>
      <c r="T56" s="90" t="s">
        <v>968</v>
      </c>
      <c r="U56" s="90" t="s">
        <v>898</v>
      </c>
      <c r="V56" s="93" t="s">
        <v>294</v>
      </c>
      <c r="W56" s="93" t="s">
        <v>292</v>
      </c>
    </row>
    <row r="57" spans="1:23" x14ac:dyDescent="0.25">
      <c r="A57" s="90" t="s">
        <v>297</v>
      </c>
      <c r="B57" s="119">
        <v>7</v>
      </c>
      <c r="C57" s="90" t="s">
        <v>294</v>
      </c>
      <c r="D57" s="90" t="s">
        <v>78</v>
      </c>
      <c r="E57">
        <v>104</v>
      </c>
      <c r="F57">
        <v>105</v>
      </c>
      <c r="G57" s="93" t="s">
        <v>78</v>
      </c>
      <c r="H57" t="s">
        <v>298</v>
      </c>
      <c r="I57">
        <v>1</v>
      </c>
      <c r="J57">
        <v>12033.62</v>
      </c>
      <c r="K57">
        <f>I57*J57</f>
        <v>12033.62</v>
      </c>
      <c r="L57">
        <v>100</v>
      </c>
      <c r="M57">
        <f>(1-(L57/100))*K57</f>
        <v>0</v>
      </c>
      <c r="N57" s="90">
        <v>57</v>
      </c>
      <c r="O57" s="90" t="s">
        <v>299</v>
      </c>
      <c r="P57" s="118" t="s">
        <v>264</v>
      </c>
      <c r="Q57" s="118" t="s">
        <v>84</v>
      </c>
      <c r="V57" s="93" t="s">
        <v>297</v>
      </c>
      <c r="W57" s="93" t="s">
        <v>294</v>
      </c>
    </row>
    <row r="58" spans="1:23" x14ac:dyDescent="0.25">
      <c r="A58" s="90" t="s">
        <v>300</v>
      </c>
      <c r="B58" s="119">
        <v>3</v>
      </c>
      <c r="C58" s="90" t="s">
        <v>83</v>
      </c>
      <c r="D58" s="90" t="s">
        <v>852</v>
      </c>
      <c r="E58">
        <v>110</v>
      </c>
      <c r="F58">
        <v>123</v>
      </c>
      <c r="G58" s="93" t="s">
        <v>68</v>
      </c>
      <c r="H58" t="s">
        <v>301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 s="90">
        <v>58</v>
      </c>
      <c r="O58" s="90" t="s">
        <v>302</v>
      </c>
      <c r="P58" s="118" t="s">
        <v>1241</v>
      </c>
      <c r="Q58" s="118" t="s">
        <v>84</v>
      </c>
      <c r="R58" s="90" t="s">
        <v>1198</v>
      </c>
      <c r="S58" s="90" t="s">
        <v>1219</v>
      </c>
      <c r="T58" s="90" t="s">
        <v>1229</v>
      </c>
      <c r="U58" s="90" t="s">
        <v>1209</v>
      </c>
      <c r="V58" s="93" t="s">
        <v>300</v>
      </c>
      <c r="W58" s="93" t="s">
        <v>83</v>
      </c>
    </row>
    <row r="59" spans="1:23" x14ac:dyDescent="0.25">
      <c r="A59" s="90" t="s">
        <v>303</v>
      </c>
      <c r="B59" s="119">
        <v>4</v>
      </c>
      <c r="C59" s="90" t="s">
        <v>300</v>
      </c>
      <c r="D59" s="90" t="s">
        <v>78</v>
      </c>
      <c r="E59">
        <v>111</v>
      </c>
      <c r="F59">
        <v>122</v>
      </c>
      <c r="G59" s="93" t="s">
        <v>68</v>
      </c>
      <c r="H59" t="s">
        <v>301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 s="90">
        <v>59</v>
      </c>
      <c r="O59" s="90" t="s">
        <v>304</v>
      </c>
      <c r="P59" s="118" t="s">
        <v>266</v>
      </c>
      <c r="Q59" s="118" t="s">
        <v>84</v>
      </c>
      <c r="R59" s="90" t="s">
        <v>1111</v>
      </c>
      <c r="S59" s="90" t="s">
        <v>1155</v>
      </c>
      <c r="T59" s="90" t="s">
        <v>1177</v>
      </c>
      <c r="U59" s="90" t="s">
        <v>1133</v>
      </c>
      <c r="V59" s="93" t="s">
        <v>303</v>
      </c>
      <c r="W59" s="93" t="s">
        <v>300</v>
      </c>
    </row>
    <row r="60" spans="1:23" x14ac:dyDescent="0.25">
      <c r="A60" s="90" t="s">
        <v>305</v>
      </c>
      <c r="B60" s="119">
        <v>5</v>
      </c>
      <c r="C60" s="90" t="s">
        <v>303</v>
      </c>
      <c r="D60" s="90" t="s">
        <v>78</v>
      </c>
      <c r="E60">
        <v>112</v>
      </c>
      <c r="F60">
        <v>121</v>
      </c>
      <c r="G60" s="93" t="s">
        <v>68</v>
      </c>
      <c r="H60" t="s">
        <v>301</v>
      </c>
      <c r="I60">
        <v>1</v>
      </c>
      <c r="J60">
        <f>SUM(K61)</f>
        <v>638290.58400000003</v>
      </c>
      <c r="K60">
        <f>I60*J60</f>
        <v>638290.58400000003</v>
      </c>
      <c r="L60">
        <f>100*(1-(M60/K60))</f>
        <v>27.83</v>
      </c>
      <c r="M60">
        <f>I60*SUM(M61)</f>
        <v>460654.3144728</v>
      </c>
      <c r="N60" s="90">
        <v>60</v>
      </c>
      <c r="O60" s="90" t="s">
        <v>306</v>
      </c>
      <c r="P60" s="118" t="s">
        <v>268</v>
      </c>
      <c r="Q60" s="118" t="s">
        <v>84</v>
      </c>
      <c r="R60" s="90" t="s">
        <v>1003</v>
      </c>
      <c r="S60" s="90" t="s">
        <v>1057</v>
      </c>
      <c r="T60" s="90" t="s">
        <v>1084</v>
      </c>
      <c r="U60" s="90" t="s">
        <v>1030</v>
      </c>
      <c r="V60" s="93" t="s">
        <v>305</v>
      </c>
      <c r="W60" s="93" t="s">
        <v>303</v>
      </c>
    </row>
    <row r="61" spans="1:23" x14ac:dyDescent="0.25">
      <c r="A61" s="90" t="s">
        <v>307</v>
      </c>
      <c r="B61" s="119">
        <v>6</v>
      </c>
      <c r="C61" s="90" t="s">
        <v>305</v>
      </c>
      <c r="D61" s="90" t="s">
        <v>78</v>
      </c>
      <c r="E61">
        <v>113</v>
      </c>
      <c r="F61">
        <v>120</v>
      </c>
      <c r="G61" s="93" t="s">
        <v>68</v>
      </c>
      <c r="H61" t="s">
        <v>282</v>
      </c>
      <c r="I61">
        <v>1</v>
      </c>
      <c r="J61">
        <f>SUM(K62,K63,K64)</f>
        <v>638290.58400000003</v>
      </c>
      <c r="K61">
        <f>I61*J61</f>
        <v>638290.58400000003</v>
      </c>
      <c r="L61">
        <f>100*(1-(M61/K61))</f>
        <v>27.83</v>
      </c>
      <c r="M61">
        <f>I61*SUM(M62,M63,M64)</f>
        <v>460654.3144728</v>
      </c>
      <c r="N61" s="90">
        <v>61</v>
      </c>
      <c r="O61" s="90" t="s">
        <v>308</v>
      </c>
      <c r="P61" s="118" t="s">
        <v>270</v>
      </c>
      <c r="Q61" s="118" t="s">
        <v>84</v>
      </c>
      <c r="R61" s="90" t="s">
        <v>864</v>
      </c>
      <c r="S61" s="90" t="s">
        <v>934</v>
      </c>
      <c r="T61" s="90" t="s">
        <v>969</v>
      </c>
      <c r="U61" s="90" t="s">
        <v>899</v>
      </c>
      <c r="V61" s="93" t="s">
        <v>307</v>
      </c>
      <c r="W61" s="93" t="s">
        <v>305</v>
      </c>
    </row>
    <row r="62" spans="1:23" x14ac:dyDescent="0.25">
      <c r="A62" s="90" t="s">
        <v>309</v>
      </c>
      <c r="B62" s="119">
        <v>7</v>
      </c>
      <c r="C62" s="90" t="s">
        <v>307</v>
      </c>
      <c r="D62" s="90" t="s">
        <v>78</v>
      </c>
      <c r="E62">
        <v>114</v>
      </c>
      <c r="F62">
        <v>115</v>
      </c>
      <c r="G62" s="93" t="s">
        <v>78</v>
      </c>
      <c r="H62" t="s">
        <v>310</v>
      </c>
      <c r="I62">
        <v>2700000</v>
      </c>
      <c r="J62">
        <v>0.05</v>
      </c>
      <c r="K62">
        <f>I62*J62</f>
        <v>135000</v>
      </c>
      <c r="L62">
        <v>27.83</v>
      </c>
      <c r="M62">
        <f>(1-(L62/100))*K62</f>
        <v>97429.5</v>
      </c>
      <c r="N62" s="90">
        <v>62</v>
      </c>
      <c r="O62" s="90" t="s">
        <v>311</v>
      </c>
      <c r="P62" s="118" t="s">
        <v>272</v>
      </c>
      <c r="Q62" s="118" t="s">
        <v>84</v>
      </c>
      <c r="V62" s="93" t="s">
        <v>309</v>
      </c>
      <c r="W62" s="93" t="s">
        <v>307</v>
      </c>
    </row>
    <row r="63" spans="1:23" x14ac:dyDescent="0.25">
      <c r="A63" s="90" t="s">
        <v>312</v>
      </c>
      <c r="B63" s="119">
        <v>7</v>
      </c>
      <c r="C63" s="90" t="s">
        <v>307</v>
      </c>
      <c r="D63" s="90" t="s">
        <v>79</v>
      </c>
      <c r="E63">
        <v>116</v>
      </c>
      <c r="F63">
        <v>117</v>
      </c>
      <c r="G63" s="93" t="s">
        <v>78</v>
      </c>
      <c r="H63" t="s">
        <v>313</v>
      </c>
      <c r="I63">
        <v>5400000</v>
      </c>
      <c r="J63">
        <v>3.820196E-2</v>
      </c>
      <c r="K63">
        <f>I63*J63</f>
        <v>206290.584</v>
      </c>
      <c r="L63">
        <v>27.83</v>
      </c>
      <c r="M63">
        <f>(1-(L63/100))*K63</f>
        <v>148879.91447280001</v>
      </c>
      <c r="N63" s="90">
        <v>63</v>
      </c>
      <c r="O63" s="90" t="s">
        <v>314</v>
      </c>
      <c r="P63" s="118" t="s">
        <v>1242</v>
      </c>
      <c r="Q63" s="118" t="s">
        <v>84</v>
      </c>
      <c r="V63" s="93" t="s">
        <v>312</v>
      </c>
      <c r="W63" s="93" t="s">
        <v>307</v>
      </c>
    </row>
    <row r="64" spans="1:23" x14ac:dyDescent="0.25">
      <c r="A64" s="90" t="s">
        <v>315</v>
      </c>
      <c r="B64" s="119">
        <v>7</v>
      </c>
      <c r="C64" s="90" t="s">
        <v>307</v>
      </c>
      <c r="D64" s="90" t="s">
        <v>80</v>
      </c>
      <c r="E64">
        <v>118</v>
      </c>
      <c r="F64">
        <v>119</v>
      </c>
      <c r="G64" s="93" t="s">
        <v>78</v>
      </c>
      <c r="H64" t="s">
        <v>316</v>
      </c>
      <c r="I64">
        <v>2700000</v>
      </c>
      <c r="J64">
        <v>0.11</v>
      </c>
      <c r="K64">
        <f>I64*J64</f>
        <v>297000</v>
      </c>
      <c r="L64">
        <v>27.83</v>
      </c>
      <c r="M64">
        <f>(1-(L64/100))*K64</f>
        <v>214344.9</v>
      </c>
      <c r="N64" s="90">
        <v>64</v>
      </c>
      <c r="O64" s="90" t="s">
        <v>317</v>
      </c>
      <c r="P64" s="118" t="s">
        <v>275</v>
      </c>
      <c r="Q64" s="118" t="s">
        <v>84</v>
      </c>
      <c r="V64" s="93" t="s">
        <v>315</v>
      </c>
      <c r="W64" s="93" t="s">
        <v>307</v>
      </c>
    </row>
    <row r="65" spans="1:23" x14ac:dyDescent="0.25">
      <c r="A65" s="90" t="s">
        <v>318</v>
      </c>
      <c r="B65" s="119">
        <v>3</v>
      </c>
      <c r="C65" s="90" t="s">
        <v>83</v>
      </c>
      <c r="D65" s="90" t="s">
        <v>853</v>
      </c>
      <c r="E65">
        <v>124</v>
      </c>
      <c r="F65">
        <v>133</v>
      </c>
      <c r="G65" s="93" t="s">
        <v>68</v>
      </c>
      <c r="H65" t="s">
        <v>319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 s="90">
        <v>65</v>
      </c>
      <c r="O65" s="90" t="s">
        <v>320</v>
      </c>
      <c r="P65" s="118" t="s">
        <v>278</v>
      </c>
      <c r="Q65" s="118" t="s">
        <v>84</v>
      </c>
      <c r="R65" s="90" t="s">
        <v>1104</v>
      </c>
      <c r="S65" s="90" t="s">
        <v>1148</v>
      </c>
      <c r="T65" s="90" t="s">
        <v>1170</v>
      </c>
      <c r="U65" s="90" t="s">
        <v>1126</v>
      </c>
      <c r="V65" s="93" t="s">
        <v>318</v>
      </c>
      <c r="W65" s="93" t="s">
        <v>83</v>
      </c>
    </row>
    <row r="66" spans="1:23" x14ac:dyDescent="0.25">
      <c r="A66" s="90" t="s">
        <v>321</v>
      </c>
      <c r="B66" s="119">
        <v>4</v>
      </c>
      <c r="C66" s="90" t="s">
        <v>318</v>
      </c>
      <c r="D66" s="90" t="s">
        <v>78</v>
      </c>
      <c r="E66">
        <v>125</v>
      </c>
      <c r="F66">
        <v>132</v>
      </c>
      <c r="G66" s="93" t="s">
        <v>68</v>
      </c>
      <c r="H66" t="s">
        <v>319</v>
      </c>
      <c r="I66">
        <v>1</v>
      </c>
      <c r="J66">
        <f>SUM(K67)</f>
        <v>11191.5</v>
      </c>
      <c r="K66">
        <f>I66*J66</f>
        <v>11191.5</v>
      </c>
      <c r="L66">
        <f>100*(1-(M66/K66))</f>
        <v>27.83</v>
      </c>
      <c r="M66">
        <f>I66*SUM(M67)</f>
        <v>8076.9055499999995</v>
      </c>
      <c r="N66" s="90">
        <v>66</v>
      </c>
      <c r="O66" s="90" t="s">
        <v>322</v>
      </c>
      <c r="P66" s="118" t="s">
        <v>280</v>
      </c>
      <c r="Q66" s="118" t="s">
        <v>84</v>
      </c>
      <c r="R66" s="90" t="s">
        <v>996</v>
      </c>
      <c r="S66" s="90" t="s">
        <v>1050</v>
      </c>
      <c r="T66" s="90" t="s">
        <v>1077</v>
      </c>
      <c r="U66" s="90" t="s">
        <v>1023</v>
      </c>
      <c r="V66" s="93" t="s">
        <v>321</v>
      </c>
      <c r="W66" s="93" t="s">
        <v>318</v>
      </c>
    </row>
    <row r="67" spans="1:23" x14ac:dyDescent="0.25">
      <c r="A67" s="90" t="s">
        <v>323</v>
      </c>
      <c r="B67" s="119">
        <v>5</v>
      </c>
      <c r="C67" s="90" t="s">
        <v>321</v>
      </c>
      <c r="D67" s="90" t="s">
        <v>78</v>
      </c>
      <c r="E67">
        <v>126</v>
      </c>
      <c r="F67">
        <v>131</v>
      </c>
      <c r="G67" s="93" t="s">
        <v>68</v>
      </c>
      <c r="H67" t="s">
        <v>319</v>
      </c>
      <c r="I67">
        <v>1</v>
      </c>
      <c r="J67">
        <f>SUM(K68,K69)</f>
        <v>11191.5</v>
      </c>
      <c r="K67">
        <f>I67*J67</f>
        <v>11191.5</v>
      </c>
      <c r="L67">
        <f>100*(1-(M67/K67))</f>
        <v>27.83</v>
      </c>
      <c r="M67">
        <f>I67*SUM(M68,M69)</f>
        <v>8076.9055499999995</v>
      </c>
      <c r="N67" s="90">
        <v>67</v>
      </c>
      <c r="O67" s="90" t="s">
        <v>324</v>
      </c>
      <c r="P67" s="118" t="s">
        <v>283</v>
      </c>
      <c r="Q67" s="118" t="s">
        <v>84</v>
      </c>
      <c r="R67" s="90" t="s">
        <v>856</v>
      </c>
      <c r="S67" s="90" t="s">
        <v>926</v>
      </c>
      <c r="T67" s="90" t="s">
        <v>961</v>
      </c>
      <c r="U67" s="90" t="s">
        <v>891</v>
      </c>
      <c r="V67" s="93" t="s">
        <v>323</v>
      </c>
      <c r="W67" s="93" t="s">
        <v>321</v>
      </c>
    </row>
    <row r="68" spans="1:23" x14ac:dyDescent="0.25">
      <c r="A68" s="90" t="s">
        <v>325</v>
      </c>
      <c r="B68" s="119">
        <v>6</v>
      </c>
      <c r="C68" s="90" t="s">
        <v>323</v>
      </c>
      <c r="D68" s="90" t="s">
        <v>78</v>
      </c>
      <c r="E68">
        <v>127</v>
      </c>
      <c r="F68">
        <v>128</v>
      </c>
      <c r="G68" s="93" t="s">
        <v>78</v>
      </c>
      <c r="H68" t="s">
        <v>326</v>
      </c>
      <c r="I68">
        <v>450</v>
      </c>
      <c r="J68">
        <v>13.8</v>
      </c>
      <c r="K68">
        <f>I68*J68</f>
        <v>6210</v>
      </c>
      <c r="L68">
        <v>27.83</v>
      </c>
      <c r="M68">
        <f>(1-(L68/100))*K68</f>
        <v>4481.7569999999996</v>
      </c>
      <c r="N68" s="90">
        <v>68</v>
      </c>
      <c r="O68" s="90" t="s">
        <v>327</v>
      </c>
      <c r="P68" s="118" t="s">
        <v>1243</v>
      </c>
      <c r="Q68" s="118" t="s">
        <v>84</v>
      </c>
      <c r="V68" s="93" t="s">
        <v>325</v>
      </c>
      <c r="W68" s="93" t="s">
        <v>323</v>
      </c>
    </row>
    <row r="69" spans="1:23" x14ac:dyDescent="0.25">
      <c r="A69" s="90" t="s">
        <v>328</v>
      </c>
      <c r="B69" s="119">
        <v>6</v>
      </c>
      <c r="C69" s="90" t="s">
        <v>323</v>
      </c>
      <c r="D69" s="90" t="s">
        <v>79</v>
      </c>
      <c r="E69">
        <v>129</v>
      </c>
      <c r="F69">
        <v>130</v>
      </c>
      <c r="G69" s="93" t="s">
        <v>78</v>
      </c>
      <c r="H69" t="s">
        <v>329</v>
      </c>
      <c r="I69">
        <v>450</v>
      </c>
      <c r="J69">
        <v>11.07</v>
      </c>
      <c r="K69">
        <f>I69*J69</f>
        <v>4981.5</v>
      </c>
      <c r="L69">
        <v>27.83</v>
      </c>
      <c r="M69">
        <f>(1-(L69/100))*K69</f>
        <v>3595.1485499999999</v>
      </c>
      <c r="N69" s="90">
        <v>69</v>
      </c>
      <c r="O69" s="90" t="s">
        <v>330</v>
      </c>
      <c r="P69" s="118" t="s">
        <v>286</v>
      </c>
      <c r="Q69" s="118" t="s">
        <v>84</v>
      </c>
      <c r="V69" s="93" t="s">
        <v>328</v>
      </c>
      <c r="W69" s="93" t="s">
        <v>323</v>
      </c>
    </row>
    <row r="70" spans="1:23" x14ac:dyDescent="0.25">
      <c r="A70" s="90" t="s">
        <v>331</v>
      </c>
      <c r="B70" s="119">
        <v>3</v>
      </c>
      <c r="C70" s="90" t="s">
        <v>83</v>
      </c>
      <c r="D70" s="90" t="s">
        <v>127</v>
      </c>
      <c r="E70">
        <v>134</v>
      </c>
      <c r="F70">
        <v>203</v>
      </c>
      <c r="G70" s="93" t="s">
        <v>68</v>
      </c>
      <c r="H70" t="s">
        <v>332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 s="90">
        <v>70</v>
      </c>
      <c r="O70" s="90" t="s">
        <v>333</v>
      </c>
      <c r="P70" s="118" t="s">
        <v>1244</v>
      </c>
      <c r="Q70" s="118" t="s">
        <v>84</v>
      </c>
      <c r="R70" s="90" t="s">
        <v>1193</v>
      </c>
      <c r="S70" s="90" t="s">
        <v>1214</v>
      </c>
      <c r="T70" s="90" t="s">
        <v>1224</v>
      </c>
      <c r="U70" s="90" t="s">
        <v>1204</v>
      </c>
      <c r="V70" s="93" t="s">
        <v>331</v>
      </c>
      <c r="W70" s="93" t="s">
        <v>83</v>
      </c>
    </row>
    <row r="71" spans="1:23" x14ac:dyDescent="0.25">
      <c r="A71" s="90" t="s">
        <v>334</v>
      </c>
      <c r="B71" s="119">
        <v>4</v>
      </c>
      <c r="C71" s="90" t="s">
        <v>331</v>
      </c>
      <c r="D71" s="90" t="s">
        <v>78</v>
      </c>
      <c r="E71">
        <v>135</v>
      </c>
      <c r="F71">
        <v>202</v>
      </c>
      <c r="G71" s="93" t="s">
        <v>68</v>
      </c>
      <c r="H71" t="s">
        <v>332</v>
      </c>
      <c r="I71">
        <v>1</v>
      </c>
      <c r="J71">
        <f>SUM(K72)</f>
        <v>195858</v>
      </c>
      <c r="K71">
        <f>I71*J71</f>
        <v>195858</v>
      </c>
      <c r="L71">
        <f>100*(1-(M71/K71))</f>
        <v>27.829999999999988</v>
      </c>
      <c r="M71">
        <f>I71*SUM(M72)</f>
        <v>141350.71860000002</v>
      </c>
      <c r="N71" s="90">
        <v>71</v>
      </c>
      <c r="O71" s="90" t="s">
        <v>335</v>
      </c>
      <c r="P71" s="118" t="s">
        <v>289</v>
      </c>
      <c r="Q71" s="118" t="s">
        <v>84</v>
      </c>
      <c r="R71" s="90" t="s">
        <v>1105</v>
      </c>
      <c r="S71" s="90" t="s">
        <v>1149</v>
      </c>
      <c r="T71" s="90" t="s">
        <v>1171</v>
      </c>
      <c r="U71" s="90" t="s">
        <v>1127</v>
      </c>
      <c r="V71" s="93" t="s">
        <v>334</v>
      </c>
      <c r="W71" s="93" t="s">
        <v>331</v>
      </c>
    </row>
    <row r="72" spans="1:23" x14ac:dyDescent="0.25">
      <c r="A72" s="90" t="s">
        <v>336</v>
      </c>
      <c r="B72" s="119">
        <v>5</v>
      </c>
      <c r="C72" s="90" t="s">
        <v>334</v>
      </c>
      <c r="D72" s="90" t="s">
        <v>78</v>
      </c>
      <c r="E72">
        <v>136</v>
      </c>
      <c r="F72">
        <v>201</v>
      </c>
      <c r="G72" s="93" t="s">
        <v>68</v>
      </c>
      <c r="H72" t="s">
        <v>332</v>
      </c>
      <c r="I72">
        <v>1</v>
      </c>
      <c r="J72">
        <f>SUM(K73,K102)</f>
        <v>195858</v>
      </c>
      <c r="K72">
        <f>I72*J72</f>
        <v>195858</v>
      </c>
      <c r="L72">
        <f>100*(1-(M72/K72))</f>
        <v>27.829999999999988</v>
      </c>
      <c r="M72">
        <f>I72*SUM(M73,M102)</f>
        <v>141350.71860000002</v>
      </c>
      <c r="N72" s="90">
        <v>72</v>
      </c>
      <c r="O72" s="90" t="s">
        <v>337</v>
      </c>
      <c r="P72" s="118" t="s">
        <v>291</v>
      </c>
      <c r="Q72" s="118" t="s">
        <v>84</v>
      </c>
      <c r="R72" s="90" t="s">
        <v>997</v>
      </c>
      <c r="S72" s="90" t="s">
        <v>1051</v>
      </c>
      <c r="T72" s="90" t="s">
        <v>1078</v>
      </c>
      <c r="U72" s="90" t="s">
        <v>1024</v>
      </c>
      <c r="V72" s="93" t="s">
        <v>336</v>
      </c>
      <c r="W72" s="93" t="s">
        <v>334</v>
      </c>
    </row>
    <row r="73" spans="1:23" x14ac:dyDescent="0.25">
      <c r="A73" s="90" t="s">
        <v>338</v>
      </c>
      <c r="B73" s="119">
        <v>6</v>
      </c>
      <c r="C73" s="90" t="s">
        <v>336</v>
      </c>
      <c r="D73" s="90" t="s">
        <v>78</v>
      </c>
      <c r="E73">
        <v>137</v>
      </c>
      <c r="F73">
        <v>194</v>
      </c>
      <c r="G73" s="93" t="s">
        <v>68</v>
      </c>
      <c r="H73" t="s">
        <v>339</v>
      </c>
      <c r="I73">
        <v>1</v>
      </c>
      <c r="J73">
        <f>SUM(K74,K75,K76,K77,K78,K79,K80,K81,K82,K83,K84,K85,K86,K87,K88,K89,K90,K91,K92,K93,K94,K95,K96,K97,K98,K99,K100,K101)</f>
        <v>183834</v>
      </c>
      <c r="K73">
        <f>I73*J73</f>
        <v>183834</v>
      </c>
      <c r="L73">
        <f>100*(1-(M73/K73))</f>
        <v>27.829999999999988</v>
      </c>
      <c r="M73">
        <f>I73*SUM(M74,M75,M76,M77,M78,M79,M80,M81,M82,M83,M84,M85,M86,M87,M88,M89,M90,M91,M92,M93,M94,M95,M96,M97,M98,M99,M100,M101)</f>
        <v>132672.99780000001</v>
      </c>
      <c r="N73" s="90">
        <v>73</v>
      </c>
      <c r="O73" s="90" t="s">
        <v>340</v>
      </c>
      <c r="P73" s="118" t="s">
        <v>293</v>
      </c>
      <c r="Q73" s="118" t="s">
        <v>84</v>
      </c>
      <c r="R73" s="90" t="s">
        <v>857</v>
      </c>
      <c r="S73" s="90" t="s">
        <v>927</v>
      </c>
      <c r="T73" s="90" t="s">
        <v>962</v>
      </c>
      <c r="U73" s="90" t="s">
        <v>892</v>
      </c>
      <c r="V73" s="93" t="s">
        <v>338</v>
      </c>
      <c r="W73" s="93" t="s">
        <v>336</v>
      </c>
    </row>
    <row r="74" spans="1:23" x14ac:dyDescent="0.25">
      <c r="A74" s="90" t="s">
        <v>341</v>
      </c>
      <c r="B74" s="119">
        <v>7</v>
      </c>
      <c r="C74" s="90" t="s">
        <v>338</v>
      </c>
      <c r="D74" s="90" t="s">
        <v>78</v>
      </c>
      <c r="E74">
        <v>138</v>
      </c>
      <c r="F74">
        <v>139</v>
      </c>
      <c r="G74" s="93" t="s">
        <v>78</v>
      </c>
      <c r="H74" t="s">
        <v>342</v>
      </c>
      <c r="I74">
        <v>300</v>
      </c>
      <c r="J74">
        <v>16.239999999999998</v>
      </c>
      <c r="K74">
        <f>I74*J74</f>
        <v>4871.9999999999991</v>
      </c>
      <c r="L74">
        <v>27.83</v>
      </c>
      <c r="M74">
        <f>(1-(L74/100))*K74</f>
        <v>3516.1223999999993</v>
      </c>
      <c r="N74" s="90">
        <v>74</v>
      </c>
      <c r="O74" s="90" t="s">
        <v>343</v>
      </c>
      <c r="P74" s="118" t="s">
        <v>296</v>
      </c>
      <c r="Q74" s="118" t="s">
        <v>84</v>
      </c>
      <c r="V74" s="93" t="s">
        <v>341</v>
      </c>
      <c r="W74" s="93" t="s">
        <v>338</v>
      </c>
    </row>
    <row r="75" spans="1:23" x14ac:dyDescent="0.25">
      <c r="A75" s="90" t="s">
        <v>344</v>
      </c>
      <c r="B75" s="119">
        <v>7</v>
      </c>
      <c r="C75" s="90" t="s">
        <v>338</v>
      </c>
      <c r="D75" s="90" t="s">
        <v>79</v>
      </c>
      <c r="E75">
        <v>140</v>
      </c>
      <c r="F75">
        <v>141</v>
      </c>
      <c r="G75" s="93" t="s">
        <v>78</v>
      </c>
      <c r="H75" t="s">
        <v>345</v>
      </c>
      <c r="I75">
        <v>300</v>
      </c>
      <c r="J75">
        <v>110.71</v>
      </c>
      <c r="K75">
        <f>I75*J75</f>
        <v>33213</v>
      </c>
      <c r="L75">
        <v>27.83</v>
      </c>
      <c r="M75">
        <f>(1-(L75/100))*K75</f>
        <v>23969.822100000001</v>
      </c>
      <c r="N75" s="90">
        <v>75</v>
      </c>
      <c r="O75" s="90" t="s">
        <v>346</v>
      </c>
      <c r="P75" s="118" t="s">
        <v>1245</v>
      </c>
      <c r="Q75" s="118" t="s">
        <v>84</v>
      </c>
      <c r="V75" s="93" t="s">
        <v>344</v>
      </c>
      <c r="W75" s="93" t="s">
        <v>338</v>
      </c>
    </row>
    <row r="76" spans="1:23" x14ac:dyDescent="0.25">
      <c r="A76" s="90" t="s">
        <v>347</v>
      </c>
      <c r="B76" s="119">
        <v>7</v>
      </c>
      <c r="C76" s="90" t="s">
        <v>338</v>
      </c>
      <c r="D76" s="90" t="s">
        <v>80</v>
      </c>
      <c r="E76">
        <v>142</v>
      </c>
      <c r="F76">
        <v>143</v>
      </c>
      <c r="G76" s="93" t="s">
        <v>78</v>
      </c>
      <c r="H76" t="s">
        <v>348</v>
      </c>
      <c r="I76">
        <v>300</v>
      </c>
      <c r="J76">
        <v>12.88</v>
      </c>
      <c r="K76">
        <f>I76*J76</f>
        <v>3864.0000000000005</v>
      </c>
      <c r="L76">
        <v>27.83</v>
      </c>
      <c r="M76">
        <f>(1-(L76/100))*K76</f>
        <v>2788.6488000000004</v>
      </c>
      <c r="N76" s="90">
        <v>76</v>
      </c>
      <c r="O76" s="90" t="s">
        <v>349</v>
      </c>
      <c r="P76" s="118" t="s">
        <v>299</v>
      </c>
      <c r="Q76" s="118" t="s">
        <v>84</v>
      </c>
      <c r="V76" s="93" t="s">
        <v>347</v>
      </c>
      <c r="W76" s="93" t="s">
        <v>338</v>
      </c>
    </row>
    <row r="77" spans="1:23" x14ac:dyDescent="0.25">
      <c r="A77" s="90" t="s">
        <v>350</v>
      </c>
      <c r="B77" s="119">
        <v>7</v>
      </c>
      <c r="C77" s="90" t="s">
        <v>338</v>
      </c>
      <c r="D77" s="90" t="s">
        <v>125</v>
      </c>
      <c r="E77">
        <v>144</v>
      </c>
      <c r="F77">
        <v>145</v>
      </c>
      <c r="G77" s="93" t="s">
        <v>78</v>
      </c>
      <c r="H77" t="s">
        <v>351</v>
      </c>
      <c r="I77">
        <v>450</v>
      </c>
      <c r="J77">
        <v>22.14</v>
      </c>
      <c r="K77">
        <f>I77*J77</f>
        <v>9963</v>
      </c>
      <c r="L77">
        <v>27.83</v>
      </c>
      <c r="M77">
        <f>(1-(L77/100))*K77</f>
        <v>7190.2970999999998</v>
      </c>
      <c r="N77" s="90">
        <v>77</v>
      </c>
      <c r="O77" s="90" t="s">
        <v>352</v>
      </c>
      <c r="P77" s="118" t="s">
        <v>1246</v>
      </c>
      <c r="Q77" s="118" t="s">
        <v>84</v>
      </c>
      <c r="V77" s="93" t="s">
        <v>350</v>
      </c>
      <c r="W77" s="93" t="s">
        <v>338</v>
      </c>
    </row>
    <row r="78" spans="1:23" x14ac:dyDescent="0.25">
      <c r="A78" s="90" t="s">
        <v>353</v>
      </c>
      <c r="B78" s="119">
        <v>7</v>
      </c>
      <c r="C78" s="90" t="s">
        <v>338</v>
      </c>
      <c r="D78" s="90" t="s">
        <v>126</v>
      </c>
      <c r="E78">
        <v>146</v>
      </c>
      <c r="F78">
        <v>147</v>
      </c>
      <c r="G78" s="93" t="s">
        <v>78</v>
      </c>
      <c r="H78" t="s">
        <v>354</v>
      </c>
      <c r="I78">
        <v>300</v>
      </c>
      <c r="J78">
        <v>18.45</v>
      </c>
      <c r="K78">
        <f>I78*J78</f>
        <v>5535</v>
      </c>
      <c r="L78">
        <v>27.83</v>
      </c>
      <c r="M78">
        <f>(1-(L78/100))*K78</f>
        <v>3994.6095</v>
      </c>
      <c r="N78" s="90">
        <v>78</v>
      </c>
      <c r="O78" s="90" t="s">
        <v>355</v>
      </c>
      <c r="P78" s="118" t="s">
        <v>302</v>
      </c>
      <c r="Q78" s="118" t="s">
        <v>84</v>
      </c>
      <c r="V78" s="93" t="s">
        <v>353</v>
      </c>
      <c r="W78" s="93" t="s">
        <v>338</v>
      </c>
    </row>
    <row r="79" spans="1:23" x14ac:dyDescent="0.25">
      <c r="A79" s="90" t="s">
        <v>356</v>
      </c>
      <c r="B79" s="119">
        <v>7</v>
      </c>
      <c r="C79" s="90" t="s">
        <v>338</v>
      </c>
      <c r="D79" s="90" t="s">
        <v>849</v>
      </c>
      <c r="E79">
        <v>148</v>
      </c>
      <c r="F79">
        <v>149</v>
      </c>
      <c r="G79" s="93" t="s">
        <v>78</v>
      </c>
      <c r="H79" t="s">
        <v>357</v>
      </c>
      <c r="I79">
        <v>300</v>
      </c>
      <c r="J79">
        <v>8.59</v>
      </c>
      <c r="K79">
        <f>I79*J79</f>
        <v>2577</v>
      </c>
      <c r="L79">
        <v>27.83</v>
      </c>
      <c r="M79">
        <f>(1-(L79/100))*K79</f>
        <v>1859.8208999999999</v>
      </c>
      <c r="N79" s="90">
        <v>79</v>
      </c>
      <c r="O79" s="90" t="s">
        <v>358</v>
      </c>
      <c r="P79" s="118" t="s">
        <v>304</v>
      </c>
      <c r="Q79" s="118" t="s">
        <v>84</v>
      </c>
      <c r="V79" s="93" t="s">
        <v>356</v>
      </c>
      <c r="W79" s="93" t="s">
        <v>338</v>
      </c>
    </row>
    <row r="80" spans="1:23" x14ac:dyDescent="0.25">
      <c r="A80" s="90" t="s">
        <v>359</v>
      </c>
      <c r="B80" s="119">
        <v>7</v>
      </c>
      <c r="C80" s="90" t="s">
        <v>338</v>
      </c>
      <c r="D80" s="90" t="s">
        <v>850</v>
      </c>
      <c r="E80">
        <v>150</v>
      </c>
      <c r="F80">
        <v>151</v>
      </c>
      <c r="G80" s="93" t="s">
        <v>78</v>
      </c>
      <c r="H80" t="s">
        <v>360</v>
      </c>
      <c r="I80">
        <v>300</v>
      </c>
      <c r="J80">
        <v>11.45</v>
      </c>
      <c r="K80">
        <f>I80*J80</f>
        <v>3435</v>
      </c>
      <c r="L80">
        <v>27.83</v>
      </c>
      <c r="M80">
        <f>(1-(L80/100))*K80</f>
        <v>2479.0394999999999</v>
      </c>
      <c r="N80" s="90">
        <v>80</v>
      </c>
      <c r="O80" s="90" t="s">
        <v>361</v>
      </c>
      <c r="P80" s="118" t="s">
        <v>306</v>
      </c>
      <c r="Q80" s="118" t="s">
        <v>84</v>
      </c>
      <c r="V80" s="93" t="s">
        <v>359</v>
      </c>
      <c r="W80" s="93" t="s">
        <v>338</v>
      </c>
    </row>
    <row r="81" spans="1:23" x14ac:dyDescent="0.25">
      <c r="A81" s="90" t="s">
        <v>362</v>
      </c>
      <c r="B81" s="119">
        <v>7</v>
      </c>
      <c r="C81" s="90" t="s">
        <v>338</v>
      </c>
      <c r="D81" s="90" t="s">
        <v>851</v>
      </c>
      <c r="E81">
        <v>152</v>
      </c>
      <c r="F81">
        <v>153</v>
      </c>
      <c r="G81" s="93" t="s">
        <v>78</v>
      </c>
      <c r="H81" t="s">
        <v>363</v>
      </c>
      <c r="I81">
        <v>300</v>
      </c>
      <c r="J81">
        <v>5.73</v>
      </c>
      <c r="K81">
        <f>I81*J81</f>
        <v>1719.0000000000002</v>
      </c>
      <c r="L81">
        <v>27.83</v>
      </c>
      <c r="M81">
        <f>(1-(L81/100))*K81</f>
        <v>1240.6023000000002</v>
      </c>
      <c r="N81" s="90">
        <v>81</v>
      </c>
      <c r="O81" s="90" t="s">
        <v>364</v>
      </c>
      <c r="P81" s="118" t="s">
        <v>308</v>
      </c>
      <c r="Q81" s="118" t="s">
        <v>84</v>
      </c>
      <c r="V81" s="93" t="s">
        <v>362</v>
      </c>
      <c r="W81" s="93" t="s">
        <v>338</v>
      </c>
    </row>
    <row r="82" spans="1:23" x14ac:dyDescent="0.25">
      <c r="A82" s="90" t="s">
        <v>365</v>
      </c>
      <c r="B82" s="119">
        <v>7</v>
      </c>
      <c r="C82" s="90" t="s">
        <v>338</v>
      </c>
      <c r="D82" s="90" t="s">
        <v>852</v>
      </c>
      <c r="E82">
        <v>154</v>
      </c>
      <c r="F82">
        <v>155</v>
      </c>
      <c r="G82" s="93" t="s">
        <v>78</v>
      </c>
      <c r="H82" t="s">
        <v>366</v>
      </c>
      <c r="I82">
        <v>300</v>
      </c>
      <c r="J82">
        <v>10.02</v>
      </c>
      <c r="K82">
        <f>I82*J82</f>
        <v>3006</v>
      </c>
      <c r="L82">
        <v>27.83</v>
      </c>
      <c r="M82">
        <f>(1-(L82/100))*K82</f>
        <v>2169.4302000000002</v>
      </c>
      <c r="N82" s="90">
        <v>82</v>
      </c>
      <c r="O82" s="90" t="s">
        <v>367</v>
      </c>
      <c r="P82" s="118" t="s">
        <v>1247</v>
      </c>
      <c r="Q82" s="118" t="s">
        <v>84</v>
      </c>
      <c r="V82" s="93" t="s">
        <v>365</v>
      </c>
      <c r="W82" s="93" t="s">
        <v>338</v>
      </c>
    </row>
    <row r="83" spans="1:23" x14ac:dyDescent="0.25">
      <c r="A83" s="90" t="s">
        <v>368</v>
      </c>
      <c r="B83" s="119">
        <v>7</v>
      </c>
      <c r="C83" s="90" t="s">
        <v>338</v>
      </c>
      <c r="D83" s="90" t="s">
        <v>853</v>
      </c>
      <c r="E83">
        <v>156</v>
      </c>
      <c r="F83">
        <v>157</v>
      </c>
      <c r="G83" s="93" t="s">
        <v>78</v>
      </c>
      <c r="H83" t="s">
        <v>369</v>
      </c>
      <c r="I83">
        <v>300</v>
      </c>
      <c r="J83">
        <v>14.31</v>
      </c>
      <c r="K83">
        <f>I83*J83</f>
        <v>4293</v>
      </c>
      <c r="L83">
        <v>27.83</v>
      </c>
      <c r="M83">
        <f>(1-(L83/100))*K83</f>
        <v>3098.2581</v>
      </c>
      <c r="N83" s="90">
        <v>83</v>
      </c>
      <c r="O83" s="90" t="s">
        <v>370</v>
      </c>
      <c r="P83" s="118" t="s">
        <v>311</v>
      </c>
      <c r="Q83" s="118" t="s">
        <v>84</v>
      </c>
      <c r="V83" s="93" t="s">
        <v>368</v>
      </c>
      <c r="W83" s="93" t="s">
        <v>338</v>
      </c>
    </row>
    <row r="84" spans="1:23" x14ac:dyDescent="0.25">
      <c r="A84" s="90" t="s">
        <v>371</v>
      </c>
      <c r="B84" s="119">
        <v>7</v>
      </c>
      <c r="C84" s="90" t="s">
        <v>338</v>
      </c>
      <c r="D84" s="90" t="s">
        <v>127</v>
      </c>
      <c r="E84">
        <v>158</v>
      </c>
      <c r="F84">
        <v>159</v>
      </c>
      <c r="G84" s="93" t="s">
        <v>78</v>
      </c>
      <c r="H84" t="s">
        <v>372</v>
      </c>
      <c r="I84">
        <v>300</v>
      </c>
      <c r="J84">
        <v>8.1199999999999992</v>
      </c>
      <c r="K84">
        <f>I84*J84</f>
        <v>2435.9999999999995</v>
      </c>
      <c r="L84">
        <v>27.83</v>
      </c>
      <c r="M84">
        <f>(1-(L84/100))*K84</f>
        <v>1758.0611999999996</v>
      </c>
      <c r="N84" s="90">
        <v>84</v>
      </c>
      <c r="O84" s="90" t="s">
        <v>373</v>
      </c>
      <c r="P84" s="118" t="s">
        <v>314</v>
      </c>
      <c r="Q84" s="118" t="s">
        <v>84</v>
      </c>
      <c r="V84" s="93" t="s">
        <v>371</v>
      </c>
      <c r="W84" s="93" t="s">
        <v>338</v>
      </c>
    </row>
    <row r="85" spans="1:23" x14ac:dyDescent="0.25">
      <c r="A85" s="90" t="s">
        <v>374</v>
      </c>
      <c r="B85" s="119">
        <v>7</v>
      </c>
      <c r="C85" s="90" t="s">
        <v>338</v>
      </c>
      <c r="D85" s="90" t="s">
        <v>128</v>
      </c>
      <c r="E85">
        <v>160</v>
      </c>
      <c r="F85">
        <v>161</v>
      </c>
      <c r="G85" s="93" t="s">
        <v>78</v>
      </c>
      <c r="H85" t="s">
        <v>375</v>
      </c>
      <c r="I85">
        <v>300</v>
      </c>
      <c r="J85">
        <v>22.14</v>
      </c>
      <c r="K85">
        <f>I85*J85</f>
        <v>6642</v>
      </c>
      <c r="L85">
        <v>27.83</v>
      </c>
      <c r="M85">
        <f>(1-(L85/100))*K85</f>
        <v>4793.5313999999998</v>
      </c>
      <c r="N85" s="90">
        <v>85</v>
      </c>
      <c r="O85" s="90" t="s">
        <v>376</v>
      </c>
      <c r="P85" s="118" t="s">
        <v>317</v>
      </c>
      <c r="Q85" s="118" t="s">
        <v>84</v>
      </c>
      <c r="V85" s="93" t="s">
        <v>374</v>
      </c>
      <c r="W85" s="93" t="s">
        <v>338</v>
      </c>
    </row>
    <row r="86" spans="1:23" x14ac:dyDescent="0.25">
      <c r="A86" s="90" t="s">
        <v>377</v>
      </c>
      <c r="B86" s="119">
        <v>7</v>
      </c>
      <c r="C86" s="90" t="s">
        <v>338</v>
      </c>
      <c r="D86" s="90" t="s">
        <v>129</v>
      </c>
      <c r="E86">
        <v>162</v>
      </c>
      <c r="F86">
        <v>163</v>
      </c>
      <c r="G86" s="93" t="s">
        <v>78</v>
      </c>
      <c r="H86" t="s">
        <v>378</v>
      </c>
      <c r="I86">
        <v>300</v>
      </c>
      <c r="J86">
        <v>170.32</v>
      </c>
      <c r="K86">
        <f>I86*J86</f>
        <v>51096</v>
      </c>
      <c r="L86">
        <v>27.83</v>
      </c>
      <c r="M86">
        <f>(1-(L86/100))*K86</f>
        <v>36875.983200000002</v>
      </c>
      <c r="N86" s="90">
        <v>86</v>
      </c>
      <c r="O86" s="90" t="s">
        <v>379</v>
      </c>
      <c r="P86" s="118" t="s">
        <v>1248</v>
      </c>
      <c r="Q86" s="118" t="s">
        <v>84</v>
      </c>
      <c r="V86" s="93" t="s">
        <v>377</v>
      </c>
      <c r="W86" s="93" t="s">
        <v>338</v>
      </c>
    </row>
    <row r="87" spans="1:23" x14ac:dyDescent="0.25">
      <c r="A87" s="90" t="s">
        <v>380</v>
      </c>
      <c r="B87" s="119">
        <v>7</v>
      </c>
      <c r="C87" s="90" t="s">
        <v>338</v>
      </c>
      <c r="D87" s="90" t="s">
        <v>130</v>
      </c>
      <c r="E87">
        <v>164</v>
      </c>
      <c r="F87">
        <v>165</v>
      </c>
      <c r="G87" s="93" t="s">
        <v>78</v>
      </c>
      <c r="H87" t="s">
        <v>381</v>
      </c>
      <c r="I87">
        <v>300</v>
      </c>
      <c r="J87">
        <v>11.45</v>
      </c>
      <c r="K87">
        <f>I87*J87</f>
        <v>3435</v>
      </c>
      <c r="L87">
        <v>27.83</v>
      </c>
      <c r="M87">
        <f>(1-(L87/100))*K87</f>
        <v>2479.0394999999999</v>
      </c>
      <c r="N87" s="90">
        <v>87</v>
      </c>
      <c r="O87" s="90" t="s">
        <v>382</v>
      </c>
      <c r="P87" s="118" t="s">
        <v>320</v>
      </c>
      <c r="Q87" s="118" t="s">
        <v>84</v>
      </c>
      <c r="V87" s="93" t="s">
        <v>380</v>
      </c>
      <c r="W87" s="93" t="s">
        <v>338</v>
      </c>
    </row>
    <row r="88" spans="1:23" x14ac:dyDescent="0.25">
      <c r="A88" s="90" t="s">
        <v>383</v>
      </c>
      <c r="B88" s="119">
        <v>7</v>
      </c>
      <c r="C88" s="90" t="s">
        <v>338</v>
      </c>
      <c r="D88" s="90" t="s">
        <v>82</v>
      </c>
      <c r="E88">
        <v>166</v>
      </c>
      <c r="F88">
        <v>167</v>
      </c>
      <c r="G88" s="93" t="s">
        <v>78</v>
      </c>
      <c r="H88" t="s">
        <v>384</v>
      </c>
      <c r="I88">
        <v>300</v>
      </c>
      <c r="J88">
        <v>11.35</v>
      </c>
      <c r="K88">
        <f>I88*J88</f>
        <v>3405</v>
      </c>
      <c r="L88">
        <v>27.83</v>
      </c>
      <c r="M88">
        <f>(1-(L88/100))*K88</f>
        <v>2457.3885</v>
      </c>
      <c r="N88" s="90">
        <v>88</v>
      </c>
      <c r="O88" s="90" t="s">
        <v>385</v>
      </c>
      <c r="P88" s="118" t="s">
        <v>322</v>
      </c>
      <c r="Q88" s="118" t="s">
        <v>84</v>
      </c>
      <c r="V88" s="93" t="s">
        <v>383</v>
      </c>
      <c r="W88" s="93" t="s">
        <v>338</v>
      </c>
    </row>
    <row r="89" spans="1:23" x14ac:dyDescent="0.25">
      <c r="A89" s="90" t="s">
        <v>386</v>
      </c>
      <c r="B89" s="119">
        <v>7</v>
      </c>
      <c r="C89" s="90" t="s">
        <v>338</v>
      </c>
      <c r="D89" s="90" t="s">
        <v>85</v>
      </c>
      <c r="E89">
        <v>168</v>
      </c>
      <c r="F89">
        <v>169</v>
      </c>
      <c r="G89" s="93" t="s">
        <v>78</v>
      </c>
      <c r="H89" t="s">
        <v>387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 s="90">
        <v>89</v>
      </c>
      <c r="O89" s="90" t="s">
        <v>388</v>
      </c>
      <c r="P89" s="118" t="s">
        <v>324</v>
      </c>
      <c r="Q89" s="118" t="s">
        <v>84</v>
      </c>
      <c r="V89" s="93" t="s">
        <v>386</v>
      </c>
      <c r="W89" s="93" t="s">
        <v>338</v>
      </c>
    </row>
    <row r="90" spans="1:23" x14ac:dyDescent="0.25">
      <c r="A90" s="90" t="s">
        <v>389</v>
      </c>
      <c r="B90" s="119">
        <v>7</v>
      </c>
      <c r="C90" s="90" t="s">
        <v>338</v>
      </c>
      <c r="D90" s="90" t="s">
        <v>88</v>
      </c>
      <c r="E90">
        <v>170</v>
      </c>
      <c r="F90">
        <v>171</v>
      </c>
      <c r="G90" s="93" t="s">
        <v>78</v>
      </c>
      <c r="H90" t="s">
        <v>390</v>
      </c>
      <c r="I90">
        <v>300</v>
      </c>
      <c r="J90">
        <v>8.59</v>
      </c>
      <c r="K90">
        <f>I90*J90</f>
        <v>2577</v>
      </c>
      <c r="L90">
        <v>27.83</v>
      </c>
      <c r="M90">
        <f>(1-(L90/100))*K90</f>
        <v>1859.8208999999999</v>
      </c>
      <c r="N90" s="90">
        <v>90</v>
      </c>
      <c r="O90" s="90" t="s">
        <v>391</v>
      </c>
      <c r="P90" s="118" t="s">
        <v>327</v>
      </c>
      <c r="Q90" s="118" t="s">
        <v>84</v>
      </c>
      <c r="V90" s="93" t="s">
        <v>389</v>
      </c>
      <c r="W90" s="93" t="s">
        <v>338</v>
      </c>
    </row>
    <row r="91" spans="1:23" x14ac:dyDescent="0.25">
      <c r="A91" s="90" t="s">
        <v>392</v>
      </c>
      <c r="B91" s="119">
        <v>7</v>
      </c>
      <c r="C91" s="90" t="s">
        <v>338</v>
      </c>
      <c r="D91" s="90" t="s">
        <v>91</v>
      </c>
      <c r="E91">
        <v>172</v>
      </c>
      <c r="F91">
        <v>173</v>
      </c>
      <c r="G91" s="93" t="s">
        <v>78</v>
      </c>
      <c r="H91" t="s">
        <v>393</v>
      </c>
      <c r="I91">
        <v>300</v>
      </c>
      <c r="J91">
        <v>11.45</v>
      </c>
      <c r="K91">
        <f>I91*J91</f>
        <v>3435</v>
      </c>
      <c r="L91">
        <v>27.83</v>
      </c>
      <c r="M91">
        <f>(1-(L91/100))*K91</f>
        <v>2479.0394999999999</v>
      </c>
      <c r="N91" s="90">
        <v>91</v>
      </c>
      <c r="O91" s="90" t="s">
        <v>394</v>
      </c>
      <c r="P91" s="118" t="s">
        <v>330</v>
      </c>
      <c r="Q91" s="118" t="s">
        <v>84</v>
      </c>
      <c r="V91" s="93" t="s">
        <v>392</v>
      </c>
      <c r="W91" s="93" t="s">
        <v>338</v>
      </c>
    </row>
    <row r="92" spans="1:23" x14ac:dyDescent="0.25">
      <c r="A92" s="90" t="s">
        <v>395</v>
      </c>
      <c r="B92" s="119">
        <v>7</v>
      </c>
      <c r="C92" s="90" t="s">
        <v>338</v>
      </c>
      <c r="D92" s="90" t="s">
        <v>93</v>
      </c>
      <c r="E92">
        <v>174</v>
      </c>
      <c r="F92">
        <v>175</v>
      </c>
      <c r="G92" s="93" t="s">
        <v>78</v>
      </c>
      <c r="H92" t="s">
        <v>396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 s="90">
        <v>92</v>
      </c>
      <c r="O92" s="90" t="s">
        <v>397</v>
      </c>
      <c r="P92" s="118" t="s">
        <v>1249</v>
      </c>
      <c r="Q92" s="118" t="s">
        <v>84</v>
      </c>
      <c r="V92" s="93" t="s">
        <v>395</v>
      </c>
      <c r="W92" s="93" t="s">
        <v>338</v>
      </c>
    </row>
    <row r="93" spans="1:23" x14ac:dyDescent="0.25">
      <c r="A93" s="90" t="s">
        <v>398</v>
      </c>
      <c r="B93" s="119">
        <v>7</v>
      </c>
      <c r="C93" s="90" t="s">
        <v>338</v>
      </c>
      <c r="D93" s="90" t="s">
        <v>95</v>
      </c>
      <c r="E93">
        <v>176</v>
      </c>
      <c r="F93">
        <v>177</v>
      </c>
      <c r="G93" s="93" t="s">
        <v>78</v>
      </c>
      <c r="H93" t="s">
        <v>399</v>
      </c>
      <c r="I93">
        <v>300</v>
      </c>
      <c r="J93">
        <v>11.07</v>
      </c>
      <c r="K93">
        <f>I93*J93</f>
        <v>3321</v>
      </c>
      <c r="L93">
        <v>27.83</v>
      </c>
      <c r="M93">
        <f>(1-(L93/100))*K93</f>
        <v>2396.7656999999999</v>
      </c>
      <c r="N93" s="90">
        <v>93</v>
      </c>
      <c r="O93" s="90" t="s">
        <v>400</v>
      </c>
      <c r="P93" s="118" t="s">
        <v>333</v>
      </c>
      <c r="Q93" s="118" t="s">
        <v>84</v>
      </c>
      <c r="V93" s="93" t="s">
        <v>398</v>
      </c>
      <c r="W93" s="93" t="s">
        <v>338</v>
      </c>
    </row>
    <row r="94" spans="1:23" x14ac:dyDescent="0.25">
      <c r="A94" s="90" t="s">
        <v>401</v>
      </c>
      <c r="B94" s="119">
        <v>7</v>
      </c>
      <c r="C94" s="90" t="s">
        <v>338</v>
      </c>
      <c r="D94" s="90" t="s">
        <v>131</v>
      </c>
      <c r="E94">
        <v>178</v>
      </c>
      <c r="F94">
        <v>179</v>
      </c>
      <c r="G94" s="93" t="s">
        <v>78</v>
      </c>
      <c r="H94" t="s">
        <v>402</v>
      </c>
      <c r="I94">
        <v>300</v>
      </c>
      <c r="J94">
        <v>16.239999999999998</v>
      </c>
      <c r="K94">
        <f>I94*J94</f>
        <v>4871.9999999999991</v>
      </c>
      <c r="L94">
        <v>27.83</v>
      </c>
      <c r="M94">
        <f>(1-(L94/100))*K94</f>
        <v>3516.1223999999993</v>
      </c>
      <c r="N94" s="90">
        <v>94</v>
      </c>
      <c r="O94" s="90" t="s">
        <v>403</v>
      </c>
      <c r="P94" s="118" t="s">
        <v>335</v>
      </c>
      <c r="Q94" s="118" t="s">
        <v>84</v>
      </c>
      <c r="V94" s="93" t="s">
        <v>401</v>
      </c>
      <c r="W94" s="93" t="s">
        <v>338</v>
      </c>
    </row>
    <row r="95" spans="1:23" x14ac:dyDescent="0.25">
      <c r="A95" s="90" t="s">
        <v>404</v>
      </c>
      <c r="B95" s="119">
        <v>7</v>
      </c>
      <c r="C95" s="90" t="s">
        <v>338</v>
      </c>
      <c r="D95" s="90" t="s">
        <v>97</v>
      </c>
      <c r="E95">
        <v>180</v>
      </c>
      <c r="F95">
        <v>181</v>
      </c>
      <c r="G95" s="93" t="s">
        <v>78</v>
      </c>
      <c r="H95" t="s">
        <v>405</v>
      </c>
      <c r="I95">
        <v>300</v>
      </c>
      <c r="J95">
        <v>8.11</v>
      </c>
      <c r="K95">
        <f>I95*J95</f>
        <v>2433</v>
      </c>
      <c r="L95">
        <v>27.83</v>
      </c>
      <c r="M95">
        <f>(1-(L95/100))*K95</f>
        <v>1755.8960999999999</v>
      </c>
      <c r="N95" s="90">
        <v>95</v>
      </c>
      <c r="O95" s="90" t="s">
        <v>406</v>
      </c>
      <c r="P95" s="118" t="s">
        <v>337</v>
      </c>
      <c r="Q95" s="118" t="s">
        <v>84</v>
      </c>
      <c r="V95" s="93" t="s">
        <v>404</v>
      </c>
      <c r="W95" s="93" t="s">
        <v>338</v>
      </c>
    </row>
    <row r="96" spans="1:23" x14ac:dyDescent="0.25">
      <c r="A96" s="90" t="s">
        <v>407</v>
      </c>
      <c r="B96" s="119">
        <v>7</v>
      </c>
      <c r="C96" s="90" t="s">
        <v>338</v>
      </c>
      <c r="D96" s="90" t="s">
        <v>99</v>
      </c>
      <c r="E96">
        <v>182</v>
      </c>
      <c r="F96">
        <v>183</v>
      </c>
      <c r="G96" s="93" t="s">
        <v>78</v>
      </c>
      <c r="H96" t="s">
        <v>408</v>
      </c>
      <c r="I96">
        <v>300</v>
      </c>
      <c r="J96">
        <v>18.45</v>
      </c>
      <c r="K96">
        <f>I96*J96</f>
        <v>5535</v>
      </c>
      <c r="L96">
        <v>27.83</v>
      </c>
      <c r="M96">
        <f>(1-(L96/100))*K96</f>
        <v>3994.6095</v>
      </c>
      <c r="N96" s="90">
        <v>96</v>
      </c>
      <c r="O96" s="90" t="s">
        <v>409</v>
      </c>
      <c r="P96" s="118" t="s">
        <v>340</v>
      </c>
      <c r="Q96" s="118" t="s">
        <v>84</v>
      </c>
      <c r="V96" s="93" t="s">
        <v>407</v>
      </c>
      <c r="W96" s="93" t="s">
        <v>338</v>
      </c>
    </row>
    <row r="97" spans="1:23" x14ac:dyDescent="0.25">
      <c r="A97" s="90" t="s">
        <v>410</v>
      </c>
      <c r="B97" s="119">
        <v>7</v>
      </c>
      <c r="C97" s="90" t="s">
        <v>338</v>
      </c>
      <c r="D97" s="90" t="s">
        <v>132</v>
      </c>
      <c r="E97">
        <v>184</v>
      </c>
      <c r="F97">
        <v>185</v>
      </c>
      <c r="G97" s="93" t="s">
        <v>78</v>
      </c>
      <c r="H97" t="s">
        <v>411</v>
      </c>
      <c r="I97">
        <v>300</v>
      </c>
      <c r="J97">
        <v>13.29</v>
      </c>
      <c r="K97">
        <f>I97*J97</f>
        <v>3986.9999999999995</v>
      </c>
      <c r="L97">
        <v>27.83</v>
      </c>
      <c r="M97">
        <f>(1-(L97/100))*K97</f>
        <v>2877.4178999999999</v>
      </c>
      <c r="N97" s="90">
        <v>97</v>
      </c>
      <c r="O97" s="90" t="s">
        <v>412</v>
      </c>
      <c r="P97" s="118" t="s">
        <v>1250</v>
      </c>
      <c r="Q97" s="118" t="s">
        <v>84</v>
      </c>
      <c r="V97" s="93" t="s">
        <v>410</v>
      </c>
      <c r="W97" s="93" t="s">
        <v>338</v>
      </c>
    </row>
    <row r="98" spans="1:23" x14ac:dyDescent="0.25">
      <c r="A98" s="90" t="s">
        <v>413</v>
      </c>
      <c r="B98" s="119">
        <v>7</v>
      </c>
      <c r="C98" s="90" t="s">
        <v>338</v>
      </c>
      <c r="D98" s="90" t="s">
        <v>100</v>
      </c>
      <c r="E98">
        <v>186</v>
      </c>
      <c r="F98">
        <v>187</v>
      </c>
      <c r="G98" s="93" t="s">
        <v>78</v>
      </c>
      <c r="H98" t="s">
        <v>414</v>
      </c>
      <c r="I98">
        <v>300</v>
      </c>
      <c r="J98">
        <v>12.98</v>
      </c>
      <c r="K98">
        <f>I98*J98</f>
        <v>3894</v>
      </c>
      <c r="L98">
        <v>27.83</v>
      </c>
      <c r="M98">
        <f>(1-(L98/100))*K98</f>
        <v>2810.2998000000002</v>
      </c>
      <c r="N98" s="90">
        <v>98</v>
      </c>
      <c r="O98" s="90" t="s">
        <v>415</v>
      </c>
      <c r="P98" s="118" t="s">
        <v>343</v>
      </c>
      <c r="Q98" s="118" t="s">
        <v>84</v>
      </c>
      <c r="V98" s="93" t="s">
        <v>413</v>
      </c>
      <c r="W98" s="93" t="s">
        <v>338</v>
      </c>
    </row>
    <row r="99" spans="1:23" x14ac:dyDescent="0.25">
      <c r="A99" s="90" t="s">
        <v>416</v>
      </c>
      <c r="B99" s="119">
        <v>7</v>
      </c>
      <c r="C99" s="90" t="s">
        <v>338</v>
      </c>
      <c r="D99" s="90" t="s">
        <v>101</v>
      </c>
      <c r="E99">
        <v>188</v>
      </c>
      <c r="F99">
        <v>189</v>
      </c>
      <c r="G99" s="93" t="s">
        <v>78</v>
      </c>
      <c r="H99" t="s">
        <v>417</v>
      </c>
      <c r="I99">
        <v>300</v>
      </c>
      <c r="J99">
        <v>2.21</v>
      </c>
      <c r="K99">
        <f>I99*J99</f>
        <v>663</v>
      </c>
      <c r="L99">
        <v>27.83</v>
      </c>
      <c r="M99">
        <f>(1-(L99/100))*K99</f>
        <v>478.4871</v>
      </c>
      <c r="N99" s="90">
        <v>99</v>
      </c>
      <c r="O99" s="90" t="s">
        <v>418</v>
      </c>
      <c r="P99" s="118" t="s">
        <v>346</v>
      </c>
      <c r="Q99" s="118" t="s">
        <v>84</v>
      </c>
      <c r="V99" s="93" t="s">
        <v>416</v>
      </c>
      <c r="W99" s="93" t="s">
        <v>338</v>
      </c>
    </row>
    <row r="100" spans="1:23" x14ac:dyDescent="0.25">
      <c r="A100" s="90" t="s">
        <v>419</v>
      </c>
      <c r="B100" s="119">
        <v>7</v>
      </c>
      <c r="C100" s="90" t="s">
        <v>338</v>
      </c>
      <c r="D100" s="90" t="s">
        <v>102</v>
      </c>
      <c r="E100">
        <v>190</v>
      </c>
      <c r="F100">
        <v>191</v>
      </c>
      <c r="G100" s="93" t="s">
        <v>78</v>
      </c>
      <c r="H100" t="s">
        <v>420</v>
      </c>
      <c r="I100">
        <v>300</v>
      </c>
      <c r="J100">
        <v>14.31</v>
      </c>
      <c r="K100">
        <f>I100*J100</f>
        <v>4293</v>
      </c>
      <c r="L100">
        <v>27.83</v>
      </c>
      <c r="M100">
        <f>(1-(L100/100))*K100</f>
        <v>3098.2581</v>
      </c>
      <c r="N100" s="90">
        <v>100</v>
      </c>
      <c r="O100" s="90" t="s">
        <v>421</v>
      </c>
      <c r="P100" s="118" t="s">
        <v>349</v>
      </c>
      <c r="Q100" s="118" t="s">
        <v>84</v>
      </c>
      <c r="V100" s="93" t="s">
        <v>419</v>
      </c>
      <c r="W100" s="93" t="s">
        <v>338</v>
      </c>
    </row>
    <row r="101" spans="1:23" x14ac:dyDescent="0.25">
      <c r="A101" s="90" t="s">
        <v>422</v>
      </c>
      <c r="B101" s="119">
        <v>7</v>
      </c>
      <c r="C101" s="90" t="s">
        <v>338</v>
      </c>
      <c r="D101" s="90" t="s">
        <v>103</v>
      </c>
      <c r="E101">
        <v>192</v>
      </c>
      <c r="F101">
        <v>193</v>
      </c>
      <c r="G101" s="93" t="s">
        <v>78</v>
      </c>
      <c r="H101" t="s">
        <v>423</v>
      </c>
      <c r="I101">
        <v>300</v>
      </c>
      <c r="J101">
        <v>11.45</v>
      </c>
      <c r="K101">
        <f>I101*J101</f>
        <v>3435</v>
      </c>
      <c r="L101">
        <v>27.83</v>
      </c>
      <c r="M101">
        <f>(1-(L101/100))*K101</f>
        <v>2479.0394999999999</v>
      </c>
      <c r="N101" s="90">
        <v>101</v>
      </c>
      <c r="O101" s="90" t="s">
        <v>424</v>
      </c>
      <c r="P101" s="118" t="s">
        <v>352</v>
      </c>
      <c r="Q101" s="118" t="s">
        <v>84</v>
      </c>
      <c r="V101" s="93" t="s">
        <v>422</v>
      </c>
      <c r="W101" s="93" t="s">
        <v>338</v>
      </c>
    </row>
    <row r="102" spans="1:23" x14ac:dyDescent="0.25">
      <c r="A102" s="90" t="s">
        <v>425</v>
      </c>
      <c r="B102" s="119">
        <v>6</v>
      </c>
      <c r="C102" s="90" t="s">
        <v>336</v>
      </c>
      <c r="D102" s="90" t="s">
        <v>79</v>
      </c>
      <c r="E102">
        <v>195</v>
      </c>
      <c r="F102">
        <v>200</v>
      </c>
      <c r="G102" s="93" t="s">
        <v>68</v>
      </c>
      <c r="H102" t="s">
        <v>339</v>
      </c>
      <c r="I102">
        <v>1</v>
      </c>
      <c r="J102">
        <f>SUM(K103,K104)</f>
        <v>12024</v>
      </c>
      <c r="K102">
        <f>I102*J102</f>
        <v>12024</v>
      </c>
      <c r="L102">
        <f>100*(1-(M102/K102))</f>
        <v>27.830000000000009</v>
      </c>
      <c r="M102">
        <f>I102*SUM(M103,M104)</f>
        <v>8677.7207999999991</v>
      </c>
      <c r="N102" s="90">
        <v>102</v>
      </c>
      <c r="O102" s="90" t="s">
        <v>426</v>
      </c>
      <c r="P102" s="118" t="s">
        <v>355</v>
      </c>
      <c r="Q102" s="118" t="s">
        <v>84</v>
      </c>
      <c r="R102" s="90" t="s">
        <v>858</v>
      </c>
      <c r="S102" s="90" t="s">
        <v>928</v>
      </c>
      <c r="T102" s="90" t="s">
        <v>963</v>
      </c>
      <c r="U102" s="90" t="s">
        <v>893</v>
      </c>
      <c r="V102" s="93" t="s">
        <v>425</v>
      </c>
      <c r="W102" s="93" t="s">
        <v>336</v>
      </c>
    </row>
    <row r="103" spans="1:23" x14ac:dyDescent="0.25">
      <c r="A103" s="90" t="s">
        <v>427</v>
      </c>
      <c r="B103" s="119">
        <v>7</v>
      </c>
      <c r="C103" s="90" t="s">
        <v>425</v>
      </c>
      <c r="D103" s="90" t="s">
        <v>78</v>
      </c>
      <c r="E103">
        <v>196</v>
      </c>
      <c r="F103">
        <v>197</v>
      </c>
      <c r="G103" s="93" t="s">
        <v>78</v>
      </c>
      <c r="H103" t="s">
        <v>428</v>
      </c>
      <c r="I103">
        <v>300</v>
      </c>
      <c r="J103">
        <v>15.2</v>
      </c>
      <c r="K103">
        <f>I103*J103</f>
        <v>4560</v>
      </c>
      <c r="L103">
        <v>27.83</v>
      </c>
      <c r="M103">
        <f>(1-(L103/100))*K103</f>
        <v>3290.9520000000002</v>
      </c>
      <c r="N103" s="90">
        <v>103</v>
      </c>
      <c r="O103" s="90" t="s">
        <v>429</v>
      </c>
      <c r="P103" s="118" t="s">
        <v>358</v>
      </c>
      <c r="Q103" s="118" t="s">
        <v>84</v>
      </c>
      <c r="V103" s="93" t="s">
        <v>427</v>
      </c>
      <c r="W103" s="93" t="s">
        <v>425</v>
      </c>
    </row>
    <row r="104" spans="1:23" x14ac:dyDescent="0.25">
      <c r="A104" s="90" t="s">
        <v>430</v>
      </c>
      <c r="B104" s="119">
        <v>7</v>
      </c>
      <c r="C104" s="90" t="s">
        <v>425</v>
      </c>
      <c r="D104" s="90" t="s">
        <v>79</v>
      </c>
      <c r="E104">
        <v>198</v>
      </c>
      <c r="F104">
        <v>199</v>
      </c>
      <c r="G104" s="93" t="s">
        <v>78</v>
      </c>
      <c r="H104" t="s">
        <v>431</v>
      </c>
      <c r="I104">
        <v>300</v>
      </c>
      <c r="J104">
        <v>24.88</v>
      </c>
      <c r="K104">
        <f>I104*J104</f>
        <v>7464</v>
      </c>
      <c r="L104">
        <v>27.83</v>
      </c>
      <c r="M104">
        <f>(1-(L104/100))*K104</f>
        <v>5386.7687999999998</v>
      </c>
      <c r="N104" s="90">
        <v>104</v>
      </c>
      <c r="O104" s="90" t="s">
        <v>432</v>
      </c>
      <c r="P104" s="118" t="s">
        <v>361</v>
      </c>
      <c r="Q104" s="118" t="s">
        <v>84</v>
      </c>
      <c r="V104" s="93" t="s">
        <v>430</v>
      </c>
      <c r="W104" s="93" t="s">
        <v>425</v>
      </c>
    </row>
    <row r="105" spans="1:23" x14ac:dyDescent="0.25">
      <c r="A105" s="90" t="s">
        <v>433</v>
      </c>
      <c r="B105" s="119">
        <v>3</v>
      </c>
      <c r="C105" s="90" t="s">
        <v>83</v>
      </c>
      <c r="D105" s="90" t="s">
        <v>128</v>
      </c>
      <c r="E105">
        <v>204</v>
      </c>
      <c r="F105">
        <v>215</v>
      </c>
      <c r="G105" s="93" t="s">
        <v>68</v>
      </c>
      <c r="H105" t="s">
        <v>434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 s="90">
        <v>105</v>
      </c>
      <c r="O105" s="90" t="s">
        <v>435</v>
      </c>
      <c r="P105" s="118" t="s">
        <v>364</v>
      </c>
      <c r="Q105" s="118" t="s">
        <v>84</v>
      </c>
      <c r="R105" s="90" t="s">
        <v>1106</v>
      </c>
      <c r="S105" s="90" t="s">
        <v>1150</v>
      </c>
      <c r="T105" s="90" t="s">
        <v>1172</v>
      </c>
      <c r="U105" s="90" t="s">
        <v>1128</v>
      </c>
      <c r="V105" s="93" t="s">
        <v>433</v>
      </c>
      <c r="W105" s="93" t="s">
        <v>83</v>
      </c>
    </row>
    <row r="106" spans="1:23" x14ac:dyDescent="0.25">
      <c r="A106" s="90" t="s">
        <v>436</v>
      </c>
      <c r="B106" s="119">
        <v>4</v>
      </c>
      <c r="C106" s="90" t="s">
        <v>433</v>
      </c>
      <c r="D106" s="90" t="s">
        <v>78</v>
      </c>
      <c r="E106">
        <v>205</v>
      </c>
      <c r="F106">
        <v>214</v>
      </c>
      <c r="G106" s="93" t="s">
        <v>68</v>
      </c>
      <c r="H106" t="s">
        <v>434</v>
      </c>
      <c r="I106">
        <v>1</v>
      </c>
      <c r="J106">
        <f>SUM(K107)</f>
        <v>1574449.68</v>
      </c>
      <c r="K106">
        <f>I106*J106</f>
        <v>1574449.68</v>
      </c>
      <c r="L106">
        <f>100*(1-(M106/K106))</f>
        <v>7.0000000000000062</v>
      </c>
      <c r="M106">
        <f>I106*SUM(M107)</f>
        <v>1464238.2023999998</v>
      </c>
      <c r="N106" s="90">
        <v>106</v>
      </c>
      <c r="O106" s="90" t="s">
        <v>437</v>
      </c>
      <c r="P106" s="118" t="s">
        <v>367</v>
      </c>
      <c r="Q106" s="118" t="s">
        <v>84</v>
      </c>
      <c r="R106" s="90" t="s">
        <v>998</v>
      </c>
      <c r="S106" s="90" t="s">
        <v>1052</v>
      </c>
      <c r="T106" s="90" t="s">
        <v>1079</v>
      </c>
      <c r="U106" s="90" t="s">
        <v>1025</v>
      </c>
      <c r="V106" s="93" t="s">
        <v>436</v>
      </c>
      <c r="W106" s="93" t="s">
        <v>433</v>
      </c>
    </row>
    <row r="107" spans="1:23" x14ac:dyDescent="0.25">
      <c r="A107" s="90" t="s">
        <v>438</v>
      </c>
      <c r="B107" s="119">
        <v>5</v>
      </c>
      <c r="C107" s="90" t="s">
        <v>436</v>
      </c>
      <c r="D107" s="90" t="s">
        <v>78</v>
      </c>
      <c r="E107">
        <v>206</v>
      </c>
      <c r="F107">
        <v>213</v>
      </c>
      <c r="G107" s="93" t="s">
        <v>68</v>
      </c>
      <c r="H107" t="s">
        <v>434</v>
      </c>
      <c r="I107">
        <v>1</v>
      </c>
      <c r="J107">
        <f>SUM(K108,K109,K110)</f>
        <v>1574449.68</v>
      </c>
      <c r="K107">
        <f>I107*J107</f>
        <v>1574449.68</v>
      </c>
      <c r="L107">
        <f>100*(1-(M107/K107))</f>
        <v>7.0000000000000062</v>
      </c>
      <c r="M107">
        <f>I107*SUM(M108,M109,M110)</f>
        <v>1464238.2023999998</v>
      </c>
      <c r="N107" s="90">
        <v>107</v>
      </c>
      <c r="O107" s="90" t="s">
        <v>439</v>
      </c>
      <c r="P107" s="118" t="s">
        <v>370</v>
      </c>
      <c r="Q107" s="118" t="s">
        <v>84</v>
      </c>
      <c r="R107" s="90" t="s">
        <v>859</v>
      </c>
      <c r="S107" s="90" t="s">
        <v>929</v>
      </c>
      <c r="T107" s="90" t="s">
        <v>964</v>
      </c>
      <c r="U107" s="90" t="s">
        <v>894</v>
      </c>
      <c r="V107" s="93" t="s">
        <v>438</v>
      </c>
      <c r="W107" s="93" t="s">
        <v>436</v>
      </c>
    </row>
    <row r="108" spans="1:23" x14ac:dyDescent="0.25">
      <c r="A108" s="90" t="s">
        <v>440</v>
      </c>
      <c r="B108" s="119">
        <v>6</v>
      </c>
      <c r="C108" s="90" t="s">
        <v>438</v>
      </c>
      <c r="D108" s="90" t="s">
        <v>78</v>
      </c>
      <c r="E108">
        <v>207</v>
      </c>
      <c r="F108">
        <v>208</v>
      </c>
      <c r="G108" s="93" t="s">
        <v>78</v>
      </c>
      <c r="H108" t="s">
        <v>441</v>
      </c>
      <c r="I108">
        <v>1</v>
      </c>
      <c r="J108">
        <v>169901.54</v>
      </c>
      <c r="K108">
        <f>I108*J108</f>
        <v>169901.54</v>
      </c>
      <c r="L108">
        <v>7</v>
      </c>
      <c r="M108">
        <f>(1-(L108/100))*K108</f>
        <v>158008.43220000001</v>
      </c>
      <c r="N108" s="90">
        <v>108</v>
      </c>
      <c r="O108" s="90" t="s">
        <v>442</v>
      </c>
      <c r="P108" s="118" t="s">
        <v>373</v>
      </c>
      <c r="Q108" s="118" t="s">
        <v>84</v>
      </c>
      <c r="V108" s="93" t="s">
        <v>440</v>
      </c>
      <c r="W108" s="93" t="s">
        <v>438</v>
      </c>
    </row>
    <row r="109" spans="1:23" x14ac:dyDescent="0.25">
      <c r="A109" s="90" t="s">
        <v>443</v>
      </c>
      <c r="B109" s="119">
        <v>6</v>
      </c>
      <c r="C109" s="90" t="s">
        <v>438</v>
      </c>
      <c r="D109" s="90" t="s">
        <v>79</v>
      </c>
      <c r="E109">
        <v>209</v>
      </c>
      <c r="F109">
        <v>210</v>
      </c>
      <c r="G109" s="93" t="s">
        <v>78</v>
      </c>
      <c r="H109" t="s">
        <v>444</v>
      </c>
      <c r="I109">
        <v>1</v>
      </c>
      <c r="J109">
        <v>1367064.15</v>
      </c>
      <c r="K109">
        <f>I109*J109</f>
        <v>1367064.15</v>
      </c>
      <c r="L109">
        <v>7</v>
      </c>
      <c r="M109">
        <f>(1-(L109/100))*K109</f>
        <v>1271369.6594999998</v>
      </c>
      <c r="N109" s="90">
        <v>109</v>
      </c>
      <c r="O109" s="90" t="s">
        <v>445</v>
      </c>
      <c r="P109" s="118" t="s">
        <v>376</v>
      </c>
      <c r="Q109" s="118" t="s">
        <v>84</v>
      </c>
      <c r="V109" s="93" t="s">
        <v>443</v>
      </c>
      <c r="W109" s="93" t="s">
        <v>438</v>
      </c>
    </row>
    <row r="110" spans="1:23" x14ac:dyDescent="0.25">
      <c r="A110" s="90" t="s">
        <v>446</v>
      </c>
      <c r="B110" s="119">
        <v>6</v>
      </c>
      <c r="C110" s="90" t="s">
        <v>438</v>
      </c>
      <c r="D110" s="90" t="s">
        <v>80</v>
      </c>
      <c r="E110">
        <v>211</v>
      </c>
      <c r="F110">
        <v>212</v>
      </c>
      <c r="G110" s="93" t="s">
        <v>78</v>
      </c>
      <c r="H110" t="s">
        <v>447</v>
      </c>
      <c r="I110">
        <v>1</v>
      </c>
      <c r="J110">
        <v>37483.99</v>
      </c>
      <c r="K110">
        <f>I110*J110</f>
        <v>37483.99</v>
      </c>
      <c r="L110">
        <v>7</v>
      </c>
      <c r="M110">
        <f>(1-(L110/100))*K110</f>
        <v>34860.110699999997</v>
      </c>
      <c r="N110" s="90">
        <v>110</v>
      </c>
      <c r="O110" s="90" t="s">
        <v>448</v>
      </c>
      <c r="P110" s="118" t="s">
        <v>379</v>
      </c>
      <c r="Q110" s="118" t="s">
        <v>84</v>
      </c>
      <c r="V110" s="93" t="s">
        <v>446</v>
      </c>
      <c r="W110" s="93" t="s">
        <v>438</v>
      </c>
    </row>
    <row r="111" spans="1:23" x14ac:dyDescent="0.25">
      <c r="A111" s="90" t="s">
        <v>449</v>
      </c>
      <c r="B111" s="119">
        <v>2</v>
      </c>
      <c r="C111" s="90" t="s">
        <v>78</v>
      </c>
      <c r="D111" s="90" t="s">
        <v>79</v>
      </c>
      <c r="E111">
        <v>217</v>
      </c>
      <c r="F111">
        <v>340</v>
      </c>
      <c r="G111" s="93" t="s">
        <v>68</v>
      </c>
      <c r="H111" t="s">
        <v>450</v>
      </c>
      <c r="I111">
        <v>1</v>
      </c>
      <c r="J111">
        <f>SUM(K112,K167)</f>
        <v>847098.9567000001</v>
      </c>
      <c r="K111">
        <f>I111*J111</f>
        <v>847098.9567000001</v>
      </c>
      <c r="L111">
        <f>100*(1-(M111/K111))</f>
        <v>12.73208978709749</v>
      </c>
      <c r="M111">
        <f>I111*SUM(M112,M167)</f>
        <v>739245.55694738997</v>
      </c>
      <c r="N111" s="90">
        <v>111</v>
      </c>
      <c r="O111" s="90" t="s">
        <v>451</v>
      </c>
      <c r="P111" s="118" t="s">
        <v>127</v>
      </c>
      <c r="Q111" s="118" t="s">
        <v>450</v>
      </c>
      <c r="R111" s="90" t="s">
        <v>1199</v>
      </c>
      <c r="S111" s="90" t="s">
        <v>1220</v>
      </c>
      <c r="T111" s="90" t="s">
        <v>1230</v>
      </c>
      <c r="U111" s="90" t="s">
        <v>1210</v>
      </c>
      <c r="V111" s="93" t="s">
        <v>449</v>
      </c>
      <c r="W111" s="93" t="s">
        <v>78</v>
      </c>
    </row>
    <row r="112" spans="1:23" x14ac:dyDescent="0.25">
      <c r="A112" s="90" t="s">
        <v>452</v>
      </c>
      <c r="B112" s="119">
        <v>3</v>
      </c>
      <c r="C112" s="90" t="s">
        <v>449</v>
      </c>
      <c r="D112" s="90" t="s">
        <v>78</v>
      </c>
      <c r="E112">
        <v>218</v>
      </c>
      <c r="F112">
        <v>327</v>
      </c>
      <c r="G112" s="93" t="s">
        <v>68</v>
      </c>
      <c r="H112" t="s">
        <v>453</v>
      </c>
      <c r="I112">
        <v>1</v>
      </c>
      <c r="J112">
        <f>SUM(K113,K122,K131,K140,K149,K158)</f>
        <v>233108.36669999998</v>
      </c>
      <c r="K112">
        <f>I112*J112</f>
        <v>233108.36669999998</v>
      </c>
      <c r="L112">
        <f>100*(1-(M112/K112))</f>
        <v>27.83</v>
      </c>
      <c r="M112">
        <f>I112*SUM(M113,M122,M131,M140,M149,M158)</f>
        <v>168234.30824739</v>
      </c>
      <c r="N112" s="90">
        <v>112</v>
      </c>
      <c r="O112" s="90" t="s">
        <v>454</v>
      </c>
      <c r="P112" s="118" t="s">
        <v>128</v>
      </c>
      <c r="Q112" s="118" t="s">
        <v>450</v>
      </c>
      <c r="R112" s="90" t="s">
        <v>1200</v>
      </c>
      <c r="S112" s="90" t="s">
        <v>1221</v>
      </c>
      <c r="T112" s="90" t="s">
        <v>1231</v>
      </c>
      <c r="U112" s="90" t="s">
        <v>1211</v>
      </c>
      <c r="V112" s="93" t="s">
        <v>452</v>
      </c>
      <c r="W112" s="93" t="s">
        <v>449</v>
      </c>
    </row>
    <row r="113" spans="1:23" x14ac:dyDescent="0.25">
      <c r="A113" s="90" t="s">
        <v>455</v>
      </c>
      <c r="B113" s="119">
        <v>4</v>
      </c>
      <c r="C113" s="90" t="s">
        <v>452</v>
      </c>
      <c r="D113" s="90" t="s">
        <v>78</v>
      </c>
      <c r="E113">
        <v>219</v>
      </c>
      <c r="F113">
        <v>236</v>
      </c>
      <c r="G113" s="93" t="s">
        <v>68</v>
      </c>
      <c r="H113" t="s">
        <v>456</v>
      </c>
      <c r="I113">
        <v>1</v>
      </c>
      <c r="J113">
        <f>SUM(K114)</f>
        <v>41258.118000000002</v>
      </c>
      <c r="K113">
        <f>I113*J113</f>
        <v>41258.118000000002</v>
      </c>
      <c r="L113">
        <f>100*(1-(M113/K113))</f>
        <v>27.83</v>
      </c>
      <c r="M113">
        <f>I113*SUM(M114)</f>
        <v>29775.9837606</v>
      </c>
      <c r="N113" s="90">
        <v>113</v>
      </c>
      <c r="O113" s="90" t="s">
        <v>457</v>
      </c>
      <c r="P113" s="118" t="s">
        <v>129</v>
      </c>
      <c r="Q113" s="118" t="s">
        <v>450</v>
      </c>
      <c r="R113" s="90" t="s">
        <v>1112</v>
      </c>
      <c r="S113" s="90" t="s">
        <v>1156</v>
      </c>
      <c r="T113" s="90" t="s">
        <v>1178</v>
      </c>
      <c r="U113" s="90" t="s">
        <v>1134</v>
      </c>
      <c r="V113" s="93" t="s">
        <v>455</v>
      </c>
      <c r="W113" s="93" t="s">
        <v>452</v>
      </c>
    </row>
    <row r="114" spans="1:23" x14ac:dyDescent="0.25">
      <c r="A114" s="90" t="s">
        <v>458</v>
      </c>
      <c r="B114" s="119">
        <v>5</v>
      </c>
      <c r="C114" s="90" t="s">
        <v>455</v>
      </c>
      <c r="D114" s="90" t="s">
        <v>78</v>
      </c>
      <c r="E114">
        <v>220</v>
      </c>
      <c r="F114">
        <v>235</v>
      </c>
      <c r="G114" s="93" t="s">
        <v>68</v>
      </c>
      <c r="H114" t="s">
        <v>459</v>
      </c>
      <c r="I114">
        <v>1</v>
      </c>
      <c r="J114">
        <f>SUM(K115,K119)</f>
        <v>41258.118000000002</v>
      </c>
      <c r="K114">
        <f>I114*J114</f>
        <v>41258.118000000002</v>
      </c>
      <c r="L114">
        <f>100*(1-(M114/K114))</f>
        <v>27.83</v>
      </c>
      <c r="M114">
        <f>I114*SUM(M115,M119)</f>
        <v>29775.9837606</v>
      </c>
      <c r="N114" s="90">
        <v>114</v>
      </c>
      <c r="O114" s="90" t="s">
        <v>460</v>
      </c>
      <c r="P114" s="118" t="s">
        <v>130</v>
      </c>
      <c r="Q114" s="118" t="s">
        <v>450</v>
      </c>
      <c r="R114" s="90" t="s">
        <v>1004</v>
      </c>
      <c r="S114" s="90" t="s">
        <v>1058</v>
      </c>
      <c r="T114" s="90" t="s">
        <v>1085</v>
      </c>
      <c r="U114" s="90" t="s">
        <v>1031</v>
      </c>
      <c r="V114" s="93" t="s">
        <v>458</v>
      </c>
      <c r="W114" s="93" t="s">
        <v>455</v>
      </c>
    </row>
    <row r="115" spans="1:23" x14ac:dyDescent="0.25">
      <c r="A115" s="90" t="s">
        <v>461</v>
      </c>
      <c r="B115" s="119">
        <v>6</v>
      </c>
      <c r="C115" s="90" t="s">
        <v>458</v>
      </c>
      <c r="D115" s="90" t="s">
        <v>78</v>
      </c>
      <c r="E115">
        <v>221</v>
      </c>
      <c r="F115">
        <v>228</v>
      </c>
      <c r="G115" s="93" t="s">
        <v>68</v>
      </c>
      <c r="H115" t="s">
        <v>462</v>
      </c>
      <c r="I115">
        <v>1</v>
      </c>
      <c r="J115">
        <f>SUM(K116,K117,K118)</f>
        <v>19559.40408</v>
      </c>
      <c r="K115">
        <f>I115*J115</f>
        <v>19559.40408</v>
      </c>
      <c r="L115">
        <f>100*(1-(M115/K115))</f>
        <v>27.83</v>
      </c>
      <c r="M115">
        <f>I115*SUM(M116,M117,M118)</f>
        <v>14116.021924536</v>
      </c>
      <c r="N115" s="90">
        <v>115</v>
      </c>
      <c r="O115" s="90" t="s">
        <v>463</v>
      </c>
      <c r="P115" s="118" t="s">
        <v>82</v>
      </c>
      <c r="Q115" s="118" t="s">
        <v>450</v>
      </c>
      <c r="R115" s="90" t="s">
        <v>865</v>
      </c>
      <c r="S115" s="90" t="s">
        <v>935</v>
      </c>
      <c r="T115" s="90" t="s">
        <v>970</v>
      </c>
      <c r="U115" s="90" t="s">
        <v>900</v>
      </c>
      <c r="V115" s="93" t="s">
        <v>461</v>
      </c>
      <c r="W115" s="93" t="s">
        <v>458</v>
      </c>
    </row>
    <row r="116" spans="1:23" x14ac:dyDescent="0.25">
      <c r="A116" s="90" t="s">
        <v>464</v>
      </c>
      <c r="B116" s="119">
        <v>7</v>
      </c>
      <c r="C116" s="90" t="s">
        <v>461</v>
      </c>
      <c r="D116" s="90" t="s">
        <v>78</v>
      </c>
      <c r="E116">
        <v>222</v>
      </c>
      <c r="F116">
        <v>223</v>
      </c>
      <c r="G116" s="93" t="s">
        <v>78</v>
      </c>
      <c r="H116" t="s">
        <v>465</v>
      </c>
      <c r="I116">
        <v>12000</v>
      </c>
      <c r="J116">
        <v>1.3243346499999999</v>
      </c>
      <c r="K116">
        <f>I116*J116</f>
        <v>15892.015799999999</v>
      </c>
      <c r="L116">
        <v>27.83</v>
      </c>
      <c r="M116">
        <f>(1-(L116/100))*K116</f>
        <v>11469.26780286</v>
      </c>
      <c r="N116" s="90">
        <v>116</v>
      </c>
      <c r="O116" s="90" t="s">
        <v>466</v>
      </c>
      <c r="P116" s="118" t="s">
        <v>85</v>
      </c>
      <c r="Q116" s="118" t="s">
        <v>450</v>
      </c>
      <c r="V116" s="93" t="s">
        <v>464</v>
      </c>
      <c r="W116" s="93" t="s">
        <v>461</v>
      </c>
    </row>
    <row r="117" spans="1:23" x14ac:dyDescent="0.25">
      <c r="A117" s="90" t="s">
        <v>467</v>
      </c>
      <c r="B117" s="119">
        <v>7</v>
      </c>
      <c r="C117" s="90" t="s">
        <v>461</v>
      </c>
      <c r="D117" s="90" t="s">
        <v>79</v>
      </c>
      <c r="E117">
        <v>224</v>
      </c>
      <c r="F117">
        <v>225</v>
      </c>
      <c r="G117" s="93" t="s">
        <v>78</v>
      </c>
      <c r="H117" t="s">
        <v>468</v>
      </c>
      <c r="I117">
        <v>12000</v>
      </c>
      <c r="J117">
        <v>3.820196E-2</v>
      </c>
      <c r="K117">
        <f>I117*J117</f>
        <v>458.42352</v>
      </c>
      <c r="L117">
        <v>27.83</v>
      </c>
      <c r="M117">
        <f>(1-(L117/100))*K117</f>
        <v>330.84425438400001</v>
      </c>
      <c r="N117" s="90">
        <v>117</v>
      </c>
      <c r="O117" s="90" t="s">
        <v>469</v>
      </c>
      <c r="P117" s="118" t="s">
        <v>88</v>
      </c>
      <c r="Q117" s="118" t="s">
        <v>450</v>
      </c>
      <c r="V117" s="93" t="s">
        <v>467</v>
      </c>
      <c r="W117" s="93" t="s">
        <v>461</v>
      </c>
    </row>
    <row r="118" spans="1:23" x14ac:dyDescent="0.25">
      <c r="A118" s="90" t="s">
        <v>470</v>
      </c>
      <c r="B118" s="119">
        <v>7</v>
      </c>
      <c r="C118" s="90" t="s">
        <v>461</v>
      </c>
      <c r="D118" s="90" t="s">
        <v>80</v>
      </c>
      <c r="E118">
        <v>226</v>
      </c>
      <c r="F118">
        <v>227</v>
      </c>
      <c r="G118" s="93" t="s">
        <v>78</v>
      </c>
      <c r="H118" t="s">
        <v>471</v>
      </c>
      <c r="I118">
        <v>12000</v>
      </c>
      <c r="J118">
        <v>0.26741373000000002</v>
      </c>
      <c r="K118">
        <f>I118*J118</f>
        <v>3208.9647600000003</v>
      </c>
      <c r="L118">
        <v>27.83</v>
      </c>
      <c r="M118">
        <f>(1-(L118/100))*K118</f>
        <v>2315.9098672920004</v>
      </c>
      <c r="N118" s="90">
        <v>118</v>
      </c>
      <c r="O118" s="90" t="s">
        <v>472</v>
      </c>
      <c r="P118" s="118" t="s">
        <v>91</v>
      </c>
      <c r="Q118" s="118" t="s">
        <v>450</v>
      </c>
      <c r="V118" s="93" t="s">
        <v>470</v>
      </c>
      <c r="W118" s="93" t="s">
        <v>461</v>
      </c>
    </row>
    <row r="119" spans="1:23" x14ac:dyDescent="0.25">
      <c r="A119" s="90" t="s">
        <v>473</v>
      </c>
      <c r="B119" s="119">
        <v>6</v>
      </c>
      <c r="C119" s="90" t="s">
        <v>458</v>
      </c>
      <c r="D119" s="90" t="s">
        <v>79</v>
      </c>
      <c r="E119">
        <v>229</v>
      </c>
      <c r="F119">
        <v>234</v>
      </c>
      <c r="G119" s="93" t="s">
        <v>68</v>
      </c>
      <c r="H119" t="s">
        <v>462</v>
      </c>
      <c r="I119">
        <v>1</v>
      </c>
      <c r="J119">
        <f>SUM(K120,K121)</f>
        <v>21698.713919999998</v>
      </c>
      <c r="K119">
        <f>I119*J119</f>
        <v>21698.713919999998</v>
      </c>
      <c r="L119">
        <f>100*(1-(M119/K119))</f>
        <v>27.83</v>
      </c>
      <c r="M119">
        <f>I119*SUM(M120,M121)</f>
        <v>15659.961836063998</v>
      </c>
      <c r="N119" s="90">
        <v>119</v>
      </c>
      <c r="O119" s="90" t="s">
        <v>474</v>
      </c>
      <c r="P119" s="118" t="s">
        <v>93</v>
      </c>
      <c r="Q119" s="118" t="s">
        <v>450</v>
      </c>
      <c r="R119" s="90" t="s">
        <v>866</v>
      </c>
      <c r="S119" s="90" t="s">
        <v>936</v>
      </c>
      <c r="T119" s="90" t="s">
        <v>971</v>
      </c>
      <c r="U119" s="90" t="s">
        <v>901</v>
      </c>
      <c r="V119" s="93" t="s">
        <v>473</v>
      </c>
      <c r="W119" s="93" t="s">
        <v>458</v>
      </c>
    </row>
    <row r="120" spans="1:23" x14ac:dyDescent="0.25">
      <c r="A120" s="90" t="s">
        <v>475</v>
      </c>
      <c r="B120" s="119">
        <v>7</v>
      </c>
      <c r="C120" s="90" t="s">
        <v>473</v>
      </c>
      <c r="D120" s="90" t="s">
        <v>78</v>
      </c>
      <c r="E120">
        <v>230</v>
      </c>
      <c r="F120">
        <v>231</v>
      </c>
      <c r="G120" s="93" t="s">
        <v>78</v>
      </c>
      <c r="H120" t="s">
        <v>476</v>
      </c>
      <c r="I120">
        <v>12000</v>
      </c>
      <c r="J120">
        <v>1.2097287699999999</v>
      </c>
      <c r="K120">
        <f>I120*J120</f>
        <v>14516.745239999998</v>
      </c>
      <c r="L120">
        <v>27.83</v>
      </c>
      <c r="M120">
        <f>(1-(L120/100))*K120</f>
        <v>10476.735039707999</v>
      </c>
      <c r="N120" s="90">
        <v>120</v>
      </c>
      <c r="O120" s="90" t="s">
        <v>477</v>
      </c>
      <c r="P120" s="118" t="s">
        <v>95</v>
      </c>
      <c r="Q120" s="118" t="s">
        <v>450</v>
      </c>
      <c r="V120" s="93" t="s">
        <v>475</v>
      </c>
      <c r="W120" s="93" t="s">
        <v>473</v>
      </c>
    </row>
    <row r="121" spans="1:23" x14ac:dyDescent="0.25">
      <c r="A121" s="90" t="s">
        <v>478</v>
      </c>
      <c r="B121" s="119">
        <v>7</v>
      </c>
      <c r="C121" s="90" t="s">
        <v>473</v>
      </c>
      <c r="D121" s="90" t="s">
        <v>79</v>
      </c>
      <c r="E121">
        <v>232</v>
      </c>
      <c r="F121">
        <v>233</v>
      </c>
      <c r="G121" s="93" t="s">
        <v>78</v>
      </c>
      <c r="H121" t="s">
        <v>479</v>
      </c>
      <c r="I121">
        <v>12000</v>
      </c>
      <c r="J121">
        <v>0.59849739000000002</v>
      </c>
      <c r="K121">
        <f>I121*J121</f>
        <v>7181.9686799999999</v>
      </c>
      <c r="L121">
        <v>27.83</v>
      </c>
      <c r="M121">
        <f>(1-(L121/100))*K121</f>
        <v>5183.2267963559998</v>
      </c>
      <c r="N121" s="90">
        <v>121</v>
      </c>
      <c r="O121" s="90" t="s">
        <v>480</v>
      </c>
      <c r="P121" s="118" t="s">
        <v>131</v>
      </c>
      <c r="Q121" s="118" t="s">
        <v>450</v>
      </c>
      <c r="V121" s="93" t="s">
        <v>478</v>
      </c>
      <c r="W121" s="93" t="s">
        <v>473</v>
      </c>
    </row>
    <row r="122" spans="1:23" x14ac:dyDescent="0.25">
      <c r="A122" s="90" t="s">
        <v>481</v>
      </c>
      <c r="B122" s="119">
        <v>4</v>
      </c>
      <c r="C122" s="90" t="s">
        <v>452</v>
      </c>
      <c r="D122" s="90" t="s">
        <v>79</v>
      </c>
      <c r="E122">
        <v>237</v>
      </c>
      <c r="F122">
        <v>254</v>
      </c>
      <c r="G122" s="93" t="s">
        <v>68</v>
      </c>
      <c r="H122" t="s">
        <v>482</v>
      </c>
      <c r="I122">
        <v>1</v>
      </c>
      <c r="J122">
        <f>SUM(K123)</f>
        <v>37132.306199999999</v>
      </c>
      <c r="K122">
        <f>I122*J122</f>
        <v>37132.306199999999</v>
      </c>
      <c r="L122">
        <f>100*(1-(M122/K122))</f>
        <v>27.83</v>
      </c>
      <c r="M122">
        <f>I122*SUM(M123)</f>
        <v>26798.385384540001</v>
      </c>
      <c r="N122" s="90">
        <v>122</v>
      </c>
      <c r="O122" s="90" t="s">
        <v>483</v>
      </c>
      <c r="P122" s="118" t="s">
        <v>97</v>
      </c>
      <c r="Q122" s="118" t="s">
        <v>450</v>
      </c>
      <c r="R122" s="90" t="s">
        <v>1113</v>
      </c>
      <c r="S122" s="90" t="s">
        <v>1157</v>
      </c>
      <c r="T122" s="90" t="s">
        <v>1179</v>
      </c>
      <c r="U122" s="90" t="s">
        <v>1135</v>
      </c>
      <c r="V122" s="93" t="s">
        <v>481</v>
      </c>
      <c r="W122" s="93" t="s">
        <v>452</v>
      </c>
    </row>
    <row r="123" spans="1:23" x14ac:dyDescent="0.25">
      <c r="A123" s="90" t="s">
        <v>484</v>
      </c>
      <c r="B123" s="119">
        <v>5</v>
      </c>
      <c r="C123" s="90" t="s">
        <v>481</v>
      </c>
      <c r="D123" s="90" t="s">
        <v>78</v>
      </c>
      <c r="E123">
        <v>238</v>
      </c>
      <c r="F123">
        <v>253</v>
      </c>
      <c r="G123" s="93" t="s">
        <v>68</v>
      </c>
      <c r="H123" t="s">
        <v>485</v>
      </c>
      <c r="I123">
        <v>1</v>
      </c>
      <c r="J123">
        <f>SUM(K124,K128)</f>
        <v>37132.306199999999</v>
      </c>
      <c r="K123">
        <f>I123*J123</f>
        <v>37132.306199999999</v>
      </c>
      <c r="L123">
        <f>100*(1-(M123/K123))</f>
        <v>27.83</v>
      </c>
      <c r="M123">
        <f>I123*SUM(M124,M128)</f>
        <v>26798.385384540001</v>
      </c>
      <c r="N123" s="90">
        <v>123</v>
      </c>
      <c r="O123" s="90" t="s">
        <v>486</v>
      </c>
      <c r="P123" s="118" t="s">
        <v>99</v>
      </c>
      <c r="Q123" s="118" t="s">
        <v>450</v>
      </c>
      <c r="R123" s="90" t="s">
        <v>1005</v>
      </c>
      <c r="S123" s="90" t="s">
        <v>1059</v>
      </c>
      <c r="T123" s="90" t="s">
        <v>1086</v>
      </c>
      <c r="U123" s="90" t="s">
        <v>1032</v>
      </c>
      <c r="V123" s="93" t="s">
        <v>484</v>
      </c>
      <c r="W123" s="93" t="s">
        <v>481</v>
      </c>
    </row>
    <row r="124" spans="1:23" x14ac:dyDescent="0.25">
      <c r="A124" s="90" t="s">
        <v>487</v>
      </c>
      <c r="B124" s="119">
        <v>6</v>
      </c>
      <c r="C124" s="90" t="s">
        <v>484</v>
      </c>
      <c r="D124" s="90" t="s">
        <v>78</v>
      </c>
      <c r="E124">
        <v>239</v>
      </c>
      <c r="F124">
        <v>246</v>
      </c>
      <c r="G124" s="93" t="s">
        <v>68</v>
      </c>
      <c r="H124" t="s">
        <v>462</v>
      </c>
      <c r="I124">
        <v>1</v>
      </c>
      <c r="J124">
        <f>SUM(K125,K126,K127)</f>
        <v>17603.463672000002</v>
      </c>
      <c r="K124">
        <f>I124*J124</f>
        <v>17603.463672000002</v>
      </c>
      <c r="L124">
        <f>100*(1-(M124/K124))</f>
        <v>27.83</v>
      </c>
      <c r="M124">
        <f>I124*SUM(M125,M126,M127)</f>
        <v>12704.419732082401</v>
      </c>
      <c r="N124" s="90">
        <v>124</v>
      </c>
      <c r="O124" s="90" t="s">
        <v>488</v>
      </c>
      <c r="P124" s="118" t="s">
        <v>132</v>
      </c>
      <c r="Q124" s="118" t="s">
        <v>450</v>
      </c>
      <c r="R124" s="90" t="s">
        <v>867</v>
      </c>
      <c r="S124" s="90" t="s">
        <v>937</v>
      </c>
      <c r="T124" s="90" t="s">
        <v>972</v>
      </c>
      <c r="U124" s="90" t="s">
        <v>902</v>
      </c>
      <c r="V124" s="93" t="s">
        <v>487</v>
      </c>
      <c r="W124" s="93" t="s">
        <v>484</v>
      </c>
    </row>
    <row r="125" spans="1:23" x14ac:dyDescent="0.25">
      <c r="A125" s="90" t="s">
        <v>489</v>
      </c>
      <c r="B125" s="119">
        <v>7</v>
      </c>
      <c r="C125" s="90" t="s">
        <v>487</v>
      </c>
      <c r="D125" s="90" t="s">
        <v>78</v>
      </c>
      <c r="E125">
        <v>240</v>
      </c>
      <c r="F125">
        <v>241</v>
      </c>
      <c r="G125" s="93" t="s">
        <v>78</v>
      </c>
      <c r="H125" t="s">
        <v>465</v>
      </c>
      <c r="I125">
        <v>10800</v>
      </c>
      <c r="J125">
        <v>1.3243346499999999</v>
      </c>
      <c r="K125">
        <f>I125*J125</f>
        <v>14302.81422</v>
      </c>
      <c r="L125">
        <v>27.83</v>
      </c>
      <c r="M125">
        <f>(1-(L125/100))*K125</f>
        <v>10322.341022574001</v>
      </c>
      <c r="N125" s="90">
        <v>125</v>
      </c>
      <c r="O125" s="90" t="s">
        <v>490</v>
      </c>
      <c r="P125" s="118" t="s">
        <v>100</v>
      </c>
      <c r="Q125" s="118" t="s">
        <v>450</v>
      </c>
      <c r="V125" s="93" t="s">
        <v>489</v>
      </c>
      <c r="W125" s="93" t="s">
        <v>487</v>
      </c>
    </row>
    <row r="126" spans="1:23" x14ac:dyDescent="0.25">
      <c r="A126" s="90" t="s">
        <v>491</v>
      </c>
      <c r="B126" s="119">
        <v>7</v>
      </c>
      <c r="C126" s="90" t="s">
        <v>487</v>
      </c>
      <c r="D126" s="90" t="s">
        <v>79</v>
      </c>
      <c r="E126">
        <v>242</v>
      </c>
      <c r="F126">
        <v>243</v>
      </c>
      <c r="G126" s="93" t="s">
        <v>78</v>
      </c>
      <c r="H126" t="s">
        <v>468</v>
      </c>
      <c r="I126">
        <v>10800</v>
      </c>
      <c r="J126">
        <v>3.820196E-2</v>
      </c>
      <c r="K126">
        <f>I126*J126</f>
        <v>412.58116799999999</v>
      </c>
      <c r="L126">
        <v>27.83</v>
      </c>
      <c r="M126">
        <f>(1-(L126/100))*K126</f>
        <v>297.75982894560002</v>
      </c>
      <c r="N126" s="90">
        <v>126</v>
      </c>
      <c r="O126" s="90" t="s">
        <v>492</v>
      </c>
      <c r="P126" s="118" t="s">
        <v>101</v>
      </c>
      <c r="Q126" s="118" t="s">
        <v>450</v>
      </c>
      <c r="V126" s="93" t="s">
        <v>491</v>
      </c>
      <c r="W126" s="93" t="s">
        <v>487</v>
      </c>
    </row>
    <row r="127" spans="1:23" x14ac:dyDescent="0.25">
      <c r="A127" s="90" t="s">
        <v>493</v>
      </c>
      <c r="B127" s="119">
        <v>7</v>
      </c>
      <c r="C127" s="90" t="s">
        <v>487</v>
      </c>
      <c r="D127" s="90" t="s">
        <v>80</v>
      </c>
      <c r="E127">
        <v>244</v>
      </c>
      <c r="F127">
        <v>245</v>
      </c>
      <c r="G127" s="93" t="s">
        <v>78</v>
      </c>
      <c r="H127" t="s">
        <v>471</v>
      </c>
      <c r="I127">
        <v>10800</v>
      </c>
      <c r="J127">
        <v>0.26741373000000002</v>
      </c>
      <c r="K127">
        <f>I127*J127</f>
        <v>2888.0682839999999</v>
      </c>
      <c r="L127">
        <v>27.83</v>
      </c>
      <c r="M127">
        <f>(1-(L127/100))*K127</f>
        <v>2084.3188805628001</v>
      </c>
      <c r="N127" s="90">
        <v>127</v>
      </c>
      <c r="O127" s="90" t="s">
        <v>494</v>
      </c>
      <c r="P127" s="118" t="s">
        <v>102</v>
      </c>
      <c r="Q127" s="118" t="s">
        <v>450</v>
      </c>
      <c r="V127" s="93" t="s">
        <v>493</v>
      </c>
      <c r="W127" s="93" t="s">
        <v>487</v>
      </c>
    </row>
    <row r="128" spans="1:23" x14ac:dyDescent="0.25">
      <c r="A128" s="90" t="s">
        <v>495</v>
      </c>
      <c r="B128" s="119">
        <v>6</v>
      </c>
      <c r="C128" s="90" t="s">
        <v>484</v>
      </c>
      <c r="D128" s="90" t="s">
        <v>79</v>
      </c>
      <c r="E128">
        <v>247</v>
      </c>
      <c r="F128">
        <v>252</v>
      </c>
      <c r="G128" s="93" t="s">
        <v>68</v>
      </c>
      <c r="H128" t="s">
        <v>462</v>
      </c>
      <c r="I128">
        <v>1</v>
      </c>
      <c r="J128">
        <f>SUM(K129,K130)</f>
        <v>19528.842527999997</v>
      </c>
      <c r="K128">
        <f>I128*J128</f>
        <v>19528.842527999997</v>
      </c>
      <c r="L128">
        <f>100*(1-(M128/K128))</f>
        <v>27.83</v>
      </c>
      <c r="M128">
        <f>I128*SUM(M129,M130)</f>
        <v>14093.965652457598</v>
      </c>
      <c r="N128" s="90">
        <v>128</v>
      </c>
      <c r="O128" s="90" t="s">
        <v>496</v>
      </c>
      <c r="P128" s="118" t="s">
        <v>103</v>
      </c>
      <c r="Q128" s="118" t="s">
        <v>450</v>
      </c>
      <c r="R128" s="90" t="s">
        <v>868</v>
      </c>
      <c r="S128" s="90" t="s">
        <v>938</v>
      </c>
      <c r="T128" s="90" t="s">
        <v>973</v>
      </c>
      <c r="U128" s="90" t="s">
        <v>903</v>
      </c>
      <c r="V128" s="93" t="s">
        <v>495</v>
      </c>
      <c r="W128" s="93" t="s">
        <v>484</v>
      </c>
    </row>
    <row r="129" spans="1:23" x14ac:dyDescent="0.25">
      <c r="A129" s="90" t="s">
        <v>497</v>
      </c>
      <c r="B129" s="119">
        <v>7</v>
      </c>
      <c r="C129" s="90" t="s">
        <v>495</v>
      </c>
      <c r="D129" s="90" t="s">
        <v>78</v>
      </c>
      <c r="E129">
        <v>248</v>
      </c>
      <c r="F129">
        <v>249</v>
      </c>
      <c r="G129" s="93" t="s">
        <v>78</v>
      </c>
      <c r="H129" t="s">
        <v>476</v>
      </c>
      <c r="I129">
        <v>10800</v>
      </c>
      <c r="J129">
        <v>1.2097287699999999</v>
      </c>
      <c r="K129">
        <f>I129*J129</f>
        <v>13065.070715999998</v>
      </c>
      <c r="L129">
        <v>27.83</v>
      </c>
      <c r="M129">
        <f>(1-(L129/100))*K129</f>
        <v>9429.0615357371989</v>
      </c>
      <c r="N129" s="90">
        <v>129</v>
      </c>
      <c r="O129" s="90" t="s">
        <v>498</v>
      </c>
      <c r="P129" s="118" t="s">
        <v>104</v>
      </c>
      <c r="Q129" s="118" t="s">
        <v>450</v>
      </c>
      <c r="V129" s="93" t="s">
        <v>497</v>
      </c>
      <c r="W129" s="93" t="s">
        <v>495</v>
      </c>
    </row>
    <row r="130" spans="1:23" x14ac:dyDescent="0.25">
      <c r="A130" s="90" t="s">
        <v>499</v>
      </c>
      <c r="B130" s="119">
        <v>7</v>
      </c>
      <c r="C130" s="90" t="s">
        <v>495</v>
      </c>
      <c r="D130" s="90" t="s">
        <v>79</v>
      </c>
      <c r="E130">
        <v>250</v>
      </c>
      <c r="F130">
        <v>251</v>
      </c>
      <c r="G130" s="93" t="s">
        <v>78</v>
      </c>
      <c r="H130" t="s">
        <v>479</v>
      </c>
      <c r="I130">
        <v>10800</v>
      </c>
      <c r="J130">
        <v>0.59849739000000002</v>
      </c>
      <c r="K130">
        <f>I130*J130</f>
        <v>6463.771812</v>
      </c>
      <c r="L130">
        <v>27.83</v>
      </c>
      <c r="M130">
        <f>(1-(L130/100))*K130</f>
        <v>4664.9041167204005</v>
      </c>
      <c r="N130" s="90">
        <v>130</v>
      </c>
      <c r="O130" s="90" t="s">
        <v>500</v>
      </c>
      <c r="P130" s="118" t="s">
        <v>105</v>
      </c>
      <c r="Q130" s="118" t="s">
        <v>450</v>
      </c>
      <c r="V130" s="93" t="s">
        <v>499</v>
      </c>
      <c r="W130" s="93" t="s">
        <v>495</v>
      </c>
    </row>
    <row r="131" spans="1:23" x14ac:dyDescent="0.25">
      <c r="A131" s="90" t="s">
        <v>501</v>
      </c>
      <c r="B131" s="119">
        <v>4</v>
      </c>
      <c r="C131" s="90" t="s">
        <v>452</v>
      </c>
      <c r="D131" s="90" t="s">
        <v>80</v>
      </c>
      <c r="E131">
        <v>255</v>
      </c>
      <c r="F131">
        <v>272</v>
      </c>
      <c r="G131" s="93" t="s">
        <v>68</v>
      </c>
      <c r="H131" t="s">
        <v>502</v>
      </c>
      <c r="I131">
        <v>1</v>
      </c>
      <c r="J131">
        <f>SUM(K132)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I131*SUM(M132)</f>
        <v>26550.252186534999</v>
      </c>
      <c r="N131" s="90">
        <v>131</v>
      </c>
      <c r="O131" s="90" t="s">
        <v>503</v>
      </c>
      <c r="P131" s="118" t="s">
        <v>106</v>
      </c>
      <c r="Q131" s="118" t="s">
        <v>450</v>
      </c>
      <c r="R131" s="90" t="s">
        <v>1114</v>
      </c>
      <c r="S131" s="90" t="s">
        <v>1158</v>
      </c>
      <c r="T131" s="90" t="s">
        <v>1180</v>
      </c>
      <c r="U131" s="90" t="s">
        <v>1136</v>
      </c>
      <c r="V131" s="93" t="s">
        <v>501</v>
      </c>
      <c r="W131" s="93" t="s">
        <v>452</v>
      </c>
    </row>
    <row r="132" spans="1:23" x14ac:dyDescent="0.25">
      <c r="A132" s="90" t="s">
        <v>504</v>
      </c>
      <c r="B132" s="119">
        <v>5</v>
      </c>
      <c r="C132" s="90" t="s">
        <v>501</v>
      </c>
      <c r="D132" s="90" t="s">
        <v>78</v>
      </c>
      <c r="E132">
        <v>256</v>
      </c>
      <c r="F132">
        <v>271</v>
      </c>
      <c r="G132" s="93" t="s">
        <v>68</v>
      </c>
      <c r="H132" t="s">
        <v>505</v>
      </c>
      <c r="I132">
        <v>1</v>
      </c>
      <c r="J132">
        <f>SUM(K133,K137)</f>
        <v>36788.488549999995</v>
      </c>
      <c r="K132">
        <f>I132*J132</f>
        <v>36788.488549999995</v>
      </c>
      <c r="L132">
        <f>100*(1-(M132/K132))</f>
        <v>27.829999999999988</v>
      </c>
      <c r="M132">
        <f>I132*SUM(M133,M137)</f>
        <v>26550.252186534999</v>
      </c>
      <c r="N132" s="90">
        <v>132</v>
      </c>
      <c r="O132" s="90" t="s">
        <v>506</v>
      </c>
      <c r="P132" s="118" t="s">
        <v>171</v>
      </c>
      <c r="Q132" s="118" t="s">
        <v>450</v>
      </c>
      <c r="R132" s="90" t="s">
        <v>1006</v>
      </c>
      <c r="S132" s="90" t="s">
        <v>1060</v>
      </c>
      <c r="T132" s="90" t="s">
        <v>1087</v>
      </c>
      <c r="U132" s="90" t="s">
        <v>1033</v>
      </c>
      <c r="V132" s="93" t="s">
        <v>504</v>
      </c>
      <c r="W132" s="93" t="s">
        <v>501</v>
      </c>
    </row>
    <row r="133" spans="1:23" x14ac:dyDescent="0.25">
      <c r="A133" s="90" t="s">
        <v>507</v>
      </c>
      <c r="B133" s="119">
        <v>6</v>
      </c>
      <c r="C133" s="90" t="s">
        <v>504</v>
      </c>
      <c r="D133" s="90" t="s">
        <v>78</v>
      </c>
      <c r="E133">
        <v>257</v>
      </c>
      <c r="F133">
        <v>264</v>
      </c>
      <c r="G133" s="93" t="s">
        <v>68</v>
      </c>
      <c r="H133" t="s">
        <v>462</v>
      </c>
      <c r="I133">
        <v>1</v>
      </c>
      <c r="J133">
        <f>SUM(K134,K135,K136)</f>
        <v>17440.468637999998</v>
      </c>
      <c r="K133">
        <f>I133*J133</f>
        <v>17440.468637999998</v>
      </c>
      <c r="L133">
        <f>100*(1-(M133/K133))</f>
        <v>27.829999999999988</v>
      </c>
      <c r="M133">
        <f>I133*SUM(M134,M135,M136)</f>
        <v>12586.7862160446</v>
      </c>
      <c r="N133" s="90">
        <v>133</v>
      </c>
      <c r="O133" s="90" t="s">
        <v>508</v>
      </c>
      <c r="P133" s="118" t="s">
        <v>107</v>
      </c>
      <c r="Q133" s="118" t="s">
        <v>450</v>
      </c>
      <c r="R133" s="90" t="s">
        <v>869</v>
      </c>
      <c r="S133" s="90" t="s">
        <v>939</v>
      </c>
      <c r="T133" s="90" t="s">
        <v>974</v>
      </c>
      <c r="U133" s="90" t="s">
        <v>904</v>
      </c>
      <c r="V133" s="93" t="s">
        <v>507</v>
      </c>
      <c r="W133" s="93" t="s">
        <v>504</v>
      </c>
    </row>
    <row r="134" spans="1:23" x14ac:dyDescent="0.25">
      <c r="A134" s="90" t="s">
        <v>509</v>
      </c>
      <c r="B134" s="119">
        <v>7</v>
      </c>
      <c r="C134" s="90" t="s">
        <v>507</v>
      </c>
      <c r="D134" s="90" t="s">
        <v>78</v>
      </c>
      <c r="E134">
        <v>258</v>
      </c>
      <c r="F134">
        <v>259</v>
      </c>
      <c r="G134" s="93" t="s">
        <v>78</v>
      </c>
      <c r="H134" t="s">
        <v>465</v>
      </c>
      <c r="I134">
        <v>10700</v>
      </c>
      <c r="J134">
        <v>1.3243346499999999</v>
      </c>
      <c r="K134">
        <f>I134*J134</f>
        <v>14170.380755</v>
      </c>
      <c r="L134">
        <v>27.83</v>
      </c>
      <c r="M134">
        <f>(1-(L134/100))*K134</f>
        <v>10226.7637908835</v>
      </c>
      <c r="N134" s="90">
        <v>134</v>
      </c>
      <c r="O134" s="90" t="s">
        <v>510</v>
      </c>
      <c r="P134" s="118" t="s">
        <v>108</v>
      </c>
      <c r="Q134" s="118" t="s">
        <v>450</v>
      </c>
      <c r="V134" s="93" t="s">
        <v>509</v>
      </c>
      <c r="W134" s="93" t="s">
        <v>507</v>
      </c>
    </row>
    <row r="135" spans="1:23" x14ac:dyDescent="0.25">
      <c r="A135" s="90" t="s">
        <v>511</v>
      </c>
      <c r="B135" s="119">
        <v>7</v>
      </c>
      <c r="C135" s="90" t="s">
        <v>507</v>
      </c>
      <c r="D135" s="90" t="s">
        <v>79</v>
      </c>
      <c r="E135">
        <v>260</v>
      </c>
      <c r="F135">
        <v>261</v>
      </c>
      <c r="G135" s="93" t="s">
        <v>78</v>
      </c>
      <c r="H135" t="s">
        <v>468</v>
      </c>
      <c r="I135">
        <v>10700</v>
      </c>
      <c r="J135">
        <v>3.820196E-2</v>
      </c>
      <c r="K135">
        <f>I135*J135</f>
        <v>408.76097199999998</v>
      </c>
      <c r="L135">
        <v>27.83</v>
      </c>
      <c r="M135">
        <f>(1-(L135/100))*K135</f>
        <v>295.00279349239997</v>
      </c>
      <c r="N135" s="90">
        <v>135</v>
      </c>
      <c r="O135" s="90" t="s">
        <v>512</v>
      </c>
      <c r="P135" s="118" t="s">
        <v>109</v>
      </c>
      <c r="Q135" s="118" t="s">
        <v>450</v>
      </c>
      <c r="V135" s="93" t="s">
        <v>511</v>
      </c>
      <c r="W135" s="93" t="s">
        <v>507</v>
      </c>
    </row>
    <row r="136" spans="1:23" x14ac:dyDescent="0.25">
      <c r="A136" s="90" t="s">
        <v>513</v>
      </c>
      <c r="B136" s="119">
        <v>7</v>
      </c>
      <c r="C136" s="90" t="s">
        <v>507</v>
      </c>
      <c r="D136" s="90" t="s">
        <v>80</v>
      </c>
      <c r="E136">
        <v>262</v>
      </c>
      <c r="F136">
        <v>263</v>
      </c>
      <c r="G136" s="93" t="s">
        <v>78</v>
      </c>
      <c r="H136" t="s">
        <v>471</v>
      </c>
      <c r="I136">
        <v>10700</v>
      </c>
      <c r="J136">
        <v>0.26741373000000002</v>
      </c>
      <c r="K136">
        <f>I136*J136</f>
        <v>2861.3269110000001</v>
      </c>
      <c r="L136">
        <v>27.83</v>
      </c>
      <c r="M136">
        <f>(1-(L136/100))*K136</f>
        <v>2065.0196316687002</v>
      </c>
      <c r="N136" s="90">
        <v>136</v>
      </c>
      <c r="O136" s="90" t="s">
        <v>514</v>
      </c>
      <c r="P136" s="118" t="s">
        <v>110</v>
      </c>
      <c r="Q136" s="118" t="s">
        <v>450</v>
      </c>
      <c r="V136" s="93" t="s">
        <v>513</v>
      </c>
      <c r="W136" s="93" t="s">
        <v>507</v>
      </c>
    </row>
    <row r="137" spans="1:23" x14ac:dyDescent="0.25">
      <c r="A137" s="90" t="s">
        <v>515</v>
      </c>
      <c r="B137" s="119">
        <v>6</v>
      </c>
      <c r="C137" s="90" t="s">
        <v>504</v>
      </c>
      <c r="D137" s="90" t="s">
        <v>79</v>
      </c>
      <c r="E137">
        <v>265</v>
      </c>
      <c r="F137">
        <v>270</v>
      </c>
      <c r="G137" s="93" t="s">
        <v>68</v>
      </c>
      <c r="H137" t="s">
        <v>462</v>
      </c>
      <c r="I137">
        <v>1</v>
      </c>
      <c r="J137">
        <f>SUM(K138,K139)</f>
        <v>19348.019912</v>
      </c>
      <c r="K137">
        <f>I137*J137</f>
        <v>19348.019912</v>
      </c>
      <c r="L137">
        <f>100*(1-(M137/K137))</f>
        <v>27.830000000000009</v>
      </c>
      <c r="M137">
        <f>I137*SUM(M138,M139)</f>
        <v>13963.465970490399</v>
      </c>
      <c r="N137" s="90">
        <v>137</v>
      </c>
      <c r="O137" s="90" t="s">
        <v>516</v>
      </c>
      <c r="P137" s="118" t="s">
        <v>172</v>
      </c>
      <c r="Q137" s="118" t="s">
        <v>450</v>
      </c>
      <c r="R137" s="90" t="s">
        <v>870</v>
      </c>
      <c r="S137" s="90" t="s">
        <v>940</v>
      </c>
      <c r="T137" s="90" t="s">
        <v>975</v>
      </c>
      <c r="U137" s="90" t="s">
        <v>905</v>
      </c>
      <c r="V137" s="93" t="s">
        <v>515</v>
      </c>
      <c r="W137" s="93" t="s">
        <v>504</v>
      </c>
    </row>
    <row r="138" spans="1:23" x14ac:dyDescent="0.25">
      <c r="A138" s="90" t="s">
        <v>517</v>
      </c>
      <c r="B138" s="119">
        <v>7</v>
      </c>
      <c r="C138" s="90" t="s">
        <v>515</v>
      </c>
      <c r="D138" s="90" t="s">
        <v>78</v>
      </c>
      <c r="E138">
        <v>266</v>
      </c>
      <c r="F138">
        <v>267</v>
      </c>
      <c r="G138" s="93" t="s">
        <v>78</v>
      </c>
      <c r="H138" t="s">
        <v>476</v>
      </c>
      <c r="I138">
        <v>10700</v>
      </c>
      <c r="J138">
        <v>1.2097287699999999</v>
      </c>
      <c r="K138">
        <f>I138*J138</f>
        <v>12944.097838999998</v>
      </c>
      <c r="L138">
        <v>27.83</v>
      </c>
      <c r="M138">
        <f>(1-(L138/100))*K138</f>
        <v>9341.7554104062983</v>
      </c>
      <c r="N138" s="90">
        <v>138</v>
      </c>
      <c r="O138" s="90" t="s">
        <v>518</v>
      </c>
      <c r="P138" s="118" t="s">
        <v>111</v>
      </c>
      <c r="Q138" s="118" t="s">
        <v>450</v>
      </c>
      <c r="V138" s="93" t="s">
        <v>517</v>
      </c>
      <c r="W138" s="93" t="s">
        <v>515</v>
      </c>
    </row>
    <row r="139" spans="1:23" x14ac:dyDescent="0.25">
      <c r="A139" s="90" t="s">
        <v>519</v>
      </c>
      <c r="B139" s="119">
        <v>7</v>
      </c>
      <c r="C139" s="90" t="s">
        <v>515</v>
      </c>
      <c r="D139" s="90" t="s">
        <v>79</v>
      </c>
      <c r="E139">
        <v>268</v>
      </c>
      <c r="F139">
        <v>269</v>
      </c>
      <c r="G139" s="93" t="s">
        <v>78</v>
      </c>
      <c r="H139" t="s">
        <v>479</v>
      </c>
      <c r="I139">
        <v>10700</v>
      </c>
      <c r="J139">
        <v>0.59849739000000002</v>
      </c>
      <c r="K139">
        <f>I139*J139</f>
        <v>6403.9220730000006</v>
      </c>
      <c r="L139">
        <v>27.83</v>
      </c>
      <c r="M139">
        <f>(1-(L139/100))*K139</f>
        <v>4621.7105600841005</v>
      </c>
      <c r="N139" s="90">
        <v>139</v>
      </c>
      <c r="O139" s="90" t="s">
        <v>520</v>
      </c>
      <c r="P139" s="118" t="s">
        <v>1236</v>
      </c>
      <c r="Q139" s="118" t="s">
        <v>450</v>
      </c>
      <c r="V139" s="93" t="s">
        <v>519</v>
      </c>
      <c r="W139" s="93" t="s">
        <v>515</v>
      </c>
    </row>
    <row r="140" spans="1:23" x14ac:dyDescent="0.25">
      <c r="A140" s="90" t="s">
        <v>521</v>
      </c>
      <c r="B140" s="119">
        <v>4</v>
      </c>
      <c r="C140" s="90" t="s">
        <v>452</v>
      </c>
      <c r="D140" s="90" t="s">
        <v>125</v>
      </c>
      <c r="E140">
        <v>273</v>
      </c>
      <c r="F140">
        <v>290</v>
      </c>
      <c r="G140" s="93" t="s">
        <v>68</v>
      </c>
      <c r="H140" t="s">
        <v>522</v>
      </c>
      <c r="I140">
        <v>1</v>
      </c>
      <c r="J140">
        <f>SUM(K141)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I140*SUM(M141)</f>
        <v>23820.787008480002</v>
      </c>
      <c r="N140" s="90">
        <v>140</v>
      </c>
      <c r="O140" s="90" t="s">
        <v>523</v>
      </c>
      <c r="P140" s="118" t="s">
        <v>112</v>
      </c>
      <c r="Q140" s="118" t="s">
        <v>450</v>
      </c>
      <c r="R140" s="90" t="s">
        <v>1115</v>
      </c>
      <c r="S140" s="90" t="s">
        <v>1159</v>
      </c>
      <c r="T140" s="90" t="s">
        <v>1181</v>
      </c>
      <c r="U140" s="90" t="s">
        <v>1137</v>
      </c>
      <c r="V140" s="93" t="s">
        <v>521</v>
      </c>
      <c r="W140" s="93" t="s">
        <v>452</v>
      </c>
    </row>
    <row r="141" spans="1:23" x14ac:dyDescent="0.25">
      <c r="A141" s="90" t="s">
        <v>524</v>
      </c>
      <c r="B141" s="119">
        <v>5</v>
      </c>
      <c r="C141" s="90" t="s">
        <v>521</v>
      </c>
      <c r="D141" s="90" t="s">
        <v>78</v>
      </c>
      <c r="E141">
        <v>274</v>
      </c>
      <c r="F141">
        <v>289</v>
      </c>
      <c r="G141" s="93" t="s">
        <v>68</v>
      </c>
      <c r="H141" t="s">
        <v>525</v>
      </c>
      <c r="I141">
        <v>1</v>
      </c>
      <c r="J141">
        <f>SUM(K142,K146)</f>
        <v>33006.494399999996</v>
      </c>
      <c r="K141">
        <f>I141*J141</f>
        <v>33006.494399999996</v>
      </c>
      <c r="L141">
        <f>100*(1-(M141/K141))</f>
        <v>27.829999999999988</v>
      </c>
      <c r="M141">
        <f>I141*SUM(M142,M146)</f>
        <v>23820.787008480002</v>
      </c>
      <c r="N141" s="90">
        <v>141</v>
      </c>
      <c r="O141" s="90" t="s">
        <v>526</v>
      </c>
      <c r="P141" s="118" t="s">
        <v>113</v>
      </c>
      <c r="Q141" s="118" t="s">
        <v>450</v>
      </c>
      <c r="R141" s="90" t="s">
        <v>1007</v>
      </c>
      <c r="S141" s="90" t="s">
        <v>1061</v>
      </c>
      <c r="T141" s="90" t="s">
        <v>1088</v>
      </c>
      <c r="U141" s="90" t="s">
        <v>1034</v>
      </c>
      <c r="V141" s="93" t="s">
        <v>524</v>
      </c>
      <c r="W141" s="93" t="s">
        <v>521</v>
      </c>
    </row>
    <row r="142" spans="1:23" x14ac:dyDescent="0.25">
      <c r="A142" s="90" t="s">
        <v>527</v>
      </c>
      <c r="B142" s="119">
        <v>6</v>
      </c>
      <c r="C142" s="90" t="s">
        <v>524</v>
      </c>
      <c r="D142" s="90" t="s">
        <v>78</v>
      </c>
      <c r="E142">
        <v>275</v>
      </c>
      <c r="F142">
        <v>282</v>
      </c>
      <c r="G142" s="93" t="s">
        <v>68</v>
      </c>
      <c r="H142" t="s">
        <v>462</v>
      </c>
      <c r="I142">
        <v>1</v>
      </c>
      <c r="J142">
        <f>SUM(K143,K144,K145)</f>
        <v>15647.523263999999</v>
      </c>
      <c r="K142">
        <f>I142*J142</f>
        <v>15647.523263999999</v>
      </c>
      <c r="L142">
        <f>100*(1-(M142/K142))</f>
        <v>27.829999999999988</v>
      </c>
      <c r="M142">
        <f>I142*SUM(M143,M144,M145)</f>
        <v>11292.817539628801</v>
      </c>
      <c r="N142" s="90">
        <v>142</v>
      </c>
      <c r="O142" s="90" t="s">
        <v>528</v>
      </c>
      <c r="P142" s="118" t="s">
        <v>114</v>
      </c>
      <c r="Q142" s="118" t="s">
        <v>450</v>
      </c>
      <c r="R142" s="90" t="s">
        <v>871</v>
      </c>
      <c r="S142" s="90" t="s">
        <v>941</v>
      </c>
      <c r="T142" s="90" t="s">
        <v>976</v>
      </c>
      <c r="U142" s="90" t="s">
        <v>906</v>
      </c>
      <c r="V142" s="93" t="s">
        <v>527</v>
      </c>
      <c r="W142" s="93" t="s">
        <v>524</v>
      </c>
    </row>
    <row r="143" spans="1:23" x14ac:dyDescent="0.25">
      <c r="A143" s="90" t="s">
        <v>529</v>
      </c>
      <c r="B143" s="119">
        <v>7</v>
      </c>
      <c r="C143" s="90" t="s">
        <v>527</v>
      </c>
      <c r="D143" s="90" t="s">
        <v>78</v>
      </c>
      <c r="E143">
        <v>276</v>
      </c>
      <c r="F143">
        <v>277</v>
      </c>
      <c r="G143" s="93" t="s">
        <v>78</v>
      </c>
      <c r="H143" t="s">
        <v>465</v>
      </c>
      <c r="I143">
        <v>9600</v>
      </c>
      <c r="J143">
        <v>1.3243346499999999</v>
      </c>
      <c r="K143">
        <f>I143*J143</f>
        <v>12713.612639999999</v>
      </c>
      <c r="L143">
        <v>27.83</v>
      </c>
      <c r="M143">
        <f>(1-(L143/100))*K143</f>
        <v>9175.4142422879995</v>
      </c>
      <c r="N143" s="90">
        <v>143</v>
      </c>
      <c r="O143" s="90" t="s">
        <v>530</v>
      </c>
      <c r="P143" s="118" t="s">
        <v>115</v>
      </c>
      <c r="Q143" s="118" t="s">
        <v>450</v>
      </c>
      <c r="V143" s="93" t="s">
        <v>529</v>
      </c>
      <c r="W143" s="93" t="s">
        <v>527</v>
      </c>
    </row>
    <row r="144" spans="1:23" x14ac:dyDescent="0.25">
      <c r="A144" s="90" t="s">
        <v>531</v>
      </c>
      <c r="B144" s="119">
        <v>7</v>
      </c>
      <c r="C144" s="90" t="s">
        <v>527</v>
      </c>
      <c r="D144" s="90" t="s">
        <v>79</v>
      </c>
      <c r="E144">
        <v>278</v>
      </c>
      <c r="F144">
        <v>279</v>
      </c>
      <c r="G144" s="93" t="s">
        <v>78</v>
      </c>
      <c r="H144" t="s">
        <v>468</v>
      </c>
      <c r="I144">
        <v>9600</v>
      </c>
      <c r="J144">
        <v>3.820196E-2</v>
      </c>
      <c r="K144">
        <f>I144*J144</f>
        <v>366.73881599999999</v>
      </c>
      <c r="L144">
        <v>27.83</v>
      </c>
      <c r="M144">
        <f>(1-(L144/100))*K144</f>
        <v>264.67540350719997</v>
      </c>
      <c r="N144" s="90">
        <v>144</v>
      </c>
      <c r="O144" s="90" t="s">
        <v>532</v>
      </c>
      <c r="P144" s="118" t="s">
        <v>116</v>
      </c>
      <c r="Q144" s="118" t="s">
        <v>450</v>
      </c>
      <c r="V144" s="93" t="s">
        <v>531</v>
      </c>
      <c r="W144" s="93" t="s">
        <v>527</v>
      </c>
    </row>
    <row r="145" spans="1:23" x14ac:dyDescent="0.25">
      <c r="A145" s="90" t="s">
        <v>533</v>
      </c>
      <c r="B145" s="119">
        <v>7</v>
      </c>
      <c r="C145" s="90" t="s">
        <v>527</v>
      </c>
      <c r="D145" s="90" t="s">
        <v>80</v>
      </c>
      <c r="E145">
        <v>280</v>
      </c>
      <c r="F145">
        <v>281</v>
      </c>
      <c r="G145" s="93" t="s">
        <v>78</v>
      </c>
      <c r="H145" t="s">
        <v>471</v>
      </c>
      <c r="I145">
        <v>9600</v>
      </c>
      <c r="J145">
        <v>0.26741373000000002</v>
      </c>
      <c r="K145">
        <f>I145*J145</f>
        <v>2567.1718080000001</v>
      </c>
      <c r="L145">
        <v>27.83</v>
      </c>
      <c r="M145">
        <f>(1-(L145/100))*K145</f>
        <v>1852.7278938336001</v>
      </c>
      <c r="N145" s="90">
        <v>145</v>
      </c>
      <c r="O145" s="90" t="s">
        <v>534</v>
      </c>
      <c r="P145" s="118" t="s">
        <v>1237</v>
      </c>
      <c r="Q145" s="118" t="s">
        <v>450</v>
      </c>
      <c r="V145" s="93" t="s">
        <v>533</v>
      </c>
      <c r="W145" s="93" t="s">
        <v>527</v>
      </c>
    </row>
    <row r="146" spans="1:23" x14ac:dyDescent="0.25">
      <c r="A146" s="90" t="s">
        <v>535</v>
      </c>
      <c r="B146" s="119">
        <v>6</v>
      </c>
      <c r="C146" s="90" t="s">
        <v>524</v>
      </c>
      <c r="D146" s="90" t="s">
        <v>79</v>
      </c>
      <c r="E146">
        <v>283</v>
      </c>
      <c r="F146">
        <v>288</v>
      </c>
      <c r="G146" s="93" t="s">
        <v>68</v>
      </c>
      <c r="H146" t="s">
        <v>462</v>
      </c>
      <c r="I146">
        <v>1</v>
      </c>
      <c r="J146">
        <f>SUM(K147,K148)</f>
        <v>17358.971136</v>
      </c>
      <c r="K146">
        <f>I146*J146</f>
        <v>17358.971136</v>
      </c>
      <c r="L146">
        <f>100*(1-(M146/K146))</f>
        <v>27.830000000000009</v>
      </c>
      <c r="M146">
        <f>I146*SUM(M147,M148)</f>
        <v>12527.969468851199</v>
      </c>
      <c r="N146" s="90">
        <v>146</v>
      </c>
      <c r="O146" s="90" t="s">
        <v>536</v>
      </c>
      <c r="P146" s="118" t="s">
        <v>117</v>
      </c>
      <c r="Q146" s="118" t="s">
        <v>450</v>
      </c>
      <c r="R146" s="90" t="s">
        <v>872</v>
      </c>
      <c r="S146" s="90" t="s">
        <v>942</v>
      </c>
      <c r="T146" s="90" t="s">
        <v>977</v>
      </c>
      <c r="U146" s="90" t="s">
        <v>907</v>
      </c>
      <c r="V146" s="93" t="s">
        <v>535</v>
      </c>
      <c r="W146" s="93" t="s">
        <v>524</v>
      </c>
    </row>
    <row r="147" spans="1:23" x14ac:dyDescent="0.25">
      <c r="A147" s="90" t="s">
        <v>537</v>
      </c>
      <c r="B147" s="119">
        <v>7</v>
      </c>
      <c r="C147" s="90" t="s">
        <v>535</v>
      </c>
      <c r="D147" s="90" t="s">
        <v>78</v>
      </c>
      <c r="E147">
        <v>284</v>
      </c>
      <c r="F147">
        <v>285</v>
      </c>
      <c r="G147" s="93" t="s">
        <v>78</v>
      </c>
      <c r="H147" t="s">
        <v>476</v>
      </c>
      <c r="I147">
        <v>9600</v>
      </c>
      <c r="J147">
        <v>1.2097287699999999</v>
      </c>
      <c r="K147">
        <f>I147*J147</f>
        <v>11613.396191999998</v>
      </c>
      <c r="L147">
        <v>27.83</v>
      </c>
      <c r="M147">
        <f>(1-(L147/100))*K147</f>
        <v>8381.3880317663989</v>
      </c>
      <c r="N147" s="90">
        <v>147</v>
      </c>
      <c r="O147" s="90" t="s">
        <v>538</v>
      </c>
      <c r="P147" s="118" t="s">
        <v>118</v>
      </c>
      <c r="Q147" s="118" t="s">
        <v>450</v>
      </c>
      <c r="V147" s="93" t="s">
        <v>537</v>
      </c>
      <c r="W147" s="93" t="s">
        <v>535</v>
      </c>
    </row>
    <row r="148" spans="1:23" x14ac:dyDescent="0.25">
      <c r="A148" s="90" t="s">
        <v>539</v>
      </c>
      <c r="B148" s="119">
        <v>7</v>
      </c>
      <c r="C148" s="90" t="s">
        <v>535</v>
      </c>
      <c r="D148" s="90" t="s">
        <v>79</v>
      </c>
      <c r="E148">
        <v>286</v>
      </c>
      <c r="F148">
        <v>287</v>
      </c>
      <c r="G148" s="93" t="s">
        <v>78</v>
      </c>
      <c r="H148" t="s">
        <v>479</v>
      </c>
      <c r="I148">
        <v>9600</v>
      </c>
      <c r="J148">
        <v>0.59849739000000002</v>
      </c>
      <c r="K148">
        <f>I148*J148</f>
        <v>5745.574944</v>
      </c>
      <c r="L148">
        <v>27.83</v>
      </c>
      <c r="M148">
        <f>(1-(L148/100))*K148</f>
        <v>4146.5814370848002</v>
      </c>
      <c r="N148" s="90">
        <v>148</v>
      </c>
      <c r="O148" s="90" t="s">
        <v>540</v>
      </c>
      <c r="P148" s="118" t="s">
        <v>119</v>
      </c>
      <c r="Q148" s="118" t="s">
        <v>450</v>
      </c>
      <c r="V148" s="93" t="s">
        <v>539</v>
      </c>
      <c r="W148" s="93" t="s">
        <v>535</v>
      </c>
    </row>
    <row r="149" spans="1:23" x14ac:dyDescent="0.25">
      <c r="A149" s="90" t="s">
        <v>541</v>
      </c>
      <c r="B149" s="119">
        <v>4</v>
      </c>
      <c r="C149" s="90" t="s">
        <v>452</v>
      </c>
      <c r="D149" s="90" t="s">
        <v>126</v>
      </c>
      <c r="E149">
        <v>291</v>
      </c>
      <c r="F149">
        <v>308</v>
      </c>
      <c r="G149" s="93" t="s">
        <v>68</v>
      </c>
      <c r="H149" t="s">
        <v>542</v>
      </c>
      <c r="I149">
        <v>1</v>
      </c>
      <c r="J149">
        <f>SUM(K150)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I149*SUM(M150)</f>
        <v>22580.121018455</v>
      </c>
      <c r="N149" s="90">
        <v>149</v>
      </c>
      <c r="O149" s="90" t="s">
        <v>543</v>
      </c>
      <c r="P149" s="118" t="s">
        <v>120</v>
      </c>
      <c r="Q149" s="118" t="s">
        <v>450</v>
      </c>
      <c r="R149" s="90" t="s">
        <v>1116</v>
      </c>
      <c r="S149" s="90" t="s">
        <v>1160</v>
      </c>
      <c r="T149" s="90" t="s">
        <v>1182</v>
      </c>
      <c r="U149" s="90" t="s">
        <v>1138</v>
      </c>
      <c r="V149" s="93" t="s">
        <v>541</v>
      </c>
      <c r="W149" s="93" t="s">
        <v>452</v>
      </c>
    </row>
    <row r="150" spans="1:23" x14ac:dyDescent="0.25">
      <c r="A150" s="90" t="s">
        <v>544</v>
      </c>
      <c r="B150" s="119">
        <v>5</v>
      </c>
      <c r="C150" s="90" t="s">
        <v>541</v>
      </c>
      <c r="D150" s="90" t="s">
        <v>78</v>
      </c>
      <c r="E150">
        <v>292</v>
      </c>
      <c r="F150">
        <v>307</v>
      </c>
      <c r="G150" s="93" t="s">
        <v>68</v>
      </c>
      <c r="H150" t="s">
        <v>545</v>
      </c>
      <c r="I150">
        <v>1</v>
      </c>
      <c r="J150">
        <f>SUM(K151,K155)</f>
        <v>31287.406149999995</v>
      </c>
      <c r="K150">
        <f>I150*J150</f>
        <v>31287.406149999995</v>
      </c>
      <c r="L150">
        <f>100*(1-(M150/K150))</f>
        <v>27.829999999999988</v>
      </c>
      <c r="M150">
        <f>I150*SUM(M151,M155)</f>
        <v>22580.121018455</v>
      </c>
      <c r="N150" s="90">
        <v>150</v>
      </c>
      <c r="O150" s="90" t="s">
        <v>546</v>
      </c>
      <c r="P150" s="118" t="s">
        <v>1238</v>
      </c>
      <c r="Q150" s="118" t="s">
        <v>450</v>
      </c>
      <c r="R150" s="90" t="s">
        <v>1008</v>
      </c>
      <c r="S150" s="90" t="s">
        <v>1062</v>
      </c>
      <c r="T150" s="90" t="s">
        <v>1089</v>
      </c>
      <c r="U150" s="90" t="s">
        <v>1035</v>
      </c>
      <c r="V150" s="93" t="s">
        <v>544</v>
      </c>
      <c r="W150" s="93" t="s">
        <v>541</v>
      </c>
    </row>
    <row r="151" spans="1:23" x14ac:dyDescent="0.25">
      <c r="A151" s="90" t="s">
        <v>547</v>
      </c>
      <c r="B151" s="119">
        <v>6</v>
      </c>
      <c r="C151" s="90" t="s">
        <v>544</v>
      </c>
      <c r="D151" s="90" t="s">
        <v>78</v>
      </c>
      <c r="E151">
        <v>293</v>
      </c>
      <c r="F151">
        <v>300</v>
      </c>
      <c r="G151" s="93" t="s">
        <v>68</v>
      </c>
      <c r="H151" t="s">
        <v>462</v>
      </c>
      <c r="I151">
        <v>1</v>
      </c>
      <c r="J151">
        <f>SUM(K152,K153,K154)</f>
        <v>14832.548093999998</v>
      </c>
      <c r="K151">
        <f>I151*J151</f>
        <v>14832.548093999998</v>
      </c>
      <c r="L151">
        <f>100*(1-(M151/K151))</f>
        <v>27.83</v>
      </c>
      <c r="M151">
        <f>I151*SUM(M152,M153,M154)</f>
        <v>10704.649959439799</v>
      </c>
      <c r="N151" s="90">
        <v>151</v>
      </c>
      <c r="O151" s="90" t="s">
        <v>548</v>
      </c>
      <c r="P151" s="118" t="s">
        <v>238</v>
      </c>
      <c r="Q151" s="118" t="s">
        <v>450</v>
      </c>
      <c r="R151" s="90" t="s">
        <v>873</v>
      </c>
      <c r="S151" s="90" t="s">
        <v>943</v>
      </c>
      <c r="T151" s="90" t="s">
        <v>978</v>
      </c>
      <c r="U151" s="90" t="s">
        <v>908</v>
      </c>
      <c r="V151" s="93" t="s">
        <v>547</v>
      </c>
      <c r="W151" s="93" t="s">
        <v>544</v>
      </c>
    </row>
    <row r="152" spans="1:23" x14ac:dyDescent="0.25">
      <c r="A152" s="90" t="s">
        <v>549</v>
      </c>
      <c r="B152" s="119">
        <v>7</v>
      </c>
      <c r="C152" s="90" t="s">
        <v>547</v>
      </c>
      <c r="D152" s="90" t="s">
        <v>78</v>
      </c>
      <c r="E152">
        <v>294</v>
      </c>
      <c r="F152">
        <v>295</v>
      </c>
      <c r="G152" s="93" t="s">
        <v>78</v>
      </c>
      <c r="H152" t="s">
        <v>465</v>
      </c>
      <c r="I152">
        <v>9100</v>
      </c>
      <c r="J152">
        <v>1.3243346499999999</v>
      </c>
      <c r="K152">
        <f>I152*J152</f>
        <v>12051.445314999999</v>
      </c>
      <c r="L152">
        <v>27.83</v>
      </c>
      <c r="M152">
        <f>(1-(L152/100))*K152</f>
        <v>8697.5280838354993</v>
      </c>
      <c r="N152" s="90">
        <v>152</v>
      </c>
      <c r="O152" s="90" t="s">
        <v>550</v>
      </c>
      <c r="P152" s="118" t="s">
        <v>240</v>
      </c>
      <c r="Q152" s="118" t="s">
        <v>450</v>
      </c>
      <c r="V152" s="93" t="s">
        <v>549</v>
      </c>
      <c r="W152" s="93" t="s">
        <v>547</v>
      </c>
    </row>
    <row r="153" spans="1:23" x14ac:dyDescent="0.25">
      <c r="A153" s="90" t="s">
        <v>551</v>
      </c>
      <c r="B153" s="119">
        <v>7</v>
      </c>
      <c r="C153" s="90" t="s">
        <v>547</v>
      </c>
      <c r="D153" s="90" t="s">
        <v>79</v>
      </c>
      <c r="E153">
        <v>296</v>
      </c>
      <c r="F153">
        <v>297</v>
      </c>
      <c r="G153" s="93" t="s">
        <v>78</v>
      </c>
      <c r="H153" t="s">
        <v>468</v>
      </c>
      <c r="I153">
        <v>9100</v>
      </c>
      <c r="J153">
        <v>3.820196E-2</v>
      </c>
      <c r="K153">
        <f>I153*J153</f>
        <v>347.63783599999999</v>
      </c>
      <c r="L153">
        <v>27.83</v>
      </c>
      <c r="M153">
        <f>(1-(L153/100))*K153</f>
        <v>250.8902262412</v>
      </c>
      <c r="N153" s="90">
        <v>153</v>
      </c>
      <c r="O153" s="90" t="s">
        <v>552</v>
      </c>
      <c r="P153" s="118" t="s">
        <v>242</v>
      </c>
      <c r="Q153" s="118" t="s">
        <v>450</v>
      </c>
      <c r="V153" s="93" t="s">
        <v>551</v>
      </c>
      <c r="W153" s="93" t="s">
        <v>547</v>
      </c>
    </row>
    <row r="154" spans="1:23" x14ac:dyDescent="0.25">
      <c r="A154" s="90" t="s">
        <v>553</v>
      </c>
      <c r="B154" s="119">
        <v>7</v>
      </c>
      <c r="C154" s="90" t="s">
        <v>547</v>
      </c>
      <c r="D154" s="90" t="s">
        <v>80</v>
      </c>
      <c r="E154">
        <v>298</v>
      </c>
      <c r="F154">
        <v>299</v>
      </c>
      <c r="G154" s="93" t="s">
        <v>78</v>
      </c>
      <c r="H154" t="s">
        <v>471</v>
      </c>
      <c r="I154">
        <v>9100</v>
      </c>
      <c r="J154">
        <v>0.26741373000000002</v>
      </c>
      <c r="K154">
        <f>I154*J154</f>
        <v>2433.4649429999999</v>
      </c>
      <c r="L154">
        <v>27.83</v>
      </c>
      <c r="M154">
        <f>(1-(L154/100))*K154</f>
        <v>1756.2316493630999</v>
      </c>
      <c r="N154" s="90">
        <v>154</v>
      </c>
      <c r="O154" s="90" t="s">
        <v>554</v>
      </c>
      <c r="P154" s="118" t="s">
        <v>244</v>
      </c>
      <c r="Q154" s="118" t="s">
        <v>450</v>
      </c>
      <c r="V154" s="93" t="s">
        <v>553</v>
      </c>
      <c r="W154" s="93" t="s">
        <v>547</v>
      </c>
    </row>
    <row r="155" spans="1:23" x14ac:dyDescent="0.25">
      <c r="A155" s="90" t="s">
        <v>555</v>
      </c>
      <c r="B155" s="119">
        <v>6</v>
      </c>
      <c r="C155" s="90" t="s">
        <v>544</v>
      </c>
      <c r="D155" s="90" t="s">
        <v>79</v>
      </c>
      <c r="E155">
        <v>301</v>
      </c>
      <c r="F155">
        <v>306</v>
      </c>
      <c r="G155" s="93" t="s">
        <v>68</v>
      </c>
      <c r="H155" t="s">
        <v>462</v>
      </c>
      <c r="I155">
        <v>1</v>
      </c>
      <c r="J155">
        <f>SUM(K156,K157)</f>
        <v>16454.858055999997</v>
      </c>
      <c r="K155">
        <f>I155*J155</f>
        <v>16454.858055999997</v>
      </c>
      <c r="L155">
        <f>100*(1-(M155/K155))</f>
        <v>27.83</v>
      </c>
      <c r="M155">
        <f>I155*SUM(M156,M157)</f>
        <v>11875.471059015199</v>
      </c>
      <c r="N155" s="90">
        <v>155</v>
      </c>
      <c r="O155" s="90" t="s">
        <v>556</v>
      </c>
      <c r="P155" s="118" t="s">
        <v>1239</v>
      </c>
      <c r="Q155" s="118" t="s">
        <v>450</v>
      </c>
      <c r="R155" s="90" t="s">
        <v>874</v>
      </c>
      <c r="S155" s="90" t="s">
        <v>944</v>
      </c>
      <c r="T155" s="90" t="s">
        <v>979</v>
      </c>
      <c r="U155" s="90" t="s">
        <v>909</v>
      </c>
      <c r="V155" s="93" t="s">
        <v>555</v>
      </c>
      <c r="W155" s="93" t="s">
        <v>544</v>
      </c>
    </row>
    <row r="156" spans="1:23" x14ac:dyDescent="0.25">
      <c r="A156" s="90" t="s">
        <v>557</v>
      </c>
      <c r="B156" s="119">
        <v>7</v>
      </c>
      <c r="C156" s="90" t="s">
        <v>555</v>
      </c>
      <c r="D156" s="90" t="s">
        <v>78</v>
      </c>
      <c r="E156">
        <v>302</v>
      </c>
      <c r="F156">
        <v>303</v>
      </c>
      <c r="G156" s="93" t="s">
        <v>78</v>
      </c>
      <c r="H156" t="s">
        <v>476</v>
      </c>
      <c r="I156">
        <v>9100</v>
      </c>
      <c r="J156">
        <v>1.2097287699999999</v>
      </c>
      <c r="K156">
        <f>I156*J156</f>
        <v>11008.531806999999</v>
      </c>
      <c r="L156">
        <v>27.83</v>
      </c>
      <c r="M156">
        <f>(1-(L156/100))*K156</f>
        <v>7944.8574051118994</v>
      </c>
      <c r="N156" s="90">
        <v>156</v>
      </c>
      <c r="O156" s="90" t="s">
        <v>558</v>
      </c>
      <c r="P156" s="118" t="s">
        <v>247</v>
      </c>
      <c r="Q156" s="118" t="s">
        <v>450</v>
      </c>
      <c r="V156" s="93" t="s">
        <v>557</v>
      </c>
      <c r="W156" s="93" t="s">
        <v>555</v>
      </c>
    </row>
    <row r="157" spans="1:23" x14ac:dyDescent="0.25">
      <c r="A157" s="90" t="s">
        <v>559</v>
      </c>
      <c r="B157" s="119">
        <v>7</v>
      </c>
      <c r="C157" s="90" t="s">
        <v>555</v>
      </c>
      <c r="D157" s="90" t="s">
        <v>79</v>
      </c>
      <c r="E157">
        <v>304</v>
      </c>
      <c r="F157">
        <v>305</v>
      </c>
      <c r="G157" s="93" t="s">
        <v>78</v>
      </c>
      <c r="H157" t="s">
        <v>479</v>
      </c>
      <c r="I157">
        <v>9100</v>
      </c>
      <c r="J157">
        <v>0.59849739000000002</v>
      </c>
      <c r="K157">
        <f>I157*J157</f>
        <v>5446.3262489999997</v>
      </c>
      <c r="L157">
        <v>27.83</v>
      </c>
      <c r="M157">
        <f>(1-(L157/100))*K157</f>
        <v>3930.6136539033</v>
      </c>
      <c r="N157" s="90">
        <v>157</v>
      </c>
      <c r="O157" s="90" t="s">
        <v>560</v>
      </c>
      <c r="P157" s="118" t="s">
        <v>250</v>
      </c>
      <c r="Q157" s="118" t="s">
        <v>450</v>
      </c>
      <c r="V157" s="93" t="s">
        <v>559</v>
      </c>
      <c r="W157" s="93" t="s">
        <v>555</v>
      </c>
    </row>
    <row r="158" spans="1:23" x14ac:dyDescent="0.25">
      <c r="A158" s="90" t="s">
        <v>561</v>
      </c>
      <c r="B158" s="119">
        <v>4</v>
      </c>
      <c r="C158" s="90" t="s">
        <v>452</v>
      </c>
      <c r="D158" s="90" t="s">
        <v>849</v>
      </c>
      <c r="E158">
        <v>309</v>
      </c>
      <c r="F158">
        <v>326</v>
      </c>
      <c r="G158" s="93" t="s">
        <v>68</v>
      </c>
      <c r="H158" t="s">
        <v>562</v>
      </c>
      <c r="I158">
        <v>1</v>
      </c>
      <c r="J158">
        <f>SUM(K159)</f>
        <v>53635.553399999997</v>
      </c>
      <c r="K158">
        <f>I158*J158</f>
        <v>53635.553399999997</v>
      </c>
      <c r="L158">
        <f>100*(1-(M158/K158))</f>
        <v>27.83</v>
      </c>
      <c r="M158">
        <f>I158*SUM(M159)</f>
        <v>38708.778888779998</v>
      </c>
      <c r="N158" s="90">
        <v>158</v>
      </c>
      <c r="O158" s="90" t="s">
        <v>563</v>
      </c>
      <c r="P158" s="118" t="s">
        <v>252</v>
      </c>
      <c r="Q158" s="118" t="s">
        <v>450</v>
      </c>
      <c r="R158" s="90" t="s">
        <v>1117</v>
      </c>
      <c r="S158" s="90" t="s">
        <v>1161</v>
      </c>
      <c r="T158" s="90" t="s">
        <v>1183</v>
      </c>
      <c r="U158" s="90" t="s">
        <v>1139</v>
      </c>
      <c r="V158" s="93" t="s">
        <v>561</v>
      </c>
      <c r="W158" s="93" t="s">
        <v>452</v>
      </c>
    </row>
    <row r="159" spans="1:23" x14ac:dyDescent="0.25">
      <c r="A159" s="90" t="s">
        <v>564</v>
      </c>
      <c r="B159" s="119">
        <v>5</v>
      </c>
      <c r="C159" s="90" t="s">
        <v>561</v>
      </c>
      <c r="D159" s="90" t="s">
        <v>78</v>
      </c>
      <c r="E159">
        <v>310</v>
      </c>
      <c r="F159">
        <v>325</v>
      </c>
      <c r="G159" s="93" t="s">
        <v>68</v>
      </c>
      <c r="H159" t="s">
        <v>565</v>
      </c>
      <c r="I159">
        <v>1</v>
      </c>
      <c r="J159">
        <f>SUM(K160,K164)</f>
        <v>53635.553399999997</v>
      </c>
      <c r="K159">
        <f>I159*J159</f>
        <v>53635.553399999997</v>
      </c>
      <c r="L159">
        <f>100*(1-(M159/K159))</f>
        <v>27.83</v>
      </c>
      <c r="M159">
        <f>I159*SUM(M160,M164)</f>
        <v>38708.778888779998</v>
      </c>
      <c r="N159" s="90">
        <v>159</v>
      </c>
      <c r="O159" s="90" t="s">
        <v>566</v>
      </c>
      <c r="P159" s="118" t="s">
        <v>255</v>
      </c>
      <c r="Q159" s="118" t="s">
        <v>450</v>
      </c>
      <c r="R159" s="90" t="s">
        <v>1009</v>
      </c>
      <c r="S159" s="90" t="s">
        <v>1063</v>
      </c>
      <c r="T159" s="90" t="s">
        <v>1090</v>
      </c>
      <c r="U159" s="90" t="s">
        <v>1036</v>
      </c>
      <c r="V159" s="93" t="s">
        <v>564</v>
      </c>
      <c r="W159" s="93" t="s">
        <v>561</v>
      </c>
    </row>
    <row r="160" spans="1:23" x14ac:dyDescent="0.25">
      <c r="A160" s="90" t="s">
        <v>567</v>
      </c>
      <c r="B160" s="119">
        <v>6</v>
      </c>
      <c r="C160" s="90" t="s">
        <v>564</v>
      </c>
      <c r="D160" s="90" t="s">
        <v>78</v>
      </c>
      <c r="E160">
        <v>311</v>
      </c>
      <c r="F160">
        <v>318</v>
      </c>
      <c r="G160" s="93" t="s">
        <v>68</v>
      </c>
      <c r="H160" t="s">
        <v>462</v>
      </c>
      <c r="I160">
        <v>1</v>
      </c>
      <c r="J160">
        <f>SUM(K161,K162,K163)</f>
        <v>25427.225304</v>
      </c>
      <c r="K160">
        <f>I160*J160</f>
        <v>25427.225304</v>
      </c>
      <c r="L160">
        <f>100*(1-(M160/K160))</f>
        <v>27.829999999999988</v>
      </c>
      <c r="M160">
        <f>I160*SUM(M161,M162,M163)</f>
        <v>18350.828501896802</v>
      </c>
      <c r="N160" s="90">
        <v>160</v>
      </c>
      <c r="O160" s="90" t="s">
        <v>568</v>
      </c>
      <c r="P160" s="118" t="s">
        <v>1240</v>
      </c>
      <c r="Q160" s="118" t="s">
        <v>450</v>
      </c>
      <c r="R160" s="90" t="s">
        <v>875</v>
      </c>
      <c r="S160" s="90" t="s">
        <v>945</v>
      </c>
      <c r="T160" s="90" t="s">
        <v>980</v>
      </c>
      <c r="U160" s="90" t="s">
        <v>910</v>
      </c>
      <c r="V160" s="93" t="s">
        <v>567</v>
      </c>
      <c r="W160" s="93" t="s">
        <v>564</v>
      </c>
    </row>
    <row r="161" spans="1:23" x14ac:dyDescent="0.25">
      <c r="A161" s="90" t="s">
        <v>569</v>
      </c>
      <c r="B161" s="119">
        <v>7</v>
      </c>
      <c r="C161" s="90" t="s">
        <v>567</v>
      </c>
      <c r="D161" s="90" t="s">
        <v>78</v>
      </c>
      <c r="E161">
        <v>312</v>
      </c>
      <c r="F161">
        <v>313</v>
      </c>
      <c r="G161" s="93" t="s">
        <v>78</v>
      </c>
      <c r="H161" t="s">
        <v>465</v>
      </c>
      <c r="I161">
        <v>15600</v>
      </c>
      <c r="J161">
        <v>1.3243346499999999</v>
      </c>
      <c r="K161">
        <f>I161*J161</f>
        <v>20659.62054</v>
      </c>
      <c r="L161">
        <v>27.83</v>
      </c>
      <c r="M161">
        <f>(1-(L161/100))*K161</f>
        <v>14910.048143718001</v>
      </c>
      <c r="N161" s="90">
        <v>161</v>
      </c>
      <c r="O161" s="90" t="s">
        <v>570</v>
      </c>
      <c r="P161" s="118" t="s">
        <v>258</v>
      </c>
      <c r="Q161" s="118" t="s">
        <v>450</v>
      </c>
      <c r="V161" s="93" t="s">
        <v>569</v>
      </c>
      <c r="W161" s="93" t="s">
        <v>567</v>
      </c>
    </row>
    <row r="162" spans="1:23" x14ac:dyDescent="0.25">
      <c r="A162" s="90" t="s">
        <v>571</v>
      </c>
      <c r="B162" s="119">
        <v>7</v>
      </c>
      <c r="C162" s="90" t="s">
        <v>567</v>
      </c>
      <c r="D162" s="90" t="s">
        <v>79</v>
      </c>
      <c r="E162">
        <v>314</v>
      </c>
      <c r="F162">
        <v>315</v>
      </c>
      <c r="G162" s="93" t="s">
        <v>78</v>
      </c>
      <c r="H162" t="s">
        <v>468</v>
      </c>
      <c r="I162">
        <v>15600</v>
      </c>
      <c r="J162">
        <v>3.820196E-2</v>
      </c>
      <c r="K162">
        <f>I162*J162</f>
        <v>595.95057599999996</v>
      </c>
      <c r="L162">
        <v>27.83</v>
      </c>
      <c r="M162">
        <f>(1-(L162/100))*K162</f>
        <v>430.09753069919998</v>
      </c>
      <c r="N162" s="90">
        <v>162</v>
      </c>
      <c r="O162" s="90" t="s">
        <v>572</v>
      </c>
      <c r="P162" s="118" t="s">
        <v>260</v>
      </c>
      <c r="Q162" s="118" t="s">
        <v>450</v>
      </c>
      <c r="V162" s="93" t="s">
        <v>571</v>
      </c>
      <c r="W162" s="93" t="s">
        <v>567</v>
      </c>
    </row>
    <row r="163" spans="1:23" x14ac:dyDescent="0.25">
      <c r="A163" s="90" t="s">
        <v>573</v>
      </c>
      <c r="B163" s="119">
        <v>7</v>
      </c>
      <c r="C163" s="90" t="s">
        <v>567</v>
      </c>
      <c r="D163" s="90" t="s">
        <v>80</v>
      </c>
      <c r="E163">
        <v>316</v>
      </c>
      <c r="F163">
        <v>317</v>
      </c>
      <c r="G163" s="93" t="s">
        <v>78</v>
      </c>
      <c r="H163" t="s">
        <v>471</v>
      </c>
      <c r="I163">
        <v>15600</v>
      </c>
      <c r="J163">
        <v>0.26741373000000002</v>
      </c>
      <c r="K163">
        <f>I163*J163</f>
        <v>4171.6541880000004</v>
      </c>
      <c r="L163">
        <v>27.83</v>
      </c>
      <c r="M163">
        <f>(1-(L163/100))*K163</f>
        <v>3010.6828274796003</v>
      </c>
      <c r="N163" s="90">
        <v>163</v>
      </c>
      <c r="O163" s="90" t="s">
        <v>574</v>
      </c>
      <c r="P163" s="118" t="s">
        <v>262</v>
      </c>
      <c r="Q163" s="118" t="s">
        <v>450</v>
      </c>
      <c r="V163" s="93" t="s">
        <v>573</v>
      </c>
      <c r="W163" s="93" t="s">
        <v>567</v>
      </c>
    </row>
    <row r="164" spans="1:23" x14ac:dyDescent="0.25">
      <c r="A164" s="90" t="s">
        <v>575</v>
      </c>
      <c r="B164" s="119">
        <v>6</v>
      </c>
      <c r="C164" s="90" t="s">
        <v>564</v>
      </c>
      <c r="D164" s="90" t="s">
        <v>79</v>
      </c>
      <c r="E164">
        <v>319</v>
      </c>
      <c r="F164">
        <v>324</v>
      </c>
      <c r="G164" s="93" t="s">
        <v>68</v>
      </c>
      <c r="H164" t="s">
        <v>462</v>
      </c>
      <c r="I164">
        <v>1</v>
      </c>
      <c r="J164">
        <f>SUM(K165,K166)</f>
        <v>28208.328095999997</v>
      </c>
      <c r="K164">
        <f>I164*J164</f>
        <v>28208.328095999997</v>
      </c>
      <c r="L164">
        <f>100*(1-(M164/K164))</f>
        <v>27.83</v>
      </c>
      <c r="M164">
        <f>I164*SUM(M165,M166)</f>
        <v>20357.9503868832</v>
      </c>
      <c r="N164" s="90">
        <v>164</v>
      </c>
      <c r="O164" s="90" t="s">
        <v>576</v>
      </c>
      <c r="P164" s="118" t="s">
        <v>264</v>
      </c>
      <c r="Q164" s="118" t="s">
        <v>450</v>
      </c>
      <c r="R164" s="90" t="s">
        <v>876</v>
      </c>
      <c r="S164" s="90" t="s">
        <v>946</v>
      </c>
      <c r="T164" s="90" t="s">
        <v>981</v>
      </c>
      <c r="U164" s="90" t="s">
        <v>911</v>
      </c>
      <c r="V164" s="93" t="s">
        <v>575</v>
      </c>
      <c r="W164" s="93" t="s">
        <v>564</v>
      </c>
    </row>
    <row r="165" spans="1:23" x14ac:dyDescent="0.25">
      <c r="A165" s="90" t="s">
        <v>577</v>
      </c>
      <c r="B165" s="119">
        <v>7</v>
      </c>
      <c r="C165" s="90" t="s">
        <v>575</v>
      </c>
      <c r="D165" s="90" t="s">
        <v>78</v>
      </c>
      <c r="E165">
        <v>320</v>
      </c>
      <c r="F165">
        <v>321</v>
      </c>
      <c r="G165" s="93" t="s">
        <v>78</v>
      </c>
      <c r="H165" t="s">
        <v>476</v>
      </c>
      <c r="I165">
        <v>15600</v>
      </c>
      <c r="J165">
        <v>1.2097287699999999</v>
      </c>
      <c r="K165">
        <f>I165*J165</f>
        <v>18871.768811999998</v>
      </c>
      <c r="L165">
        <v>27.83</v>
      </c>
      <c r="M165">
        <f>(1-(L165/100))*K165</f>
        <v>13619.755551620399</v>
      </c>
      <c r="N165" s="90">
        <v>165</v>
      </c>
      <c r="O165" s="90" t="s">
        <v>578</v>
      </c>
      <c r="P165" s="118" t="s">
        <v>1241</v>
      </c>
      <c r="Q165" s="118" t="s">
        <v>450</v>
      </c>
      <c r="V165" s="93" t="s">
        <v>577</v>
      </c>
      <c r="W165" s="93" t="s">
        <v>575</v>
      </c>
    </row>
    <row r="166" spans="1:23" x14ac:dyDescent="0.25">
      <c r="A166" s="90" t="s">
        <v>579</v>
      </c>
      <c r="B166" s="119">
        <v>7</v>
      </c>
      <c r="C166" s="90" t="s">
        <v>575</v>
      </c>
      <c r="D166" s="90" t="s">
        <v>79</v>
      </c>
      <c r="E166">
        <v>322</v>
      </c>
      <c r="F166">
        <v>323</v>
      </c>
      <c r="G166" s="93" t="s">
        <v>78</v>
      </c>
      <c r="H166" t="s">
        <v>479</v>
      </c>
      <c r="I166">
        <v>15600</v>
      </c>
      <c r="J166">
        <v>0.59849739000000002</v>
      </c>
      <c r="K166">
        <f>I166*J166</f>
        <v>9336.5592840000008</v>
      </c>
      <c r="L166">
        <v>27.83</v>
      </c>
      <c r="M166">
        <f>(1-(L166/100))*K166</f>
        <v>6738.1948352628006</v>
      </c>
      <c r="N166" s="90">
        <v>166</v>
      </c>
      <c r="O166" s="90" t="s">
        <v>580</v>
      </c>
      <c r="P166" s="118" t="s">
        <v>266</v>
      </c>
      <c r="Q166" s="118" t="s">
        <v>450</v>
      </c>
      <c r="V166" s="93" t="s">
        <v>579</v>
      </c>
      <c r="W166" s="93" t="s">
        <v>575</v>
      </c>
    </row>
    <row r="167" spans="1:23" x14ac:dyDescent="0.25">
      <c r="A167" s="90" t="s">
        <v>581</v>
      </c>
      <c r="B167" s="119">
        <v>3</v>
      </c>
      <c r="C167" s="90" t="s">
        <v>449</v>
      </c>
      <c r="D167" s="90" t="s">
        <v>79</v>
      </c>
      <c r="E167">
        <v>328</v>
      </c>
      <c r="F167">
        <v>339</v>
      </c>
      <c r="G167" s="93" t="s">
        <v>68</v>
      </c>
      <c r="H167" t="s">
        <v>582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 s="90">
        <v>167</v>
      </c>
      <c r="O167" s="90" t="s">
        <v>583</v>
      </c>
      <c r="P167" s="118" t="s">
        <v>268</v>
      </c>
      <c r="Q167" s="118" t="s">
        <v>450</v>
      </c>
      <c r="R167" s="90" t="s">
        <v>1118</v>
      </c>
      <c r="S167" s="90" t="s">
        <v>1162</v>
      </c>
      <c r="T167" s="90" t="s">
        <v>1184</v>
      </c>
      <c r="U167" s="90" t="s">
        <v>1140</v>
      </c>
      <c r="V167" s="93" t="s">
        <v>581</v>
      </c>
      <c r="W167" s="93" t="s">
        <v>449</v>
      </c>
    </row>
    <row r="168" spans="1:23" x14ac:dyDescent="0.25">
      <c r="A168" s="90" t="s">
        <v>584</v>
      </c>
      <c r="B168" s="119">
        <v>4</v>
      </c>
      <c r="C168" s="90" t="s">
        <v>581</v>
      </c>
      <c r="D168" s="90" t="s">
        <v>78</v>
      </c>
      <c r="E168">
        <v>329</v>
      </c>
      <c r="F168">
        <v>338</v>
      </c>
      <c r="G168" s="93" t="s">
        <v>68</v>
      </c>
      <c r="H168" t="s">
        <v>582</v>
      </c>
      <c r="I168">
        <v>1</v>
      </c>
      <c r="J168">
        <f>SUM(K169)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I168*SUM(M169)</f>
        <v>571011.2487</v>
      </c>
      <c r="N168" s="90">
        <v>168</v>
      </c>
      <c r="O168" s="90" t="s">
        <v>585</v>
      </c>
      <c r="P168" s="118" t="s">
        <v>270</v>
      </c>
      <c r="Q168" s="118" t="s">
        <v>450</v>
      </c>
      <c r="R168" s="90" t="s">
        <v>1010</v>
      </c>
      <c r="S168" s="90" t="s">
        <v>1064</v>
      </c>
      <c r="T168" s="90" t="s">
        <v>1091</v>
      </c>
      <c r="U168" s="90" t="s">
        <v>1037</v>
      </c>
      <c r="V168" s="93" t="s">
        <v>584</v>
      </c>
      <c r="W168" s="93" t="s">
        <v>581</v>
      </c>
    </row>
    <row r="169" spans="1:23" x14ac:dyDescent="0.25">
      <c r="A169" s="90" t="s">
        <v>586</v>
      </c>
      <c r="B169" s="119">
        <v>5</v>
      </c>
      <c r="C169" s="90" t="s">
        <v>584</v>
      </c>
      <c r="D169" s="90" t="s">
        <v>78</v>
      </c>
      <c r="E169">
        <v>330</v>
      </c>
      <c r="F169">
        <v>337</v>
      </c>
      <c r="G169" s="93" t="s">
        <v>68</v>
      </c>
      <c r="H169" t="s">
        <v>582</v>
      </c>
      <c r="I169">
        <v>1</v>
      </c>
      <c r="J169">
        <f>SUM(K170,K171,K172)</f>
        <v>613990.59000000008</v>
      </c>
      <c r="K169">
        <f>I169*J169</f>
        <v>613990.59000000008</v>
      </c>
      <c r="L169">
        <f>100*(1-(M169/K169))</f>
        <v>7.0000000000000178</v>
      </c>
      <c r="M169">
        <f>I169*SUM(M170,M171,M172)</f>
        <v>571011.2487</v>
      </c>
      <c r="N169" s="90">
        <v>169</v>
      </c>
      <c r="O169" s="90" t="s">
        <v>587</v>
      </c>
      <c r="P169" s="118" t="s">
        <v>272</v>
      </c>
      <c r="Q169" s="118" t="s">
        <v>450</v>
      </c>
      <c r="R169" s="90" t="s">
        <v>877</v>
      </c>
      <c r="S169" s="90" t="s">
        <v>947</v>
      </c>
      <c r="T169" s="90" t="s">
        <v>982</v>
      </c>
      <c r="U169" s="90" t="s">
        <v>912</v>
      </c>
      <c r="V169" s="93" t="s">
        <v>586</v>
      </c>
      <c r="W169" s="93" t="s">
        <v>584</v>
      </c>
    </row>
    <row r="170" spans="1:23" x14ac:dyDescent="0.25">
      <c r="A170" s="90" t="s">
        <v>588</v>
      </c>
      <c r="B170" s="119">
        <v>6</v>
      </c>
      <c r="C170" s="90" t="s">
        <v>586</v>
      </c>
      <c r="D170" s="90" t="s">
        <v>78</v>
      </c>
      <c r="E170">
        <v>331</v>
      </c>
      <c r="F170">
        <v>332</v>
      </c>
      <c r="G170" s="93" t="s">
        <v>78</v>
      </c>
      <c r="H170" t="s">
        <v>589</v>
      </c>
      <c r="I170">
        <v>1</v>
      </c>
      <c r="J170">
        <v>121969.23</v>
      </c>
      <c r="K170">
        <f>I170*J170</f>
        <v>121969.23</v>
      </c>
      <c r="L170">
        <v>7</v>
      </c>
      <c r="M170">
        <f>(1-(L170/100))*K170</f>
        <v>113431.38389999999</v>
      </c>
      <c r="N170" s="90">
        <v>170</v>
      </c>
      <c r="O170" s="90" t="s">
        <v>590</v>
      </c>
      <c r="P170" s="118" t="s">
        <v>1242</v>
      </c>
      <c r="Q170" s="118" t="s">
        <v>450</v>
      </c>
      <c r="V170" s="93" t="s">
        <v>588</v>
      </c>
      <c r="W170" s="93" t="s">
        <v>586</v>
      </c>
    </row>
    <row r="171" spans="1:23" x14ac:dyDescent="0.25">
      <c r="A171" s="90" t="s">
        <v>591</v>
      </c>
      <c r="B171" s="119">
        <v>6</v>
      </c>
      <c r="C171" s="90" t="s">
        <v>586</v>
      </c>
      <c r="D171" s="90" t="s">
        <v>79</v>
      </c>
      <c r="E171">
        <v>333</v>
      </c>
      <c r="F171">
        <v>334</v>
      </c>
      <c r="G171" s="93" t="s">
        <v>78</v>
      </c>
      <c r="H171" t="s">
        <v>592</v>
      </c>
      <c r="I171">
        <v>1</v>
      </c>
      <c r="J171">
        <v>482610.46</v>
      </c>
      <c r="K171">
        <f>I171*J171</f>
        <v>482610.46</v>
      </c>
      <c r="L171">
        <v>7</v>
      </c>
      <c r="M171">
        <f>(1-(L171/100))*K171</f>
        <v>448827.72779999999</v>
      </c>
      <c r="N171" s="90">
        <v>171</v>
      </c>
      <c r="O171" s="90" t="s">
        <v>593</v>
      </c>
      <c r="P171" s="118" t="s">
        <v>275</v>
      </c>
      <c r="Q171" s="118" t="s">
        <v>450</v>
      </c>
      <c r="V171" s="93" t="s">
        <v>591</v>
      </c>
      <c r="W171" s="93" t="s">
        <v>586</v>
      </c>
    </row>
    <row r="172" spans="1:23" x14ac:dyDescent="0.25">
      <c r="A172" s="90" t="s">
        <v>594</v>
      </c>
      <c r="B172" s="119">
        <v>6</v>
      </c>
      <c r="C172" s="90" t="s">
        <v>586</v>
      </c>
      <c r="D172" s="90" t="s">
        <v>80</v>
      </c>
      <c r="E172">
        <v>335</v>
      </c>
      <c r="F172">
        <v>336</v>
      </c>
      <c r="G172" s="93" t="s">
        <v>78</v>
      </c>
      <c r="H172" t="s">
        <v>595</v>
      </c>
      <c r="I172">
        <v>1</v>
      </c>
      <c r="J172">
        <v>9410.9</v>
      </c>
      <c r="K172">
        <f>I172*J172</f>
        <v>9410.9</v>
      </c>
      <c r="L172">
        <v>7</v>
      </c>
      <c r="M172">
        <f>(1-(L172/100))*K172</f>
        <v>8752.1369999999988</v>
      </c>
      <c r="N172" s="90">
        <v>172</v>
      </c>
      <c r="O172" s="90" t="s">
        <v>596</v>
      </c>
      <c r="P172" s="118" t="s">
        <v>278</v>
      </c>
      <c r="Q172" s="118" t="s">
        <v>450</v>
      </c>
      <c r="V172" s="93" t="s">
        <v>594</v>
      </c>
      <c r="W172" s="93" t="s">
        <v>586</v>
      </c>
    </row>
    <row r="173" spans="1:23" x14ac:dyDescent="0.25">
      <c r="A173" s="90" t="s">
        <v>597</v>
      </c>
      <c r="B173" s="119">
        <v>2</v>
      </c>
      <c r="C173" s="90" t="s">
        <v>78</v>
      </c>
      <c r="D173" s="90" t="s">
        <v>80</v>
      </c>
      <c r="E173">
        <v>341</v>
      </c>
      <c r="F173">
        <v>516</v>
      </c>
      <c r="G173" s="93" t="s">
        <v>68</v>
      </c>
      <c r="H173" t="s">
        <v>598</v>
      </c>
      <c r="I173">
        <v>1</v>
      </c>
      <c r="J173">
        <f>SUM(K174,K203,K230,K234,K243,K249,K255)</f>
        <v>13514509.129393002</v>
      </c>
      <c r="K173">
        <f>I173*J173</f>
        <v>13514509.129393002</v>
      </c>
      <c r="L173">
        <f>100*(1-(M173/K173))</f>
        <v>36.353435417805144</v>
      </c>
      <c r="M173">
        <f>I173*SUM(M174,M203,M230,M234,M243,M249,M255)</f>
        <v>8601520.7810057364</v>
      </c>
      <c r="N173" s="90">
        <v>173</v>
      </c>
      <c r="O173" s="90" t="s">
        <v>599</v>
      </c>
      <c r="P173" s="118" t="s">
        <v>127</v>
      </c>
      <c r="Q173" s="118" t="s">
        <v>598</v>
      </c>
      <c r="R173" s="90" t="s">
        <v>1201</v>
      </c>
      <c r="S173" s="90" t="s">
        <v>1222</v>
      </c>
      <c r="T173" s="90" t="s">
        <v>1232</v>
      </c>
      <c r="U173" s="90" t="s">
        <v>1212</v>
      </c>
      <c r="V173" s="93" t="s">
        <v>597</v>
      </c>
      <c r="W173" s="93" t="s">
        <v>78</v>
      </c>
    </row>
    <row r="174" spans="1:23" x14ac:dyDescent="0.25">
      <c r="A174" s="90" t="s">
        <v>600</v>
      </c>
      <c r="B174" s="119">
        <v>3</v>
      </c>
      <c r="C174" s="90" t="s">
        <v>597</v>
      </c>
      <c r="D174" s="90" t="s">
        <v>78</v>
      </c>
      <c r="E174">
        <v>342</v>
      </c>
      <c r="F174">
        <v>399</v>
      </c>
      <c r="G174" s="93" t="s">
        <v>68</v>
      </c>
      <c r="H174" t="s">
        <v>601</v>
      </c>
      <c r="I174">
        <v>1</v>
      </c>
      <c r="J174">
        <f>SUM(K175)</f>
        <v>4190103.99</v>
      </c>
      <c r="K174">
        <f>I174*J174</f>
        <v>4190103.99</v>
      </c>
      <c r="L174">
        <f>100*(1-(M174/K174))</f>
        <v>31.378178409290502</v>
      </c>
      <c r="M174">
        <f>I174*SUM(M175)</f>
        <v>2875325.6844830001</v>
      </c>
      <c r="N174" s="90">
        <v>174</v>
      </c>
      <c r="O174" s="90" t="s">
        <v>602</v>
      </c>
      <c r="P174" s="118" t="s">
        <v>128</v>
      </c>
      <c r="Q174" s="118" t="s">
        <v>598</v>
      </c>
      <c r="R174" s="90" t="s">
        <v>1202</v>
      </c>
      <c r="S174" s="90" t="s">
        <v>1223</v>
      </c>
      <c r="T174" s="90" t="s">
        <v>1233</v>
      </c>
      <c r="U174" s="90" t="s">
        <v>1213</v>
      </c>
      <c r="V174" s="93" t="s">
        <v>600</v>
      </c>
      <c r="W174" s="93" t="s">
        <v>597</v>
      </c>
    </row>
    <row r="175" spans="1:23" x14ac:dyDescent="0.25">
      <c r="A175" s="90" t="s">
        <v>603</v>
      </c>
      <c r="B175" s="119">
        <v>4</v>
      </c>
      <c r="C175" s="90" t="s">
        <v>600</v>
      </c>
      <c r="D175" s="90" t="s">
        <v>78</v>
      </c>
      <c r="E175">
        <v>343</v>
      </c>
      <c r="F175">
        <v>398</v>
      </c>
      <c r="G175" s="93" t="s">
        <v>68</v>
      </c>
      <c r="H175" t="s">
        <v>604</v>
      </c>
      <c r="I175">
        <v>1</v>
      </c>
      <c r="J175">
        <f>SUM(K176,K183,K187)</f>
        <v>4190103.99</v>
      </c>
      <c r="K175">
        <f>I175*J175</f>
        <v>4190103.99</v>
      </c>
      <c r="L175">
        <f>100*(1-(M175/K175))</f>
        <v>31.378178409290502</v>
      </c>
      <c r="M175">
        <f>I175*SUM(M176,M183,M187)</f>
        <v>2875325.6844830001</v>
      </c>
      <c r="N175" s="90">
        <v>175</v>
      </c>
      <c r="O175" s="90" t="s">
        <v>605</v>
      </c>
      <c r="P175" s="118" t="s">
        <v>129</v>
      </c>
      <c r="Q175" s="118" t="s">
        <v>598</v>
      </c>
      <c r="R175" s="90" t="s">
        <v>1119</v>
      </c>
      <c r="S175" s="90" t="s">
        <v>1163</v>
      </c>
      <c r="T175" s="90" t="s">
        <v>1185</v>
      </c>
      <c r="U175" s="90" t="s">
        <v>1141</v>
      </c>
      <c r="V175" s="93" t="s">
        <v>603</v>
      </c>
      <c r="W175" s="93" t="s">
        <v>600</v>
      </c>
    </row>
    <row r="176" spans="1:23" x14ac:dyDescent="0.25">
      <c r="A176" s="90" t="s">
        <v>606</v>
      </c>
      <c r="B176" s="119">
        <v>5</v>
      </c>
      <c r="C176" s="90" t="s">
        <v>603</v>
      </c>
      <c r="D176" s="90" t="s">
        <v>78</v>
      </c>
      <c r="E176">
        <v>344</v>
      </c>
      <c r="F176">
        <v>357</v>
      </c>
      <c r="G176" s="93" t="s">
        <v>68</v>
      </c>
      <c r="H176" t="s">
        <v>607</v>
      </c>
      <c r="I176">
        <v>2</v>
      </c>
      <c r="J176">
        <f>SUM(K177)</f>
        <v>1957035</v>
      </c>
      <c r="K176">
        <f>I176*J176</f>
        <v>3914070</v>
      </c>
      <c r="L176">
        <f>100*(1-(M176/K176))</f>
        <v>27.83</v>
      </c>
      <c r="M176">
        <f>I176*SUM(M177)</f>
        <v>2824784.3190000001</v>
      </c>
      <c r="N176" s="90">
        <v>176</v>
      </c>
      <c r="O176" s="90" t="s">
        <v>608</v>
      </c>
      <c r="P176" s="118" t="s">
        <v>130</v>
      </c>
      <c r="Q176" s="118" t="s">
        <v>598</v>
      </c>
      <c r="R176" s="90" t="s">
        <v>1011</v>
      </c>
      <c r="S176" s="90" t="s">
        <v>1065</v>
      </c>
      <c r="T176" s="90" t="s">
        <v>1092</v>
      </c>
      <c r="U176" s="90" t="s">
        <v>1038</v>
      </c>
      <c r="V176" s="93" t="s">
        <v>606</v>
      </c>
      <c r="W176" s="93" t="s">
        <v>603</v>
      </c>
    </row>
    <row r="177" spans="1:23" x14ac:dyDescent="0.25">
      <c r="A177" s="90" t="s">
        <v>609</v>
      </c>
      <c r="B177" s="119">
        <v>6</v>
      </c>
      <c r="C177" s="90" t="s">
        <v>606</v>
      </c>
      <c r="D177" s="90" t="s">
        <v>78</v>
      </c>
      <c r="E177">
        <v>345</v>
      </c>
      <c r="F177">
        <v>356</v>
      </c>
      <c r="G177" s="93" t="s">
        <v>68</v>
      </c>
      <c r="H177" t="s">
        <v>610</v>
      </c>
      <c r="I177">
        <v>1</v>
      </c>
      <c r="J177">
        <f>SUM(K178,K179,K180,K181,K182)</f>
        <v>1957035</v>
      </c>
      <c r="K177">
        <f>I177*J177</f>
        <v>1957035</v>
      </c>
      <c r="L177">
        <f>100*(1-(M177/K177))</f>
        <v>27.83</v>
      </c>
      <c r="M177">
        <f>I177*SUM(M178,M179,M180,M181,M182)</f>
        <v>1412392.1595000001</v>
      </c>
      <c r="N177" s="90">
        <v>177</v>
      </c>
      <c r="O177" s="90" t="s">
        <v>611</v>
      </c>
      <c r="P177" s="118" t="s">
        <v>82</v>
      </c>
      <c r="Q177" s="118" t="s">
        <v>598</v>
      </c>
      <c r="R177" s="90" t="s">
        <v>878</v>
      </c>
      <c r="S177" s="90" t="s">
        <v>948</v>
      </c>
      <c r="T177" s="90" t="s">
        <v>983</v>
      </c>
      <c r="U177" s="90" t="s">
        <v>913</v>
      </c>
      <c r="V177" s="93" t="s">
        <v>609</v>
      </c>
      <c r="W177" s="93" t="s">
        <v>606</v>
      </c>
    </row>
    <row r="178" spans="1:23" x14ac:dyDescent="0.25">
      <c r="A178" s="90" t="s">
        <v>612</v>
      </c>
      <c r="B178" s="119">
        <v>7</v>
      </c>
      <c r="C178" s="90" t="s">
        <v>609</v>
      </c>
      <c r="D178" s="90" t="s">
        <v>78</v>
      </c>
      <c r="E178">
        <v>346</v>
      </c>
      <c r="F178">
        <v>347</v>
      </c>
      <c r="G178" s="93" t="s">
        <v>78</v>
      </c>
      <c r="H178" t="s">
        <v>613</v>
      </c>
      <c r="I178">
        <v>1</v>
      </c>
      <c r="J178">
        <v>122533</v>
      </c>
      <c r="K178">
        <f>I178*J178</f>
        <v>122533</v>
      </c>
      <c r="L178">
        <v>27.83</v>
      </c>
      <c r="M178">
        <f>(1-(L178/100))*K178</f>
        <v>88432.066099999996</v>
      </c>
      <c r="N178" s="90">
        <v>178</v>
      </c>
      <c r="O178" s="90" t="s">
        <v>614</v>
      </c>
      <c r="P178" s="118" t="s">
        <v>85</v>
      </c>
      <c r="Q178" s="118" t="s">
        <v>598</v>
      </c>
      <c r="V178" s="93" t="s">
        <v>612</v>
      </c>
      <c r="W178" s="93" t="s">
        <v>609</v>
      </c>
    </row>
    <row r="179" spans="1:23" x14ac:dyDescent="0.25">
      <c r="A179" s="90" t="s">
        <v>615</v>
      </c>
      <c r="B179" s="119">
        <v>7</v>
      </c>
      <c r="C179" s="90" t="s">
        <v>609</v>
      </c>
      <c r="D179" s="90" t="s">
        <v>79</v>
      </c>
      <c r="E179">
        <v>348</v>
      </c>
      <c r="F179">
        <v>349</v>
      </c>
      <c r="G179" s="93" t="s">
        <v>78</v>
      </c>
      <c r="H179" t="s">
        <v>616</v>
      </c>
      <c r="I179">
        <v>24</v>
      </c>
      <c r="J179">
        <v>19677</v>
      </c>
      <c r="K179">
        <f>I179*J179</f>
        <v>472248</v>
      </c>
      <c r="L179">
        <v>27.83</v>
      </c>
      <c r="M179">
        <f>(1-(L179/100))*K179</f>
        <v>340821.38160000002</v>
      </c>
      <c r="N179" s="90">
        <v>179</v>
      </c>
      <c r="O179" s="90" t="s">
        <v>617</v>
      </c>
      <c r="P179" s="118" t="s">
        <v>88</v>
      </c>
      <c r="Q179" s="118" t="s">
        <v>598</v>
      </c>
      <c r="V179" s="93" t="s">
        <v>615</v>
      </c>
      <c r="W179" s="93" t="s">
        <v>609</v>
      </c>
    </row>
    <row r="180" spans="1:23" x14ac:dyDescent="0.25">
      <c r="A180" s="90" t="s">
        <v>618</v>
      </c>
      <c r="B180" s="119">
        <v>7</v>
      </c>
      <c r="C180" s="90" t="s">
        <v>609</v>
      </c>
      <c r="D180" s="90" t="s">
        <v>80</v>
      </c>
      <c r="E180">
        <v>350</v>
      </c>
      <c r="F180">
        <v>351</v>
      </c>
      <c r="G180" s="93" t="s">
        <v>78</v>
      </c>
      <c r="H180" t="s">
        <v>619</v>
      </c>
      <c r="I180">
        <v>24</v>
      </c>
      <c r="J180">
        <v>52014</v>
      </c>
      <c r="K180">
        <f>I180*J180</f>
        <v>1248336</v>
      </c>
      <c r="L180">
        <v>27.83</v>
      </c>
      <c r="M180">
        <f>(1-(L180/100))*K180</f>
        <v>900924.09120000002</v>
      </c>
      <c r="N180" s="90">
        <v>180</v>
      </c>
      <c r="O180" s="90" t="s">
        <v>620</v>
      </c>
      <c r="P180" s="118" t="s">
        <v>91</v>
      </c>
      <c r="Q180" s="118" t="s">
        <v>598</v>
      </c>
      <c r="V180" s="93" t="s">
        <v>618</v>
      </c>
      <c r="W180" s="93" t="s">
        <v>609</v>
      </c>
    </row>
    <row r="181" spans="1:23" x14ac:dyDescent="0.25">
      <c r="A181" s="90" t="s">
        <v>621</v>
      </c>
      <c r="B181" s="119">
        <v>7</v>
      </c>
      <c r="C181" s="90" t="s">
        <v>609</v>
      </c>
      <c r="D181" s="90" t="s">
        <v>125</v>
      </c>
      <c r="E181">
        <v>352</v>
      </c>
      <c r="F181">
        <v>353</v>
      </c>
      <c r="G181" s="93" t="s">
        <v>78</v>
      </c>
      <c r="H181" t="s">
        <v>622</v>
      </c>
      <c r="I181">
        <v>2</v>
      </c>
      <c r="J181">
        <v>15224</v>
      </c>
      <c r="K181">
        <f>I181*J181</f>
        <v>30448</v>
      </c>
      <c r="L181">
        <v>27.83</v>
      </c>
      <c r="M181">
        <f>(1-(L181/100))*K181</f>
        <v>21974.321599999999</v>
      </c>
      <c r="N181" s="90">
        <v>181</v>
      </c>
      <c r="O181" s="90" t="s">
        <v>623</v>
      </c>
      <c r="P181" s="118" t="s">
        <v>93</v>
      </c>
      <c r="Q181" s="118" t="s">
        <v>598</v>
      </c>
      <c r="V181" s="93" t="s">
        <v>621</v>
      </c>
      <c r="W181" s="93" t="s">
        <v>609</v>
      </c>
    </row>
    <row r="182" spans="1:23" x14ac:dyDescent="0.25">
      <c r="A182" s="90" t="s">
        <v>624</v>
      </c>
      <c r="B182" s="119">
        <v>7</v>
      </c>
      <c r="C182" s="90" t="s">
        <v>609</v>
      </c>
      <c r="D182" s="90" t="s">
        <v>126</v>
      </c>
      <c r="E182">
        <v>354</v>
      </c>
      <c r="F182">
        <v>355</v>
      </c>
      <c r="G182" s="93" t="s">
        <v>78</v>
      </c>
      <c r="H182" t="s">
        <v>625</v>
      </c>
      <c r="I182">
        <v>1</v>
      </c>
      <c r="J182">
        <v>83470</v>
      </c>
      <c r="K182">
        <f>I182*J182</f>
        <v>83470</v>
      </c>
      <c r="L182">
        <v>27.83</v>
      </c>
      <c r="M182">
        <f>(1-(L182/100))*K182</f>
        <v>60240.298999999999</v>
      </c>
      <c r="N182" s="90">
        <v>182</v>
      </c>
      <c r="O182" s="90" t="s">
        <v>626</v>
      </c>
      <c r="P182" s="118" t="s">
        <v>95</v>
      </c>
      <c r="Q182" s="118" t="s">
        <v>598</v>
      </c>
      <c r="V182" s="93" t="s">
        <v>624</v>
      </c>
      <c r="W182" s="93" t="s">
        <v>609</v>
      </c>
    </row>
    <row r="183" spans="1:23" x14ac:dyDescent="0.25">
      <c r="A183" s="90" t="s">
        <v>627</v>
      </c>
      <c r="B183" s="119">
        <v>5</v>
      </c>
      <c r="C183" s="90" t="s">
        <v>603</v>
      </c>
      <c r="D183" s="90" t="s">
        <v>79</v>
      </c>
      <c r="E183">
        <v>358</v>
      </c>
      <c r="F183">
        <v>365</v>
      </c>
      <c r="G183" s="93" t="s">
        <v>68</v>
      </c>
      <c r="H183" t="s">
        <v>628</v>
      </c>
      <c r="I183">
        <v>1</v>
      </c>
      <c r="J183">
        <f>SUM(K184)</f>
        <v>206003</v>
      </c>
      <c r="K183">
        <f>I183*J183</f>
        <v>206003</v>
      </c>
      <c r="L183">
        <f>100*(1-(M183/K183))</f>
        <v>100</v>
      </c>
      <c r="M183">
        <f>I183*SUM(M184)</f>
        <v>0</v>
      </c>
      <c r="N183" s="90">
        <v>183</v>
      </c>
      <c r="O183" s="90" t="s">
        <v>629</v>
      </c>
      <c r="P183" s="118" t="s">
        <v>131</v>
      </c>
      <c r="Q183" s="118" t="s">
        <v>598</v>
      </c>
      <c r="R183" s="90" t="s">
        <v>1012</v>
      </c>
      <c r="S183" s="90" t="s">
        <v>1066</v>
      </c>
      <c r="T183" s="90" t="s">
        <v>1093</v>
      </c>
      <c r="U183" s="90" t="s">
        <v>1039</v>
      </c>
      <c r="V183" s="93" t="s">
        <v>627</v>
      </c>
      <c r="W183" s="93" t="s">
        <v>603</v>
      </c>
    </row>
    <row r="184" spans="1:23" x14ac:dyDescent="0.25">
      <c r="A184" s="90" t="s">
        <v>630</v>
      </c>
      <c r="B184" s="119">
        <v>6</v>
      </c>
      <c r="C184" s="90" t="s">
        <v>627</v>
      </c>
      <c r="D184" s="90" t="s">
        <v>78</v>
      </c>
      <c r="E184">
        <v>359</v>
      </c>
      <c r="F184">
        <v>364</v>
      </c>
      <c r="G184" s="93" t="s">
        <v>68</v>
      </c>
      <c r="H184" t="s">
        <v>631</v>
      </c>
      <c r="I184">
        <v>1</v>
      </c>
      <c r="J184">
        <f>SUM(K185,K186)</f>
        <v>206003</v>
      </c>
      <c r="K184">
        <f>I184*J184</f>
        <v>206003</v>
      </c>
      <c r="L184">
        <f>100*(1-(M184/K184))</f>
        <v>100</v>
      </c>
      <c r="M184">
        <f>I184*SUM(M185,M186)</f>
        <v>0</v>
      </c>
      <c r="N184" s="90">
        <v>184</v>
      </c>
      <c r="O184" s="90" t="s">
        <v>632</v>
      </c>
      <c r="P184" s="118" t="s">
        <v>97</v>
      </c>
      <c r="Q184" s="118" t="s">
        <v>598</v>
      </c>
      <c r="R184" s="90" t="s">
        <v>879</v>
      </c>
      <c r="S184" s="90" t="s">
        <v>949</v>
      </c>
      <c r="T184" s="90" t="s">
        <v>984</v>
      </c>
      <c r="U184" s="90" t="s">
        <v>914</v>
      </c>
      <c r="V184" s="93" t="s">
        <v>630</v>
      </c>
      <c r="W184" s="93" t="s">
        <v>627</v>
      </c>
    </row>
    <row r="185" spans="1:23" x14ac:dyDescent="0.25">
      <c r="A185" s="90" t="s">
        <v>633</v>
      </c>
      <c r="B185" s="119">
        <v>7</v>
      </c>
      <c r="C185" s="90" t="s">
        <v>630</v>
      </c>
      <c r="D185" s="90" t="s">
        <v>78</v>
      </c>
      <c r="E185">
        <v>360</v>
      </c>
      <c r="F185">
        <v>361</v>
      </c>
      <c r="G185" s="93" t="s">
        <v>78</v>
      </c>
      <c r="H185" t="s">
        <v>613</v>
      </c>
      <c r="I185">
        <v>1</v>
      </c>
      <c r="J185">
        <v>122533</v>
      </c>
      <c r="K185">
        <f>I185*J185</f>
        <v>122533</v>
      </c>
      <c r="L185">
        <v>100</v>
      </c>
      <c r="M185">
        <f>(1-(L185/100))*K185</f>
        <v>0</v>
      </c>
      <c r="N185" s="90">
        <v>185</v>
      </c>
      <c r="O185" s="90" t="s">
        <v>634</v>
      </c>
      <c r="P185" s="118" t="s">
        <v>99</v>
      </c>
      <c r="Q185" s="118" t="s">
        <v>598</v>
      </c>
      <c r="V185" s="93" t="s">
        <v>633</v>
      </c>
      <c r="W185" s="93" t="s">
        <v>630</v>
      </c>
    </row>
    <row r="186" spans="1:23" x14ac:dyDescent="0.25">
      <c r="A186" s="90" t="s">
        <v>635</v>
      </c>
      <c r="B186" s="119">
        <v>7</v>
      </c>
      <c r="C186" s="90" t="s">
        <v>630</v>
      </c>
      <c r="D186" s="90" t="s">
        <v>79</v>
      </c>
      <c r="E186">
        <v>362</v>
      </c>
      <c r="F186">
        <v>363</v>
      </c>
      <c r="G186" s="93" t="s">
        <v>78</v>
      </c>
      <c r="H186" t="s">
        <v>625</v>
      </c>
      <c r="I186">
        <v>1</v>
      </c>
      <c r="J186">
        <v>83470</v>
      </c>
      <c r="K186">
        <f>I186*J186</f>
        <v>83470</v>
      </c>
      <c r="L186">
        <v>100</v>
      </c>
      <c r="M186">
        <f>(1-(L186/100))*K186</f>
        <v>0</v>
      </c>
      <c r="N186" s="90">
        <v>186</v>
      </c>
      <c r="O186" s="90" t="s">
        <v>636</v>
      </c>
      <c r="P186" s="118" t="s">
        <v>132</v>
      </c>
      <c r="Q186" s="118" t="s">
        <v>598</v>
      </c>
      <c r="V186" s="93" t="s">
        <v>635</v>
      </c>
      <c r="W186" s="93" t="s">
        <v>630</v>
      </c>
    </row>
    <row r="187" spans="1:23" x14ac:dyDescent="0.25">
      <c r="A187" s="90" t="s">
        <v>637</v>
      </c>
      <c r="B187" s="119">
        <v>5</v>
      </c>
      <c r="C187" s="90" t="s">
        <v>603</v>
      </c>
      <c r="D187" s="90" t="s">
        <v>80</v>
      </c>
      <c r="E187">
        <v>366</v>
      </c>
      <c r="F187">
        <v>397</v>
      </c>
      <c r="G187" s="93" t="s">
        <v>68</v>
      </c>
      <c r="H187" t="s">
        <v>638</v>
      </c>
      <c r="I187">
        <v>1</v>
      </c>
      <c r="J187">
        <f>SUM(K188)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I187*SUM(M188)</f>
        <v>50541.365483000016</v>
      </c>
      <c r="N187" s="90">
        <v>187</v>
      </c>
      <c r="O187" s="90" t="s">
        <v>639</v>
      </c>
      <c r="P187" s="118" t="s">
        <v>100</v>
      </c>
      <c r="Q187" s="118" t="s">
        <v>598</v>
      </c>
      <c r="R187" s="90" t="s">
        <v>1013</v>
      </c>
      <c r="S187" s="90" t="s">
        <v>1067</v>
      </c>
      <c r="T187" s="90" t="s">
        <v>1094</v>
      </c>
      <c r="U187" s="90" t="s">
        <v>1040</v>
      </c>
      <c r="V187" s="93" t="s">
        <v>637</v>
      </c>
      <c r="W187" s="93" t="s">
        <v>603</v>
      </c>
    </row>
    <row r="188" spans="1:23" x14ac:dyDescent="0.25">
      <c r="A188" s="90" t="s">
        <v>640</v>
      </c>
      <c r="B188" s="119">
        <v>6</v>
      </c>
      <c r="C188" s="90" t="s">
        <v>637</v>
      </c>
      <c r="D188" s="90" t="s">
        <v>78</v>
      </c>
      <c r="E188">
        <v>367</v>
      </c>
      <c r="F188">
        <v>396</v>
      </c>
      <c r="G188" s="93" t="s">
        <v>68</v>
      </c>
      <c r="H188" t="s">
        <v>641</v>
      </c>
      <c r="I188">
        <v>1</v>
      </c>
      <c r="J188">
        <f>SUM(K189,K190,K191,K192,K193,K194,K195,K196,K197,K198,K199,K200,K201,K202)</f>
        <v>70030.990000000005</v>
      </c>
      <c r="K188">
        <f>I188*J188</f>
        <v>70030.990000000005</v>
      </c>
      <c r="L188">
        <f>100*(1-(M188/K188))</f>
        <v>27.829999999999988</v>
      </c>
      <c r="M188">
        <f>I188*SUM(M189,M190,M191,M192,M193,M194,M195,M196,M197,M198,M199,M200,M201,M202)</f>
        <v>50541.365483000016</v>
      </c>
      <c r="N188" s="90">
        <v>188</v>
      </c>
      <c r="O188" s="90" t="s">
        <v>642</v>
      </c>
      <c r="P188" s="118" t="s">
        <v>101</v>
      </c>
      <c r="Q188" s="118" t="s">
        <v>598</v>
      </c>
      <c r="R188" s="90" t="s">
        <v>880</v>
      </c>
      <c r="S188" s="90" t="s">
        <v>950</v>
      </c>
      <c r="T188" s="90" t="s">
        <v>985</v>
      </c>
      <c r="U188" s="90" t="s">
        <v>915</v>
      </c>
      <c r="V188" s="93" t="s">
        <v>640</v>
      </c>
      <c r="W188" s="93" t="s">
        <v>637</v>
      </c>
    </row>
    <row r="189" spans="1:23" x14ac:dyDescent="0.25">
      <c r="A189" s="90" t="s">
        <v>643</v>
      </c>
      <c r="B189" s="119">
        <v>7</v>
      </c>
      <c r="C189" s="90" t="s">
        <v>640</v>
      </c>
      <c r="D189" s="90" t="s">
        <v>78</v>
      </c>
      <c r="E189">
        <v>368</v>
      </c>
      <c r="F189">
        <v>369</v>
      </c>
      <c r="G189" s="93" t="s">
        <v>78</v>
      </c>
      <c r="H189" t="s">
        <v>644</v>
      </c>
      <c r="I189">
        <v>1</v>
      </c>
      <c r="J189">
        <v>11484</v>
      </c>
      <c r="K189">
        <f>I189*J189</f>
        <v>11484</v>
      </c>
      <c r="L189">
        <v>27.83</v>
      </c>
      <c r="M189">
        <f>(1-(L189/100))*K189</f>
        <v>8288.0028000000002</v>
      </c>
      <c r="N189" s="90">
        <v>189</v>
      </c>
      <c r="O189" s="90" t="s">
        <v>645</v>
      </c>
      <c r="P189" s="118" t="s">
        <v>102</v>
      </c>
      <c r="Q189" s="118" t="s">
        <v>598</v>
      </c>
      <c r="V189" s="93" t="s">
        <v>643</v>
      </c>
      <c r="W189" s="93" t="s">
        <v>640</v>
      </c>
    </row>
    <row r="190" spans="1:23" x14ac:dyDescent="0.25">
      <c r="A190" s="90" t="s">
        <v>646</v>
      </c>
      <c r="B190" s="119">
        <v>7</v>
      </c>
      <c r="C190" s="90" t="s">
        <v>640</v>
      </c>
      <c r="D190" s="90" t="s">
        <v>79</v>
      </c>
      <c r="E190">
        <v>370</v>
      </c>
      <c r="F190">
        <v>371</v>
      </c>
      <c r="G190" s="93" t="s">
        <v>78</v>
      </c>
      <c r="H190" t="s">
        <v>647</v>
      </c>
      <c r="I190">
        <v>1</v>
      </c>
      <c r="J190">
        <v>9450</v>
      </c>
      <c r="K190">
        <f>I190*J190</f>
        <v>9450</v>
      </c>
      <c r="L190">
        <v>27.83</v>
      </c>
      <c r="M190">
        <f>(1-(L190/100))*K190</f>
        <v>6820.0650000000005</v>
      </c>
      <c r="N190" s="90">
        <v>190</v>
      </c>
      <c r="O190" s="90" t="s">
        <v>648</v>
      </c>
      <c r="P190" s="118" t="s">
        <v>103</v>
      </c>
      <c r="Q190" s="118" t="s">
        <v>598</v>
      </c>
      <c r="V190" s="93" t="s">
        <v>646</v>
      </c>
      <c r="W190" s="93" t="s">
        <v>640</v>
      </c>
    </row>
    <row r="191" spans="1:23" x14ac:dyDescent="0.25">
      <c r="A191" s="90" t="s">
        <v>649</v>
      </c>
      <c r="B191" s="119">
        <v>7</v>
      </c>
      <c r="C191" s="90" t="s">
        <v>640</v>
      </c>
      <c r="D191" s="90" t="s">
        <v>80</v>
      </c>
      <c r="E191">
        <v>372</v>
      </c>
      <c r="F191">
        <v>373</v>
      </c>
      <c r="G191" s="93" t="s">
        <v>78</v>
      </c>
      <c r="H191" t="s">
        <v>121</v>
      </c>
      <c r="I191">
        <v>1</v>
      </c>
      <c r="J191">
        <v>15931.63</v>
      </c>
      <c r="K191">
        <f>I191*J191</f>
        <v>15931.63</v>
      </c>
      <c r="L191">
        <v>27.83</v>
      </c>
      <c r="M191">
        <f>(1-(L191/100))*K191</f>
        <v>11497.857371</v>
      </c>
      <c r="N191" s="90">
        <v>191</v>
      </c>
      <c r="O191" s="90" t="s">
        <v>650</v>
      </c>
      <c r="P191" s="118" t="s">
        <v>104</v>
      </c>
      <c r="Q191" s="118" t="s">
        <v>598</v>
      </c>
      <c r="V191" s="93" t="s">
        <v>649</v>
      </c>
      <c r="W191" s="93" t="s">
        <v>640</v>
      </c>
    </row>
    <row r="192" spans="1:23" x14ac:dyDescent="0.25">
      <c r="A192" s="90" t="s">
        <v>651</v>
      </c>
      <c r="B192" s="119">
        <v>7</v>
      </c>
      <c r="C192" s="90" t="s">
        <v>640</v>
      </c>
      <c r="D192" s="90" t="s">
        <v>125</v>
      </c>
      <c r="E192">
        <v>374</v>
      </c>
      <c r="F192">
        <v>375</v>
      </c>
      <c r="G192" s="93" t="s">
        <v>78</v>
      </c>
      <c r="H192" t="s">
        <v>652</v>
      </c>
      <c r="I192">
        <v>1</v>
      </c>
      <c r="J192">
        <v>5590</v>
      </c>
      <c r="K192">
        <f>I192*J192</f>
        <v>5590</v>
      </c>
      <c r="L192">
        <v>27.83</v>
      </c>
      <c r="M192">
        <f>(1-(L192/100))*K192</f>
        <v>4034.3029999999999</v>
      </c>
      <c r="N192" s="90">
        <v>192</v>
      </c>
      <c r="O192" s="90" t="s">
        <v>653</v>
      </c>
      <c r="P192" s="118" t="s">
        <v>105</v>
      </c>
      <c r="Q192" s="118" t="s">
        <v>598</v>
      </c>
      <c r="V192" s="93" t="s">
        <v>651</v>
      </c>
      <c r="W192" s="93" t="s">
        <v>640</v>
      </c>
    </row>
    <row r="193" spans="1:23" x14ac:dyDescent="0.25">
      <c r="A193" s="90" t="s">
        <v>654</v>
      </c>
      <c r="B193" s="119">
        <v>7</v>
      </c>
      <c r="C193" s="90" t="s">
        <v>640</v>
      </c>
      <c r="D193" s="90" t="s">
        <v>126</v>
      </c>
      <c r="E193">
        <v>376</v>
      </c>
      <c r="F193">
        <v>377</v>
      </c>
      <c r="G193" s="93" t="s">
        <v>78</v>
      </c>
      <c r="H193" t="s">
        <v>655</v>
      </c>
      <c r="I193">
        <v>1</v>
      </c>
      <c r="J193">
        <v>106.97</v>
      </c>
      <c r="K193">
        <f>I193*J193</f>
        <v>106.97</v>
      </c>
      <c r="L193">
        <v>27.83</v>
      </c>
      <c r="M193">
        <f>(1-(L193/100))*K193</f>
        <v>77.200248999999999</v>
      </c>
      <c r="N193" s="90">
        <v>193</v>
      </c>
      <c r="O193" s="90" t="s">
        <v>656</v>
      </c>
      <c r="P193" s="118" t="s">
        <v>106</v>
      </c>
      <c r="Q193" s="118" t="s">
        <v>598</v>
      </c>
      <c r="V193" s="93" t="s">
        <v>654</v>
      </c>
      <c r="W193" s="93" t="s">
        <v>640</v>
      </c>
    </row>
    <row r="194" spans="1:23" x14ac:dyDescent="0.25">
      <c r="A194" s="90" t="s">
        <v>657</v>
      </c>
      <c r="B194" s="119">
        <v>7</v>
      </c>
      <c r="C194" s="90" t="s">
        <v>640</v>
      </c>
      <c r="D194" s="90" t="s">
        <v>849</v>
      </c>
      <c r="E194">
        <v>378</v>
      </c>
      <c r="F194">
        <v>379</v>
      </c>
      <c r="G194" s="93" t="s">
        <v>78</v>
      </c>
      <c r="H194" t="s">
        <v>122</v>
      </c>
      <c r="I194">
        <v>1</v>
      </c>
      <c r="J194">
        <v>2728.29</v>
      </c>
      <c r="K194">
        <f>I194*J194</f>
        <v>2728.29</v>
      </c>
      <c r="L194">
        <v>27.83</v>
      </c>
      <c r="M194">
        <f>(1-(L194/100))*K194</f>
        <v>1969.006893</v>
      </c>
      <c r="N194" s="90">
        <v>194</v>
      </c>
      <c r="O194" s="90" t="s">
        <v>658</v>
      </c>
      <c r="P194" s="118" t="s">
        <v>171</v>
      </c>
      <c r="Q194" s="118" t="s">
        <v>598</v>
      </c>
      <c r="V194" s="93" t="s">
        <v>657</v>
      </c>
      <c r="W194" s="93" t="s">
        <v>640</v>
      </c>
    </row>
    <row r="195" spans="1:23" x14ac:dyDescent="0.25">
      <c r="A195" s="90" t="s">
        <v>659</v>
      </c>
      <c r="B195" s="119">
        <v>7</v>
      </c>
      <c r="C195" s="90" t="s">
        <v>640</v>
      </c>
      <c r="D195" s="90" t="s">
        <v>850</v>
      </c>
      <c r="E195">
        <v>380</v>
      </c>
      <c r="F195">
        <v>381</v>
      </c>
      <c r="G195" s="93" t="s">
        <v>78</v>
      </c>
      <c r="H195" t="s">
        <v>660</v>
      </c>
      <c r="I195">
        <v>1</v>
      </c>
      <c r="J195">
        <v>3896</v>
      </c>
      <c r="K195">
        <f>I195*J195</f>
        <v>3896</v>
      </c>
      <c r="L195">
        <v>27.83</v>
      </c>
      <c r="M195">
        <f>(1-(L195/100))*K195</f>
        <v>2811.7431999999999</v>
      </c>
      <c r="N195" s="90">
        <v>195</v>
      </c>
      <c r="O195" s="90" t="s">
        <v>661</v>
      </c>
      <c r="P195" s="118" t="s">
        <v>107</v>
      </c>
      <c r="Q195" s="118" t="s">
        <v>598</v>
      </c>
      <c r="V195" s="93" t="s">
        <v>659</v>
      </c>
      <c r="W195" s="93" t="s">
        <v>640</v>
      </c>
    </row>
    <row r="196" spans="1:23" x14ac:dyDescent="0.25">
      <c r="A196" s="90" t="s">
        <v>662</v>
      </c>
      <c r="B196" s="119">
        <v>7</v>
      </c>
      <c r="C196" s="90" t="s">
        <v>640</v>
      </c>
      <c r="D196" s="90" t="s">
        <v>851</v>
      </c>
      <c r="E196">
        <v>382</v>
      </c>
      <c r="F196">
        <v>383</v>
      </c>
      <c r="G196" s="93" t="s">
        <v>78</v>
      </c>
      <c r="H196" t="s">
        <v>123</v>
      </c>
      <c r="I196">
        <v>1</v>
      </c>
      <c r="J196">
        <v>6810</v>
      </c>
      <c r="K196">
        <f>I196*J196</f>
        <v>6810</v>
      </c>
      <c r="L196">
        <v>27.83</v>
      </c>
      <c r="M196">
        <f>(1-(L196/100))*K196</f>
        <v>4914.777</v>
      </c>
      <c r="N196" s="90">
        <v>196</v>
      </c>
      <c r="O196" s="90" t="s">
        <v>663</v>
      </c>
      <c r="P196" s="118" t="s">
        <v>108</v>
      </c>
      <c r="Q196" s="118" t="s">
        <v>598</v>
      </c>
      <c r="V196" s="93" t="s">
        <v>662</v>
      </c>
      <c r="W196" s="93" t="s">
        <v>640</v>
      </c>
    </row>
    <row r="197" spans="1:23" x14ac:dyDescent="0.25">
      <c r="A197" s="90" t="s">
        <v>664</v>
      </c>
      <c r="B197" s="119">
        <v>7</v>
      </c>
      <c r="C197" s="90" t="s">
        <v>640</v>
      </c>
      <c r="D197" s="90" t="s">
        <v>852</v>
      </c>
      <c r="E197">
        <v>384</v>
      </c>
      <c r="F197">
        <v>385</v>
      </c>
      <c r="G197" s="93" t="s">
        <v>78</v>
      </c>
      <c r="H197" t="s">
        <v>665</v>
      </c>
      <c r="I197">
        <v>1</v>
      </c>
      <c r="J197">
        <v>1027.4000000000001</v>
      </c>
      <c r="K197">
        <f>I197*J197</f>
        <v>1027.4000000000001</v>
      </c>
      <c r="L197">
        <v>27.83</v>
      </c>
      <c r="M197">
        <f>(1-(L197/100))*K197</f>
        <v>741.47458000000006</v>
      </c>
      <c r="N197" s="90">
        <v>197</v>
      </c>
      <c r="O197" s="90" t="s">
        <v>666</v>
      </c>
      <c r="P197" s="118" t="s">
        <v>109</v>
      </c>
      <c r="Q197" s="118" t="s">
        <v>598</v>
      </c>
      <c r="V197" s="93" t="s">
        <v>664</v>
      </c>
      <c r="W197" s="93" t="s">
        <v>640</v>
      </c>
    </row>
    <row r="198" spans="1:23" x14ac:dyDescent="0.25">
      <c r="A198" s="90" t="s">
        <v>667</v>
      </c>
      <c r="B198" s="119">
        <v>7</v>
      </c>
      <c r="C198" s="90" t="s">
        <v>640</v>
      </c>
      <c r="D198" s="90" t="s">
        <v>853</v>
      </c>
      <c r="E198">
        <v>386</v>
      </c>
      <c r="F198">
        <v>387</v>
      </c>
      <c r="G198" s="93" t="s">
        <v>78</v>
      </c>
      <c r="H198" t="s">
        <v>124</v>
      </c>
      <c r="I198">
        <v>1</v>
      </c>
      <c r="J198">
        <v>3061.23</v>
      </c>
      <c r="K198">
        <f>I198*J198</f>
        <v>3061.23</v>
      </c>
      <c r="L198">
        <v>27.83</v>
      </c>
      <c r="M198">
        <f>(1-(L198/100))*K198</f>
        <v>2209.2896909999999</v>
      </c>
      <c r="N198" s="90">
        <v>198</v>
      </c>
      <c r="O198" s="90" t="s">
        <v>668</v>
      </c>
      <c r="P198" s="118" t="s">
        <v>110</v>
      </c>
      <c r="Q198" s="118" t="s">
        <v>598</v>
      </c>
      <c r="V198" s="93" t="s">
        <v>667</v>
      </c>
      <c r="W198" s="93" t="s">
        <v>640</v>
      </c>
    </row>
    <row r="199" spans="1:23" x14ac:dyDescent="0.25">
      <c r="A199" s="90" t="s">
        <v>669</v>
      </c>
      <c r="B199" s="119">
        <v>7</v>
      </c>
      <c r="C199" s="90" t="s">
        <v>640</v>
      </c>
      <c r="D199" s="90" t="s">
        <v>127</v>
      </c>
      <c r="E199">
        <v>388</v>
      </c>
      <c r="F199">
        <v>389</v>
      </c>
      <c r="G199" s="93" t="s">
        <v>78</v>
      </c>
      <c r="H199" t="s">
        <v>670</v>
      </c>
      <c r="I199">
        <v>1</v>
      </c>
      <c r="J199">
        <v>44.53</v>
      </c>
      <c r="K199">
        <f>I199*J199</f>
        <v>44.53</v>
      </c>
      <c r="L199">
        <v>27.83</v>
      </c>
      <c r="M199">
        <f>(1-(L199/100))*K199</f>
        <v>32.137301000000001</v>
      </c>
      <c r="N199" s="90">
        <v>199</v>
      </c>
      <c r="O199" s="90" t="s">
        <v>671</v>
      </c>
      <c r="P199" s="118" t="s">
        <v>172</v>
      </c>
      <c r="Q199" s="118" t="s">
        <v>598</v>
      </c>
      <c r="V199" s="93" t="s">
        <v>669</v>
      </c>
      <c r="W199" s="93" t="s">
        <v>640</v>
      </c>
    </row>
    <row r="200" spans="1:23" x14ac:dyDescent="0.25">
      <c r="A200" s="90" t="s">
        <v>672</v>
      </c>
      <c r="B200" s="119">
        <v>7</v>
      </c>
      <c r="C200" s="90" t="s">
        <v>640</v>
      </c>
      <c r="D200" s="90" t="s">
        <v>128</v>
      </c>
      <c r="E200">
        <v>390</v>
      </c>
      <c r="F200">
        <v>391</v>
      </c>
      <c r="G200" s="93" t="s">
        <v>78</v>
      </c>
      <c r="H200" t="s">
        <v>673</v>
      </c>
      <c r="I200">
        <v>1</v>
      </c>
      <c r="J200">
        <v>575.67999999999995</v>
      </c>
      <c r="K200">
        <f>I200*J200</f>
        <v>575.67999999999995</v>
      </c>
      <c r="L200">
        <v>27.83</v>
      </c>
      <c r="M200">
        <f>(1-(L200/100))*K200</f>
        <v>415.468256</v>
      </c>
      <c r="N200" s="90">
        <v>200</v>
      </c>
      <c r="O200" s="90" t="s">
        <v>674</v>
      </c>
      <c r="P200" s="118" t="s">
        <v>111</v>
      </c>
      <c r="Q200" s="118" t="s">
        <v>598</v>
      </c>
      <c r="V200" s="93" t="s">
        <v>672</v>
      </c>
      <c r="W200" s="93" t="s">
        <v>640</v>
      </c>
    </row>
    <row r="201" spans="1:23" x14ac:dyDescent="0.25">
      <c r="A201" s="90" t="s">
        <v>675</v>
      </c>
      <c r="B201" s="119">
        <v>7</v>
      </c>
      <c r="C201" s="90" t="s">
        <v>640</v>
      </c>
      <c r="D201" s="90" t="s">
        <v>129</v>
      </c>
      <c r="E201">
        <v>392</v>
      </c>
      <c r="F201">
        <v>393</v>
      </c>
      <c r="G201" s="93" t="s">
        <v>78</v>
      </c>
      <c r="H201" t="s">
        <v>676</v>
      </c>
      <c r="I201">
        <v>1</v>
      </c>
      <c r="J201">
        <v>3066.17</v>
      </c>
      <c r="K201">
        <f>I201*J201</f>
        <v>3066.17</v>
      </c>
      <c r="L201">
        <v>27.83</v>
      </c>
      <c r="M201">
        <f>(1-(L201/100))*K201</f>
        <v>2212.8548890000002</v>
      </c>
      <c r="N201" s="90">
        <v>201</v>
      </c>
      <c r="O201" s="90" t="s">
        <v>677</v>
      </c>
      <c r="P201" s="118" t="s">
        <v>1236</v>
      </c>
      <c r="Q201" s="118" t="s">
        <v>598</v>
      </c>
      <c r="V201" s="93" t="s">
        <v>675</v>
      </c>
      <c r="W201" s="93" t="s">
        <v>640</v>
      </c>
    </row>
    <row r="202" spans="1:23" x14ac:dyDescent="0.25">
      <c r="A202" s="90" t="s">
        <v>678</v>
      </c>
      <c r="B202" s="119">
        <v>7</v>
      </c>
      <c r="C202" s="90" t="s">
        <v>640</v>
      </c>
      <c r="D202" s="90" t="s">
        <v>130</v>
      </c>
      <c r="E202">
        <v>394</v>
      </c>
      <c r="F202">
        <v>395</v>
      </c>
      <c r="G202" s="93" t="s">
        <v>78</v>
      </c>
      <c r="H202" t="s">
        <v>679</v>
      </c>
      <c r="I202">
        <v>1</v>
      </c>
      <c r="J202">
        <v>6259.09</v>
      </c>
      <c r="K202">
        <f>I202*J202</f>
        <v>6259.09</v>
      </c>
      <c r="L202">
        <v>27.83</v>
      </c>
      <c r="M202">
        <f>(1-(L202/100))*K202</f>
        <v>4517.1852530000006</v>
      </c>
      <c r="N202" s="90">
        <v>202</v>
      </c>
      <c r="O202" s="90" t="s">
        <v>680</v>
      </c>
      <c r="P202" s="118" t="s">
        <v>112</v>
      </c>
      <c r="Q202" s="118" t="s">
        <v>598</v>
      </c>
      <c r="V202" s="93" t="s">
        <v>678</v>
      </c>
      <c r="W202" s="93" t="s">
        <v>640</v>
      </c>
    </row>
    <row r="203" spans="1:23" x14ac:dyDescent="0.25">
      <c r="A203" s="90" t="s">
        <v>681</v>
      </c>
      <c r="B203" s="119">
        <v>3</v>
      </c>
      <c r="C203" s="90" t="s">
        <v>597</v>
      </c>
      <c r="D203" s="90" t="s">
        <v>79</v>
      </c>
      <c r="E203">
        <v>400</v>
      </c>
      <c r="F203">
        <v>453</v>
      </c>
      <c r="G203" s="93" t="s">
        <v>68</v>
      </c>
      <c r="H203" t="s">
        <v>682</v>
      </c>
      <c r="I203">
        <v>1</v>
      </c>
      <c r="J203">
        <f>SUM(K204,K224)</f>
        <v>4149383.5593929999</v>
      </c>
      <c r="K203">
        <f>I203*J203</f>
        <v>4149383.5593929999</v>
      </c>
      <c r="L203">
        <f>100*(1-(M203/K203))</f>
        <v>58.745203913876011</v>
      </c>
      <c r="M203">
        <f>I203*SUM(M204,M224)</f>
        <v>1711819.7262587359</v>
      </c>
      <c r="N203" s="90">
        <v>203</v>
      </c>
      <c r="O203" s="90" t="s">
        <v>683</v>
      </c>
      <c r="P203" s="118" t="s">
        <v>113</v>
      </c>
      <c r="Q203" s="118" t="s">
        <v>598</v>
      </c>
      <c r="R203" s="90" t="s">
        <v>1120</v>
      </c>
      <c r="S203" s="90" t="s">
        <v>1164</v>
      </c>
      <c r="T203" s="90" t="s">
        <v>1186</v>
      </c>
      <c r="U203" s="90" t="s">
        <v>1142</v>
      </c>
      <c r="V203" s="93" t="s">
        <v>681</v>
      </c>
      <c r="W203" s="93" t="s">
        <v>597</v>
      </c>
    </row>
    <row r="204" spans="1:23" x14ac:dyDescent="0.25">
      <c r="A204" s="90" t="s">
        <v>684</v>
      </c>
      <c r="B204" s="119">
        <v>4</v>
      </c>
      <c r="C204" s="90" t="s">
        <v>681</v>
      </c>
      <c r="D204" s="90" t="s">
        <v>78</v>
      </c>
      <c r="E204">
        <v>401</v>
      </c>
      <c r="F204">
        <v>440</v>
      </c>
      <c r="G204" s="93" t="s">
        <v>68</v>
      </c>
      <c r="H204" t="s">
        <v>685</v>
      </c>
      <c r="I204">
        <v>1</v>
      </c>
      <c r="J204">
        <f>SUM(K205,K221)</f>
        <v>3725405.4618639997</v>
      </c>
      <c r="K204">
        <f>I204*J204</f>
        <v>3725405.4618639997</v>
      </c>
      <c r="L204">
        <f>100*(1-(M204/K204))</f>
        <v>62.263577812852354</v>
      </c>
      <c r="M204">
        <f>I204*SUM(M205,M221)</f>
        <v>1405834.7332720566</v>
      </c>
      <c r="N204" s="90">
        <v>204</v>
      </c>
      <c r="O204" s="90" t="s">
        <v>686</v>
      </c>
      <c r="P204" s="118" t="s">
        <v>114</v>
      </c>
      <c r="Q204" s="118" t="s">
        <v>598</v>
      </c>
      <c r="R204" s="90" t="s">
        <v>1014</v>
      </c>
      <c r="S204" s="90" t="s">
        <v>1068</v>
      </c>
      <c r="T204" s="90" t="s">
        <v>1095</v>
      </c>
      <c r="U204" s="90" t="s">
        <v>1041</v>
      </c>
      <c r="V204" s="93" t="s">
        <v>684</v>
      </c>
      <c r="W204" s="93" t="s">
        <v>681</v>
      </c>
    </row>
    <row r="205" spans="1:23" x14ac:dyDescent="0.25">
      <c r="A205" s="90" t="s">
        <v>687</v>
      </c>
      <c r="B205" s="119">
        <v>5</v>
      </c>
      <c r="C205" s="90" t="s">
        <v>684</v>
      </c>
      <c r="D205" s="90" t="s">
        <v>78</v>
      </c>
      <c r="E205">
        <v>402</v>
      </c>
      <c r="F205">
        <v>433</v>
      </c>
      <c r="G205" s="93" t="s">
        <v>68</v>
      </c>
      <c r="H205" t="s">
        <v>688</v>
      </c>
      <c r="I205">
        <v>1</v>
      </c>
      <c r="J205">
        <f>SUM(K206,K207,K208,K209,K210,K211,K212,K213,K214,K215,K216,K217,K218,K219,K220)</f>
        <v>3721461.4618639997</v>
      </c>
      <c r="K205">
        <f>I205*J205</f>
        <v>3721461.4618639997</v>
      </c>
      <c r="L205">
        <f>100*(1-(M205/K205))</f>
        <v>62.223584801872313</v>
      </c>
      <c r="M205">
        <f>I205*SUM(M206,M207,M208,M209,M210,M211,M212,M213,M214,M215,M216,M217,M218,M219,M220)</f>
        <v>1405834.7332720566</v>
      </c>
      <c r="N205" s="90">
        <v>205</v>
      </c>
      <c r="O205" s="90" t="s">
        <v>689</v>
      </c>
      <c r="P205" s="118" t="s">
        <v>115</v>
      </c>
      <c r="Q205" s="118" t="s">
        <v>598</v>
      </c>
      <c r="R205" s="90" t="s">
        <v>881</v>
      </c>
      <c r="S205" s="90" t="s">
        <v>951</v>
      </c>
      <c r="T205" s="90" t="s">
        <v>986</v>
      </c>
      <c r="U205" s="90" t="s">
        <v>916</v>
      </c>
      <c r="V205" s="93" t="s">
        <v>687</v>
      </c>
      <c r="W205" s="93" t="s">
        <v>684</v>
      </c>
    </row>
    <row r="206" spans="1:23" x14ac:dyDescent="0.25">
      <c r="A206" s="90" t="s">
        <v>690</v>
      </c>
      <c r="B206" s="119">
        <v>6</v>
      </c>
      <c r="C206" s="90" t="s">
        <v>687</v>
      </c>
      <c r="D206" s="90" t="s">
        <v>78</v>
      </c>
      <c r="E206">
        <v>403</v>
      </c>
      <c r="F206">
        <v>404</v>
      </c>
      <c r="G206" s="93" t="s">
        <v>78</v>
      </c>
      <c r="H206" t="s">
        <v>691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 s="90">
        <v>206</v>
      </c>
      <c r="O206" s="90" t="s">
        <v>692</v>
      </c>
      <c r="P206" s="118" t="s">
        <v>116</v>
      </c>
      <c r="Q206" s="118" t="s">
        <v>598</v>
      </c>
      <c r="V206" s="93" t="s">
        <v>690</v>
      </c>
      <c r="W206" s="93" t="s">
        <v>687</v>
      </c>
    </row>
    <row r="207" spans="1:23" x14ac:dyDescent="0.25">
      <c r="A207" s="90" t="s">
        <v>693</v>
      </c>
      <c r="B207" s="119">
        <v>6</v>
      </c>
      <c r="C207" s="90" t="s">
        <v>687</v>
      </c>
      <c r="D207" s="90" t="s">
        <v>79</v>
      </c>
      <c r="E207">
        <v>405</v>
      </c>
      <c r="F207">
        <v>406</v>
      </c>
      <c r="G207" s="93" t="s">
        <v>78</v>
      </c>
      <c r="H207" t="s">
        <v>694</v>
      </c>
      <c r="I207">
        <v>200</v>
      </c>
      <c r="J207">
        <v>394.37157774000002</v>
      </c>
      <c r="K207">
        <f>I207*J207</f>
        <v>78874.315547999999</v>
      </c>
      <c r="L207">
        <v>56.7</v>
      </c>
      <c r="M207">
        <f>(1-(L207/100))*K207</f>
        <v>34152.578632283992</v>
      </c>
      <c r="N207" s="90">
        <v>207</v>
      </c>
      <c r="O207" s="90" t="s">
        <v>695</v>
      </c>
      <c r="P207" s="118" t="s">
        <v>1237</v>
      </c>
      <c r="Q207" s="118" t="s">
        <v>598</v>
      </c>
      <c r="V207" s="93" t="s">
        <v>693</v>
      </c>
      <c r="W207" s="93" t="s">
        <v>687</v>
      </c>
    </row>
    <row r="208" spans="1:23" x14ac:dyDescent="0.25">
      <c r="A208" s="90" t="s">
        <v>696</v>
      </c>
      <c r="B208" s="119">
        <v>6</v>
      </c>
      <c r="C208" s="90" t="s">
        <v>687</v>
      </c>
      <c r="D208" s="90" t="s">
        <v>80</v>
      </c>
      <c r="E208">
        <v>407</v>
      </c>
      <c r="F208">
        <v>408</v>
      </c>
      <c r="G208" s="93" t="s">
        <v>78</v>
      </c>
      <c r="H208" t="s">
        <v>697</v>
      </c>
      <c r="I208">
        <v>200</v>
      </c>
      <c r="J208">
        <v>428.28218514999998</v>
      </c>
      <c r="K208">
        <f>I208*J208</f>
        <v>85656.437030000001</v>
      </c>
      <c r="L208">
        <v>56.7</v>
      </c>
      <c r="M208">
        <f>(1-(L208/100))*K208</f>
        <v>37089.237233989996</v>
      </c>
      <c r="N208" s="90">
        <v>208</v>
      </c>
      <c r="O208" s="90" t="s">
        <v>698</v>
      </c>
      <c r="P208" s="118" t="s">
        <v>117</v>
      </c>
      <c r="Q208" s="118" t="s">
        <v>598</v>
      </c>
      <c r="V208" s="93" t="s">
        <v>696</v>
      </c>
      <c r="W208" s="93" t="s">
        <v>687</v>
      </c>
    </row>
    <row r="209" spans="1:23" x14ac:dyDescent="0.25">
      <c r="A209" s="90" t="s">
        <v>699</v>
      </c>
      <c r="B209" s="119">
        <v>6</v>
      </c>
      <c r="C209" s="90" t="s">
        <v>687</v>
      </c>
      <c r="D209" s="90" t="s">
        <v>125</v>
      </c>
      <c r="E209">
        <v>409</v>
      </c>
      <c r="F209">
        <v>410</v>
      </c>
      <c r="G209" s="93" t="s">
        <v>78</v>
      </c>
      <c r="H209" t="s">
        <v>700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0">
        <v>209</v>
      </c>
      <c r="O209" s="90" t="s">
        <v>701</v>
      </c>
      <c r="P209" s="118" t="s">
        <v>118</v>
      </c>
      <c r="Q209" s="118" t="s">
        <v>598</v>
      </c>
      <c r="V209" s="93" t="s">
        <v>699</v>
      </c>
      <c r="W209" s="93" t="s">
        <v>687</v>
      </c>
    </row>
    <row r="210" spans="1:23" x14ac:dyDescent="0.25">
      <c r="A210" s="90" t="s">
        <v>702</v>
      </c>
      <c r="B210" s="119">
        <v>6</v>
      </c>
      <c r="C210" s="90" t="s">
        <v>687</v>
      </c>
      <c r="D210" s="90" t="s">
        <v>126</v>
      </c>
      <c r="E210">
        <v>411</v>
      </c>
      <c r="F210">
        <v>412</v>
      </c>
      <c r="G210" s="93" t="s">
        <v>78</v>
      </c>
      <c r="H210" t="s">
        <v>703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0">
        <v>210</v>
      </c>
      <c r="O210" s="90" t="s">
        <v>704</v>
      </c>
      <c r="P210" s="118" t="s">
        <v>119</v>
      </c>
      <c r="Q210" s="118" t="s">
        <v>598</v>
      </c>
      <c r="V210" s="93" t="s">
        <v>702</v>
      </c>
      <c r="W210" s="93" t="s">
        <v>687</v>
      </c>
    </row>
    <row r="211" spans="1:23" x14ac:dyDescent="0.25">
      <c r="A211" s="90" t="s">
        <v>705</v>
      </c>
      <c r="B211" s="119">
        <v>6</v>
      </c>
      <c r="C211" s="90" t="s">
        <v>687</v>
      </c>
      <c r="D211" s="90" t="s">
        <v>849</v>
      </c>
      <c r="E211">
        <v>413</v>
      </c>
      <c r="F211">
        <v>414</v>
      </c>
      <c r="G211" s="93" t="s">
        <v>78</v>
      </c>
      <c r="H211" t="s">
        <v>706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 s="90">
        <v>211</v>
      </c>
      <c r="O211" s="90" t="s">
        <v>707</v>
      </c>
      <c r="P211" s="118" t="s">
        <v>120</v>
      </c>
      <c r="Q211" s="118" t="s">
        <v>598</v>
      </c>
      <c r="V211" s="93" t="s">
        <v>705</v>
      </c>
      <c r="W211" s="93" t="s">
        <v>687</v>
      </c>
    </row>
    <row r="212" spans="1:23" x14ac:dyDescent="0.25">
      <c r="A212" s="90" t="s">
        <v>708</v>
      </c>
      <c r="B212" s="119">
        <v>6</v>
      </c>
      <c r="C212" s="90" t="s">
        <v>687</v>
      </c>
      <c r="D212" s="90" t="s">
        <v>850</v>
      </c>
      <c r="E212">
        <v>415</v>
      </c>
      <c r="F212">
        <v>416</v>
      </c>
      <c r="G212" s="93" t="s">
        <v>78</v>
      </c>
      <c r="H212" t="s">
        <v>709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0">
        <v>212</v>
      </c>
      <c r="O212" s="90" t="s">
        <v>710</v>
      </c>
      <c r="P212" s="118" t="s">
        <v>1238</v>
      </c>
      <c r="Q212" s="118" t="s">
        <v>598</v>
      </c>
      <c r="V212" s="93" t="s">
        <v>708</v>
      </c>
      <c r="W212" s="93" t="s">
        <v>687</v>
      </c>
    </row>
    <row r="213" spans="1:23" x14ac:dyDescent="0.25">
      <c r="A213" s="90" t="s">
        <v>711</v>
      </c>
      <c r="B213" s="119">
        <v>6</v>
      </c>
      <c r="C213" s="90" t="s">
        <v>687</v>
      </c>
      <c r="D213" s="90" t="s">
        <v>851</v>
      </c>
      <c r="E213">
        <v>417</v>
      </c>
      <c r="F213">
        <v>418</v>
      </c>
      <c r="G213" s="93" t="s">
        <v>78</v>
      </c>
      <c r="H213" t="s">
        <v>712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0">
        <v>213</v>
      </c>
      <c r="O213" s="90" t="s">
        <v>713</v>
      </c>
      <c r="P213" s="118" t="s">
        <v>238</v>
      </c>
      <c r="Q213" s="118" t="s">
        <v>598</v>
      </c>
      <c r="V213" s="93" t="s">
        <v>711</v>
      </c>
      <c r="W213" s="93" t="s">
        <v>687</v>
      </c>
    </row>
    <row r="214" spans="1:23" x14ac:dyDescent="0.25">
      <c r="A214" s="90" t="s">
        <v>714</v>
      </c>
      <c r="B214" s="119">
        <v>6</v>
      </c>
      <c r="C214" s="90" t="s">
        <v>687</v>
      </c>
      <c r="D214" s="90" t="s">
        <v>852</v>
      </c>
      <c r="E214">
        <v>419</v>
      </c>
      <c r="F214">
        <v>420</v>
      </c>
      <c r="G214" s="93" t="s">
        <v>78</v>
      </c>
      <c r="H214" t="s">
        <v>715</v>
      </c>
      <c r="I214">
        <v>10</v>
      </c>
      <c r="J214">
        <v>23662</v>
      </c>
      <c r="K214">
        <f>I214*J214</f>
        <v>236620</v>
      </c>
      <c r="L214">
        <v>56.7</v>
      </c>
      <c r="M214">
        <f>(1-(L214/100))*K214</f>
        <v>102456.45999999999</v>
      </c>
      <c r="N214" s="90">
        <v>214</v>
      </c>
      <c r="O214" s="90" t="s">
        <v>716</v>
      </c>
      <c r="P214" s="118" t="s">
        <v>240</v>
      </c>
      <c r="Q214" s="118" t="s">
        <v>598</v>
      </c>
      <c r="V214" s="93" t="s">
        <v>714</v>
      </c>
      <c r="W214" s="93" t="s">
        <v>687</v>
      </c>
    </row>
    <row r="215" spans="1:23" x14ac:dyDescent="0.25">
      <c r="A215" s="90" t="s">
        <v>717</v>
      </c>
      <c r="B215" s="119">
        <v>6</v>
      </c>
      <c r="C215" s="90" t="s">
        <v>687</v>
      </c>
      <c r="D215" s="90" t="s">
        <v>853</v>
      </c>
      <c r="E215">
        <v>421</v>
      </c>
      <c r="F215">
        <v>422</v>
      </c>
      <c r="G215" s="93" t="s">
        <v>78</v>
      </c>
      <c r="H215" t="s">
        <v>718</v>
      </c>
      <c r="I215">
        <v>200</v>
      </c>
      <c r="J215">
        <v>10043.295555840001</v>
      </c>
      <c r="K215">
        <f>I215*J215</f>
        <v>2008659.1111680001</v>
      </c>
      <c r="L215">
        <v>63.92</v>
      </c>
      <c r="M215">
        <f>(1-(L215/100))*K215</f>
        <v>724724.20730941452</v>
      </c>
      <c r="N215" s="90">
        <v>215</v>
      </c>
      <c r="O215" s="90" t="s">
        <v>719</v>
      </c>
      <c r="P215" s="118" t="s">
        <v>242</v>
      </c>
      <c r="Q215" s="118" t="s">
        <v>598</v>
      </c>
      <c r="V215" s="93" t="s">
        <v>717</v>
      </c>
      <c r="W215" s="93" t="s">
        <v>687</v>
      </c>
    </row>
    <row r="216" spans="1:23" x14ac:dyDescent="0.25">
      <c r="A216" s="90" t="s">
        <v>720</v>
      </c>
      <c r="B216" s="119">
        <v>6</v>
      </c>
      <c r="C216" s="90" t="s">
        <v>687</v>
      </c>
      <c r="D216" s="90" t="s">
        <v>127</v>
      </c>
      <c r="E216">
        <v>423</v>
      </c>
      <c r="F216">
        <v>424</v>
      </c>
      <c r="G216" s="93" t="s">
        <v>78</v>
      </c>
      <c r="H216" t="s">
        <v>721</v>
      </c>
      <c r="I216">
        <v>200</v>
      </c>
      <c r="J216">
        <v>882.46529988999998</v>
      </c>
      <c r="K216">
        <f>I216*J216</f>
        <v>176493.059978</v>
      </c>
      <c r="L216">
        <v>63.92</v>
      </c>
      <c r="M216">
        <f>(1-(L216/100))*K216</f>
        <v>63678.696040062401</v>
      </c>
      <c r="N216" s="90">
        <v>216</v>
      </c>
      <c r="O216" s="90" t="s">
        <v>722</v>
      </c>
      <c r="P216" s="118" t="s">
        <v>244</v>
      </c>
      <c r="Q216" s="118" t="s">
        <v>598</v>
      </c>
      <c r="V216" s="93" t="s">
        <v>720</v>
      </c>
      <c r="W216" s="93" t="s">
        <v>687</v>
      </c>
    </row>
    <row r="217" spans="1:23" x14ac:dyDescent="0.25">
      <c r="A217" s="90" t="s">
        <v>723</v>
      </c>
      <c r="B217" s="119">
        <v>6</v>
      </c>
      <c r="C217" s="90" t="s">
        <v>687</v>
      </c>
      <c r="D217" s="90" t="s">
        <v>128</v>
      </c>
      <c r="E217">
        <v>425</v>
      </c>
      <c r="F217">
        <v>426</v>
      </c>
      <c r="G217" s="93" t="s">
        <v>78</v>
      </c>
      <c r="H217" t="s">
        <v>724</v>
      </c>
      <c r="I217">
        <v>200</v>
      </c>
      <c r="J217">
        <v>662.16732459000002</v>
      </c>
      <c r="K217">
        <f>I217*J217</f>
        <v>132433.46491800001</v>
      </c>
      <c r="L217">
        <v>63.92</v>
      </c>
      <c r="M217">
        <f>(1-(L217/100))*K217</f>
        <v>47781.994142414405</v>
      </c>
      <c r="N217" s="90">
        <v>217</v>
      </c>
      <c r="O217" s="90" t="s">
        <v>725</v>
      </c>
      <c r="P217" s="118" t="s">
        <v>1239</v>
      </c>
      <c r="Q217" s="118" t="s">
        <v>598</v>
      </c>
      <c r="V217" s="93" t="s">
        <v>723</v>
      </c>
      <c r="W217" s="93" t="s">
        <v>687</v>
      </c>
    </row>
    <row r="218" spans="1:23" x14ac:dyDescent="0.25">
      <c r="A218" s="90" t="s">
        <v>726</v>
      </c>
      <c r="B218" s="119">
        <v>6</v>
      </c>
      <c r="C218" s="90" t="s">
        <v>687</v>
      </c>
      <c r="D218" s="90" t="s">
        <v>129</v>
      </c>
      <c r="E218">
        <v>427</v>
      </c>
      <c r="F218">
        <v>428</v>
      </c>
      <c r="G218" s="93" t="s">
        <v>78</v>
      </c>
      <c r="H218" t="s">
        <v>727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 s="90">
        <v>218</v>
      </c>
      <c r="O218" s="90" t="s">
        <v>728</v>
      </c>
      <c r="P218" s="118" t="s">
        <v>247</v>
      </c>
      <c r="Q218" s="118" t="s">
        <v>598</v>
      </c>
      <c r="V218" s="93" t="s">
        <v>726</v>
      </c>
      <c r="W218" s="93" t="s">
        <v>687</v>
      </c>
    </row>
    <row r="219" spans="1:23" x14ac:dyDescent="0.25">
      <c r="A219" s="90" t="s">
        <v>729</v>
      </c>
      <c r="B219" s="119">
        <v>6</v>
      </c>
      <c r="C219" s="90" t="s">
        <v>687</v>
      </c>
      <c r="D219" s="90" t="s">
        <v>130</v>
      </c>
      <c r="E219">
        <v>429</v>
      </c>
      <c r="F219">
        <v>430</v>
      </c>
      <c r="G219" s="93" t="s">
        <v>78</v>
      </c>
      <c r="H219" t="s">
        <v>730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0">
        <v>219</v>
      </c>
      <c r="O219" s="90" t="s">
        <v>731</v>
      </c>
      <c r="P219" s="118" t="s">
        <v>250</v>
      </c>
      <c r="Q219" s="118" t="s">
        <v>598</v>
      </c>
      <c r="V219" s="93" t="s">
        <v>729</v>
      </c>
      <c r="W219" s="93" t="s">
        <v>687</v>
      </c>
    </row>
    <row r="220" spans="1:23" x14ac:dyDescent="0.25">
      <c r="A220" s="90" t="s">
        <v>732</v>
      </c>
      <c r="B220" s="119">
        <v>6</v>
      </c>
      <c r="C220" s="90" t="s">
        <v>687</v>
      </c>
      <c r="D220" s="90" t="s">
        <v>82</v>
      </c>
      <c r="E220">
        <v>431</v>
      </c>
      <c r="F220">
        <v>432</v>
      </c>
      <c r="G220" s="93" t="s">
        <v>78</v>
      </c>
      <c r="H220" t="s">
        <v>733</v>
      </c>
      <c r="I220">
        <v>200</v>
      </c>
      <c r="J220">
        <v>882.46529988999998</v>
      </c>
      <c r="K220">
        <f>I220*J220</f>
        <v>176493.059978</v>
      </c>
      <c r="L220">
        <v>63.92</v>
      </c>
      <c r="M220">
        <f>(1-(L220/100))*K220</f>
        <v>63678.696040062401</v>
      </c>
      <c r="N220" s="90">
        <v>220</v>
      </c>
      <c r="O220" s="90" t="s">
        <v>734</v>
      </c>
      <c r="P220" s="118" t="s">
        <v>252</v>
      </c>
      <c r="Q220" s="118" t="s">
        <v>598</v>
      </c>
      <c r="V220" s="93" t="s">
        <v>732</v>
      </c>
      <c r="W220" s="93" t="s">
        <v>687</v>
      </c>
    </row>
    <row r="221" spans="1:23" x14ac:dyDescent="0.25">
      <c r="A221" s="90" t="s">
        <v>735</v>
      </c>
      <c r="B221" s="119">
        <v>5</v>
      </c>
      <c r="C221" s="90" t="s">
        <v>684</v>
      </c>
      <c r="D221" s="90" t="s">
        <v>79</v>
      </c>
      <c r="E221">
        <v>434</v>
      </c>
      <c r="F221">
        <v>439</v>
      </c>
      <c r="G221" s="93" t="s">
        <v>68</v>
      </c>
      <c r="H221" t="s">
        <v>736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 s="90">
        <v>221</v>
      </c>
      <c r="O221" s="90" t="s">
        <v>737</v>
      </c>
      <c r="P221" s="118" t="s">
        <v>255</v>
      </c>
      <c r="Q221" s="118" t="s">
        <v>598</v>
      </c>
      <c r="R221" s="90" t="s">
        <v>1015</v>
      </c>
      <c r="S221" s="90" t="s">
        <v>1069</v>
      </c>
      <c r="T221" s="90" t="s">
        <v>1096</v>
      </c>
      <c r="U221" s="90" t="s">
        <v>1042</v>
      </c>
      <c r="V221" s="93" t="s">
        <v>735</v>
      </c>
      <c r="W221" s="93" t="s">
        <v>684</v>
      </c>
    </row>
    <row r="222" spans="1:23" x14ac:dyDescent="0.25">
      <c r="A222" s="90" t="s">
        <v>738</v>
      </c>
      <c r="B222" s="119">
        <v>6</v>
      </c>
      <c r="C222" s="90" t="s">
        <v>735</v>
      </c>
      <c r="D222" s="90" t="s">
        <v>78</v>
      </c>
      <c r="E222">
        <v>435</v>
      </c>
      <c r="F222">
        <v>438</v>
      </c>
      <c r="G222" s="93" t="s">
        <v>68</v>
      </c>
      <c r="H222" t="s">
        <v>739</v>
      </c>
      <c r="I222">
        <v>1</v>
      </c>
      <c r="J222">
        <f>SUM(K223)</f>
        <v>3944</v>
      </c>
      <c r="K222">
        <f>I222*J222</f>
        <v>3944</v>
      </c>
      <c r="L222">
        <f>100*(1-(M222/K222))</f>
        <v>100</v>
      </c>
      <c r="M222">
        <f>I222*SUM(M223)</f>
        <v>0</v>
      </c>
      <c r="N222" s="90">
        <v>222</v>
      </c>
      <c r="O222" s="90" t="s">
        <v>740</v>
      </c>
      <c r="P222" s="118" t="s">
        <v>1240</v>
      </c>
      <c r="Q222" s="118" t="s">
        <v>598</v>
      </c>
      <c r="R222" s="90" t="s">
        <v>882</v>
      </c>
      <c r="S222" s="90" t="s">
        <v>952</v>
      </c>
      <c r="T222" s="90" t="s">
        <v>987</v>
      </c>
      <c r="U222" s="90" t="s">
        <v>917</v>
      </c>
      <c r="V222" s="93" t="s">
        <v>738</v>
      </c>
      <c r="W222" s="93" t="s">
        <v>735</v>
      </c>
    </row>
    <row r="223" spans="1:23" x14ac:dyDescent="0.25">
      <c r="A223" s="90" t="s">
        <v>741</v>
      </c>
      <c r="B223" s="119">
        <v>7</v>
      </c>
      <c r="C223" s="90" t="s">
        <v>738</v>
      </c>
      <c r="D223" s="90" t="s">
        <v>78</v>
      </c>
      <c r="E223">
        <v>436</v>
      </c>
      <c r="F223">
        <v>437</v>
      </c>
      <c r="G223" s="93" t="s">
        <v>78</v>
      </c>
      <c r="H223" t="s">
        <v>742</v>
      </c>
      <c r="I223">
        <v>1</v>
      </c>
      <c r="J223">
        <v>3944</v>
      </c>
      <c r="K223">
        <f>I223*J223</f>
        <v>3944</v>
      </c>
      <c r="L223">
        <v>100</v>
      </c>
      <c r="M223">
        <f>(1-(L223/100))*K223</f>
        <v>0</v>
      </c>
      <c r="N223" s="90">
        <v>223</v>
      </c>
      <c r="O223" s="90" t="s">
        <v>743</v>
      </c>
      <c r="P223" s="118" t="s">
        <v>258</v>
      </c>
      <c r="Q223" s="118" t="s">
        <v>598</v>
      </c>
      <c r="V223" s="93" t="s">
        <v>741</v>
      </c>
      <c r="W223" s="93" t="s">
        <v>738</v>
      </c>
    </row>
    <row r="224" spans="1:23" x14ac:dyDescent="0.25">
      <c r="A224" s="90" t="s">
        <v>744</v>
      </c>
      <c r="B224" s="119">
        <v>4</v>
      </c>
      <c r="C224" s="90" t="s">
        <v>681</v>
      </c>
      <c r="D224" s="90" t="s">
        <v>79</v>
      </c>
      <c r="E224">
        <v>441</v>
      </c>
      <c r="F224">
        <v>452</v>
      </c>
      <c r="G224" s="93" t="s">
        <v>68</v>
      </c>
      <c r="H224" t="s">
        <v>745</v>
      </c>
      <c r="I224">
        <v>1</v>
      </c>
      <c r="J224">
        <f>SUM(K225)</f>
        <v>423978.09752900002</v>
      </c>
      <c r="K224">
        <f>I224*J224</f>
        <v>423978.09752900002</v>
      </c>
      <c r="L224">
        <f>100*(1-(M224/K224))</f>
        <v>27.83</v>
      </c>
      <c r="M224">
        <f>I224*SUM(M225)</f>
        <v>305984.99298667931</v>
      </c>
      <c r="N224" s="90">
        <v>224</v>
      </c>
      <c r="O224" s="90" t="s">
        <v>746</v>
      </c>
      <c r="P224" s="118" t="s">
        <v>260</v>
      </c>
      <c r="Q224" s="118" t="s">
        <v>598</v>
      </c>
      <c r="R224" s="90" t="s">
        <v>1016</v>
      </c>
      <c r="S224" s="90" t="s">
        <v>1070</v>
      </c>
      <c r="T224" s="90" t="s">
        <v>1097</v>
      </c>
      <c r="U224" s="90" t="s">
        <v>1043</v>
      </c>
      <c r="V224" s="93" t="s">
        <v>744</v>
      </c>
      <c r="W224" s="93" t="s">
        <v>681</v>
      </c>
    </row>
    <row r="225" spans="1:23" x14ac:dyDescent="0.25">
      <c r="A225" s="90" t="s">
        <v>747</v>
      </c>
      <c r="B225" s="119">
        <v>5</v>
      </c>
      <c r="C225" s="90" t="s">
        <v>744</v>
      </c>
      <c r="D225" s="90" t="s">
        <v>78</v>
      </c>
      <c r="E225">
        <v>442</v>
      </c>
      <c r="F225">
        <v>451</v>
      </c>
      <c r="G225" s="93" t="s">
        <v>68</v>
      </c>
      <c r="H225" t="s">
        <v>748</v>
      </c>
      <c r="I225">
        <v>1</v>
      </c>
      <c r="J225">
        <f>SUM(K226,K227,K228,K229)</f>
        <v>423978.09752900002</v>
      </c>
      <c r="K225">
        <f>I225*J225</f>
        <v>423978.09752900002</v>
      </c>
      <c r="L225">
        <f>100*(1-(M225/K225))</f>
        <v>27.83</v>
      </c>
      <c r="M225">
        <f>I225*SUM(M226,M227,M228,M229)</f>
        <v>305984.99298667931</v>
      </c>
      <c r="N225" s="90">
        <v>225</v>
      </c>
      <c r="O225" s="90" t="s">
        <v>749</v>
      </c>
      <c r="P225" s="118" t="s">
        <v>262</v>
      </c>
      <c r="Q225" s="118" t="s">
        <v>598</v>
      </c>
      <c r="R225" s="90" t="s">
        <v>883</v>
      </c>
      <c r="S225" s="90" t="s">
        <v>953</v>
      </c>
      <c r="T225" s="90" t="s">
        <v>988</v>
      </c>
      <c r="U225" s="90" t="s">
        <v>918</v>
      </c>
      <c r="V225" s="93" t="s">
        <v>747</v>
      </c>
      <c r="W225" s="93" t="s">
        <v>744</v>
      </c>
    </row>
    <row r="226" spans="1:23" x14ac:dyDescent="0.25">
      <c r="A226" s="90" t="s">
        <v>750</v>
      </c>
      <c r="B226" s="119">
        <v>6</v>
      </c>
      <c r="C226" s="90" t="s">
        <v>747</v>
      </c>
      <c r="D226" s="90" t="s">
        <v>78</v>
      </c>
      <c r="E226">
        <v>443</v>
      </c>
      <c r="F226">
        <v>444</v>
      </c>
      <c r="G226" s="93" t="s">
        <v>78</v>
      </c>
      <c r="H226" t="s">
        <v>751</v>
      </c>
      <c r="I226">
        <v>20</v>
      </c>
      <c r="J226">
        <v>2410.54374125</v>
      </c>
      <c r="K226">
        <f>I226*J226</f>
        <v>48210.874824999999</v>
      </c>
      <c r="L226">
        <v>27.83</v>
      </c>
      <c r="M226">
        <f>(1-(L226/100))*K226</f>
        <v>34793.788361202496</v>
      </c>
      <c r="N226" s="90">
        <v>226</v>
      </c>
      <c r="O226" s="90" t="s">
        <v>752</v>
      </c>
      <c r="P226" s="118" t="s">
        <v>264</v>
      </c>
      <c r="Q226" s="118" t="s">
        <v>598</v>
      </c>
      <c r="V226" s="93" t="s">
        <v>750</v>
      </c>
      <c r="W226" s="93" t="s">
        <v>747</v>
      </c>
    </row>
    <row r="227" spans="1:23" x14ac:dyDescent="0.25">
      <c r="A227" s="90" t="s">
        <v>753</v>
      </c>
      <c r="B227" s="119">
        <v>6</v>
      </c>
      <c r="C227" s="90" t="s">
        <v>747</v>
      </c>
      <c r="D227" s="90" t="s">
        <v>79</v>
      </c>
      <c r="E227">
        <v>445</v>
      </c>
      <c r="F227">
        <v>446</v>
      </c>
      <c r="G227" s="93" t="s">
        <v>78</v>
      </c>
      <c r="H227" t="s">
        <v>754</v>
      </c>
      <c r="I227">
        <v>200</v>
      </c>
      <c r="J227">
        <v>803.51458042000002</v>
      </c>
      <c r="K227">
        <f>I227*J227</f>
        <v>160702.916084</v>
      </c>
      <c r="L227">
        <v>27.83</v>
      </c>
      <c r="M227">
        <f>(1-(L227/100))*K227</f>
        <v>115979.2945378228</v>
      </c>
      <c r="N227" s="90">
        <v>227</v>
      </c>
      <c r="O227" s="90" t="s">
        <v>755</v>
      </c>
      <c r="P227" s="118" t="s">
        <v>1241</v>
      </c>
      <c r="Q227" s="118" t="s">
        <v>598</v>
      </c>
      <c r="V227" s="93" t="s">
        <v>753</v>
      </c>
      <c r="W227" s="93" t="s">
        <v>747</v>
      </c>
    </row>
    <row r="228" spans="1:23" x14ac:dyDescent="0.25">
      <c r="A228" s="90" t="s">
        <v>756</v>
      </c>
      <c r="B228" s="119">
        <v>6</v>
      </c>
      <c r="C228" s="90" t="s">
        <v>747</v>
      </c>
      <c r="D228" s="90" t="s">
        <v>80</v>
      </c>
      <c r="E228">
        <v>447</v>
      </c>
      <c r="F228">
        <v>448</v>
      </c>
      <c r="G228" s="93" t="s">
        <v>78</v>
      </c>
      <c r="H228" t="s">
        <v>757</v>
      </c>
      <c r="I228">
        <v>1000</v>
      </c>
      <c r="J228">
        <v>33.108366230000001</v>
      </c>
      <c r="K228">
        <f>I228*J228</f>
        <v>33108.36623</v>
      </c>
      <c r="L228">
        <v>27.83</v>
      </c>
      <c r="M228">
        <f>(1-(L228/100))*K228</f>
        <v>23894.307908191</v>
      </c>
      <c r="N228" s="90">
        <v>228</v>
      </c>
      <c r="O228" s="90" t="s">
        <v>758</v>
      </c>
      <c r="P228" s="118" t="s">
        <v>266</v>
      </c>
      <c r="Q228" s="118" t="s">
        <v>598</v>
      </c>
      <c r="V228" s="93" t="s">
        <v>756</v>
      </c>
      <c r="W228" s="93" t="s">
        <v>747</v>
      </c>
    </row>
    <row r="229" spans="1:23" x14ac:dyDescent="0.25">
      <c r="A229" s="90" t="s">
        <v>759</v>
      </c>
      <c r="B229" s="119">
        <v>6</v>
      </c>
      <c r="C229" s="90" t="s">
        <v>747</v>
      </c>
      <c r="D229" s="90" t="s">
        <v>125</v>
      </c>
      <c r="E229">
        <v>449</v>
      </c>
      <c r="F229">
        <v>450</v>
      </c>
      <c r="G229" s="93" t="s">
        <v>78</v>
      </c>
      <c r="H229" t="s">
        <v>760</v>
      </c>
      <c r="I229">
        <v>3000</v>
      </c>
      <c r="J229">
        <v>60.651980129999998</v>
      </c>
      <c r="K229">
        <f>I229*J229</f>
        <v>181955.94039</v>
      </c>
      <c r="L229">
        <v>27.83</v>
      </c>
      <c r="M229">
        <f>(1-(L229/100))*K229</f>
        <v>131317.60217946299</v>
      </c>
      <c r="N229" s="90">
        <v>229</v>
      </c>
      <c r="O229" s="90" t="s">
        <v>761</v>
      </c>
      <c r="P229" s="118" t="s">
        <v>268</v>
      </c>
      <c r="Q229" s="118" t="s">
        <v>598</v>
      </c>
      <c r="V229" s="93" t="s">
        <v>759</v>
      </c>
      <c r="W229" s="93" t="s">
        <v>747</v>
      </c>
    </row>
    <row r="230" spans="1:23" x14ac:dyDescent="0.25">
      <c r="A230" s="90" t="s">
        <v>762</v>
      </c>
      <c r="B230" s="119">
        <v>3</v>
      </c>
      <c r="C230" s="90" t="s">
        <v>597</v>
      </c>
      <c r="D230" s="90" t="s">
        <v>80</v>
      </c>
      <c r="E230">
        <v>454</v>
      </c>
      <c r="F230">
        <v>461</v>
      </c>
      <c r="G230" s="93" t="s">
        <v>68</v>
      </c>
      <c r="H230" t="s">
        <v>763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 s="90">
        <v>230</v>
      </c>
      <c r="O230" s="90" t="s">
        <v>764</v>
      </c>
      <c r="P230" s="118" t="s">
        <v>270</v>
      </c>
      <c r="Q230" s="118" t="s">
        <v>598</v>
      </c>
      <c r="R230" s="90" t="s">
        <v>1121</v>
      </c>
      <c r="S230" s="90" t="s">
        <v>1165</v>
      </c>
      <c r="T230" s="90" t="s">
        <v>1187</v>
      </c>
      <c r="U230" s="90" t="s">
        <v>1143</v>
      </c>
      <c r="V230" s="93" t="s">
        <v>762</v>
      </c>
      <c r="W230" s="93" t="s">
        <v>597</v>
      </c>
    </row>
    <row r="231" spans="1:23" x14ac:dyDescent="0.25">
      <c r="A231" s="90" t="s">
        <v>765</v>
      </c>
      <c r="B231" s="119">
        <v>4</v>
      </c>
      <c r="C231" s="90" t="s">
        <v>762</v>
      </c>
      <c r="D231" s="90" t="s">
        <v>78</v>
      </c>
      <c r="E231">
        <v>455</v>
      </c>
      <c r="F231">
        <v>460</v>
      </c>
      <c r="G231" s="93" t="s">
        <v>68</v>
      </c>
      <c r="H231" t="s">
        <v>763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 s="90">
        <v>231</v>
      </c>
      <c r="O231" s="90" t="s">
        <v>766</v>
      </c>
      <c r="P231" s="118" t="s">
        <v>272</v>
      </c>
      <c r="Q231" s="118" t="s">
        <v>598</v>
      </c>
      <c r="R231" s="90" t="s">
        <v>1017</v>
      </c>
      <c r="S231" s="90" t="s">
        <v>1071</v>
      </c>
      <c r="T231" s="90" t="s">
        <v>1098</v>
      </c>
      <c r="U231" s="90" t="s">
        <v>1044</v>
      </c>
      <c r="V231" s="93" t="s">
        <v>765</v>
      </c>
      <c r="W231" s="93" t="s">
        <v>762</v>
      </c>
    </row>
    <row r="232" spans="1:23" x14ac:dyDescent="0.25">
      <c r="A232" s="90" t="s">
        <v>767</v>
      </c>
      <c r="B232" s="119">
        <v>5</v>
      </c>
      <c r="C232" s="90" t="s">
        <v>765</v>
      </c>
      <c r="D232" s="90" t="s">
        <v>78</v>
      </c>
      <c r="E232">
        <v>456</v>
      </c>
      <c r="F232">
        <v>459</v>
      </c>
      <c r="G232" s="93" t="s">
        <v>68</v>
      </c>
      <c r="H232" t="s">
        <v>763</v>
      </c>
      <c r="I232">
        <v>1</v>
      </c>
      <c r="J232">
        <f>SUM(K233)</f>
        <v>647424</v>
      </c>
      <c r="K232">
        <f>I232*J232</f>
        <v>647424</v>
      </c>
      <c r="L232">
        <f>100*(1-(M232/K232))</f>
        <v>44.07</v>
      </c>
      <c r="M232">
        <f>I232*SUM(M233)</f>
        <v>362104.24320000003</v>
      </c>
      <c r="N232" s="90">
        <v>232</v>
      </c>
      <c r="O232" s="90" t="s">
        <v>768</v>
      </c>
      <c r="P232" s="118" t="s">
        <v>1242</v>
      </c>
      <c r="Q232" s="118" t="s">
        <v>598</v>
      </c>
      <c r="R232" s="90" t="s">
        <v>884</v>
      </c>
      <c r="S232" s="90" t="s">
        <v>954</v>
      </c>
      <c r="T232" s="90" t="s">
        <v>989</v>
      </c>
      <c r="U232" s="90" t="s">
        <v>919</v>
      </c>
      <c r="V232" s="93" t="s">
        <v>767</v>
      </c>
      <c r="W232" s="93" t="s">
        <v>765</v>
      </c>
    </row>
    <row r="233" spans="1:23" x14ac:dyDescent="0.25">
      <c r="A233" s="90" t="s">
        <v>769</v>
      </c>
      <c r="B233" s="119">
        <v>6</v>
      </c>
      <c r="C233" s="90" t="s">
        <v>767</v>
      </c>
      <c r="D233" s="90" t="s">
        <v>78</v>
      </c>
      <c r="E233">
        <v>457</v>
      </c>
      <c r="F233">
        <v>458</v>
      </c>
      <c r="G233" s="93" t="s">
        <v>78</v>
      </c>
      <c r="H233" t="s">
        <v>763</v>
      </c>
      <c r="I233">
        <v>4496</v>
      </c>
      <c r="J233">
        <v>144</v>
      </c>
      <c r="K233">
        <f>I233*J233</f>
        <v>647424</v>
      </c>
      <c r="L233">
        <v>44.07</v>
      </c>
      <c r="M233">
        <f>(1-(L233/100))*K233</f>
        <v>362104.24320000003</v>
      </c>
      <c r="N233" s="90">
        <v>233</v>
      </c>
      <c r="O233" s="90" t="s">
        <v>770</v>
      </c>
      <c r="P233" s="118" t="s">
        <v>275</v>
      </c>
      <c r="Q233" s="118" t="s">
        <v>598</v>
      </c>
      <c r="V233" s="93" t="s">
        <v>769</v>
      </c>
      <c r="W233" s="93" t="s">
        <v>767</v>
      </c>
    </row>
    <row r="234" spans="1:23" x14ac:dyDescent="0.25">
      <c r="A234" s="90" t="s">
        <v>771</v>
      </c>
      <c r="B234" s="119">
        <v>3</v>
      </c>
      <c r="C234" s="90" t="s">
        <v>597</v>
      </c>
      <c r="D234" s="90" t="s">
        <v>125</v>
      </c>
      <c r="E234">
        <v>462</v>
      </c>
      <c r="F234">
        <v>479</v>
      </c>
      <c r="G234" s="93" t="s">
        <v>68</v>
      </c>
      <c r="H234" t="s">
        <v>772</v>
      </c>
      <c r="I234">
        <v>1</v>
      </c>
      <c r="J234">
        <f>SUM(K235,K238)</f>
        <v>1207166.72</v>
      </c>
      <c r="K234">
        <f>I234*J234</f>
        <v>1207166.72</v>
      </c>
      <c r="L234">
        <f>100*(1-(M234/K234))</f>
        <v>53.256628275504482</v>
      </c>
      <c r="M234">
        <f>I234*SUM(M235,M238)</f>
        <v>564270.42726400006</v>
      </c>
      <c r="N234" s="90">
        <v>234</v>
      </c>
      <c r="O234" s="90" t="s">
        <v>773</v>
      </c>
      <c r="P234" s="118" t="s">
        <v>278</v>
      </c>
      <c r="Q234" s="118" t="s">
        <v>598</v>
      </c>
      <c r="R234" s="90" t="s">
        <v>1122</v>
      </c>
      <c r="S234" s="90" t="s">
        <v>1166</v>
      </c>
      <c r="T234" s="90" t="s">
        <v>1188</v>
      </c>
      <c r="U234" s="90" t="s">
        <v>1144</v>
      </c>
      <c r="V234" s="93" t="s">
        <v>771</v>
      </c>
      <c r="W234" s="93" t="s">
        <v>597</v>
      </c>
    </row>
    <row r="235" spans="1:23" x14ac:dyDescent="0.25">
      <c r="A235" s="90" t="s">
        <v>774</v>
      </c>
      <c r="B235" s="119">
        <v>4</v>
      </c>
      <c r="C235" s="90" t="s">
        <v>771</v>
      </c>
      <c r="D235" s="90" t="s">
        <v>78</v>
      </c>
      <c r="E235">
        <v>463</v>
      </c>
      <c r="F235">
        <v>468</v>
      </c>
      <c r="G235" s="93" t="s">
        <v>68</v>
      </c>
      <c r="H235" t="s">
        <v>775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 s="90">
        <v>235</v>
      </c>
      <c r="O235" s="90" t="s">
        <v>776</v>
      </c>
      <c r="P235" s="118" t="s">
        <v>280</v>
      </c>
      <c r="Q235" s="118" t="s">
        <v>598</v>
      </c>
      <c r="R235" s="90" t="s">
        <v>1018</v>
      </c>
      <c r="S235" s="90" t="s">
        <v>1072</v>
      </c>
      <c r="T235" s="90" t="s">
        <v>1099</v>
      </c>
      <c r="U235" s="90" t="s">
        <v>1045</v>
      </c>
      <c r="V235" s="93" t="s">
        <v>774</v>
      </c>
      <c r="W235" s="93" t="s">
        <v>771</v>
      </c>
    </row>
    <row r="236" spans="1:23" x14ac:dyDescent="0.25">
      <c r="A236" s="90" t="s">
        <v>777</v>
      </c>
      <c r="B236" s="119">
        <v>5</v>
      </c>
      <c r="C236" s="90" t="s">
        <v>774</v>
      </c>
      <c r="D236" s="90" t="s">
        <v>78</v>
      </c>
      <c r="E236">
        <v>464</v>
      </c>
      <c r="F236">
        <v>467</v>
      </c>
      <c r="G236" s="93" t="s">
        <v>68</v>
      </c>
      <c r="H236" t="s">
        <v>778</v>
      </c>
      <c r="I236">
        <v>1</v>
      </c>
      <c r="J236">
        <f>SUM(K237)</f>
        <v>876720</v>
      </c>
      <c r="K236">
        <f>I236*J236</f>
        <v>876720</v>
      </c>
      <c r="L236">
        <f>100*(1-(M236/K236))</f>
        <v>44.07</v>
      </c>
      <c r="M236">
        <f>I236*SUM(M237)</f>
        <v>490349.49600000004</v>
      </c>
      <c r="N236" s="90">
        <v>236</v>
      </c>
      <c r="O236" s="90" t="s">
        <v>779</v>
      </c>
      <c r="P236" s="118" t="s">
        <v>283</v>
      </c>
      <c r="Q236" s="118" t="s">
        <v>598</v>
      </c>
      <c r="R236" s="90" t="s">
        <v>885</v>
      </c>
      <c r="S236" s="90" t="s">
        <v>955</v>
      </c>
      <c r="T236" s="90" t="s">
        <v>990</v>
      </c>
      <c r="U236" s="90" t="s">
        <v>920</v>
      </c>
      <c r="V236" s="93" t="s">
        <v>777</v>
      </c>
      <c r="W236" s="93" t="s">
        <v>774</v>
      </c>
    </row>
    <row r="237" spans="1:23" x14ac:dyDescent="0.25">
      <c r="A237" s="90" t="s">
        <v>780</v>
      </c>
      <c r="B237" s="119">
        <v>6</v>
      </c>
      <c r="C237" s="90" t="s">
        <v>777</v>
      </c>
      <c r="D237" s="90" t="s">
        <v>78</v>
      </c>
      <c r="E237">
        <v>465</v>
      </c>
      <c r="F237">
        <v>466</v>
      </c>
      <c r="G237" s="93" t="s">
        <v>78</v>
      </c>
      <c r="H237" t="s">
        <v>781</v>
      </c>
      <c r="I237">
        <v>4496</v>
      </c>
      <c r="J237">
        <v>195</v>
      </c>
      <c r="K237">
        <f>I237*J237</f>
        <v>876720</v>
      </c>
      <c r="L237">
        <v>44.07</v>
      </c>
      <c r="M237">
        <f>(1-(L237/100))*K237</f>
        <v>490349.49600000004</v>
      </c>
      <c r="N237" s="90">
        <v>237</v>
      </c>
      <c r="O237" s="90" t="s">
        <v>782</v>
      </c>
      <c r="P237" s="118" t="s">
        <v>1243</v>
      </c>
      <c r="Q237" s="118" t="s">
        <v>598</v>
      </c>
      <c r="V237" s="93" t="s">
        <v>780</v>
      </c>
      <c r="W237" s="93" t="s">
        <v>777</v>
      </c>
    </row>
    <row r="238" spans="1:23" x14ac:dyDescent="0.25">
      <c r="A238" s="90" t="s">
        <v>783</v>
      </c>
      <c r="B238" s="119">
        <v>4</v>
      </c>
      <c r="C238" s="90" t="s">
        <v>771</v>
      </c>
      <c r="D238" s="90" t="s">
        <v>79</v>
      </c>
      <c r="E238">
        <v>469</v>
      </c>
      <c r="F238">
        <v>478</v>
      </c>
      <c r="G238" s="93" t="s">
        <v>68</v>
      </c>
      <c r="H238" t="s">
        <v>784</v>
      </c>
      <c r="I238">
        <v>1</v>
      </c>
      <c r="J238">
        <f>SUM(K239,K241)</f>
        <v>330446.71999999997</v>
      </c>
      <c r="K238">
        <f>I238*J238</f>
        <v>330446.71999999997</v>
      </c>
      <c r="L238">
        <f>100*(1-(M238/K238))</f>
        <v>77.63</v>
      </c>
      <c r="M238">
        <f>I238*SUM(M239,M241)</f>
        <v>73920.931264000013</v>
      </c>
      <c r="N238" s="90">
        <v>238</v>
      </c>
      <c r="O238" s="90" t="s">
        <v>785</v>
      </c>
      <c r="P238" s="118" t="s">
        <v>286</v>
      </c>
      <c r="Q238" s="118" t="s">
        <v>598</v>
      </c>
      <c r="R238" s="90" t="s">
        <v>1019</v>
      </c>
      <c r="S238" s="90" t="s">
        <v>1073</v>
      </c>
      <c r="T238" s="90" t="s">
        <v>1100</v>
      </c>
      <c r="U238" s="90" t="s">
        <v>1046</v>
      </c>
      <c r="V238" s="93" t="s">
        <v>783</v>
      </c>
      <c r="W238" s="93" t="s">
        <v>771</v>
      </c>
    </row>
    <row r="239" spans="1:23" x14ac:dyDescent="0.25">
      <c r="A239" s="90" t="s">
        <v>786</v>
      </c>
      <c r="B239" s="119">
        <v>5</v>
      </c>
      <c r="C239" s="90" t="s">
        <v>783</v>
      </c>
      <c r="D239" s="90" t="s">
        <v>78</v>
      </c>
      <c r="E239">
        <v>470</v>
      </c>
      <c r="F239">
        <v>473</v>
      </c>
      <c r="G239" s="93" t="s">
        <v>68</v>
      </c>
      <c r="H239" t="s">
        <v>787</v>
      </c>
      <c r="I239">
        <v>45690</v>
      </c>
      <c r="J239">
        <f>SUM(K240)</f>
        <v>4.13</v>
      </c>
      <c r="K239">
        <f>I239*J239</f>
        <v>188699.69999999998</v>
      </c>
      <c r="L239">
        <f>100*(1-(M239/K239))</f>
        <v>77.63</v>
      </c>
      <c r="M239">
        <f>I239*SUM(M240)</f>
        <v>42212.122890000006</v>
      </c>
      <c r="N239" s="90">
        <v>239</v>
      </c>
      <c r="O239" s="90" t="s">
        <v>788</v>
      </c>
      <c r="P239" s="118" t="s">
        <v>1244</v>
      </c>
      <c r="Q239" s="118" t="s">
        <v>598</v>
      </c>
      <c r="R239" s="90" t="s">
        <v>886</v>
      </c>
      <c r="S239" s="90" t="s">
        <v>956</v>
      </c>
      <c r="T239" s="90" t="s">
        <v>991</v>
      </c>
      <c r="U239" s="90" t="s">
        <v>921</v>
      </c>
      <c r="V239" s="93" t="s">
        <v>786</v>
      </c>
      <c r="W239" s="93" t="s">
        <v>783</v>
      </c>
    </row>
    <row r="240" spans="1:23" x14ac:dyDescent="0.25">
      <c r="A240" s="90" t="s">
        <v>789</v>
      </c>
      <c r="B240" s="119">
        <v>6</v>
      </c>
      <c r="C240" s="90" t="s">
        <v>786</v>
      </c>
      <c r="D240" s="90" t="s">
        <v>78</v>
      </c>
      <c r="E240">
        <v>471</v>
      </c>
      <c r="F240">
        <v>472</v>
      </c>
      <c r="G240" s="93" t="s">
        <v>78</v>
      </c>
      <c r="H240" t="s">
        <v>790</v>
      </c>
      <c r="I240">
        <v>1</v>
      </c>
      <c r="J240">
        <v>4.13</v>
      </c>
      <c r="K240">
        <f>I240*J240</f>
        <v>4.13</v>
      </c>
      <c r="L240">
        <v>77.63</v>
      </c>
      <c r="M240">
        <f>(1-(L240/100))*K240</f>
        <v>0.92388100000000006</v>
      </c>
      <c r="N240" s="90">
        <v>240</v>
      </c>
      <c r="O240" s="90" t="s">
        <v>791</v>
      </c>
      <c r="P240" s="118" t="s">
        <v>289</v>
      </c>
      <c r="Q240" s="118" t="s">
        <v>598</v>
      </c>
      <c r="V240" s="93" t="s">
        <v>789</v>
      </c>
      <c r="W240" s="93" t="s">
        <v>786</v>
      </c>
    </row>
    <row r="241" spans="1:23" x14ac:dyDescent="0.25">
      <c r="A241" s="90" t="s">
        <v>792</v>
      </c>
      <c r="B241" s="119">
        <v>5</v>
      </c>
      <c r="C241" s="90" t="s">
        <v>783</v>
      </c>
      <c r="D241" s="90" t="s">
        <v>79</v>
      </c>
      <c r="E241">
        <v>474</v>
      </c>
      <c r="F241">
        <v>477</v>
      </c>
      <c r="G241" s="93" t="s">
        <v>68</v>
      </c>
      <c r="H241" t="s">
        <v>793</v>
      </c>
      <c r="I241">
        <v>11422</v>
      </c>
      <c r="J241">
        <f>SUM(K242)</f>
        <v>12.41</v>
      </c>
      <c r="K241">
        <f>I241*J241</f>
        <v>141747.01999999999</v>
      </c>
      <c r="L241">
        <f>100*(1-(M241/K241))</f>
        <v>77.63</v>
      </c>
      <c r="M241">
        <f>I241*SUM(M242)</f>
        <v>31708.808374</v>
      </c>
      <c r="N241" s="90">
        <v>241</v>
      </c>
      <c r="O241" s="90" t="s">
        <v>794</v>
      </c>
      <c r="P241" s="118" t="s">
        <v>291</v>
      </c>
      <c r="Q241" s="118" t="s">
        <v>598</v>
      </c>
      <c r="R241" s="90" t="s">
        <v>887</v>
      </c>
      <c r="S241" s="90" t="s">
        <v>957</v>
      </c>
      <c r="T241" s="90" t="s">
        <v>992</v>
      </c>
      <c r="U241" s="90" t="s">
        <v>922</v>
      </c>
      <c r="V241" s="93" t="s">
        <v>792</v>
      </c>
      <c r="W241" s="93" t="s">
        <v>783</v>
      </c>
    </row>
    <row r="242" spans="1:23" x14ac:dyDescent="0.25">
      <c r="A242" s="90" t="s">
        <v>795</v>
      </c>
      <c r="B242" s="119">
        <v>6</v>
      </c>
      <c r="C242" s="90" t="s">
        <v>792</v>
      </c>
      <c r="D242" s="90" t="s">
        <v>78</v>
      </c>
      <c r="E242">
        <v>475</v>
      </c>
      <c r="F242">
        <v>476</v>
      </c>
      <c r="G242" s="93" t="s">
        <v>78</v>
      </c>
      <c r="H242" t="s">
        <v>796</v>
      </c>
      <c r="I242">
        <v>1</v>
      </c>
      <c r="J242">
        <v>12.41</v>
      </c>
      <c r="K242">
        <f>I242*J242</f>
        <v>12.41</v>
      </c>
      <c r="L242">
        <v>77.63</v>
      </c>
      <c r="M242">
        <f>(1-(L242/100))*K242</f>
        <v>2.7761170000000002</v>
      </c>
      <c r="N242" s="90">
        <v>242</v>
      </c>
      <c r="O242" s="90" t="s">
        <v>797</v>
      </c>
      <c r="P242" s="118" t="s">
        <v>293</v>
      </c>
      <c r="Q242" s="118" t="s">
        <v>598</v>
      </c>
      <c r="V242" s="93" t="s">
        <v>795</v>
      </c>
      <c r="W242" s="93" t="s">
        <v>792</v>
      </c>
    </row>
    <row r="243" spans="1:23" x14ac:dyDescent="0.25">
      <c r="A243" s="90" t="s">
        <v>798</v>
      </c>
      <c r="B243" s="119">
        <v>3</v>
      </c>
      <c r="C243" s="90" t="s">
        <v>597</v>
      </c>
      <c r="D243" s="90" t="s">
        <v>126</v>
      </c>
      <c r="E243">
        <v>480</v>
      </c>
      <c r="F243">
        <v>491</v>
      </c>
      <c r="G243" s="93" t="s">
        <v>68</v>
      </c>
      <c r="H243" t="s">
        <v>799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 s="90">
        <v>243</v>
      </c>
      <c r="O243" s="90" t="s">
        <v>800</v>
      </c>
      <c r="P243" s="118" t="s">
        <v>296</v>
      </c>
      <c r="Q243" s="118" t="s">
        <v>598</v>
      </c>
      <c r="R243" s="90" t="s">
        <v>1123</v>
      </c>
      <c r="S243" s="90" t="s">
        <v>1167</v>
      </c>
      <c r="T243" s="90" t="s">
        <v>1189</v>
      </c>
      <c r="U243" s="90" t="s">
        <v>1145</v>
      </c>
      <c r="V243" s="93" t="s">
        <v>798</v>
      </c>
      <c r="W243" s="93" t="s">
        <v>597</v>
      </c>
    </row>
    <row r="244" spans="1:23" x14ac:dyDescent="0.25">
      <c r="A244" s="90" t="s">
        <v>801</v>
      </c>
      <c r="B244" s="119">
        <v>4</v>
      </c>
      <c r="C244" s="90" t="s">
        <v>798</v>
      </c>
      <c r="D244" s="90" t="s">
        <v>78</v>
      </c>
      <c r="E244">
        <v>481</v>
      </c>
      <c r="F244">
        <v>490</v>
      </c>
      <c r="G244" s="93" t="s">
        <v>68</v>
      </c>
      <c r="H244" t="s">
        <v>802</v>
      </c>
      <c r="I244">
        <v>1</v>
      </c>
      <c r="J244">
        <f>SUM(K245)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I244*SUM(M245)</f>
        <v>622340.25509999995</v>
      </c>
      <c r="N244" s="90">
        <v>244</v>
      </c>
      <c r="O244" s="90" t="s">
        <v>803</v>
      </c>
      <c r="P244" s="118" t="s">
        <v>1245</v>
      </c>
      <c r="Q244" s="118" t="s">
        <v>598</v>
      </c>
      <c r="R244" s="90" t="s">
        <v>1020</v>
      </c>
      <c r="S244" s="90" t="s">
        <v>1074</v>
      </c>
      <c r="T244" s="90" t="s">
        <v>1101</v>
      </c>
      <c r="U244" s="90" t="s">
        <v>1047</v>
      </c>
      <c r="V244" s="93" t="s">
        <v>801</v>
      </c>
      <c r="W244" s="93" t="s">
        <v>798</v>
      </c>
    </row>
    <row r="245" spans="1:23" x14ac:dyDescent="0.25">
      <c r="A245" s="90" t="s">
        <v>804</v>
      </c>
      <c r="B245" s="119">
        <v>5</v>
      </c>
      <c r="C245" s="90" t="s">
        <v>801</v>
      </c>
      <c r="D245" s="90" t="s">
        <v>78</v>
      </c>
      <c r="E245">
        <v>482</v>
      </c>
      <c r="F245">
        <v>489</v>
      </c>
      <c r="G245" s="93" t="s">
        <v>68</v>
      </c>
      <c r="H245" t="s">
        <v>799</v>
      </c>
      <c r="I245">
        <v>1</v>
      </c>
      <c r="J245">
        <f>SUM(K246,K247,K248)</f>
        <v>669183.07000000007</v>
      </c>
      <c r="K245">
        <f>I245*J245</f>
        <v>669183.07000000007</v>
      </c>
      <c r="L245">
        <f>100*(1-(M245/K245))</f>
        <v>7.0000000000000178</v>
      </c>
      <c r="M245">
        <f>I245*SUM(M246,M247,M248)</f>
        <v>622340.25509999995</v>
      </c>
      <c r="N245" s="90">
        <v>245</v>
      </c>
      <c r="O245" s="90" t="s">
        <v>805</v>
      </c>
      <c r="P245" s="118" t="s">
        <v>299</v>
      </c>
      <c r="Q245" s="118" t="s">
        <v>598</v>
      </c>
      <c r="R245" s="90" t="s">
        <v>888</v>
      </c>
      <c r="S245" s="90" t="s">
        <v>958</v>
      </c>
      <c r="T245" s="90" t="s">
        <v>993</v>
      </c>
      <c r="U245" s="90" t="s">
        <v>923</v>
      </c>
      <c r="V245" s="93" t="s">
        <v>804</v>
      </c>
      <c r="W245" s="93" t="s">
        <v>801</v>
      </c>
    </row>
    <row r="246" spans="1:23" x14ac:dyDescent="0.25">
      <c r="A246" s="90" t="s">
        <v>806</v>
      </c>
      <c r="B246" s="119">
        <v>6</v>
      </c>
      <c r="C246" s="90" t="s">
        <v>804</v>
      </c>
      <c r="D246" s="90" t="s">
        <v>78</v>
      </c>
      <c r="E246">
        <v>483</v>
      </c>
      <c r="F246">
        <v>484</v>
      </c>
      <c r="G246" s="93" t="s">
        <v>78</v>
      </c>
      <c r="H246" t="s">
        <v>807</v>
      </c>
      <c r="I246">
        <v>1</v>
      </c>
      <c r="J246">
        <v>104855.38</v>
      </c>
      <c r="K246">
        <f>I246*J246</f>
        <v>104855.38</v>
      </c>
      <c r="L246">
        <v>7</v>
      </c>
      <c r="M246">
        <f>(1-(L246/100))*K246</f>
        <v>97515.503400000001</v>
      </c>
      <c r="N246" s="90">
        <v>246</v>
      </c>
      <c r="O246" s="90" t="s">
        <v>808</v>
      </c>
      <c r="P246" s="118" t="s">
        <v>1246</v>
      </c>
      <c r="Q246" s="118" t="s">
        <v>598</v>
      </c>
      <c r="V246" s="93" t="s">
        <v>806</v>
      </c>
      <c r="W246" s="93" t="s">
        <v>804</v>
      </c>
    </row>
    <row r="247" spans="1:23" x14ac:dyDescent="0.25">
      <c r="A247" s="90" t="s">
        <v>809</v>
      </c>
      <c r="B247" s="119">
        <v>6</v>
      </c>
      <c r="C247" s="90" t="s">
        <v>804</v>
      </c>
      <c r="D247" s="90" t="s">
        <v>79</v>
      </c>
      <c r="E247">
        <v>485</v>
      </c>
      <c r="F247">
        <v>486</v>
      </c>
      <c r="G247" s="93" t="s">
        <v>78</v>
      </c>
      <c r="H247" t="s">
        <v>810</v>
      </c>
      <c r="I247">
        <v>1</v>
      </c>
      <c r="J247">
        <v>553533.78</v>
      </c>
      <c r="K247">
        <f>I247*J247</f>
        <v>553533.78</v>
      </c>
      <c r="L247">
        <v>7</v>
      </c>
      <c r="M247">
        <f>(1-(L247/100))*K247</f>
        <v>514786.4154</v>
      </c>
      <c r="N247" s="90">
        <v>247</v>
      </c>
      <c r="O247" s="90" t="s">
        <v>811</v>
      </c>
      <c r="P247" s="118" t="s">
        <v>302</v>
      </c>
      <c r="Q247" s="118" t="s">
        <v>598</v>
      </c>
      <c r="V247" s="93" t="s">
        <v>809</v>
      </c>
      <c r="W247" s="93" t="s">
        <v>804</v>
      </c>
    </row>
    <row r="248" spans="1:23" x14ac:dyDescent="0.25">
      <c r="A248" s="90" t="s">
        <v>812</v>
      </c>
      <c r="B248" s="119">
        <v>6</v>
      </c>
      <c r="C248" s="90" t="s">
        <v>804</v>
      </c>
      <c r="D248" s="90" t="s">
        <v>80</v>
      </c>
      <c r="E248">
        <v>487</v>
      </c>
      <c r="F248">
        <v>488</v>
      </c>
      <c r="G248" s="93" t="s">
        <v>78</v>
      </c>
      <c r="H248" t="s">
        <v>813</v>
      </c>
      <c r="I248">
        <v>1</v>
      </c>
      <c r="J248">
        <v>10793.91</v>
      </c>
      <c r="K248">
        <f>I248*J248</f>
        <v>10793.91</v>
      </c>
      <c r="L248">
        <v>7</v>
      </c>
      <c r="M248">
        <f>(1-(L248/100))*K248</f>
        <v>10038.336299999999</v>
      </c>
      <c r="N248" s="90">
        <v>248</v>
      </c>
      <c r="O248" s="90" t="s">
        <v>814</v>
      </c>
      <c r="P248" s="118" t="s">
        <v>304</v>
      </c>
      <c r="Q248" s="118" t="s">
        <v>598</v>
      </c>
      <c r="V248" s="93" t="s">
        <v>812</v>
      </c>
      <c r="W248" s="93" t="s">
        <v>804</v>
      </c>
    </row>
    <row r="249" spans="1:23" x14ac:dyDescent="0.25">
      <c r="A249" s="90" t="s">
        <v>815</v>
      </c>
      <c r="B249" s="119">
        <v>3</v>
      </c>
      <c r="C249" s="90" t="s">
        <v>597</v>
      </c>
      <c r="D249" s="90" t="s">
        <v>849</v>
      </c>
      <c r="E249">
        <v>492</v>
      </c>
      <c r="F249">
        <v>503</v>
      </c>
      <c r="G249" s="93" t="s">
        <v>68</v>
      </c>
      <c r="H249" t="s">
        <v>816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 s="90">
        <v>249</v>
      </c>
      <c r="O249" s="90" t="s">
        <v>817</v>
      </c>
      <c r="P249" s="118" t="s">
        <v>306</v>
      </c>
      <c r="Q249" s="118" t="s">
        <v>598</v>
      </c>
      <c r="R249" s="90" t="s">
        <v>1124</v>
      </c>
      <c r="S249" s="90" t="s">
        <v>1168</v>
      </c>
      <c r="T249" s="90" t="s">
        <v>1190</v>
      </c>
      <c r="U249" s="90" t="s">
        <v>1146</v>
      </c>
      <c r="V249" s="93" t="s">
        <v>815</v>
      </c>
      <c r="W249" s="93" t="s">
        <v>597</v>
      </c>
    </row>
    <row r="250" spans="1:23" x14ac:dyDescent="0.25">
      <c r="A250" s="90" t="s">
        <v>818</v>
      </c>
      <c r="B250" s="119">
        <v>4</v>
      </c>
      <c r="C250" s="90" t="s">
        <v>815</v>
      </c>
      <c r="D250" s="90" t="s">
        <v>78</v>
      </c>
      <c r="E250">
        <v>493</v>
      </c>
      <c r="F250">
        <v>502</v>
      </c>
      <c r="G250" s="93" t="s">
        <v>68</v>
      </c>
      <c r="H250" t="s">
        <v>819</v>
      </c>
      <c r="I250">
        <v>1</v>
      </c>
      <c r="J250">
        <f>SUM(K251)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I250*SUM(M251)</f>
        <v>1987466.0231999999</v>
      </c>
      <c r="N250" s="90">
        <v>250</v>
      </c>
      <c r="O250" s="90" t="s">
        <v>820</v>
      </c>
      <c r="P250" s="118" t="s">
        <v>308</v>
      </c>
      <c r="Q250" s="118" t="s">
        <v>598</v>
      </c>
      <c r="R250" s="90" t="s">
        <v>1021</v>
      </c>
      <c r="S250" s="90" t="s">
        <v>1075</v>
      </c>
      <c r="T250" s="90" t="s">
        <v>1102</v>
      </c>
      <c r="U250" s="90" t="s">
        <v>1048</v>
      </c>
      <c r="V250" s="93" t="s">
        <v>818</v>
      </c>
      <c r="W250" s="93" t="s">
        <v>815</v>
      </c>
    </row>
    <row r="251" spans="1:23" x14ac:dyDescent="0.25">
      <c r="A251" s="90" t="s">
        <v>821</v>
      </c>
      <c r="B251" s="119">
        <v>5</v>
      </c>
      <c r="C251" s="90" t="s">
        <v>818</v>
      </c>
      <c r="D251" s="90" t="s">
        <v>78</v>
      </c>
      <c r="E251">
        <v>494</v>
      </c>
      <c r="F251">
        <v>501</v>
      </c>
      <c r="G251" s="93" t="s">
        <v>68</v>
      </c>
      <c r="H251" t="s">
        <v>816</v>
      </c>
      <c r="I251">
        <v>1</v>
      </c>
      <c r="J251">
        <f>SUM(K252,K253,K254)</f>
        <v>2137060.2399999998</v>
      </c>
      <c r="K251">
        <f>I251*J251</f>
        <v>2137060.2399999998</v>
      </c>
      <c r="L251">
        <f>100*(1-(M251/K251))</f>
        <v>6.9999999999999947</v>
      </c>
      <c r="M251">
        <f>I251*SUM(M252,M253,M254)</f>
        <v>1987466.0231999999</v>
      </c>
      <c r="N251" s="90">
        <v>251</v>
      </c>
      <c r="O251" s="90" t="s">
        <v>822</v>
      </c>
      <c r="P251" s="118" t="s">
        <v>1247</v>
      </c>
      <c r="Q251" s="118" t="s">
        <v>598</v>
      </c>
      <c r="R251" s="90" t="s">
        <v>889</v>
      </c>
      <c r="S251" s="90" t="s">
        <v>959</v>
      </c>
      <c r="T251" s="90" t="s">
        <v>994</v>
      </c>
      <c r="U251" s="90" t="s">
        <v>924</v>
      </c>
      <c r="V251" s="93" t="s">
        <v>821</v>
      </c>
      <c r="W251" s="93" t="s">
        <v>818</v>
      </c>
    </row>
    <row r="252" spans="1:23" x14ac:dyDescent="0.25">
      <c r="A252" s="90" t="s">
        <v>823</v>
      </c>
      <c r="B252" s="119">
        <v>6</v>
      </c>
      <c r="C252" s="90" t="s">
        <v>821</v>
      </c>
      <c r="D252" s="90" t="s">
        <v>78</v>
      </c>
      <c r="E252">
        <v>495</v>
      </c>
      <c r="F252">
        <v>496</v>
      </c>
      <c r="G252" s="93" t="s">
        <v>78</v>
      </c>
      <c r="H252" t="s">
        <v>824</v>
      </c>
      <c r="I252">
        <v>1</v>
      </c>
      <c r="J252">
        <v>212215.38</v>
      </c>
      <c r="K252">
        <f>I252*J252</f>
        <v>212215.38</v>
      </c>
      <c r="L252">
        <v>7</v>
      </c>
      <c r="M252">
        <f>(1-(L252/100))*K252</f>
        <v>197360.3034</v>
      </c>
      <c r="N252" s="90">
        <v>252</v>
      </c>
      <c r="O252" s="90" t="s">
        <v>825</v>
      </c>
      <c r="P252" s="118" t="s">
        <v>311</v>
      </c>
      <c r="Q252" s="118" t="s">
        <v>598</v>
      </c>
      <c r="V252" s="93" t="s">
        <v>823</v>
      </c>
      <c r="W252" s="93" t="s">
        <v>821</v>
      </c>
    </row>
    <row r="253" spans="1:23" x14ac:dyDescent="0.25">
      <c r="A253" s="90" t="s">
        <v>826</v>
      </c>
      <c r="B253" s="119">
        <v>6</v>
      </c>
      <c r="C253" s="90" t="s">
        <v>821</v>
      </c>
      <c r="D253" s="90" t="s">
        <v>79</v>
      </c>
      <c r="E253">
        <v>497</v>
      </c>
      <c r="F253">
        <v>498</v>
      </c>
      <c r="G253" s="93" t="s">
        <v>78</v>
      </c>
      <c r="H253" t="s">
        <v>827</v>
      </c>
      <c r="I253">
        <v>1</v>
      </c>
      <c r="J253">
        <v>1888028.31</v>
      </c>
      <c r="K253">
        <f>I253*J253</f>
        <v>1888028.31</v>
      </c>
      <c r="L253">
        <v>7</v>
      </c>
      <c r="M253">
        <f>(1-(L253/100))*K253</f>
        <v>1755866.3282999999</v>
      </c>
      <c r="N253" s="90">
        <v>253</v>
      </c>
      <c r="O253" s="90" t="s">
        <v>828</v>
      </c>
      <c r="P253" s="118" t="s">
        <v>314</v>
      </c>
      <c r="Q253" s="118" t="s">
        <v>598</v>
      </c>
      <c r="V253" s="93" t="s">
        <v>826</v>
      </c>
      <c r="W253" s="93" t="s">
        <v>821</v>
      </c>
    </row>
    <row r="254" spans="1:23" x14ac:dyDescent="0.25">
      <c r="A254" s="90" t="s">
        <v>829</v>
      </c>
      <c r="B254" s="119">
        <v>6</v>
      </c>
      <c r="C254" s="90" t="s">
        <v>821</v>
      </c>
      <c r="D254" s="90" t="s">
        <v>80</v>
      </c>
      <c r="E254">
        <v>499</v>
      </c>
      <c r="F254">
        <v>500</v>
      </c>
      <c r="G254" s="93" t="s">
        <v>78</v>
      </c>
      <c r="H254" t="s">
        <v>830</v>
      </c>
      <c r="I254">
        <v>1</v>
      </c>
      <c r="J254">
        <v>36816.550000000003</v>
      </c>
      <c r="K254">
        <f>I254*J254</f>
        <v>36816.550000000003</v>
      </c>
      <c r="L254">
        <v>7</v>
      </c>
      <c r="M254">
        <f>(1-(L254/100))*K254</f>
        <v>34239.391499999998</v>
      </c>
      <c r="N254" s="90">
        <v>254</v>
      </c>
      <c r="O254" s="90" t="s">
        <v>831</v>
      </c>
      <c r="P254" s="118" t="s">
        <v>317</v>
      </c>
      <c r="Q254" s="118" t="s">
        <v>598</v>
      </c>
      <c r="V254" s="93" t="s">
        <v>829</v>
      </c>
      <c r="W254" s="93" t="s">
        <v>821</v>
      </c>
    </row>
    <row r="255" spans="1:23" x14ac:dyDescent="0.25">
      <c r="A255" s="90" t="s">
        <v>832</v>
      </c>
      <c r="B255" s="119">
        <v>3</v>
      </c>
      <c r="C255" s="90" t="s">
        <v>597</v>
      </c>
      <c r="D255" s="90" t="s">
        <v>850</v>
      </c>
      <c r="E255">
        <v>504</v>
      </c>
      <c r="F255">
        <v>515</v>
      </c>
      <c r="G255" s="93" t="s">
        <v>68</v>
      </c>
      <c r="H255" t="s">
        <v>833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 s="90">
        <v>255</v>
      </c>
      <c r="O255" s="90" t="s">
        <v>834</v>
      </c>
      <c r="P255" s="118" t="s">
        <v>1248</v>
      </c>
      <c r="Q255" s="118" t="s">
        <v>598</v>
      </c>
      <c r="R255" s="90" t="s">
        <v>1125</v>
      </c>
      <c r="S255" s="90" t="s">
        <v>1169</v>
      </c>
      <c r="T255" s="90" t="s">
        <v>1191</v>
      </c>
      <c r="U255" s="90" t="s">
        <v>1147</v>
      </c>
      <c r="V255" s="93" t="s">
        <v>832</v>
      </c>
      <c r="W255" s="93" t="s">
        <v>597</v>
      </c>
    </row>
    <row r="256" spans="1:23" x14ac:dyDescent="0.25">
      <c r="A256" s="90" t="s">
        <v>835</v>
      </c>
      <c r="B256" s="119">
        <v>4</v>
      </c>
      <c r="C256" s="90" t="s">
        <v>832</v>
      </c>
      <c r="D256" s="90" t="s">
        <v>78</v>
      </c>
      <c r="E256">
        <v>505</v>
      </c>
      <c r="F256">
        <v>514</v>
      </c>
      <c r="G256" s="93" t="s">
        <v>68</v>
      </c>
      <c r="H256" t="s">
        <v>836</v>
      </c>
      <c r="I256">
        <v>1</v>
      </c>
      <c r="J256">
        <f>SUM(K257)</f>
        <v>514187.55</v>
      </c>
      <c r="K256">
        <f>I256*J256</f>
        <v>514187.55</v>
      </c>
      <c r="L256">
        <f>100*(1-(M256/K256))</f>
        <v>6.9999999999999947</v>
      </c>
      <c r="M256">
        <f>I256*SUM(M257)</f>
        <v>478194.4215</v>
      </c>
      <c r="N256" s="90">
        <v>256</v>
      </c>
      <c r="O256" s="90" t="s">
        <v>837</v>
      </c>
      <c r="P256" s="118" t="s">
        <v>320</v>
      </c>
      <c r="Q256" s="118" t="s">
        <v>598</v>
      </c>
      <c r="R256" s="90" t="s">
        <v>1022</v>
      </c>
      <c r="S256" s="90" t="s">
        <v>1076</v>
      </c>
      <c r="T256" s="90" t="s">
        <v>1103</v>
      </c>
      <c r="U256" s="90" t="s">
        <v>1049</v>
      </c>
      <c r="V256" s="93" t="s">
        <v>835</v>
      </c>
      <c r="W256" s="93" t="s">
        <v>832</v>
      </c>
    </row>
    <row r="257" spans="1:23" x14ac:dyDescent="0.25">
      <c r="A257" s="90" t="s">
        <v>838</v>
      </c>
      <c r="B257" s="119">
        <v>5</v>
      </c>
      <c r="C257" s="90" t="s">
        <v>835</v>
      </c>
      <c r="D257" s="90" t="s">
        <v>78</v>
      </c>
      <c r="E257">
        <v>506</v>
      </c>
      <c r="F257">
        <v>513</v>
      </c>
      <c r="G257" s="93" t="s">
        <v>68</v>
      </c>
      <c r="H257" t="s">
        <v>833</v>
      </c>
      <c r="I257">
        <v>1</v>
      </c>
      <c r="J257">
        <f>SUM(K258,K259,K260)</f>
        <v>514187.55</v>
      </c>
      <c r="K257">
        <f>I257*J257</f>
        <v>514187.55</v>
      </c>
      <c r="L257">
        <f>100*(1-(M257/K257))</f>
        <v>6.9999999999999947</v>
      </c>
      <c r="M257">
        <f>I257*SUM(M258,M259,M260)</f>
        <v>478194.4215</v>
      </c>
      <c r="N257" s="90">
        <v>257</v>
      </c>
      <c r="O257" s="90" t="s">
        <v>839</v>
      </c>
      <c r="P257" s="118" t="s">
        <v>322</v>
      </c>
      <c r="Q257" s="118" t="s">
        <v>598</v>
      </c>
      <c r="R257" s="90" t="s">
        <v>890</v>
      </c>
      <c r="S257" s="90" t="s">
        <v>960</v>
      </c>
      <c r="T257" s="90" t="s">
        <v>995</v>
      </c>
      <c r="U257" s="90" t="s">
        <v>925</v>
      </c>
      <c r="V257" s="93" t="s">
        <v>838</v>
      </c>
      <c r="W257" s="93" t="s">
        <v>835</v>
      </c>
    </row>
    <row r="258" spans="1:23" x14ac:dyDescent="0.25">
      <c r="A258" s="90" t="s">
        <v>840</v>
      </c>
      <c r="B258" s="119">
        <v>6</v>
      </c>
      <c r="C258" s="90" t="s">
        <v>838</v>
      </c>
      <c r="D258" s="90" t="s">
        <v>78</v>
      </c>
      <c r="E258">
        <v>507</v>
      </c>
      <c r="F258">
        <v>508</v>
      </c>
      <c r="G258" s="93" t="s">
        <v>78</v>
      </c>
      <c r="H258" t="s">
        <v>841</v>
      </c>
      <c r="I258">
        <v>1</v>
      </c>
      <c r="J258">
        <v>57876.92</v>
      </c>
      <c r="K258">
        <f>I258*J258</f>
        <v>57876.92</v>
      </c>
      <c r="L258">
        <v>7</v>
      </c>
      <c r="M258">
        <f>(1-(L258/100))*K258</f>
        <v>53825.535599999996</v>
      </c>
      <c r="N258" s="90">
        <v>258</v>
      </c>
      <c r="O258" s="90" t="s">
        <v>842</v>
      </c>
      <c r="P258" s="118" t="s">
        <v>324</v>
      </c>
      <c r="Q258" s="118" t="s">
        <v>598</v>
      </c>
      <c r="V258" s="93" t="s">
        <v>840</v>
      </c>
      <c r="W258" s="93" t="s">
        <v>838</v>
      </c>
    </row>
    <row r="259" spans="1:23" x14ac:dyDescent="0.25">
      <c r="A259" s="90" t="s">
        <v>843</v>
      </c>
      <c r="B259" s="119">
        <v>6</v>
      </c>
      <c r="C259" s="90" t="s">
        <v>838</v>
      </c>
      <c r="D259" s="90" t="s">
        <v>79</v>
      </c>
      <c r="E259">
        <v>509</v>
      </c>
      <c r="F259">
        <v>510</v>
      </c>
      <c r="G259" s="93" t="s">
        <v>78</v>
      </c>
      <c r="H259" t="s">
        <v>844</v>
      </c>
      <c r="I259">
        <v>1</v>
      </c>
      <c r="J259">
        <v>447582.77</v>
      </c>
      <c r="K259">
        <f>I259*J259</f>
        <v>447582.77</v>
      </c>
      <c r="L259">
        <v>7</v>
      </c>
      <c r="M259">
        <f>(1-(L259/100))*K259</f>
        <v>416251.97609999997</v>
      </c>
      <c r="N259" s="90">
        <v>259</v>
      </c>
      <c r="O259" s="90" t="s">
        <v>845</v>
      </c>
      <c r="P259" s="118" t="s">
        <v>327</v>
      </c>
      <c r="Q259" s="118" t="s">
        <v>598</v>
      </c>
      <c r="V259" s="93" t="s">
        <v>843</v>
      </c>
      <c r="W259" s="93" t="s">
        <v>838</v>
      </c>
    </row>
    <row r="260" spans="1:23" x14ac:dyDescent="0.25">
      <c r="A260" s="90" t="s">
        <v>846</v>
      </c>
      <c r="B260" s="119">
        <v>6</v>
      </c>
      <c r="C260" s="90" t="s">
        <v>838</v>
      </c>
      <c r="D260" s="90" t="s">
        <v>80</v>
      </c>
      <c r="E260">
        <v>511</v>
      </c>
      <c r="F260">
        <v>512</v>
      </c>
      <c r="G260" s="93" t="s">
        <v>78</v>
      </c>
      <c r="H260" t="s">
        <v>847</v>
      </c>
      <c r="I260">
        <v>1</v>
      </c>
      <c r="J260">
        <v>8727.86</v>
      </c>
      <c r="K260">
        <f>I260*J260</f>
        <v>8727.86</v>
      </c>
      <c r="L260">
        <v>7</v>
      </c>
      <c r="M260">
        <f>(1-(L260/100))*K260</f>
        <v>8116.9098000000004</v>
      </c>
      <c r="N260" s="90">
        <v>260</v>
      </c>
      <c r="O260" s="90" t="s">
        <v>848</v>
      </c>
      <c r="P260" s="118" t="s">
        <v>330</v>
      </c>
      <c r="Q260" s="118" t="s">
        <v>598</v>
      </c>
      <c r="V260" s="93" t="s">
        <v>846</v>
      </c>
      <c r="W260" s="93" t="s">
        <v>838</v>
      </c>
    </row>
    <row r="261" spans="1:23" x14ac:dyDescent="0.25">
      <c r="G261" s="93"/>
      <c r="P261" s="118"/>
      <c r="Q261" s="118"/>
      <c r="V261" s="93"/>
      <c r="W261" s="93"/>
    </row>
    <row r="262" spans="1:23" x14ac:dyDescent="0.25">
      <c r="G262" s="93"/>
      <c r="P262" s="118"/>
      <c r="Q262" s="118"/>
      <c r="V262" s="93"/>
      <c r="W262" s="93"/>
    </row>
    <row r="263" spans="1:23" x14ac:dyDescent="0.25">
      <c r="G263" s="93"/>
      <c r="P263" s="118"/>
      <c r="Q263" s="118"/>
      <c r="V263" s="93"/>
      <c r="W263" s="93"/>
    </row>
    <row r="264" spans="1:23" x14ac:dyDescent="0.25">
      <c r="G264" s="93"/>
      <c r="P264" s="118"/>
      <c r="Q264" s="118"/>
    </row>
    <row r="265" spans="1:23" x14ac:dyDescent="0.25">
      <c r="G265" s="93"/>
      <c r="P265" s="118"/>
      <c r="Q265" s="118"/>
    </row>
    <row r="266" spans="1:23" x14ac:dyDescent="0.25">
      <c r="G266" s="93"/>
      <c r="P266" s="118"/>
      <c r="Q266" s="118"/>
    </row>
    <row r="267" spans="1:23" x14ac:dyDescent="0.25">
      <c r="G267" s="93"/>
      <c r="P267" s="118"/>
      <c r="Q267" s="118"/>
    </row>
    <row r="268" spans="1:23" x14ac:dyDescent="0.25">
      <c r="G268" s="93"/>
      <c r="P268" s="118"/>
      <c r="Q268" s="118"/>
    </row>
    <row r="269" spans="1:23" x14ac:dyDescent="0.25">
      <c r="G269" s="93"/>
      <c r="P269" s="118"/>
      <c r="Q269" s="118"/>
    </row>
    <row r="270" spans="1:23" x14ac:dyDescent="0.25">
      <c r="G270" s="93"/>
      <c r="P270" s="118"/>
      <c r="Q270" s="118"/>
    </row>
    <row r="271" spans="1:23" x14ac:dyDescent="0.25">
      <c r="G271" s="93"/>
      <c r="P271" s="118"/>
      <c r="Q271" s="118"/>
    </row>
    <row r="272" spans="1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2012-06-01T03:06:29Z</dcterms:modified>
</cp:coreProperties>
</file>
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75" windowWidth="13140" windowHeight="472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18" i="2"/>
  <c r="L10" i="2"/>
  <c r="L4" i="2"/>
  <c r="K18" i="2"/>
  <c r="K10" i="2"/>
  <c r="K4" i="2"/>
  <c r="M18" i="2"/>
  <c r="M10" i="2"/>
  <c r="M4" i="2"/>
  <c r="J18" i="2"/>
  <c r="J10" i="2"/>
  <c r="J4" i="2"/>
  <c r="L27" i="2"/>
  <c r="L19" i="2"/>
  <c r="L11" i="2"/>
  <c r="L5" i="2"/>
  <c r="K27" i="2"/>
  <c r="K19" i="2"/>
  <c r="K11" i="2"/>
  <c r="K5" i="2"/>
  <c r="M27" i="2"/>
  <c r="M19" i="2"/>
  <c r="M11" i="2"/>
  <c r="M5" i="2"/>
  <c r="J27" i="2"/>
  <c r="J19" i="2"/>
  <c r="J11" i="2"/>
  <c r="J5" i="2"/>
  <c r="L28" i="2"/>
  <c r="L20" i="2"/>
  <c r="L12" i="2"/>
  <c r="L6" i="2"/>
  <c r="K28" i="2"/>
  <c r="K20" i="2"/>
  <c r="K12" i="2"/>
  <c r="K6" i="2"/>
  <c r="M28" i="2"/>
  <c r="M20" i="2"/>
  <c r="M12" i="2"/>
  <c r="M6" i="2"/>
  <c r="J28" i="2"/>
  <c r="J20" i="2"/>
  <c r="J12" i="2"/>
  <c r="J6" i="2"/>
  <c r="L29" i="2"/>
  <c r="L21" i="2"/>
  <c r="L13" i="2"/>
  <c r="L7" i="2"/>
  <c r="K29" i="2"/>
  <c r="K21" i="2"/>
  <c r="K13" i="2"/>
  <c r="K7" i="2"/>
  <c r="M29" i="2"/>
  <c r="M21" i="2"/>
  <c r="M13" i="2"/>
  <c r="M7" i="2"/>
  <c r="J29" i="2"/>
  <c r="J21" i="2"/>
  <c r="J13" i="2"/>
  <c r="J7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3" i="4"/>
  <c r="H12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<sst xmlns="http://schemas.openxmlformats.org/spreadsheetml/2006/main" count="383" uniqueCount="239">
  <si>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</si>
  <si>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</si>
  <si>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</si>
  <si>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</si>
  <si>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</si>
  <si>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</si>
  <si>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</si>
  <si>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</si>
  <si>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</si>
  <si>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</si>
  <si>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</si>
  <si>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</si>
  <si>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</si>
  <si>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</si>
  <si>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</si>
  <si>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</si>
  <si>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</si>
  <si>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</si>
  <si>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</si>
  <si>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</si>
  <si>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</si>
  <si>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</si>
  <si>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</si>
  <si>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</si>
  <si>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</si>
  <si>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</si>
  <si>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</si>
  <si>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</si>
  <si>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</si>
  <si>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</si>
  <si>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</si>
  <si>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</si>
  <si>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</si>
  <si>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</si>
  <si>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</si>
  <si>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</si>
  <si>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</si>
  <si>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</si>
  <si>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</si>
  <si>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</si>
  <si>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</si>
  <si>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</si>
  <si>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</si>
  <si>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</si>
  <si>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</si>
  <si>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</si>
  <si>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</si>
  <si>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</si>
  <si>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</si>
  <si>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</si>
  <si>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</si>
  <si>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</si>
  <si>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</si>
  <si>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</si>
  <si>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</si>
  <si>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</si>
  <si>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</si>
  <si>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</si>
  <si>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</si>
  <si>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</si>
  <si>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</si>
  <si>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</si>
  <si>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</si>
  <si>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</si>
  <si>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</si>
  <si>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</si>
  <si>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</si>
  <si>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</si>
  <si>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</si>
  <si>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</si>
  <si>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</si>
  <si>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</si>
  <si>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</si>
  <si>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</si>
  <si>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</si>
  <si>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</si>
  <si>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</si>
  <si>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</si>
  <si>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</si>
  <si>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</si>
  <si>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</si>
  <si>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</si>
  <si>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</si>
  <si>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</si>
  <si>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</si>
  <si>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</si>
  <si>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</si>
  <si>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</si>
  <si>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</si>
  <si>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</si>
  <si>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</si>
  <si>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</si>
  <si>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</si>
  <si>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</si>
  <si>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</si>
  <si>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</si>
  <si>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</si>
  <si>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</si>
  <si>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</si>
  <si>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</si>
  <si>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</si>
  <si>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</si>
  <si>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</si>
  <si>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</si>
  <si>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</si>
  <si>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</si>
  <si>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</si>
  <si>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</si>
  <si>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</si>
  <si>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</si>
  <si>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</si>
  <si>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</si>
  <si>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</si>
  <si>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</si>
  <si>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</si>
  <si>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</si>
  <si>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</si>
  <si>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</si>
  <si>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</si>
  <si>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</si>
  <si>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</si>
  <si>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</si>
  <si>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</si>
  <si>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</si>
  <si>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</si>
  <si>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</si>
  <si>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</si>
  <si>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</si>
  <si>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</si>
  <si>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</si>
  <si>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</si>
  <si>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</si>
  <si>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</si>
  <si>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</si>
  <si>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</si>
  <si>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</si>
  <si>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</si>
  <si>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</si>
  <si>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</si>
  <si>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</si>
  <si>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</si>
  <si>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</si>
  <si>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</si>
  <si>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</si>
  <si>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</si>
  <si>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</si>
  <si>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</si>
  <si>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</si>
  <si>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</si>
  <si>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</si>
  <si>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</si>
  <si>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</si>
  <si>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</si>
  <si>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</si>
  <si>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</si>
  <si>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</si>
  <si>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</si>
  <si>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</si>
  <si>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</si>
  <si>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</si>
  <si>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</si>
  <si>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</si>
  <si>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</si>
  <si>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</si>
  <si>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</si>
  <si>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</si>
  <si>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</si>
  <si>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</si>
  <si>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</si>
  <si>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</si>
  <si>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</si>
  <si>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</si>
  <si>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</si>
  <si>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</si>
  <si>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</si>
  <si>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</si>
  <si>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</si>
  <si>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</si>
  <si>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</si>
  <si>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</si>
  <si>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</si>
  <si>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</si>
  <si>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</si>
  <si>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</si>
  <si>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</si>
  <si>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</si>
  <si>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</si>
  <si>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</si>
  <si>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</si>
  <si>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</si>
  <si>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</si>
  <si>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</si>
  <si>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</si>
  <si>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</si>
  <si>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</si>
  <si>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</si>
  <si>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3</t>
  </si>
  <si>
    <t>4</t>
  </si>
  <si>
    <t>5</t>
  </si>
  <si>
    <t>21</t>
  </si>
  <si>
    <t>24</t>
  </si>
  <si>
    <t>=SUM(K14,K15,K16,K17)</t>
  </si>
  <si>
    <t>=SUM(K22,K23,K24,K25,K26)</t>
  </si>
  <si>
    <t>=SUM(K30)</t>
  </si>
  <si>
    <t>=I13*SUM(M14,M15,M16,M17)</t>
  </si>
  <si>
    <t>=I21*SUM(M22,M23,M24,M25,M26)</t>
  </si>
  <si>
    <t>=I29*SUM(M30)</t>
  </si>
  <si>
    <t>=I13*J13</t>
  </si>
  <si>
    <t>=I21*J21</t>
  </si>
  <si>
    <t>=I29*J29</t>
  </si>
  <si>
    <t>=100*(1-(M13/K13))</t>
  </si>
  <si>
    <t>=100*(1-(M21/K21))</t>
  </si>
  <si>
    <t>=100*(1-(M29/K29))</t>
  </si>
  <si>
    <t>=SUM(K21)</t>
  </si>
  <si>
    <t>=SUM(K29)</t>
  </si>
  <si>
    <t>=I20*SUM(M21)</t>
  </si>
  <si>
    <t>=I28*SUM(M29)</t>
  </si>
  <si>
    <t>=I20*J20</t>
  </si>
  <si>
    <t>=I28*J28</t>
  </si>
  <si>
    <t>=100*(1-(M20/K20))</t>
  </si>
  <si>
    <t>=100*(1-(M28/K28))</t>
  </si>
  <si>
    <t>=SUM(K20)</t>
  </si>
  <si>
    <t>=SUM(K28)</t>
  </si>
  <si>
    <t>=I19*SUM(M20)</t>
  </si>
  <si>
    <t>=I27*SUM(M28)</t>
  </si>
  <si>
    <t>=I19*J19</t>
  </si>
  <si>
    <t>=I27*J27</t>
  </si>
  <si>
    <t>=100*(1-(M19/K19))</t>
  </si>
  <si>
    <t>=100*(1-(M27/K27))</t>
  </si>
  <si>
    <t>=SUM(K19)</t>
  </si>
  <si>
    <t>=I18*SUM(M19)</t>
  </si>
  <si>
    <t>=I18*J18</t>
  </si>
  <si>
    <t>=100*(1-(M18/K18))</t>
  </si>
  <si>
    <t>=SUM(K4,K10,K18,K27)</t>
  </si>
  <si>
    <t>=I3*SUM(M4,M10,M18,M27)</t>
  </si>
  <si>
    <t>=SUM(K3)</t>
  </si>
  <si>
    <t>=I2*SUM(M3)</t>
  </si>
  <si>
    <t>29</t>
  </si>
  <si>
    <t>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</si>
</sst>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2</xdr:col>
      <xdr:colOff>352425</xdr:colOff>
      <xdr:row>5</xdr:row>
      <xdr:rowOff>47625</xdr:rowOff>
    </xdr:from>
    <xdr:to>
      <xdr:col>4</xdr:col>
      <xdr:colOff>142875</xdr:colOff>
      <xdr:row>9</xdr:row>
      <xdr:rowOff>152400</xdr:rowOff>
    </xdr:to>
    <xdr:sp macro="[0]!ThisWorkbook.ImportAndExportDamien" textlink="">
      <xdr:nvSpPr>
        <xdr:cNvPr id="3" name="Oval 2"/>
        <xdr:cNvSpPr/>
      </xdr:nvSpPr>
      <xdr:spPr>
        <a:xfrm>
          <a:off x="2095500" y="100012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Damein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21" sqref="E21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658"/>
  <sheetViews>
    <sheetView tabSelected="1" zoomScale="60" zoomScaleNormal="60" workbookViewId="0">
      <selection activeCell="P3" sqref="P3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1" width="14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58</v>
      </c>
      <c r="G2" s="93" t="s">
        <v>93</v>
      </c>
      <c r="H2" s="82" t="s">
        <v>74</v>
      </c>
      <c r="I2" s="82">
        <v>1</v>
      </c>
      <c r="J2" s="82">
        <f>SUM(K3)</f>
        <v>3212138.0494779097</v>
      </c>
      <c r="K2" s="82">
        <f>I2*J2</f>
        <v>3212138.0494779097</v>
      </c>
      <c r="L2" s="82">
        <f>100*(1-(M2/K2))</f>
        <v>76.554363086976167</v>
      </c>
      <c r="M2" s="82">
        <f>I2*SUM(M3)</f>
        <v>753106.22422567685</v>
      </c>
      <c r="N2">
        <v>2</v>
      </c>
      <c r="O2" s="91" t="s">
        <v>97</v>
      </c>
      <c r="R2" s="91" t="s">
        <v>235</v>
      </c>
      <c r="S2" s="91" t="s">
        <v>143</v>
      </c>
      <c r="T2" s="91" t="s">
        <v>144</v>
      </c>
      <c r="U2" s="91" t="s">
        <v>236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57</v>
      </c>
      <c r="G3" s="93" t="s">
        <v>93</v>
      </c>
      <c r="H3" s="82" t="s">
        <v>75</v>
      </c>
      <c r="I3">
        <v>1</v>
      </c>
      <c r="J3">
        <f>SUM(K4,K10,K18,K27)</f>
        <v>3212138.0494779097</v>
      </c>
      <c r="K3">
        <f>I3*J3</f>
        <v>3212138.0494779097</v>
      </c>
      <c r="L3">
        <f>100*(1-(M3/K3))</f>
        <v>76.554363086976167</v>
      </c>
      <c r="M3">
        <f>I3*SUM(M4,M10,M18,M27)</f>
        <v>753106.22422567685</v>
      </c>
      <c r="N3">
        <v>3</v>
      </c>
      <c r="O3" s="91" t="s">
        <v>98</v>
      </c>
      <c r="P3" s="119" t="s">
        <v>145</v>
      </c>
      <c r="Q3" s="119" t="s">
        <v>75</v>
      </c>
      <c r="R3" s="91" t="s">
        <v>233</v>
      </c>
      <c r="S3" s="91" t="s">
        <v>139</v>
      </c>
      <c r="T3" s="91" t="s">
        <v>141</v>
      </c>
      <c r="U3" s="91" t="s">
        <v>234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1" t="s">
        <v>99</v>
      </c>
      <c r="P4" s="119" t="s">
        <v>146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1" t="s">
        <v>100</v>
      </c>
      <c r="P5" s="119" t="s">
        <v>147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1" t="s">
        <v>101</v>
      </c>
      <c r="P6" s="119" t="s">
        <v>148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1" t="s">
        <v>102</v>
      </c>
      <c r="P7" s="119" t="s">
        <v>97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98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99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30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100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29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101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28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102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27</v>
      </c>
      <c r="G13" s="93" t="s">
        <v>93</v>
      </c>
      <c r="H13" s="82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1" t="s">
        <v>108</v>
      </c>
      <c r="P13" s="119" t="s">
        <v>199</v>
      </c>
      <c r="Q13" s="119" t="s">
        <v>75</v>
      </c>
      <c r="R13" s="91" t="s">
        <v>201</v>
      </c>
      <c r="S13" s="91" t="s">
        <v>207</v>
      </c>
      <c r="T13" s="91" t="s">
        <v>210</v>
      </c>
      <c r="U13" s="91" t="s">
        <v>204</v>
      </c>
    </row>
    <row r="14" spans="1:21" x14ac:dyDescent="0.25">
      <c r="A14" s="85" t="s">
        <v>149</v>
      </c>
      <c r="B14" s="83">
        <v>7</v>
      </c>
      <c r="C14" s="85" t="s">
        <v>89</v>
      </c>
      <c r="D14" s="83" t="s">
        <v>59</v>
      </c>
      <c r="E14" s="88">
        <v>19</v>
      </c>
      <c r="F14" s="88">
        <v>20</v>
      </c>
      <c r="G14" s="93" t="s">
        <v>59</v>
      </c>
      <c r="H14" s="82" t="s">
        <v>150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1" t="s">
        <v>151</v>
      </c>
      <c r="P14" s="119" t="s">
        <v>103</v>
      </c>
      <c r="Q14" s="119" t="s">
        <v>75</v>
      </c>
    </row>
    <row r="15" spans="1:21" x14ac:dyDescent="0.25">
      <c r="A15" s="85" t="s">
        <v>152</v>
      </c>
      <c r="B15" s="83">
        <v>7</v>
      </c>
      <c r="C15" s="85" t="s">
        <v>89</v>
      </c>
      <c r="D15" s="83" t="s">
        <v>92</v>
      </c>
      <c r="E15" s="88">
        <v>21</v>
      </c>
      <c r="F15" s="88">
        <v>22</v>
      </c>
      <c r="G15" s="93" t="s">
        <v>59</v>
      </c>
      <c r="H15" s="82" t="s">
        <v>153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1" t="s">
        <v>154</v>
      </c>
      <c r="P15" s="119" t="s">
        <v>104</v>
      </c>
      <c r="Q15" s="119" t="s">
        <v>75</v>
      </c>
    </row>
    <row r="16" spans="1:21" x14ac:dyDescent="0.25">
      <c r="A16" s="85" t="s">
        <v>155</v>
      </c>
      <c r="B16" s="83">
        <v>7</v>
      </c>
      <c r="C16" s="85" t="s">
        <v>89</v>
      </c>
      <c r="D16" s="83" t="s">
        <v>196</v>
      </c>
      <c r="E16" s="88">
        <v>23</v>
      </c>
      <c r="F16" s="88">
        <v>24</v>
      </c>
      <c r="G16" s="93" t="s">
        <v>59</v>
      </c>
      <c r="H16" s="82" t="s">
        <v>156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1" t="s">
        <v>157</v>
      </c>
      <c r="P16" s="119" t="s">
        <v>200</v>
      </c>
      <c r="Q16" s="119" t="s">
        <v>75</v>
      </c>
    </row>
    <row r="17" spans="1:21" x14ac:dyDescent="0.25">
      <c r="A17" s="85" t="s">
        <v>158</v>
      </c>
      <c r="B17" s="83">
        <v>7</v>
      </c>
      <c r="C17" s="85" t="s">
        <v>89</v>
      </c>
      <c r="D17" s="83" t="s">
        <v>197</v>
      </c>
      <c r="E17" s="82">
        <v>25</v>
      </c>
      <c r="F17" s="82">
        <v>26</v>
      </c>
      <c r="G17" s="93" t="s">
        <v>59</v>
      </c>
      <c r="H17" s="82" t="s">
        <v>159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1" t="s">
        <v>160</v>
      </c>
      <c r="P17" s="119" t="s">
        <v>105</v>
      </c>
      <c r="Q17" s="119" t="s">
        <v>75</v>
      </c>
    </row>
    <row r="18" spans="1:21" x14ac:dyDescent="0.25">
      <c r="A18" s="90" t="s">
        <v>161</v>
      </c>
      <c r="B18" s="83">
        <v>3</v>
      </c>
      <c r="C18" s="83" t="s">
        <v>2</v>
      </c>
      <c r="D18" s="83" t="s">
        <v>196</v>
      </c>
      <c r="E18" s="82">
        <v>31</v>
      </c>
      <c r="F18" s="82">
        <v>48</v>
      </c>
      <c r="G18" s="93" t="s">
        <v>93</v>
      </c>
      <c r="H18" s="82" t="s">
        <v>162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1" t="s">
        <v>163</v>
      </c>
      <c r="P18" s="119" t="s">
        <v>106</v>
      </c>
      <c r="Q18" s="119" t="s">
        <v>75</v>
      </c>
      <c r="R18" s="91" t="s">
        <v>229</v>
      </c>
      <c r="S18" s="91" t="s">
        <v>231</v>
      </c>
      <c r="T18" s="91" t="s">
        <v>232</v>
      </c>
      <c r="U18" s="91" t="s">
        <v>230</v>
      </c>
    </row>
    <row r="19" spans="1:21" x14ac:dyDescent="0.25">
      <c r="A19" s="90" t="s">
        <v>164</v>
      </c>
      <c r="B19" s="83">
        <v>4</v>
      </c>
      <c r="C19" s="83" t="s">
        <v>161</v>
      </c>
      <c r="D19" s="83" t="s">
        <v>59</v>
      </c>
      <c r="E19" s="82">
        <v>32</v>
      </c>
      <c r="F19" s="82">
        <v>47</v>
      </c>
      <c r="G19" s="93" t="s">
        <v>93</v>
      </c>
      <c r="H19" s="82" t="s">
        <v>165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1" t="s">
        <v>166</v>
      </c>
      <c r="P19" s="119" t="s">
        <v>107</v>
      </c>
      <c r="Q19" s="119" t="s">
        <v>75</v>
      </c>
      <c r="R19" s="91" t="s">
        <v>221</v>
      </c>
      <c r="S19" s="91" t="s">
        <v>225</v>
      </c>
      <c r="T19" s="91" t="s">
        <v>227</v>
      </c>
      <c r="U19" s="91" t="s">
        <v>223</v>
      </c>
    </row>
    <row r="20" spans="1:21" x14ac:dyDescent="0.25">
      <c r="A20" s="90" t="s">
        <v>167</v>
      </c>
      <c r="B20" s="83">
        <v>5</v>
      </c>
      <c r="C20" s="83" t="s">
        <v>164</v>
      </c>
      <c r="D20" s="83" t="s">
        <v>59</v>
      </c>
      <c r="E20" s="82">
        <v>33</v>
      </c>
      <c r="F20" s="82">
        <v>46</v>
      </c>
      <c r="G20" s="93" t="s">
        <v>93</v>
      </c>
      <c r="H20" s="82" t="s">
        <v>162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1" t="s">
        <v>168</v>
      </c>
      <c r="P20" s="119" t="s">
        <v>108</v>
      </c>
      <c r="Q20" s="119" t="s">
        <v>75</v>
      </c>
      <c r="R20" s="91" t="s">
        <v>213</v>
      </c>
      <c r="S20" s="91" t="s">
        <v>217</v>
      </c>
      <c r="T20" s="91" t="s">
        <v>219</v>
      </c>
      <c r="U20" s="91" t="s">
        <v>215</v>
      </c>
    </row>
    <row r="21" spans="1:21" x14ac:dyDescent="0.25">
      <c r="A21" s="83" t="s">
        <v>169</v>
      </c>
      <c r="B21" s="83">
        <v>6</v>
      </c>
      <c r="C21" s="83" t="s">
        <v>167</v>
      </c>
      <c r="D21" s="83" t="s">
        <v>59</v>
      </c>
      <c r="E21" s="82">
        <v>34</v>
      </c>
      <c r="F21" s="82">
        <v>45</v>
      </c>
      <c r="G21" s="93" t="s">
        <v>93</v>
      </c>
      <c r="H21" s="82" t="s">
        <v>170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1" t="s">
        <v>171</v>
      </c>
      <c r="P21" s="119" t="s">
        <v>237</v>
      </c>
      <c r="Q21" s="119" t="s">
        <v>75</v>
      </c>
      <c r="R21" s="91" t="s">
        <v>202</v>
      </c>
      <c r="S21" s="91" t="s">
        <v>208</v>
      </c>
      <c r="T21" s="91" t="s">
        <v>211</v>
      </c>
      <c r="U21" s="91" t="s">
        <v>205</v>
      </c>
    </row>
    <row r="22" spans="1:21" x14ac:dyDescent="0.25">
      <c r="A22" s="91" t="s">
        <v>172</v>
      </c>
      <c r="B22" s="91">
        <v>7</v>
      </c>
      <c r="C22" s="91" t="s">
        <v>169</v>
      </c>
      <c r="D22" s="91" t="s">
        <v>59</v>
      </c>
      <c r="E22">
        <v>35</v>
      </c>
      <c r="F22">
        <v>36</v>
      </c>
      <c r="G22" s="94" t="s">
        <v>59</v>
      </c>
      <c r="H22" t="s">
        <v>173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1" t="s">
        <v>174</v>
      </c>
      <c r="P22" s="119" t="s">
        <v>151</v>
      </c>
      <c r="Q22" s="119" t="s">
        <v>75</v>
      </c>
    </row>
    <row r="23" spans="1:21" x14ac:dyDescent="0.25">
      <c r="A23" s="85" t="s">
        <v>175</v>
      </c>
      <c r="B23" s="83">
        <v>7</v>
      </c>
      <c r="C23" s="92" t="s">
        <v>169</v>
      </c>
      <c r="D23" s="83" t="s">
        <v>92</v>
      </c>
      <c r="E23" s="82">
        <v>37</v>
      </c>
      <c r="F23" s="82">
        <v>38</v>
      </c>
      <c r="G23" s="93" t="s">
        <v>59</v>
      </c>
      <c r="H23" s="82" t="s">
        <v>176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1" t="s">
        <v>177</v>
      </c>
      <c r="P23" s="119" t="s">
        <v>154</v>
      </c>
      <c r="Q23" s="119" t="s">
        <v>75</v>
      </c>
    </row>
    <row r="24" spans="1:21" x14ac:dyDescent="0.25">
      <c r="A24" s="90" t="s">
        <v>178</v>
      </c>
      <c r="B24" s="83">
        <v>7</v>
      </c>
      <c r="C24" s="83" t="s">
        <v>169</v>
      </c>
      <c r="D24" s="83" t="s">
        <v>196</v>
      </c>
      <c r="E24" s="82">
        <v>39</v>
      </c>
      <c r="F24" s="82">
        <v>40</v>
      </c>
      <c r="G24" s="93" t="s">
        <v>59</v>
      </c>
      <c r="H24" s="82" t="s">
        <v>179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1" t="s">
        <v>180</v>
      </c>
      <c r="P24" s="119" t="s">
        <v>157</v>
      </c>
      <c r="Q24" s="119" t="s">
        <v>75</v>
      </c>
    </row>
    <row r="25" spans="1:21" x14ac:dyDescent="0.25">
      <c r="A25" s="90" t="s">
        <v>181</v>
      </c>
      <c r="B25" s="83">
        <v>7</v>
      </c>
      <c r="C25" s="83" t="s">
        <v>169</v>
      </c>
      <c r="D25" s="83" t="s">
        <v>197</v>
      </c>
      <c r="E25" s="82">
        <v>41</v>
      </c>
      <c r="F25" s="82">
        <v>42</v>
      </c>
      <c r="G25" s="93" t="s">
        <v>59</v>
      </c>
      <c r="H25" s="82" t="s">
        <v>182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1" t="s">
        <v>183</v>
      </c>
      <c r="P25" s="119" t="s">
        <v>160</v>
      </c>
      <c r="Q25" s="119" t="s">
        <v>75</v>
      </c>
    </row>
    <row r="26" spans="1:21" x14ac:dyDescent="0.25">
      <c r="A26" s="90" t="s">
        <v>184</v>
      </c>
      <c r="B26" s="83">
        <v>7</v>
      </c>
      <c r="C26" s="83" t="s">
        <v>169</v>
      </c>
      <c r="D26" s="83" t="s">
        <v>198</v>
      </c>
      <c r="E26" s="82">
        <v>43</v>
      </c>
      <c r="F26" s="82">
        <v>44</v>
      </c>
      <c r="G26" s="93" t="s">
        <v>59</v>
      </c>
      <c r="H26" s="82" t="s">
        <v>185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1" t="s">
        <v>186</v>
      </c>
      <c r="P26" s="119" t="s">
        <v>238</v>
      </c>
      <c r="Q26" s="119" t="s">
        <v>75</v>
      </c>
    </row>
    <row r="27" spans="1:21" x14ac:dyDescent="0.25">
      <c r="A27" s="91" t="s">
        <v>187</v>
      </c>
      <c r="B27" s="91">
        <v>3</v>
      </c>
      <c r="C27" s="91" t="s">
        <v>2</v>
      </c>
      <c r="D27" s="91" t="s">
        <v>197</v>
      </c>
      <c r="E27">
        <v>49</v>
      </c>
      <c r="F27">
        <v>56</v>
      </c>
      <c r="G27" s="94" t="s">
        <v>93</v>
      </c>
      <c r="H27" t="s">
        <v>188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1" t="s">
        <v>189</v>
      </c>
      <c r="P27" s="119" t="s">
        <v>163</v>
      </c>
      <c r="Q27" s="119" t="s">
        <v>75</v>
      </c>
      <c r="R27" s="91" t="s">
        <v>222</v>
      </c>
      <c r="S27" s="91" t="s">
        <v>226</v>
      </c>
      <c r="T27" s="91" t="s">
        <v>228</v>
      </c>
      <c r="U27" s="91" t="s">
        <v>224</v>
      </c>
    </row>
    <row r="28" spans="1:21" x14ac:dyDescent="0.25">
      <c r="A28" s="91" t="s">
        <v>190</v>
      </c>
      <c r="B28" s="91">
        <v>4</v>
      </c>
      <c r="C28" s="91" t="s">
        <v>187</v>
      </c>
      <c r="D28" s="91" t="s">
        <v>59</v>
      </c>
      <c r="E28">
        <v>50</v>
      </c>
      <c r="F28">
        <v>55</v>
      </c>
      <c r="G28" s="94" t="s">
        <v>93</v>
      </c>
      <c r="H28" t="s">
        <v>188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1" t="s">
        <v>191</v>
      </c>
      <c r="P28" s="119" t="s">
        <v>166</v>
      </c>
      <c r="Q28" s="119" t="s">
        <v>75</v>
      </c>
      <c r="R28" s="91" t="s">
        <v>214</v>
      </c>
      <c r="S28" s="91" t="s">
        <v>218</v>
      </c>
      <c r="T28" s="91" t="s">
        <v>220</v>
      </c>
      <c r="U28" s="91" t="s">
        <v>216</v>
      </c>
    </row>
    <row r="29" spans="1:21" x14ac:dyDescent="0.25">
      <c r="A29" s="91" t="s">
        <v>192</v>
      </c>
      <c r="B29" s="91">
        <v>5</v>
      </c>
      <c r="C29" s="91" t="s">
        <v>190</v>
      </c>
      <c r="D29" s="91" t="s">
        <v>59</v>
      </c>
      <c r="E29">
        <v>51</v>
      </c>
      <c r="F29">
        <v>54</v>
      </c>
      <c r="G29" s="94" t="s">
        <v>93</v>
      </c>
      <c r="H29" t="s">
        <v>188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1" t="s">
        <v>193</v>
      </c>
      <c r="P29" s="119" t="s">
        <v>168</v>
      </c>
      <c r="Q29" s="119" t="s">
        <v>75</v>
      </c>
      <c r="R29" s="91" t="s">
        <v>203</v>
      </c>
      <c r="S29" s="91" t="s">
        <v>209</v>
      </c>
      <c r="T29" s="91" t="s">
        <v>212</v>
      </c>
      <c r="U29" s="91" t="s">
        <v>206</v>
      </c>
    </row>
    <row r="30" spans="1:21" x14ac:dyDescent="0.25">
      <c r="A30" s="91" t="s">
        <v>194</v>
      </c>
      <c r="B30" s="91">
        <v>6</v>
      </c>
      <c r="C30" s="91" t="s">
        <v>192</v>
      </c>
      <c r="D30" s="91" t="s">
        <v>59</v>
      </c>
      <c r="E30">
        <v>52</v>
      </c>
      <c r="F30">
        <v>53</v>
      </c>
      <c r="G30" s="94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1" t="s">
        <v>195</v>
      </c>
      <c r="P30" s="119" t="s">
        <v>171</v>
      </c>
      <c r="Q30" s="119" t="s">
        <v>75</v>
      </c>
    </row>
    <row r="31" spans="1:21" x14ac:dyDescent="0.25">
      <c r="G31" s="94"/>
      <c r="P31" s="119"/>
      <c r="Q31" s="119"/>
    </row>
    <row r="32" spans="1:21" x14ac:dyDescent="0.25">
      <c r="G32" s="94"/>
      <c r="P32" s="119"/>
      <c r="Q32" s="119"/>
    </row>
    <row r="33" spans="7:17" x14ac:dyDescent="0.25">
      <c r="G33" s="94"/>
      <c r="P33" s="119"/>
      <c r="Q33" s="119"/>
    </row>
    <row r="34" spans="7:17" x14ac:dyDescent="0.25">
      <c r="G34" s="94"/>
      <c r="P34" s="119"/>
      <c r="Q34" s="119"/>
    </row>
    <row r="35" spans="7:17" x14ac:dyDescent="0.25">
      <c r="G35" s="94"/>
      <c r="P35" s="119"/>
      <c r="Q35" s="119"/>
    </row>
    <row r="36" spans="7:17" x14ac:dyDescent="0.25">
      <c r="G36" s="94"/>
      <c r="P36" s="119"/>
      <c r="Q36" s="119"/>
    </row>
    <row r="37" spans="7:17" x14ac:dyDescent="0.25">
      <c r="G37" s="94"/>
      <c r="P37" s="119"/>
      <c r="Q37" s="119"/>
    </row>
    <row r="38" spans="7:17" x14ac:dyDescent="0.25">
      <c r="G38" s="94"/>
      <c r="P38" s="119"/>
      <c r="Q38" s="119"/>
    </row>
    <row r="39" spans="7:17" x14ac:dyDescent="0.25">
      <c r="G39" s="94"/>
      <c r="P39" s="119"/>
      <c r="Q39" s="119"/>
    </row>
    <row r="40" spans="7:17" x14ac:dyDescent="0.25">
      <c r="G40" s="94"/>
      <c r="P40" s="119"/>
      <c r="Q40" s="119"/>
    </row>
    <row r="41" spans="7:17" x14ac:dyDescent="0.25">
      <c r="G41" s="94"/>
      <c r="P41" s="119"/>
      <c r="Q41" s="119"/>
    </row>
    <row r="42" spans="7:17" x14ac:dyDescent="0.25">
      <c r="G42" s="94"/>
      <c r="P42" s="119"/>
      <c r="Q42" s="119"/>
    </row>
    <row r="43" spans="7:17" x14ac:dyDescent="0.25">
      <c r="G43" s="94"/>
      <c r="P43" s="119"/>
      <c r="Q43" s="119"/>
    </row>
    <row r="44" spans="7:17" x14ac:dyDescent="0.25">
      <c r="G44" s="94"/>
      <c r="P44" s="119"/>
      <c r="Q44" s="119"/>
    </row>
    <row r="45" spans="7:17" x14ac:dyDescent="0.25">
      <c r="G45" s="94"/>
      <c r="P45" s="119"/>
      <c r="Q45" s="119"/>
    </row>
    <row r="46" spans="7:17" x14ac:dyDescent="0.25">
      <c r="G46" s="94"/>
      <c r="P46" s="119"/>
      <c r="Q46" s="119"/>
    </row>
    <row r="47" spans="7:17" x14ac:dyDescent="0.25">
      <c r="G47" s="94"/>
      <c r="P47" s="119"/>
      <c r="Q47" s="119"/>
    </row>
    <row r="48" spans="7:17" x14ac:dyDescent="0.25">
      <c r="G48" s="94"/>
      <c r="P48" s="119"/>
      <c r="Q48" s="119"/>
    </row>
    <row r="49" spans="7:17" x14ac:dyDescent="0.25">
      <c r="G49" s="94"/>
      <c r="P49" s="119"/>
      <c r="Q49" s="119"/>
    </row>
    <row r="50" spans="7:17" x14ac:dyDescent="0.25">
      <c r="G50" s="94"/>
      <c r="P50" s="119"/>
      <c r="Q50" s="119"/>
    </row>
    <row r="51" spans="7:17" x14ac:dyDescent="0.25">
      <c r="G51" s="94"/>
      <c r="P51" s="119"/>
      <c r="Q51" s="119"/>
    </row>
    <row r="52" spans="7:17" x14ac:dyDescent="0.25">
      <c r="G52" s="94"/>
      <c r="P52" s="119"/>
      <c r="Q52" s="119"/>
    </row>
    <row r="53" spans="7:17" x14ac:dyDescent="0.25">
      <c r="G53" s="94"/>
      <c r="P53" s="119"/>
      <c r="Q53" s="119"/>
    </row>
    <row r="54" spans="7:17" x14ac:dyDescent="0.25">
      <c r="G54" s="94"/>
      <c r="P54" s="119"/>
      <c r="Q54" s="119"/>
    </row>
    <row r="55" spans="7:17" x14ac:dyDescent="0.25">
      <c r="G55" s="94"/>
      <c r="P55" s="119"/>
      <c r="Q55" s="119"/>
    </row>
    <row r="56" spans="7:17" x14ac:dyDescent="0.25">
      <c r="G56" s="94"/>
      <c r="P56" s="119"/>
      <c r="Q56" s="119"/>
    </row>
    <row r="57" spans="7:17" x14ac:dyDescent="0.25">
      <c r="G57" s="94"/>
      <c r="P57" s="119"/>
      <c r="Q57" s="119"/>
    </row>
    <row r="58" spans="7:17" x14ac:dyDescent="0.25">
      <c r="G58" s="94"/>
      <c r="P58" s="119"/>
      <c r="Q58" s="119"/>
    </row>
    <row r="59" spans="7:17" x14ac:dyDescent="0.25">
      <c r="G59" s="94"/>
      <c r="P59" s="119"/>
      <c r="Q59" s="119"/>
    </row>
    <row r="60" spans="7:17" x14ac:dyDescent="0.25">
      <c r="G60" s="94"/>
      <c r="P60" s="119"/>
      <c r="Q60" s="119"/>
    </row>
    <row r="61" spans="7:17" x14ac:dyDescent="0.25">
      <c r="G61" s="94"/>
      <c r="P61" s="119"/>
      <c r="Q61" s="119"/>
    </row>
    <row r="62" spans="7:17" x14ac:dyDescent="0.25">
      <c r="G62" s="94"/>
      <c r="P62" s="119"/>
      <c r="Q62" s="119"/>
    </row>
    <row r="63" spans="7:17" x14ac:dyDescent="0.25">
      <c r="G63" s="94"/>
      <c r="P63" s="119"/>
      <c r="Q63" s="119"/>
    </row>
    <row r="64" spans="7:17" x14ac:dyDescent="0.25">
      <c r="G64" s="94"/>
      <c r="P64" s="119"/>
      <c r="Q64" s="119"/>
    </row>
    <row r="65" spans="7:17" x14ac:dyDescent="0.25">
      <c r="G65" s="94"/>
      <c r="P65" s="119"/>
      <c r="Q65" s="119"/>
    </row>
    <row r="66" spans="7:17" x14ac:dyDescent="0.25">
      <c r="G66" s="94"/>
      <c r="P66" s="119"/>
      <c r="Q66" s="119"/>
    </row>
    <row r="67" spans="7:17" x14ac:dyDescent="0.25">
      <c r="G67" s="94"/>
      <c r="P67" s="119"/>
      <c r="Q67" s="119"/>
    </row>
    <row r="68" spans="7:17" x14ac:dyDescent="0.25">
      <c r="G68" s="94"/>
      <c r="P68" s="119"/>
      <c r="Q68" s="119"/>
    </row>
    <row r="69" spans="7:17" x14ac:dyDescent="0.25">
      <c r="G69" s="94"/>
      <c r="P69" s="119"/>
      <c r="Q69" s="119"/>
    </row>
    <row r="70" spans="7:17" x14ac:dyDescent="0.25">
      <c r="G70" s="94"/>
      <c r="P70" s="119"/>
      <c r="Q70" s="119"/>
    </row>
    <row r="71" spans="7:17" x14ac:dyDescent="0.25">
      <c r="G71" s="94"/>
      <c r="P71" s="119"/>
      <c r="Q71" s="119"/>
    </row>
    <row r="72" spans="7:17" x14ac:dyDescent="0.25">
      <c r="G72" s="94"/>
      <c r="P72" s="119"/>
      <c r="Q72" s="119"/>
    </row>
    <row r="73" spans="7:17" x14ac:dyDescent="0.25">
      <c r="G73" s="94"/>
      <c r="P73" s="119"/>
      <c r="Q73" s="119"/>
    </row>
    <row r="74" spans="7:17" x14ac:dyDescent="0.25">
      <c r="G74" s="94"/>
      <c r="P74" s="119"/>
      <c r="Q74" s="119"/>
    </row>
    <row r="75" spans="7:17" x14ac:dyDescent="0.25">
      <c r="G75" s="94"/>
      <c r="P75" s="119"/>
      <c r="Q75" s="119"/>
    </row>
    <row r="76" spans="7:17" x14ac:dyDescent="0.25">
      <c r="G76" s="94"/>
      <c r="P76" s="119"/>
      <c r="Q76" s="119"/>
    </row>
    <row r="77" spans="7:17" x14ac:dyDescent="0.25">
      <c r="G77" s="94"/>
      <c r="P77" s="119"/>
      <c r="Q77" s="119"/>
    </row>
    <row r="78" spans="7:17" x14ac:dyDescent="0.25">
      <c r="G78" s="94"/>
      <c r="P78" s="119"/>
      <c r="Q78" s="119"/>
    </row>
    <row r="79" spans="7:17" x14ac:dyDescent="0.25">
      <c r="G79" s="94"/>
      <c r="P79" s="119"/>
      <c r="Q79" s="119"/>
    </row>
    <row r="80" spans="7:17" x14ac:dyDescent="0.25">
      <c r="G80" s="94"/>
      <c r="P80" s="119"/>
      <c r="Q80" s="119"/>
    </row>
    <row r="81" spans="7:17" x14ac:dyDescent="0.25">
      <c r="G81" s="94"/>
      <c r="P81" s="119"/>
      <c r="Q81" s="119"/>
    </row>
    <row r="82" spans="7:17" x14ac:dyDescent="0.25">
      <c r="G82" s="94"/>
      <c r="P82" s="119"/>
      <c r="Q82" s="119"/>
    </row>
    <row r="83" spans="7:17" x14ac:dyDescent="0.25">
      <c r="G83" s="94"/>
      <c r="P83" s="119"/>
      <c r="Q83" s="119"/>
    </row>
    <row r="84" spans="7:17" x14ac:dyDescent="0.25">
      <c r="G84" s="94"/>
      <c r="P84" s="119"/>
      <c r="Q84" s="119"/>
    </row>
    <row r="85" spans="7:17" x14ac:dyDescent="0.25">
      <c r="G85" s="94"/>
      <c r="P85" s="119"/>
      <c r="Q85" s="119"/>
    </row>
    <row r="86" spans="7:17" x14ac:dyDescent="0.25">
      <c r="G86" s="94"/>
      <c r="P86" s="119"/>
      <c r="Q86" s="119"/>
    </row>
    <row r="87" spans="7:17" x14ac:dyDescent="0.25">
      <c r="G87" s="94"/>
      <c r="P87" s="119"/>
      <c r="Q87" s="119"/>
    </row>
    <row r="88" spans="7:17" x14ac:dyDescent="0.25">
      <c r="G88" s="94"/>
      <c r="P88" s="119"/>
      <c r="Q88" s="119"/>
    </row>
    <row r="89" spans="7:17" x14ac:dyDescent="0.25">
      <c r="G89" s="94"/>
      <c r="P89" s="119"/>
      <c r="Q89" s="119"/>
    </row>
    <row r="90" spans="7:17" x14ac:dyDescent="0.25">
      <c r="G90" s="94"/>
      <c r="P90" s="119"/>
      <c r="Q90" s="119"/>
    </row>
    <row r="91" spans="7:17" x14ac:dyDescent="0.25">
      <c r="G91" s="94"/>
      <c r="P91" s="119"/>
      <c r="Q91" s="119"/>
    </row>
    <row r="92" spans="7:17" x14ac:dyDescent="0.25">
      <c r="G92" s="94"/>
      <c r="P92" s="119"/>
      <c r="Q92" s="119"/>
    </row>
    <row r="93" spans="7:17" x14ac:dyDescent="0.25">
      <c r="G93" s="94"/>
      <c r="P93" s="119"/>
      <c r="Q93" s="119"/>
    </row>
    <row r="94" spans="7:17" x14ac:dyDescent="0.25">
      <c r="G94" s="94"/>
      <c r="P94" s="119"/>
      <c r="Q94" s="119"/>
    </row>
    <row r="95" spans="7:17" x14ac:dyDescent="0.25">
      <c r="G95" s="94"/>
      <c r="P95" s="119"/>
      <c r="Q95" s="119"/>
    </row>
    <row r="96" spans="7:17" x14ac:dyDescent="0.25">
      <c r="G96" s="94"/>
      <c r="P96" s="119"/>
      <c r="Q96" s="119"/>
    </row>
    <row r="97" spans="7:17" x14ac:dyDescent="0.25">
      <c r="G97" s="94"/>
      <c r="P97" s="119"/>
      <c r="Q97" s="119"/>
    </row>
    <row r="98" spans="7:17" x14ac:dyDescent="0.25">
      <c r="G98" s="94"/>
      <c r="P98" s="119"/>
      <c r="Q98" s="119"/>
    </row>
    <row r="99" spans="7:17" x14ac:dyDescent="0.25">
      <c r="G99" s="94"/>
      <c r="P99" s="119"/>
      <c r="Q99" s="119"/>
    </row>
    <row r="100" spans="7:17" x14ac:dyDescent="0.25">
      <c r="G100" s="94"/>
      <c r="P100" s="119"/>
      <c r="Q100" s="119"/>
    </row>
    <row r="101" spans="7:17" x14ac:dyDescent="0.25">
      <c r="G101" s="94"/>
      <c r="P101" s="119"/>
      <c r="Q101" s="119"/>
    </row>
    <row r="102" spans="7:17" x14ac:dyDescent="0.25">
      <c r="G102" s="94"/>
      <c r="P102" s="119"/>
      <c r="Q102" s="119"/>
    </row>
    <row r="103" spans="7:17" x14ac:dyDescent="0.25">
      <c r="G103" s="94"/>
      <c r="P103" s="119"/>
      <c r="Q103" s="119"/>
    </row>
    <row r="104" spans="7:17" x14ac:dyDescent="0.25">
      <c r="G104" s="94"/>
      <c r="P104" s="119"/>
      <c r="Q104" s="119"/>
    </row>
    <row r="105" spans="7:17" x14ac:dyDescent="0.25">
      <c r="G105" s="94"/>
      <c r="P105" s="119"/>
      <c r="Q105" s="119"/>
    </row>
    <row r="106" spans="7:17" x14ac:dyDescent="0.25">
      <c r="G106" s="94"/>
      <c r="P106" s="119"/>
      <c r="Q106" s="119"/>
    </row>
    <row r="107" spans="7:17" x14ac:dyDescent="0.25">
      <c r="G107" s="94"/>
      <c r="P107" s="119"/>
      <c r="Q107" s="119"/>
    </row>
    <row r="108" spans="7:17" x14ac:dyDescent="0.25">
      <c r="G108" s="94"/>
      <c r="P108" s="119"/>
      <c r="Q108" s="119"/>
    </row>
    <row r="109" spans="7:17" x14ac:dyDescent="0.25">
      <c r="G109" s="94"/>
      <c r="P109" s="119"/>
      <c r="Q109" s="119"/>
    </row>
    <row r="110" spans="7:17" x14ac:dyDescent="0.25">
      <c r="G110" s="94"/>
      <c r="P110" s="119"/>
      <c r="Q110" s="119"/>
    </row>
    <row r="111" spans="7:17" x14ac:dyDescent="0.25">
      <c r="G111" s="94"/>
      <c r="P111" s="119"/>
      <c r="Q111" s="119"/>
    </row>
    <row r="112" spans="7:17" x14ac:dyDescent="0.25">
      <c r="G112" s="94"/>
      <c r="P112" s="119"/>
      <c r="Q112" s="119"/>
    </row>
    <row r="113" spans="7:17" x14ac:dyDescent="0.25">
      <c r="G113" s="94"/>
      <c r="P113" s="119"/>
      <c r="Q113" s="119"/>
    </row>
    <row r="114" spans="7:17" x14ac:dyDescent="0.25">
      <c r="G114" s="94"/>
      <c r="P114" s="119"/>
      <c r="Q114" s="119"/>
    </row>
    <row r="115" spans="7:17" x14ac:dyDescent="0.25">
      <c r="G115" s="94"/>
      <c r="P115" s="119"/>
      <c r="Q115" s="119"/>
    </row>
    <row r="116" spans="7:17" x14ac:dyDescent="0.25">
      <c r="G116" s="94"/>
      <c r="P116" s="119"/>
      <c r="Q116" s="119"/>
    </row>
    <row r="117" spans="7:17" x14ac:dyDescent="0.25">
      <c r="G117" s="94"/>
      <c r="P117" s="119"/>
      <c r="Q117" s="119"/>
    </row>
    <row r="118" spans="7:17" x14ac:dyDescent="0.25">
      <c r="G118" s="94"/>
      <c r="P118" s="119"/>
      <c r="Q118" s="119"/>
    </row>
    <row r="119" spans="7:17" x14ac:dyDescent="0.25">
      <c r="G119" s="94"/>
      <c r="P119" s="119"/>
      <c r="Q119" s="119"/>
    </row>
    <row r="120" spans="7:17" x14ac:dyDescent="0.25">
      <c r="G120" s="94"/>
      <c r="P120" s="119"/>
      <c r="Q120" s="119"/>
    </row>
    <row r="121" spans="7:17" x14ac:dyDescent="0.25">
      <c r="G121" s="94"/>
      <c r="P121" s="119"/>
      <c r="Q121" s="119"/>
    </row>
    <row r="122" spans="7:17" x14ac:dyDescent="0.25">
      <c r="G122" s="94"/>
      <c r="P122" s="119"/>
      <c r="Q122" s="119"/>
    </row>
    <row r="123" spans="7:17" x14ac:dyDescent="0.25">
      <c r="G123" s="94"/>
      <c r="P123" s="119"/>
      <c r="Q123" s="119"/>
    </row>
    <row r="124" spans="7:17" x14ac:dyDescent="0.25">
      <c r="G124" s="94"/>
      <c r="P124" s="119"/>
      <c r="Q124" s="119"/>
    </row>
    <row r="125" spans="7:17" x14ac:dyDescent="0.25">
      <c r="G125" s="94"/>
      <c r="P125" s="119"/>
      <c r="Q125" s="119"/>
    </row>
    <row r="126" spans="7:17" x14ac:dyDescent="0.25">
      <c r="G126" s="94"/>
      <c r="P126" s="119"/>
      <c r="Q126" s="119"/>
    </row>
    <row r="127" spans="7:17" x14ac:dyDescent="0.25">
      <c r="G127" s="94"/>
      <c r="P127" s="119"/>
      <c r="Q127" s="119"/>
    </row>
    <row r="128" spans="7:17" x14ac:dyDescent="0.25">
      <c r="G128" s="94"/>
      <c r="P128" s="119"/>
      <c r="Q128" s="119"/>
    </row>
    <row r="129" spans="7:17" x14ac:dyDescent="0.25">
      <c r="G129" s="94"/>
      <c r="P129" s="119"/>
      <c r="Q129" s="119"/>
    </row>
    <row r="130" spans="7:17" x14ac:dyDescent="0.25">
      <c r="G130" s="94"/>
      <c r="P130" s="119"/>
      <c r="Q130" s="119"/>
    </row>
    <row r="131" spans="7:17" x14ac:dyDescent="0.25">
      <c r="G131" s="94"/>
      <c r="P131" s="119"/>
      <c r="Q131" s="119"/>
    </row>
    <row r="132" spans="7:17" x14ac:dyDescent="0.25">
      <c r="G132" s="94"/>
      <c r="P132" s="119"/>
      <c r="Q132" s="119"/>
    </row>
    <row r="133" spans="7:17" x14ac:dyDescent="0.25">
      <c r="G133" s="94"/>
      <c r="P133" s="119"/>
      <c r="Q133" s="119"/>
    </row>
    <row r="134" spans="7:17" x14ac:dyDescent="0.25">
      <c r="G134" s="94"/>
      <c r="P134" s="119"/>
      <c r="Q134" s="119"/>
    </row>
    <row r="135" spans="7:17" x14ac:dyDescent="0.25">
      <c r="G135" s="94"/>
      <c r="P135" s="119"/>
      <c r="Q135" s="119"/>
    </row>
    <row r="136" spans="7:17" x14ac:dyDescent="0.25">
      <c r="G136" s="94"/>
      <c r="P136" s="119"/>
      <c r="Q136" s="119"/>
    </row>
    <row r="137" spans="7:17" x14ac:dyDescent="0.25">
      <c r="G137" s="94"/>
      <c r="P137" s="119"/>
      <c r="Q137" s="119"/>
    </row>
    <row r="138" spans="7:17" x14ac:dyDescent="0.25">
      <c r="G138" s="94"/>
      <c r="P138" s="119"/>
      <c r="Q138" s="119"/>
    </row>
    <row r="139" spans="7:17" x14ac:dyDescent="0.25">
      <c r="G139" s="94"/>
      <c r="P139" s="119"/>
      <c r="Q139" s="119"/>
    </row>
    <row r="140" spans="7:17" x14ac:dyDescent="0.25">
      <c r="G140" s="94"/>
      <c r="P140" s="119"/>
      <c r="Q140" s="119"/>
    </row>
    <row r="141" spans="7:17" x14ac:dyDescent="0.25">
      <c r="G141" s="94"/>
      <c r="P141" s="119"/>
      <c r="Q141" s="119"/>
    </row>
    <row r="142" spans="7:17" x14ac:dyDescent="0.25">
      <c r="G142" s="94"/>
      <c r="P142" s="119"/>
      <c r="Q142" s="119"/>
    </row>
    <row r="143" spans="7:17" x14ac:dyDescent="0.25">
      <c r="G143" s="94"/>
      <c r="P143" s="119"/>
      <c r="Q143" s="119"/>
    </row>
    <row r="144" spans="7:17" x14ac:dyDescent="0.25">
      <c r="G144" s="94"/>
      <c r="P144" s="119"/>
      <c r="Q144" s="119"/>
    </row>
    <row r="145" spans="7:17" x14ac:dyDescent="0.25">
      <c r="G145" s="94"/>
      <c r="P145" s="119"/>
      <c r="Q145" s="119"/>
    </row>
    <row r="146" spans="7:17" x14ac:dyDescent="0.25">
      <c r="G146" s="94"/>
      <c r="P146" s="119"/>
      <c r="Q146" s="119"/>
    </row>
    <row r="147" spans="7:17" x14ac:dyDescent="0.25">
      <c r="G147" s="94"/>
      <c r="P147" s="119"/>
      <c r="Q147" s="119"/>
    </row>
    <row r="148" spans="7:17" x14ac:dyDescent="0.25">
      <c r="G148" s="94"/>
      <c r="P148" s="119"/>
      <c r="Q148" s="119"/>
    </row>
    <row r="149" spans="7:17" x14ac:dyDescent="0.25">
      <c r="G149" s="94"/>
      <c r="P149" s="119"/>
      <c r="Q149" s="119"/>
    </row>
    <row r="150" spans="7:17" x14ac:dyDescent="0.25">
      <c r="G150" s="94"/>
      <c r="P150" s="119"/>
      <c r="Q150" s="119"/>
    </row>
    <row r="151" spans="7:17" x14ac:dyDescent="0.25">
      <c r="G151" s="94"/>
      <c r="P151" s="119"/>
      <c r="Q151" s="119"/>
    </row>
    <row r="152" spans="7:17" x14ac:dyDescent="0.25">
      <c r="G152" s="94"/>
      <c r="P152" s="119"/>
      <c r="Q152" s="119"/>
    </row>
    <row r="153" spans="7:17" x14ac:dyDescent="0.25">
      <c r="G153" s="94"/>
      <c r="P153" s="119"/>
      <c r="Q153" s="119"/>
    </row>
    <row r="154" spans="7:17" x14ac:dyDescent="0.25">
      <c r="G154" s="94"/>
      <c r="P154" s="119"/>
      <c r="Q154" s="119"/>
    </row>
    <row r="155" spans="7:17" x14ac:dyDescent="0.25">
      <c r="G155" s="94"/>
      <c r="P155" s="119"/>
      <c r="Q155" s="119"/>
    </row>
    <row r="156" spans="7:17" x14ac:dyDescent="0.25">
      <c r="G156" s="94"/>
      <c r="P156" s="119"/>
      <c r="Q156" s="119"/>
    </row>
    <row r="157" spans="7:17" x14ac:dyDescent="0.25">
      <c r="G157" s="94"/>
      <c r="P157" s="119"/>
      <c r="Q157" s="119"/>
    </row>
    <row r="158" spans="7:17" x14ac:dyDescent="0.25">
      <c r="G158" s="94"/>
      <c r="P158" s="119"/>
      <c r="Q158" s="119"/>
    </row>
    <row r="159" spans="7:17" x14ac:dyDescent="0.25">
      <c r="G159" s="94"/>
      <c r="P159" s="119"/>
      <c r="Q159" s="119"/>
    </row>
    <row r="160" spans="7:17" x14ac:dyDescent="0.25">
      <c r="G160" s="94"/>
      <c r="P160" s="119"/>
      <c r="Q160" s="119"/>
    </row>
    <row r="161" spans="7:17" x14ac:dyDescent="0.25">
      <c r="G161" s="94"/>
      <c r="P161" s="119"/>
      <c r="Q161" s="119"/>
    </row>
    <row r="162" spans="7:17" x14ac:dyDescent="0.25">
      <c r="G162" s="94"/>
      <c r="P162" s="119"/>
      <c r="Q162" s="119"/>
    </row>
    <row r="163" spans="7:17" x14ac:dyDescent="0.25">
      <c r="G163" s="94"/>
      <c r="P163" s="119"/>
      <c r="Q163" s="119"/>
    </row>
    <row r="164" spans="7:17" x14ac:dyDescent="0.25">
      <c r="G164" s="94"/>
      <c r="P164" s="119"/>
      <c r="Q164" s="119"/>
    </row>
    <row r="165" spans="7:17" x14ac:dyDescent="0.25">
      <c r="G165" s="94"/>
      <c r="P165" s="119"/>
      <c r="Q165" s="119"/>
    </row>
    <row r="166" spans="7:17" x14ac:dyDescent="0.25">
      <c r="G166" s="94"/>
      <c r="P166" s="119"/>
      <c r="Q166" s="119"/>
    </row>
    <row r="167" spans="7:17" x14ac:dyDescent="0.25">
      <c r="G167" s="94"/>
      <c r="P167" s="119"/>
      <c r="Q167" s="119"/>
    </row>
    <row r="168" spans="7:17" x14ac:dyDescent="0.25">
      <c r="G168" s="94"/>
      <c r="P168" s="119"/>
      <c r="Q168" s="119"/>
    </row>
    <row r="169" spans="7:17" x14ac:dyDescent="0.25">
      <c r="G169" s="94"/>
      <c r="P169" s="119"/>
      <c r="Q169" s="119"/>
    </row>
    <row r="170" spans="7:17" x14ac:dyDescent="0.25">
      <c r="G170" s="94"/>
      <c r="P170" s="119"/>
      <c r="Q170" s="119"/>
    </row>
    <row r="171" spans="7:17" x14ac:dyDescent="0.25">
      <c r="G171" s="94"/>
      <c r="P171" s="119"/>
      <c r="Q171" s="119"/>
    </row>
    <row r="172" spans="7:17" x14ac:dyDescent="0.25">
      <c r="G172" s="94"/>
      <c r="P172" s="119"/>
      <c r="Q172" s="119"/>
    </row>
    <row r="173" spans="7:17" x14ac:dyDescent="0.25">
      <c r="G173" s="94"/>
      <c r="P173" s="119"/>
      <c r="Q173" s="119"/>
    </row>
    <row r="174" spans="7:17" x14ac:dyDescent="0.25">
      <c r="G174" s="94"/>
      <c r="P174" s="119"/>
      <c r="Q174" s="119"/>
    </row>
    <row r="175" spans="7:17" x14ac:dyDescent="0.25">
      <c r="G175" s="94"/>
      <c r="P175" s="119"/>
      <c r="Q175" s="119"/>
    </row>
    <row r="176" spans="7:17" x14ac:dyDescent="0.25">
      <c r="G176" s="94"/>
      <c r="P176" s="119"/>
      <c r="Q176" s="119"/>
    </row>
    <row r="177" spans="7:17" x14ac:dyDescent="0.25">
      <c r="G177" s="94"/>
      <c r="P177" s="119"/>
      <c r="Q177" s="119"/>
    </row>
    <row r="178" spans="7:17" x14ac:dyDescent="0.25">
      <c r="G178" s="94"/>
      <c r="P178" s="119"/>
      <c r="Q178" s="119"/>
    </row>
    <row r="179" spans="7:17" x14ac:dyDescent="0.25">
      <c r="G179" s="94"/>
      <c r="P179" s="119"/>
      <c r="Q179" s="119"/>
    </row>
    <row r="180" spans="7:17" x14ac:dyDescent="0.25">
      <c r="G180" s="94"/>
      <c r="P180" s="119"/>
      <c r="Q180" s="119"/>
    </row>
    <row r="181" spans="7:17" x14ac:dyDescent="0.25">
      <c r="G181" s="94"/>
      <c r="P181" s="119"/>
      <c r="Q181" s="119"/>
    </row>
    <row r="182" spans="7:17" x14ac:dyDescent="0.25">
      <c r="G182" s="94"/>
      <c r="P182" s="119"/>
      <c r="Q182" s="119"/>
    </row>
    <row r="183" spans="7:17" x14ac:dyDescent="0.25">
      <c r="G183" s="94"/>
      <c r="P183" s="119"/>
      <c r="Q183" s="119"/>
    </row>
    <row r="184" spans="7:17" x14ac:dyDescent="0.25">
      <c r="G184" s="94"/>
      <c r="P184" s="119"/>
      <c r="Q184" s="119"/>
    </row>
    <row r="185" spans="7:17" x14ac:dyDescent="0.25">
      <c r="G185" s="94"/>
      <c r="P185" s="119"/>
      <c r="Q185" s="119"/>
    </row>
    <row r="186" spans="7:17" x14ac:dyDescent="0.25">
      <c r="G186" s="94"/>
      <c r="P186" s="119"/>
      <c r="Q186" s="119"/>
    </row>
    <row r="187" spans="7:17" x14ac:dyDescent="0.25">
      <c r="G187" s="94"/>
      <c r="P187" s="119"/>
      <c r="Q187" s="119"/>
    </row>
    <row r="188" spans="7:17" x14ac:dyDescent="0.25">
      <c r="G188" s="94"/>
      <c r="P188" s="119"/>
      <c r="Q188" s="119"/>
    </row>
    <row r="189" spans="7:17" x14ac:dyDescent="0.25">
      <c r="G189" s="94"/>
      <c r="P189" s="119"/>
      <c r="Q189" s="119"/>
    </row>
    <row r="190" spans="7:17" x14ac:dyDescent="0.25">
      <c r="G190" s="94"/>
      <c r="P190" s="119"/>
      <c r="Q190" s="119"/>
    </row>
    <row r="191" spans="7:17" x14ac:dyDescent="0.25">
      <c r="G191" s="94"/>
      <c r="P191" s="119"/>
      <c r="Q191" s="119"/>
    </row>
    <row r="192" spans="7:17" x14ac:dyDescent="0.25">
      <c r="G192" s="94"/>
      <c r="P192" s="119"/>
      <c r="Q192" s="119"/>
    </row>
    <row r="193" spans="7:17" x14ac:dyDescent="0.25">
      <c r="G193" s="94"/>
      <c r="P193" s="119"/>
      <c r="Q193" s="119"/>
    </row>
    <row r="194" spans="7:17" x14ac:dyDescent="0.25">
      <c r="G194" s="94"/>
      <c r="P194" s="119"/>
      <c r="Q194" s="119"/>
    </row>
    <row r="195" spans="7:17" x14ac:dyDescent="0.25">
      <c r="G195" s="94"/>
      <c r="P195" s="119"/>
      <c r="Q195" s="119"/>
    </row>
    <row r="196" spans="7:17" x14ac:dyDescent="0.25">
      <c r="G196" s="94"/>
      <c r="P196" s="119"/>
      <c r="Q196" s="119"/>
    </row>
    <row r="197" spans="7:17" x14ac:dyDescent="0.25">
      <c r="G197" s="94"/>
      <c r="P197" s="119"/>
      <c r="Q197" s="119"/>
    </row>
    <row r="198" spans="7:17" x14ac:dyDescent="0.25">
      <c r="G198" s="94"/>
      <c r="P198" s="119"/>
      <c r="Q198" s="119"/>
    </row>
    <row r="199" spans="7:17" x14ac:dyDescent="0.25">
      <c r="G199" s="94"/>
      <c r="P199" s="119"/>
      <c r="Q199" s="119"/>
    </row>
    <row r="200" spans="7:17" x14ac:dyDescent="0.25">
      <c r="G200" s="94"/>
      <c r="P200" s="119"/>
      <c r="Q200" s="119"/>
    </row>
    <row r="201" spans="7:17" x14ac:dyDescent="0.25">
      <c r="G201" s="94"/>
      <c r="P201" s="119"/>
      <c r="Q201" s="119"/>
    </row>
    <row r="202" spans="7:17" x14ac:dyDescent="0.25">
      <c r="G202" s="94"/>
      <c r="P202" s="119"/>
      <c r="Q202" s="119"/>
    </row>
    <row r="203" spans="7:17" x14ac:dyDescent="0.25">
      <c r="G203" s="94"/>
      <c r="P203" s="119"/>
      <c r="Q203" s="119"/>
    </row>
    <row r="204" spans="7:17" x14ac:dyDescent="0.25">
      <c r="G204" s="94"/>
      <c r="P204" s="119"/>
      <c r="Q204" s="119"/>
    </row>
    <row r="205" spans="7:17" x14ac:dyDescent="0.25">
      <c r="G205" s="94"/>
      <c r="P205" s="119"/>
      <c r="Q205" s="119"/>
    </row>
    <row r="206" spans="7:17" x14ac:dyDescent="0.25">
      <c r="G206" s="94"/>
      <c r="P206" s="119"/>
      <c r="Q206" s="119"/>
    </row>
    <row r="207" spans="7:17" x14ac:dyDescent="0.25">
      <c r="G207" s="94"/>
      <c r="P207" s="119"/>
      <c r="Q207" s="119"/>
    </row>
    <row r="208" spans="7:17" x14ac:dyDescent="0.25">
      <c r="G208" s="94"/>
      <c r="P208" s="119"/>
      <c r="Q208" s="119"/>
    </row>
    <row r="209" spans="7:17" x14ac:dyDescent="0.25">
      <c r="G209" s="94"/>
      <c r="P209" s="119"/>
      <c r="Q209" s="119"/>
    </row>
    <row r="210" spans="7:17" x14ac:dyDescent="0.25">
      <c r="G210" s="94"/>
      <c r="P210" s="119"/>
      <c r="Q210" s="119"/>
    </row>
    <row r="211" spans="7:17" x14ac:dyDescent="0.25">
      <c r="G211" s="94"/>
      <c r="P211" s="119"/>
      <c r="Q211" s="119"/>
    </row>
    <row r="212" spans="7:17" x14ac:dyDescent="0.25">
      <c r="G212" s="94"/>
      <c r="P212" s="119"/>
      <c r="Q212" s="119"/>
    </row>
    <row r="213" spans="7:17" x14ac:dyDescent="0.25">
      <c r="G213" s="94"/>
      <c r="P213" s="119"/>
      <c r="Q213" s="119"/>
    </row>
    <row r="214" spans="7:17" x14ac:dyDescent="0.25">
      <c r="G214" s="94"/>
      <c r="P214" s="119"/>
      <c r="Q214" s="119"/>
    </row>
    <row r="215" spans="7:17" x14ac:dyDescent="0.25">
      <c r="G215" s="94"/>
      <c r="P215" s="119"/>
      <c r="Q215" s="119"/>
    </row>
    <row r="216" spans="7:17" x14ac:dyDescent="0.25">
      <c r="G216" s="94"/>
      <c r="P216" s="119"/>
      <c r="Q216" s="119"/>
    </row>
    <row r="217" spans="7:17" x14ac:dyDescent="0.25">
      <c r="G217" s="94"/>
      <c r="P217" s="119"/>
      <c r="Q217" s="119"/>
    </row>
    <row r="218" spans="7:17" x14ac:dyDescent="0.25">
      <c r="G218" s="94"/>
      <c r="P218" s="119"/>
      <c r="Q218" s="119"/>
    </row>
    <row r="219" spans="7:17" x14ac:dyDescent="0.25">
      <c r="G219" s="94"/>
      <c r="P219" s="119"/>
      <c r="Q219" s="119"/>
    </row>
    <row r="220" spans="7:17" x14ac:dyDescent="0.25">
      <c r="G220" s="94"/>
      <c r="P220" s="119"/>
      <c r="Q220" s="119"/>
    </row>
    <row r="221" spans="7:17" x14ac:dyDescent="0.25">
      <c r="G221" s="94"/>
      <c r="P221" s="119"/>
      <c r="Q221" s="119"/>
    </row>
    <row r="222" spans="7:17" x14ac:dyDescent="0.25">
      <c r="G222" s="94"/>
      <c r="P222" s="119"/>
      <c r="Q222" s="119"/>
    </row>
    <row r="223" spans="7:17" x14ac:dyDescent="0.25">
      <c r="G223" s="94"/>
      <c r="P223" s="119"/>
      <c r="Q223" s="119"/>
    </row>
    <row r="224" spans="7:17" x14ac:dyDescent="0.25">
      <c r="G224" s="94"/>
      <c r="P224" s="119"/>
      <c r="Q224" s="119"/>
    </row>
    <row r="225" spans="7:17" x14ac:dyDescent="0.25">
      <c r="G225" s="94"/>
      <c r="P225" s="119"/>
      <c r="Q225" s="119"/>
    </row>
    <row r="226" spans="7:17" x14ac:dyDescent="0.25">
      <c r="G226" s="94"/>
      <c r="P226" s="119"/>
      <c r="Q226" s="119"/>
    </row>
    <row r="227" spans="7:17" x14ac:dyDescent="0.25">
      <c r="G227" s="94"/>
      <c r="P227" s="119"/>
      <c r="Q227" s="119"/>
    </row>
    <row r="228" spans="7:17" x14ac:dyDescent="0.25">
      <c r="G228" s="94"/>
      <c r="P228" s="119"/>
      <c r="Q228" s="119"/>
    </row>
    <row r="229" spans="7:17" x14ac:dyDescent="0.25">
      <c r="G229" s="94"/>
      <c r="P229" s="119"/>
      <c r="Q229" s="119"/>
    </row>
    <row r="230" spans="7:17" x14ac:dyDescent="0.25">
      <c r="G230" s="94"/>
      <c r="P230" s="119"/>
      <c r="Q230" s="119"/>
    </row>
    <row r="231" spans="7:17" x14ac:dyDescent="0.25">
      <c r="G231" s="94"/>
      <c r="P231" s="119"/>
      <c r="Q231" s="119"/>
    </row>
    <row r="232" spans="7:17" x14ac:dyDescent="0.25">
      <c r="G232" s="94"/>
      <c r="P232" s="119"/>
      <c r="Q232" s="119"/>
    </row>
    <row r="233" spans="7:17" x14ac:dyDescent="0.25">
      <c r="G233" s="94"/>
      <c r="P233" s="119"/>
      <c r="Q233" s="119"/>
    </row>
    <row r="234" spans="7:17" x14ac:dyDescent="0.25">
      <c r="G234" s="94"/>
      <c r="P234" s="119"/>
      <c r="Q234" s="119"/>
    </row>
    <row r="235" spans="7:17" x14ac:dyDescent="0.25">
      <c r="G235" s="94"/>
      <c r="P235" s="119"/>
      <c r="Q235" s="119"/>
    </row>
    <row r="236" spans="7:17" x14ac:dyDescent="0.25">
      <c r="G236" s="94"/>
      <c r="P236" s="119"/>
      <c r="Q236" s="119"/>
    </row>
    <row r="237" spans="7:17" x14ac:dyDescent="0.25">
      <c r="G237" s="94"/>
      <c r="P237" s="119"/>
      <c r="Q237" s="119"/>
    </row>
    <row r="238" spans="7:17" x14ac:dyDescent="0.25">
      <c r="G238" s="94"/>
      <c r="P238" s="119"/>
      <c r="Q238" s="119"/>
    </row>
    <row r="239" spans="7:17" x14ac:dyDescent="0.25">
      <c r="G239" s="94"/>
      <c r="P239" s="119"/>
      <c r="Q239" s="119"/>
    </row>
    <row r="240" spans="7:17" x14ac:dyDescent="0.25">
      <c r="G240" s="94"/>
      <c r="P240" s="119"/>
      <c r="Q240" s="119"/>
    </row>
    <row r="241" spans="7:17" x14ac:dyDescent="0.25">
      <c r="G241" s="94"/>
      <c r="P241" s="119"/>
      <c r="Q241" s="119"/>
    </row>
    <row r="242" spans="7:17" x14ac:dyDescent="0.25">
      <c r="G242" s="94"/>
      <c r="P242" s="119"/>
      <c r="Q242" s="119"/>
    </row>
    <row r="243" spans="7:17" x14ac:dyDescent="0.25">
      <c r="G243" s="94"/>
      <c r="P243" s="119"/>
      <c r="Q243" s="119"/>
    </row>
    <row r="244" spans="7:17" x14ac:dyDescent="0.25">
      <c r="G244" s="94"/>
      <c r="P244" s="119"/>
      <c r="Q244" s="119"/>
    </row>
    <row r="245" spans="7:17" x14ac:dyDescent="0.25">
      <c r="G245" s="94"/>
      <c r="P245" s="119"/>
      <c r="Q245" s="119"/>
    </row>
    <row r="246" spans="7:17" x14ac:dyDescent="0.25">
      <c r="G246" s="94"/>
      <c r="P246" s="119"/>
      <c r="Q246" s="119"/>
    </row>
    <row r="247" spans="7:17" x14ac:dyDescent="0.25">
      <c r="G247" s="94"/>
      <c r="P247" s="119"/>
      <c r="Q247" s="119"/>
    </row>
    <row r="248" spans="7:17" x14ac:dyDescent="0.25">
      <c r="G248" s="94"/>
      <c r="P248" s="119"/>
      <c r="Q248" s="119"/>
    </row>
    <row r="249" spans="7:17" x14ac:dyDescent="0.25">
      <c r="G249" s="94"/>
      <c r="P249" s="119"/>
      <c r="Q249" s="119"/>
    </row>
    <row r="250" spans="7:17" x14ac:dyDescent="0.25">
      <c r="G250" s="94"/>
      <c r="P250" s="119"/>
      <c r="Q250" s="119"/>
    </row>
    <row r="251" spans="7:17" x14ac:dyDescent="0.25">
      <c r="G251" s="94"/>
      <c r="P251" s="119"/>
      <c r="Q251" s="119"/>
    </row>
    <row r="252" spans="7:17" x14ac:dyDescent="0.25">
      <c r="G252" s="94"/>
      <c r="P252" s="119"/>
      <c r="Q252" s="119"/>
    </row>
    <row r="253" spans="7:17" x14ac:dyDescent="0.25">
      <c r="G253" s="94"/>
      <c r="P253" s="119"/>
      <c r="Q253" s="119"/>
    </row>
    <row r="254" spans="7:17" x14ac:dyDescent="0.25">
      <c r="G254" s="94"/>
      <c r="P254" s="119"/>
      <c r="Q254" s="119"/>
    </row>
    <row r="255" spans="7:17" x14ac:dyDescent="0.25">
      <c r="G255" s="94"/>
      <c r="P255" s="119"/>
      <c r="Q255" s="119"/>
    </row>
    <row r="256" spans="7:17" x14ac:dyDescent="0.25">
      <c r="G256" s="94"/>
      <c r="P256" s="119"/>
      <c r="Q256" s="119"/>
    </row>
    <row r="257" spans="7:17" x14ac:dyDescent="0.25">
      <c r="G257" s="94"/>
      <c r="P257" s="119"/>
      <c r="Q257" s="119"/>
    </row>
    <row r="258" spans="7:17" x14ac:dyDescent="0.25">
      <c r="G258" s="94"/>
      <c r="P258" s="119"/>
      <c r="Q258" s="119"/>
    </row>
    <row r="259" spans="7:17" x14ac:dyDescent="0.25">
      <c r="G259" s="94"/>
      <c r="P259" s="119"/>
      <c r="Q259" s="119"/>
    </row>
    <row r="260" spans="7:17" x14ac:dyDescent="0.25">
      <c r="G260" s="94"/>
      <c r="P260" s="119"/>
      <c r="Q260" s="119"/>
    </row>
    <row r="261" spans="7:17" x14ac:dyDescent="0.25">
      <c r="G261" s="94"/>
      <c r="P261" s="119"/>
      <c r="Q261" s="119"/>
    </row>
    <row r="262" spans="7:17" x14ac:dyDescent="0.25">
      <c r="G262" s="94"/>
      <c r="P262" s="119"/>
      <c r="Q262" s="119"/>
    </row>
    <row r="263" spans="7:17" x14ac:dyDescent="0.25">
      <c r="G263" s="94"/>
      <c r="P263" s="119"/>
      <c r="Q263" s="119"/>
    </row>
    <row r="264" spans="7:17" x14ac:dyDescent="0.25">
      <c r="G264" s="94"/>
      <c r="P264" s="119"/>
      <c r="Q264" s="119"/>
    </row>
    <row r="265" spans="7:17" x14ac:dyDescent="0.25">
      <c r="G265" s="94"/>
      <c r="P265" s="119"/>
      <c r="Q265" s="119"/>
    </row>
    <row r="266" spans="7:17" x14ac:dyDescent="0.25">
      <c r="G266" s="94"/>
      <c r="P266" s="119"/>
      <c r="Q266" s="119"/>
    </row>
    <row r="267" spans="7:17" x14ac:dyDescent="0.25">
      <c r="G267" s="94"/>
      <c r="P267" s="119"/>
      <c r="Q267" s="119"/>
    </row>
    <row r="268" spans="7:17" x14ac:dyDescent="0.25">
      <c r="G268" s="94"/>
      <c r="P268" s="119"/>
      <c r="Q268" s="119"/>
    </row>
    <row r="269" spans="7:17" x14ac:dyDescent="0.25">
      <c r="G269" s="94"/>
      <c r="P269" s="119"/>
      <c r="Q269" s="119"/>
    </row>
    <row r="270" spans="7:17" x14ac:dyDescent="0.25">
      <c r="G270" s="94"/>
      <c r="P270" s="119"/>
      <c r="Q270" s="119"/>
    </row>
    <row r="271" spans="7:17" x14ac:dyDescent="0.25">
      <c r="G271" s="94"/>
      <c r="P271" s="119"/>
      <c r="Q271" s="119"/>
    </row>
    <row r="272" spans="7:17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2012-05-08T02:29:37Z</dcterms:modified>
</cp:coreProperties>
</file>
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855" windowWidth="13140" windowHeight="51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Database!$A$1:$G$259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J240" i="2" l="1"/>
  <c r="K240" i="2" s="1"/>
  <c r="J221" i="2"/>
  <c r="K221" i="2" s="1"/>
  <c r="J220" i="2" s="1"/>
  <c r="K220" i="2" s="1"/>
  <c r="J154" i="2"/>
  <c r="K154" i="2" s="1"/>
  <c r="K259" i="2"/>
  <c r="M259" i="2" s="1"/>
  <c r="K258" i="2"/>
  <c r="M258" i="2" s="1"/>
  <c r="K257" i="2"/>
  <c r="M257" i="2" s="1"/>
  <c r="K253" i="2"/>
  <c r="M253" i="2" s="1"/>
  <c r="K252" i="2"/>
  <c r="M252" i="2" s="1"/>
  <c r="M251" i="2"/>
  <c r="K251" i="2"/>
  <c r="K247" i="2"/>
  <c r="M247" i="2" s="1"/>
  <c r="K246" i="2"/>
  <c r="M246" i="2" s="1"/>
  <c r="K245" i="2"/>
  <c r="M241" i="2"/>
  <c r="M240" i="2" s="1"/>
  <c r="L240" i="2" s="1"/>
  <c r="K241" i="2"/>
  <c r="K239" i="2"/>
  <c r="K236" i="2"/>
  <c r="J235" i="2" s="1"/>
  <c r="K235" i="2" s="1"/>
  <c r="J234" i="2" s="1"/>
  <c r="K234" i="2" s="1"/>
  <c r="K232" i="2"/>
  <c r="K228" i="2"/>
  <c r="M228" i="2" s="1"/>
  <c r="M227" i="2"/>
  <c r="K227" i="2"/>
  <c r="M226" i="2"/>
  <c r="K226" i="2"/>
  <c r="K225" i="2"/>
  <c r="K222" i="2"/>
  <c r="M222" i="2" s="1"/>
  <c r="M221" i="2" s="1"/>
  <c r="K219" i="2"/>
  <c r="M219" i="2" s="1"/>
  <c r="M218" i="2"/>
  <c r="K218" i="2"/>
  <c r="K217" i="2"/>
  <c r="M217" i="2" s="1"/>
  <c r="K216" i="2"/>
  <c r="M216" i="2" s="1"/>
  <c r="K215" i="2"/>
  <c r="M215" i="2" s="1"/>
  <c r="K214" i="2"/>
  <c r="M214" i="2" s="1"/>
  <c r="K213" i="2"/>
  <c r="M213" i="2" s="1"/>
  <c r="K212" i="2"/>
  <c r="M212" i="2" s="1"/>
  <c r="K211" i="2"/>
  <c r="M211" i="2" s="1"/>
  <c r="M210" i="2"/>
  <c r="K210" i="2"/>
  <c r="K209" i="2"/>
  <c r="M209" i="2" s="1"/>
  <c r="K208" i="2"/>
  <c r="M208" i="2" s="1"/>
  <c r="K207" i="2"/>
  <c r="M207" i="2" s="1"/>
  <c r="K206" i="2"/>
  <c r="M206" i="2" s="1"/>
  <c r="K205" i="2"/>
  <c r="M205" i="2" s="1"/>
  <c r="K201" i="2"/>
  <c r="M201" i="2" s="1"/>
  <c r="K200" i="2"/>
  <c r="M200" i="2" s="1"/>
  <c r="K199" i="2"/>
  <c r="M199" i="2" s="1"/>
  <c r="K198" i="2"/>
  <c r="M198" i="2" s="1"/>
  <c r="M197" i="2"/>
  <c r="K197" i="2"/>
  <c r="K196" i="2"/>
  <c r="M196" i="2" s="1"/>
  <c r="K195" i="2"/>
  <c r="M195" i="2" s="1"/>
  <c r="K194" i="2"/>
  <c r="M194" i="2" s="1"/>
  <c r="M193" i="2"/>
  <c r="K193" i="2"/>
  <c r="K192" i="2"/>
  <c r="M192" i="2" s="1"/>
  <c r="K191" i="2"/>
  <c r="M191" i="2" s="1"/>
  <c r="K190" i="2"/>
  <c r="M190" i="2" s="1"/>
  <c r="M189" i="2"/>
  <c r="K189" i="2"/>
  <c r="M188" i="2"/>
  <c r="K188" i="2"/>
  <c r="M185" i="2"/>
  <c r="K185" i="2"/>
  <c r="K184" i="2"/>
  <c r="M184" i="2" s="1"/>
  <c r="M183" i="2" s="1"/>
  <c r="K181" i="2"/>
  <c r="M181" i="2" s="1"/>
  <c r="K180" i="2"/>
  <c r="M180" i="2" s="1"/>
  <c r="M179" i="2"/>
  <c r="K179" i="2"/>
  <c r="K178" i="2"/>
  <c r="M178" i="2" s="1"/>
  <c r="K177" i="2"/>
  <c r="M177" i="2" s="1"/>
  <c r="K171" i="2"/>
  <c r="M171" i="2" s="1"/>
  <c r="M170" i="2"/>
  <c r="K170" i="2"/>
  <c r="K169" i="2"/>
  <c r="K165" i="2"/>
  <c r="M165" i="2" s="1"/>
  <c r="K164" i="2"/>
  <c r="K162" i="2"/>
  <c r="M162" i="2" s="1"/>
  <c r="K161" i="2"/>
  <c r="M161" i="2" s="1"/>
  <c r="K160" i="2"/>
  <c r="K156" i="2"/>
  <c r="M156" i="2" s="1"/>
  <c r="K155" i="2"/>
  <c r="M155" i="2" s="1"/>
  <c r="K153" i="2"/>
  <c r="M153" i="2" s="1"/>
  <c r="M152" i="2"/>
  <c r="K152" i="2"/>
  <c r="K151" i="2"/>
  <c r="K147" i="2"/>
  <c r="M147" i="2" s="1"/>
  <c r="K146" i="2"/>
  <c r="K144" i="2"/>
  <c r="M144" i="2" s="1"/>
  <c r="K143" i="2"/>
  <c r="J141" i="2" s="1"/>
  <c r="K141" i="2" s="1"/>
  <c r="K142" i="2"/>
  <c r="M142" i="2" s="1"/>
  <c r="K138" i="2"/>
  <c r="M138" i="2" s="1"/>
  <c r="M137" i="2"/>
  <c r="M136" i="2" s="1"/>
  <c r="K137" i="2"/>
  <c r="K135" i="2"/>
  <c r="M135" i="2" s="1"/>
  <c r="K134" i="2"/>
  <c r="M134" i="2" s="1"/>
  <c r="K133" i="2"/>
  <c r="M129" i="2"/>
  <c r="K129" i="2"/>
  <c r="M128" i="2"/>
  <c r="K128" i="2"/>
  <c r="J127" i="2" s="1"/>
  <c r="K127" i="2" s="1"/>
  <c r="K126" i="2"/>
  <c r="M126" i="2" s="1"/>
  <c r="K125" i="2"/>
  <c r="M125" i="2" s="1"/>
  <c r="K124" i="2"/>
  <c r="M124" i="2" s="1"/>
  <c r="M123" i="2" s="1"/>
  <c r="K120" i="2"/>
  <c r="M119" i="2"/>
  <c r="K119" i="2"/>
  <c r="K117" i="2"/>
  <c r="M117" i="2" s="1"/>
  <c r="K116" i="2"/>
  <c r="M116" i="2" s="1"/>
  <c r="K115" i="2"/>
  <c r="M109" i="2"/>
  <c r="K109" i="2"/>
  <c r="K108" i="2"/>
  <c r="M108" i="2" s="1"/>
  <c r="K107" i="2"/>
  <c r="J106" i="2" s="1"/>
  <c r="K106" i="2" s="1"/>
  <c r="J105" i="2" s="1"/>
  <c r="K105" i="2" s="1"/>
  <c r="J104" i="2" s="1"/>
  <c r="K104" i="2" s="1"/>
  <c r="K103" i="2"/>
  <c r="M103" i="2" s="1"/>
  <c r="M102" i="2"/>
  <c r="M101" i="2" s="1"/>
  <c r="K102" i="2"/>
  <c r="K100" i="2"/>
  <c r="M100" i="2" s="1"/>
  <c r="K99" i="2"/>
  <c r="M99" i="2" s="1"/>
  <c r="K98" i="2"/>
  <c r="M98" i="2" s="1"/>
  <c r="K97" i="2"/>
  <c r="M97" i="2" s="1"/>
  <c r="K96" i="2"/>
  <c r="M96" i="2" s="1"/>
  <c r="M95" i="2"/>
  <c r="K95" i="2"/>
  <c r="K94" i="2"/>
  <c r="M94" i="2" s="1"/>
  <c r="K93" i="2"/>
  <c r="M93" i="2" s="1"/>
  <c r="K92" i="2"/>
  <c r="M92" i="2" s="1"/>
  <c r="M91" i="2"/>
  <c r="K91" i="2"/>
  <c r="K90" i="2"/>
  <c r="M90" i="2" s="1"/>
  <c r="K89" i="2"/>
  <c r="M89" i="2" s="1"/>
  <c r="K88" i="2"/>
  <c r="M88" i="2" s="1"/>
  <c r="K87" i="2"/>
  <c r="M87" i="2" s="1"/>
  <c r="K86" i="2"/>
  <c r="M86" i="2" s="1"/>
  <c r="K85" i="2"/>
  <c r="M85" i="2" s="1"/>
  <c r="K84" i="2"/>
  <c r="M84" i="2" s="1"/>
  <c r="M83" i="2"/>
  <c r="K83" i="2"/>
  <c r="K82" i="2"/>
  <c r="M82" i="2" s="1"/>
  <c r="M81" i="2"/>
  <c r="K81" i="2"/>
  <c r="K80" i="2"/>
  <c r="M80" i="2" s="1"/>
  <c r="K79" i="2"/>
  <c r="M79" i="2" s="1"/>
  <c r="K78" i="2"/>
  <c r="M78" i="2" s="1"/>
  <c r="K77" i="2"/>
  <c r="M77" i="2" s="1"/>
  <c r="K76" i="2"/>
  <c r="M76" i="2" s="1"/>
  <c r="K75" i="2"/>
  <c r="M75" i="2" s="1"/>
  <c r="K74" i="2"/>
  <c r="M73" i="2"/>
  <c r="K73" i="2"/>
  <c r="K68" i="2"/>
  <c r="M68" i="2" s="1"/>
  <c r="K67" i="2"/>
  <c r="M67" i="2" s="1"/>
  <c r="K63" i="2"/>
  <c r="M63" i="2" s="1"/>
  <c r="M62" i="2"/>
  <c r="K62" i="2"/>
  <c r="K61" i="2"/>
  <c r="J60" i="2" s="1"/>
  <c r="K60" i="2" s="1"/>
  <c r="J59" i="2" s="1"/>
  <c r="K59" i="2" s="1"/>
  <c r="J58" i="2" s="1"/>
  <c r="K58" i="2" s="1"/>
  <c r="J57" i="2" s="1"/>
  <c r="K57" i="2" s="1"/>
  <c r="K56" i="2"/>
  <c r="M56" i="2" s="1"/>
  <c r="M55" i="2" s="1"/>
  <c r="K51" i="2"/>
  <c r="M51" i="2" s="1"/>
  <c r="M50" i="2" s="1"/>
  <c r="M46" i="2"/>
  <c r="K46" i="2"/>
  <c r="M45" i="2"/>
  <c r="K45" i="2"/>
  <c r="M44" i="2"/>
  <c r="K44" i="2"/>
  <c r="K43" i="2"/>
  <c r="M43" i="2" s="1"/>
  <c r="K38" i="2"/>
  <c r="M38" i="2" s="1"/>
  <c r="K37" i="2"/>
  <c r="M37" i="2" s="1"/>
  <c r="M36" i="2"/>
  <c r="K36" i="2"/>
  <c r="K35" i="2"/>
  <c r="K30" i="2"/>
  <c r="J29" i="2" s="1"/>
  <c r="K29" i="2" s="1"/>
  <c r="J28" i="2" s="1"/>
  <c r="K28" i="2" s="1"/>
  <c r="J27" i="2" s="1"/>
  <c r="K27" i="2" s="1"/>
  <c r="K26" i="2"/>
  <c r="J21" i="2" s="1"/>
  <c r="K21" i="2" s="1"/>
  <c r="J20" i="2" s="1"/>
  <c r="K20" i="2" s="1"/>
  <c r="J19" i="2" s="1"/>
  <c r="K19" i="2" s="1"/>
  <c r="J18" i="2" s="1"/>
  <c r="K18" i="2" s="1"/>
  <c r="M25" i="2"/>
  <c r="K25" i="2"/>
  <c r="K24" i="2"/>
  <c r="M24" i="2" s="1"/>
  <c r="K23" i="2"/>
  <c r="M23" i="2" s="1"/>
  <c r="K22" i="2"/>
  <c r="M22" i="2" s="1"/>
  <c r="K17" i="2"/>
  <c r="M17" i="2" s="1"/>
  <c r="K16" i="2"/>
  <c r="M16" i="2" s="1"/>
  <c r="K15" i="2"/>
  <c r="M15" i="2" s="1"/>
  <c r="K14" i="2"/>
  <c r="M9" i="2"/>
  <c r="K9" i="2"/>
  <c r="K8" i="2"/>
  <c r="J7" i="2" s="1"/>
  <c r="K7" i="2" s="1"/>
  <c r="J6" i="2" s="1"/>
  <c r="K6" i="2" s="1"/>
  <c r="J5" i="2" s="1"/>
  <c r="K5" i="2" s="1"/>
  <c r="J4" i="2" s="1"/>
  <c r="K4" i="2" s="1"/>
  <c r="M154" i="2" l="1"/>
  <c r="L154" i="2" s="1"/>
  <c r="M176" i="2"/>
  <c r="M175" i="2" s="1"/>
  <c r="M256" i="2"/>
  <c r="J150" i="2"/>
  <c r="K150" i="2" s="1"/>
  <c r="J149" i="2" s="1"/>
  <c r="K149" i="2" s="1"/>
  <c r="J148" i="2" s="1"/>
  <c r="K148" i="2" s="1"/>
  <c r="J159" i="2"/>
  <c r="K159" i="2" s="1"/>
  <c r="M250" i="2"/>
  <c r="M249" i="2" s="1"/>
  <c r="M248" i="2" s="1"/>
  <c r="J50" i="2"/>
  <c r="K50" i="2" s="1"/>
  <c r="J49" i="2" s="1"/>
  <c r="K49" i="2" s="1"/>
  <c r="J48" i="2" s="1"/>
  <c r="K48" i="2" s="1"/>
  <c r="J47" i="2" s="1"/>
  <c r="K47" i="2" s="1"/>
  <c r="J13" i="2"/>
  <c r="K13" i="2" s="1"/>
  <c r="J12" i="2" s="1"/>
  <c r="K12" i="2" s="1"/>
  <c r="J11" i="2" s="1"/>
  <c r="K11" i="2" s="1"/>
  <c r="J10" i="2" s="1"/>
  <c r="K10" i="2" s="1"/>
  <c r="M160" i="2"/>
  <c r="M159" i="2" s="1"/>
  <c r="J55" i="2"/>
  <c r="K55" i="2" s="1"/>
  <c r="J54" i="2" s="1"/>
  <c r="K54" i="2" s="1"/>
  <c r="J53" i="2" s="1"/>
  <c r="K53" i="2" s="1"/>
  <c r="J52" i="2" s="1"/>
  <c r="K52" i="2" s="1"/>
  <c r="M30" i="2"/>
  <c r="M29" i="2" s="1"/>
  <c r="M107" i="2"/>
  <c r="M106" i="2" s="1"/>
  <c r="J163" i="2"/>
  <c r="K163" i="2" s="1"/>
  <c r="J256" i="2"/>
  <c r="K256" i="2" s="1"/>
  <c r="J255" i="2" s="1"/>
  <c r="K255" i="2" s="1"/>
  <c r="J254" i="2" s="1"/>
  <c r="K254" i="2" s="1"/>
  <c r="M127" i="2"/>
  <c r="J72" i="2"/>
  <c r="K72" i="2" s="1"/>
  <c r="J118" i="2"/>
  <c r="K118" i="2" s="1"/>
  <c r="M236" i="2"/>
  <c r="M235" i="2" s="1"/>
  <c r="M255" i="2"/>
  <c r="L106" i="2"/>
  <c r="M105" i="2"/>
  <c r="M42" i="2"/>
  <c r="M54" i="2"/>
  <c r="L55" i="2"/>
  <c r="J114" i="2"/>
  <c r="K114" i="2" s="1"/>
  <c r="M220" i="2"/>
  <c r="L220" i="2" s="1"/>
  <c r="L221" i="2"/>
  <c r="M14" i="2"/>
  <c r="M13" i="2" s="1"/>
  <c r="M151" i="2"/>
  <c r="M150" i="2" s="1"/>
  <c r="J168" i="2"/>
  <c r="K168" i="2" s="1"/>
  <c r="J167" i="2" s="1"/>
  <c r="K167" i="2" s="1"/>
  <c r="J166" i="2" s="1"/>
  <c r="K166" i="2" s="1"/>
  <c r="M169" i="2"/>
  <c r="M168" i="2" s="1"/>
  <c r="M187" i="2"/>
  <c r="J224" i="2"/>
  <c r="K224" i="2" s="1"/>
  <c r="J223" i="2" s="1"/>
  <c r="K223" i="2" s="1"/>
  <c r="M225" i="2"/>
  <c r="M224" i="2" s="1"/>
  <c r="J176" i="2"/>
  <c r="K176" i="2" s="1"/>
  <c r="J175" i="2" s="1"/>
  <c r="K175" i="2" s="1"/>
  <c r="J174" i="2" s="1"/>
  <c r="K174" i="2" s="1"/>
  <c r="J173" i="2" s="1"/>
  <c r="K173" i="2" s="1"/>
  <c r="M61" i="2"/>
  <c r="M60" i="2" s="1"/>
  <c r="M143" i="2"/>
  <c r="M141" i="2" s="1"/>
  <c r="J183" i="2"/>
  <c r="K183" i="2" s="1"/>
  <c r="J182" i="2" s="1"/>
  <c r="K182" i="2" s="1"/>
  <c r="M26" i="2"/>
  <c r="M21" i="2" s="1"/>
  <c r="L183" i="2"/>
  <c r="M182" i="2"/>
  <c r="L101" i="2"/>
  <c r="J238" i="2"/>
  <c r="K238" i="2" s="1"/>
  <c r="J237" i="2" s="1"/>
  <c r="K237" i="2" s="1"/>
  <c r="J233" i="2" s="1"/>
  <c r="K233" i="2" s="1"/>
  <c r="M239" i="2"/>
  <c r="M238" i="2" s="1"/>
  <c r="L127" i="2"/>
  <c r="L29" i="2"/>
  <c r="M28" i="2"/>
  <c r="L50" i="2"/>
  <c r="M49" i="2"/>
  <c r="M66" i="2"/>
  <c r="M122" i="2"/>
  <c r="J34" i="2"/>
  <c r="K34" i="2" s="1"/>
  <c r="J33" i="2" s="1"/>
  <c r="K33" i="2" s="1"/>
  <c r="J32" i="2" s="1"/>
  <c r="K32" i="2" s="1"/>
  <c r="J31" i="2" s="1"/>
  <c r="K31" i="2" s="1"/>
  <c r="M120" i="2"/>
  <c r="M118" i="2" s="1"/>
  <c r="M8" i="2"/>
  <c r="M7" i="2" s="1"/>
  <c r="M35" i="2"/>
  <c r="M34" i="2" s="1"/>
  <c r="M74" i="2"/>
  <c r="M72" i="2" s="1"/>
  <c r="M115" i="2"/>
  <c r="M114" i="2" s="1"/>
  <c r="J123" i="2"/>
  <c r="K123" i="2" s="1"/>
  <c r="J122" i="2" s="1"/>
  <c r="K122" i="2" s="1"/>
  <c r="J121" i="2" s="1"/>
  <c r="K121" i="2" s="1"/>
  <c r="J244" i="2"/>
  <c r="K244" i="2" s="1"/>
  <c r="J243" i="2" s="1"/>
  <c r="K243" i="2" s="1"/>
  <c r="J242" i="2" s="1"/>
  <c r="K242" i="2" s="1"/>
  <c r="M245" i="2"/>
  <c r="M244" i="2" s="1"/>
  <c r="J101" i="2"/>
  <c r="K101" i="2" s="1"/>
  <c r="J71" i="2" s="1"/>
  <c r="K71" i="2" s="1"/>
  <c r="J70" i="2" s="1"/>
  <c r="K70" i="2" s="1"/>
  <c r="J69" i="2" s="1"/>
  <c r="K69" i="2" s="1"/>
  <c r="J66" i="2"/>
  <c r="K66" i="2" s="1"/>
  <c r="J65" i="2" s="1"/>
  <c r="K65" i="2" s="1"/>
  <c r="J64" i="2" s="1"/>
  <c r="K64" i="2" s="1"/>
  <c r="J132" i="2"/>
  <c r="K132" i="2" s="1"/>
  <c r="J131" i="2" s="1"/>
  <c r="K131" i="2" s="1"/>
  <c r="J130" i="2" s="1"/>
  <c r="K130" i="2" s="1"/>
  <c r="M133" i="2"/>
  <c r="M132" i="2" s="1"/>
  <c r="M164" i="2"/>
  <c r="M163" i="2" s="1"/>
  <c r="J231" i="2"/>
  <c r="K231" i="2" s="1"/>
  <c r="J230" i="2" s="1"/>
  <c r="K230" i="2" s="1"/>
  <c r="J229" i="2" s="1"/>
  <c r="K229" i="2" s="1"/>
  <c r="M232" i="2"/>
  <c r="M231" i="2" s="1"/>
  <c r="J250" i="2"/>
  <c r="K250" i="2" s="1"/>
  <c r="J187" i="2"/>
  <c r="K187" i="2" s="1"/>
  <c r="J186" i="2" s="1"/>
  <c r="K186" i="2" s="1"/>
  <c r="J204" i="2"/>
  <c r="K204" i="2" s="1"/>
  <c r="J203" i="2" s="1"/>
  <c r="K203" i="2" s="1"/>
  <c r="J202" i="2" s="1"/>
  <c r="K202" i="2" s="1"/>
  <c r="M204" i="2"/>
  <c r="J42" i="2"/>
  <c r="K42" i="2" s="1"/>
  <c r="J41" i="2" s="1"/>
  <c r="K41" i="2" s="1"/>
  <c r="J40" i="2" s="1"/>
  <c r="K40" i="2" s="1"/>
  <c r="J39" i="2" s="1"/>
  <c r="K39" i="2" s="1"/>
  <c r="J3" i="2" s="1"/>
  <c r="K3" i="2" s="1"/>
  <c r="J145" i="2"/>
  <c r="K145" i="2" s="1"/>
  <c r="J140" i="2" s="1"/>
  <c r="K140" i="2" s="1"/>
  <c r="J139" i="2" s="1"/>
  <c r="K139" i="2" s="1"/>
  <c r="M146" i="2"/>
  <c r="M145" i="2" s="1"/>
  <c r="L145" i="2" s="1"/>
  <c r="J136" i="2"/>
  <c r="K136" i="2" s="1"/>
  <c r="L136" i="2" s="1"/>
  <c r="H34" i="4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J158" i="2" l="1"/>
  <c r="K158" i="2" s="1"/>
  <c r="J157" i="2" s="1"/>
  <c r="K157" i="2" s="1"/>
  <c r="L159" i="2"/>
  <c r="L163" i="2"/>
  <c r="L256" i="2"/>
  <c r="L118" i="2"/>
  <c r="J113" i="2"/>
  <c r="K113" i="2" s="1"/>
  <c r="J112" i="2" s="1"/>
  <c r="K112" i="2" s="1"/>
  <c r="J111" i="2" s="1"/>
  <c r="K111" i="2" s="1"/>
  <c r="J110" i="2" s="1"/>
  <c r="K110" i="2" s="1"/>
  <c r="M234" i="2"/>
  <c r="L234" i="2" s="1"/>
  <c r="L235" i="2"/>
  <c r="M71" i="2"/>
  <c r="L72" i="2"/>
  <c r="M121" i="2"/>
  <c r="L121" i="2" s="1"/>
  <c r="L122" i="2"/>
  <c r="L60" i="2"/>
  <c r="M59" i="2"/>
  <c r="M20" i="2"/>
  <c r="L21" i="2"/>
  <c r="L114" i="2"/>
  <c r="M113" i="2"/>
  <c r="M203" i="2"/>
  <c r="L204" i="2"/>
  <c r="L224" i="2"/>
  <c r="M223" i="2"/>
  <c r="L223" i="2" s="1"/>
  <c r="L187" i="2"/>
  <c r="M186" i="2"/>
  <c r="L186" i="2" s="1"/>
  <c r="M158" i="2"/>
  <c r="M167" i="2"/>
  <c r="L168" i="2"/>
  <c r="J249" i="2"/>
  <c r="K249" i="2" s="1"/>
  <c r="L250" i="2"/>
  <c r="L244" i="2"/>
  <c r="M243" i="2"/>
  <c r="L176" i="2"/>
  <c r="M53" i="2"/>
  <c r="L54" i="2"/>
  <c r="M230" i="2"/>
  <c r="L231" i="2"/>
  <c r="M27" i="2"/>
  <c r="L27" i="2" s="1"/>
  <c r="L28" i="2"/>
  <c r="L182" i="2"/>
  <c r="M140" i="2"/>
  <c r="L141" i="2"/>
  <c r="M149" i="2"/>
  <c r="L150" i="2"/>
  <c r="M41" i="2"/>
  <c r="L42" i="2"/>
  <c r="M131" i="2"/>
  <c r="L132" i="2"/>
  <c r="M65" i="2"/>
  <c r="L66" i="2"/>
  <c r="M33" i="2"/>
  <c r="L34" i="2"/>
  <c r="M48" i="2"/>
  <c r="L49" i="2"/>
  <c r="M12" i="2"/>
  <c r="L13" i="2"/>
  <c r="M237" i="2"/>
  <c r="L238" i="2"/>
  <c r="L123" i="2"/>
  <c r="M104" i="2"/>
  <c r="L104" i="2" s="1"/>
  <c r="L105" i="2"/>
  <c r="L7" i="2"/>
  <c r="M6" i="2"/>
  <c r="M174" i="2"/>
  <c r="L175" i="2"/>
  <c r="M254" i="2"/>
  <c r="L254" i="2" s="1"/>
  <c r="L255" i="2"/>
  <c r="H27" i="5"/>
  <c r="L48" i="2" l="1"/>
  <c r="M47" i="2"/>
  <c r="L47" i="2" s="1"/>
  <c r="J248" i="2"/>
  <c r="K248" i="2" s="1"/>
  <c r="L249" i="2"/>
  <c r="L230" i="2"/>
  <c r="M229" i="2"/>
  <c r="L229" i="2" s="1"/>
  <c r="M202" i="2"/>
  <c r="L202" i="2" s="1"/>
  <c r="L203" i="2"/>
  <c r="M148" i="2"/>
  <c r="L148" i="2" s="1"/>
  <c r="L149" i="2"/>
  <c r="M166" i="2"/>
  <c r="L166" i="2" s="1"/>
  <c r="L167" i="2"/>
  <c r="M173" i="2"/>
  <c r="L174" i="2"/>
  <c r="L237" i="2"/>
  <c r="M233" i="2"/>
  <c r="L233" i="2" s="1"/>
  <c r="M64" i="2"/>
  <c r="L64" i="2" s="1"/>
  <c r="L65" i="2"/>
  <c r="L53" i="2"/>
  <c r="M52" i="2"/>
  <c r="L52" i="2" s="1"/>
  <c r="M157" i="2"/>
  <c r="L157" i="2" s="1"/>
  <c r="L158" i="2"/>
  <c r="M70" i="2"/>
  <c r="L71" i="2"/>
  <c r="M5" i="2"/>
  <c r="L6" i="2"/>
  <c r="M139" i="2"/>
  <c r="L139" i="2" s="1"/>
  <c r="L140" i="2"/>
  <c r="M11" i="2"/>
  <c r="L12" i="2"/>
  <c r="M130" i="2"/>
  <c r="L130" i="2" s="1"/>
  <c r="L131" i="2"/>
  <c r="L243" i="2"/>
  <c r="M242" i="2"/>
  <c r="L242" i="2" s="1"/>
  <c r="L20" i="2"/>
  <c r="M19" i="2"/>
  <c r="M58" i="2"/>
  <c r="L59" i="2"/>
  <c r="L41" i="2"/>
  <c r="M40" i="2"/>
  <c r="L33" i="2"/>
  <c r="M32" i="2"/>
  <c r="L113" i="2"/>
  <c r="M112" i="2"/>
  <c r="M10" i="2" l="1"/>
  <c r="L10" i="2" s="1"/>
  <c r="L11" i="2"/>
  <c r="M172" i="2"/>
  <c r="L172" i="2" s="1"/>
  <c r="L173" i="2"/>
  <c r="M111" i="2"/>
  <c r="L112" i="2"/>
  <c r="L19" i="2"/>
  <c r="M18" i="2"/>
  <c r="L18" i="2" s="1"/>
  <c r="L248" i="2"/>
  <c r="J172" i="2"/>
  <c r="K172" i="2" s="1"/>
  <c r="J2" i="2" s="1"/>
  <c r="K2" i="2" s="1"/>
  <c r="M31" i="2"/>
  <c r="L31" i="2" s="1"/>
  <c r="L32" i="2"/>
  <c r="M4" i="2"/>
  <c r="L5" i="2"/>
  <c r="M39" i="2"/>
  <c r="L39" i="2" s="1"/>
  <c r="L40" i="2"/>
  <c r="L70" i="2"/>
  <c r="M69" i="2"/>
  <c r="L69" i="2" s="1"/>
  <c r="M57" i="2"/>
  <c r="L57" i="2" s="1"/>
  <c r="L58" i="2"/>
  <c r="L111" i="2" l="1"/>
  <c r="M110" i="2"/>
  <c r="L110" i="2" s="1"/>
  <c r="L4" i="2"/>
  <c r="M3" i="2"/>
  <c r="M2" i="2" l="1"/>
  <c r="L2" i="2" s="1"/>
  <c r="L3" i="2"/>
</calcChain>
</file>

<file path=xl/sharedStrings.xml><?xml version="1.0" encoding="utf-8"?>
<sst xmlns="http://schemas.openxmlformats.org/spreadsheetml/2006/main" count="1664" uniqueCount="810">
  <si>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</si>
  <si>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</si>
  <si>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</si>
  <si>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</si>
  <si>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</si>
  <si>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</si>
  <si>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</si>
  <si>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</si>
  <si>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</si>
  <si>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</si>
  <si>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</si>
  <si>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</si>
  <si>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</si>
  <si>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</si>
  <si>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</si>
  <si>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</si>
  <si>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</si>
  <si>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</si>
  <si>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</si>
  <si>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</si>
  <si>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</si>
  <si>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</si>
  <si>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</si>
  <si>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</si>
  <si>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</si>
  <si>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</si>
  <si>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</si>
  <si>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</si>
  <si>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</si>
  <si>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</si>
  <si>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</si>
  <si>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</si>
  <si>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</si>
  <si>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</si>
  <si>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</si>
  <si>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</si>
  <si>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</si>
  <si>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</si>
  <si>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</si>
  <si>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</si>
  <si>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</si>
  <si>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</si>
  <si>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</si>
  <si>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</si>
  <si>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</si>
  <si>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</si>
  <si>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</si>
  <si>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</si>
  <si>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</si>
  <si>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</si>
  <si>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</si>
  <si>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</si>
  <si>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</si>
  <si>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</si>
  <si>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</si>
  <si>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</si>
  <si>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</si>
  <si>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</si>
  <si>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</si>
  <si>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</si>
  <si>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</si>
  <si>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</si>
  <si>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</si>
  <si>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</si>
  <si>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</si>
  <si>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</si>
  <si>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</si>
  <si>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</si>
  <si>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</si>
  <si>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</si>
  <si>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</si>
  <si>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</si>
  <si>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</si>
  <si>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</si>
  <si>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</si>
  <si>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</si>
  <si>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</si>
  <si>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</si>
  <si>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</si>
  <si>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</si>
  <si>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</si>
  <si>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</si>
  <si>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</si>
  <si>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</si>
  <si>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</si>
  <si>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</si>
  <si>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</si>
  <si>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</si>
  <si>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</si>
  <si>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</si>
  <si>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</si>
  <si>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</si>
  <si>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</si>
  <si>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</si>
  <si>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</si>
  <si>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</si>
  <si>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</si>
  <si>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</si>
  <si>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</si>
  <si>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</si>
  <si>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</si>
  <si>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</si>
  <si>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</si>
  <si>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</si>
  <si>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</si>
  <si>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</si>
  <si>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</si>
  <si>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</si>
  <si>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</si>
  <si>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</si>
  <si>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</si>
  <si>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</si>
  <si>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</si>
  <si>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</si>
  <si>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</si>
  <si>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</si>
  <si>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</si>
  <si>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</si>
  <si>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</si>
  <si>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</si>
  <si>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</si>
  <si>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</si>
  <si>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</si>
  <si>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</si>
  <si>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</si>
  <si>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</si>
  <si>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</si>
  <si>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</si>
  <si>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</si>
  <si>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</si>
  <si>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</si>
  <si>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</si>
  <si>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</si>
  <si>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</si>
  <si>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</si>
  <si>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</si>
  <si>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</si>
  <si>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</si>
  <si>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</si>
  <si>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</si>
  <si>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</si>
  <si>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</si>
  <si>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</si>
  <si>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</si>
  <si>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</si>
  <si>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</si>
  <si>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</si>
  <si>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</si>
  <si>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</si>
  <si>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</si>
  <si>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</si>
  <si>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</si>
  <si>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</si>
  <si>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</si>
  <si>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</si>
  <si>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</si>
  <si>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</si>
  <si>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</si>
  <si>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</si>
  <si>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</si>
  <si>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</si>
  <si>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</si>
  <si>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</si>
  <si>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</si>
  <si>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</si>
  <si>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</si>
  <si>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</si>
  <si>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</si>
  <si>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</si>
  <si>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</si>
  <si>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</si>
  <si>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</si>
  <si>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</si>
  <si>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</si>
  <si>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</si>
  <si>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</si>
  <si>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</si>
  <si>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</si>
  <si>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</si>
  <si>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</si>
  <si>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</si>
  <si>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</si>
  <si>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</si>
  <si>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</si>
  <si>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</si>
  <si>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</si>
  <si>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</si>
  <si>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</si>
  <si>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</si>
  <si>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</si>
  <si>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</si>
  <si>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</si>
  <si>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</si>
  <si>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</si>
  <si>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</si>
  <si>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</si>
  <si>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</si>
  <si>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</si>
  <si>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</si>
  <si>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</si>
  <si>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</si>
  <si>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</si>
  <si>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</si>
  <si>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</si>
  <si>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</si>
  <si>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</si>
  <si>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</si>
  <si>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</si>
  <si>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</si>
  <si>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</si>
  <si>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</si>
  <si>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</si>
  <si>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</si>
  <si>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</si>
  <si>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</si>
  <si>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</si>
  <si>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</si>
  <si>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</si>
  <si>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</si>
  <si>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</si>
  <si>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</si>
  <si>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</si>
  <si>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</si>
  <si>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</si>
  <si>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</si>
  <si>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</si>
  <si>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</si>
  <si>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</si>
  <si>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</si>
  <si>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</si>
  <si>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</si>
  <si>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</si>
  <si>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</si>
  <si>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</si>
  <si>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</si>
  <si>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</si>
  <si>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</si>
  <si>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</si>
  <si>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</si>
  <si>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</si>
  <si>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</si>
  <si>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</si>
  <si>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</si>
  <si>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</si>
  <si>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</si>
  <si>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</si>
  <si>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</si>
  <si>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</si>
  <si>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</si>
  <si>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</si>
  <si>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</si>
  <si>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</si>
  <si>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</si>
  <si>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</si>
  <si>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</si>
  <si>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</si>
  <si>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</si>
  <si>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</si>
  <si>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</si>
  <si>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</si>
  <si>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</si>
  <si>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</si>
  <si>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</si>
  <si>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</si>
  <si>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</si>
  <si>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</si>
  <si>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</si>
  <si>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</si>
  <si>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</si>
  <si>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</si>
  <si>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</si>
  <si>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</si>
  <si>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</si>
  <si>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</si>
  <si>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</si>
  <si>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</si>
  <si>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</si>
  <si>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</si>
  <si>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</si>
  <si>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</si>
  <si>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</si>
  <si>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</si>
  <si>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</si>
  <si>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</si>
  <si>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</si>
  <si>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</si>
  <si>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</si>
  <si>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</si>
  <si>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</si>
  <si>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</si>
  <si>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</si>
  <si>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</si>
  <si>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</si>
  <si>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</si>
  <si>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</si>
  <si>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</si>
  <si>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</si>
  <si>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</si>
  <si>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</si>
  <si>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</si>
  <si>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</si>
  <si>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</si>
  <si>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</si>
  <si>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</si>
  <si>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</si>
  <si>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</si>
  <si>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</si>
  <si>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</si>
  <si>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</si>
  <si>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</si>
  <si>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</si>
  <si>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</si>
  <si>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</si>
  <si>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</si>
  <si>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</si>
  <si>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</si>
  <si>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</si>
  <si>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</si>
  <si>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</si>
  <si>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</si>
  <si>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</si>
  <si>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</si>
  <si>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</si>
  <si>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</si>
  <si>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</si>
  <si>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</si>
  <si>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</si>
  <si>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</si>
  <si>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</si>
  <si>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</si>
  <si>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</si>
  <si>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</si>
  <si>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</si>
  <si>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</si>
  <si>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</si>
  <si>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</si>
  <si>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</si>
  <si>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</si>
  <si>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</si>
  <si>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</si>
  <si>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</si>
  <si>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</si>
  <si>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</si>
  <si>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</si>
  <si>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</si>
  <si>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</si>
  <si>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</si>
  <si>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</si>
  <si>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</si>
  <si>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</si>
  <si>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</si>
  <si>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</si>
  <si>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</si>
  <si>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</si>
  <si>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</si>
  <si>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</si>
  <si>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</si>
  <si>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</si>
  <si>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</si>
  <si>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</si>
  <si>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</si>
  <si>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</si>
  <si>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</si>
  <si>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</si>
  <si>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</si>
  <si>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</si>
  <si>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</si>
  <si>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</si>
  <si>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</si>
  <si>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</si>
  <si>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</si>
  <si>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</si>
  <si>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</si>
  <si>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</si>
  <si>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</si>
  <si>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</si>
  <si>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</si>
  <si>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</si>
  <si>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</si>
  <si>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</si>
  <si>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</si>
  <si>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</si>
  <si>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</si>
  <si>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</si>
  <si>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</si>
  <si>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</si>
  <si>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</si>
  <si>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</si>
  <si>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</si>
  <si>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</si>
  <si>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</si>
  <si>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</si>
  <si>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</si>
  <si>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</si>
  <si>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</si>
  <si>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</si>
  <si>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</si>
  <si>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</si>
  <si>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</si>
  <si>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</si>
  <si>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</si>
  <si>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</si>
  <si>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</si>
  <si>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</si>
  <si>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</si>
  <si>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</si>
  <si>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</si>
  <si>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</si>
  <si>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</si>
  <si>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</si>
  <si>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</si>
  <si>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</si>
  <si>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</si>
  <si>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</si>
  <si>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</si>
  <si>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</si>
  <si>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</si>
  <si>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</si>
  <si>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</si>
  <si>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</si>
  <si>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</si>
  <si>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</si>
  <si>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</si>
  <si>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</si>
  <si>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</si>
  <si>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</si>
  <si>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</si>
  <si>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</si>
  <si>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</si>
  <si>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</si>
  <si>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</si>
  <si>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</si>
  <si>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</si>
  <si>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</si>
  <si>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</si>
  <si>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</si>
  <si>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</si>
  <si>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</si>
  <si>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</si>
  <si>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</si>
  <si>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</si>
  <si>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</si>
  <si>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</si>
  <si>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</si>
  <si>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</si>
  <si>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</si>
  <si>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</si>
  <si>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</si>
  <si>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</si>
  <si>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</si>
  <si>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</si>
  <si>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</si>
  <si>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</si>
  <si>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</si>
  <si>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</si>
  <si>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</si>
  <si>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</si>
  <si>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</si>
  <si>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</si>
  <si>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</si>
  <si>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</si>
  <si>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</si>
  <si>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</si>
  <si>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</si>
  <si>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</si>
  <si>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</si>
  <si>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</si>
  <si>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</si>
  <si>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</si>
  <si>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</si>
  <si>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</si>
  <si>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</si>
  <si>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</si>
  <si>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</si>
  <si>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</si>
  <si>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</si>
  <si>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</si>
  <si>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</si>
  <si>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</si>
  <si>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</si>
  <si>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</si>
  <si>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</si>
  <si>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</si>
  <si>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</si>
  <si>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</si>
  <si>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</si>
  <si>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</si>
  <si>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</si>
  <si>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</si>
  <si>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</si>
  <si>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</si>
  <si>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</si>
  <si>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</si>
  <si>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</si>
  <si>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</si>
  <si>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</si>
  <si>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</si>
  <si>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</si>
  <si>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</si>
  <si>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</si>
  <si>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</si>
  <si>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</si>
  <si>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</si>
  <si>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</si>
  <si>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</si>
  <si>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</si>
  <si>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</si>
  <si>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</si>
  <si>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</si>
  <si>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</si>
  <si>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</si>
  <si>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</si>
  <si>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</si>
  <si>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</si>
  <si>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</si>
  <si>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</si>
  <si>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</si>
  <si>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</si>
  <si>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</si>
  <si>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</si>
  <si>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</si>
  <si>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</si>
  <si>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</si>
  <si>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</si>
  <si>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</si>
  <si>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</si>
  <si>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</si>
  <si>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</si>
  <si>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</si>
  <si>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</si>
  <si>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</si>
  <si>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</si>
  <si>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</si>
  <si>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</si>
  <si>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</si>
  <si>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</si>
  <si>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</si>
  <si>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</si>
  <si>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</si>
  <si>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</si>
  <si>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</si>
  <si>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</si>
  <si>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</si>
  <si>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</si>
  <si>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</si>
  <si>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</si>
  <si>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</si>
  <si>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</si>
  <si>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</si>
  <si>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</si>
  <si>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</si>
  <si>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</si>
  <si>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</si>
  <si>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</si>
  <si>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</si>
  <si>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</si>
  <si>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</si>
  <si>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</si>
  <si>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</si>
  <si>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</si>
  <si>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</si>
  <si>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</si>
  <si>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</si>
  <si>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</si>
  <si>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</si>
  <si>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</si>
  <si>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</si>
  <si>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</si>
  <si>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</si>
  <si>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</si>
  <si>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</si>
  <si>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</si>
  <si>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</si>
  <si>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</si>
  <si>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</si>
  <si>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</si>
  <si>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</si>
  <si>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</si>
  <si>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</si>
  <si>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</si>
  <si>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</si>
  <si>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</si>
  <si>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</si>
  <si>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</si>
  <si>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</si>
  <si>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</si>
  <si>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</si>
  <si>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</si>
  <si>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</si>
  <si>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</si>
  <si>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</si>
  <si>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</si>
  <si>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</si>
  <si>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</si>
  <si>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</si>
  <si>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</si>
  <si>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</si>
  <si>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</si>
  <si>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</si>
  <si>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</si>
  <si>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</si>
  <si>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</si>
  <si>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</si>
  <si>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</si>
  <si>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</si>
  <si>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</si>
  <si>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</si>
  <si>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</si>
  <si>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</si>
  <si>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</si>
  <si>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</si>
  <si>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</si>
  <si>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</si>
  <si>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</si>
  <si>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</si>
  <si>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</si>
  <si>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</si>
  <si>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</si>
  <si>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</si>
  <si>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</si>
  <si>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</si>
  <si>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</si>
  <si>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</si>
  <si>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</si>
  <si>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</si>
  <si>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</si>
  <si>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</si>
  <si>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</si>
  <si>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</si>
  <si>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</si>
  <si>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</si>
  <si>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</si>
  <si>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</si>
  <si>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</si>
  <si>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</si>
  <si>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</si>
  <si>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</si>
  <si>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</si>
  <si>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</si>
  <si>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</si>
  <si>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</si>
  <si>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</si>
  <si>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</si>
  <si>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</si>
  <si>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</si>
  <si>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</si>
  <si>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</si>
  <si>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</si>
  <si>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</si>
  <si>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</si>
  <si>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</si>
  <si>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</si>
  <si>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</si>
  <si>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</si>
  <si>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</si>
  <si>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</si>
  <si>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</si>
  <si>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</si>
  <si>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</si>
  <si>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</si>
  <si>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</si>
  <si>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</si>
  <si>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</si>
  <si>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</si>
  <si>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</si>
  <si>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</si>
  <si>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</si>
  <si>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</si>
  <si>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</si>
  <si>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</si>
  <si>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</si>
  <si>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</si>
  <si>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</si>
  <si>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</si>
  <si>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</si>
  <si>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</si>
  <si>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</si>
  <si>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</si>
  <si>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</si>
  <si>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</si>
  <si>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</si>
  <si>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</si>
  <si>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</si>
  <si>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</si>
  <si>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</si>
  <si>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</si>
  <si>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</si>
  <si>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</si>
  <si>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</si>
  <si>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</si>
  <si>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</si>
  <si>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</si>
  <si>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</si>
  <si>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</si>
  <si>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</si>
  <si>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</si>
  <si>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</si>
  <si>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</si>
  <si>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</si>
  <si>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</si>
  <si>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</si>
  <si>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</si>
  <si>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</si>
  <si>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</si>
  <si>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</si>
  <si>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</si>
  <si>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</si>
  <si>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</si>
  <si>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</si>
  <si>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</si>
  <si>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</si>
  <si>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</si>
  <si>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</si>
  <si>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</si>
  <si>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</si>
  <si>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</si>
  <si>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</si>
  <si>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</si>
  <si>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</si>
  <si>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</si>
  <si>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</si>
  <si>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</si>
  <si>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</si>
  <si>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</si>
  <si>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</si>
  <si>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</si>
  <si>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</si>
  <si>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</si>
  <si>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</si>
  <si>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</si>
  <si>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</si>
  <si>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</si>
  <si>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</si>
  <si>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</si>
  <si>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</si>
  <si>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</si>
  <si>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</si>
  <si>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</si>
  <si>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</si>
  <si>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</si>
  <si>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</si>
  <si>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</si>
  <si>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</si>
  <si>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</si>
  <si>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</si>
  <si>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</si>
  <si>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</si>
  <si>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</si>
  <si>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</si>
  <si>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</si>
  <si>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</si>
  <si>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</si>
  <si>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</si>
  <si>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</si>
  <si>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</si>
  <si>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</si>
  <si>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</si>
  <si>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</si>
  <si>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</si>
  <si>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</si>
  <si>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</si>
  <si>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</si>
  <si>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</si>
  <si>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</si>
  <si>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</si>
  <si>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</si>
  <si>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</si>
  <si>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</si>
  <si>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</si>
  <si>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</si>
  <si>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</si>
  <si>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</si>
  <si>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</si>
  <si>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</si>
  <si>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</si>
  <si>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</si>
  <si>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</si>
  <si>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</si>
  <si>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</si>
  <si>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</si>
  <si>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</si>
  <si>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</si>
  <si>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</si>
  <si>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</si>
  <si>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</si>
  <si>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</si>
  <si>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</si>
  <si>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</si>
  <si>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</si>
  <si>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</si>
  <si>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</si>
  <si>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</si>
  <si>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</si>
  <si>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</si>
  <si>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</si>
  <si>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</si>
  <si>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</si>
  <si>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</si>
  <si>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</si>
  <si>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</si>
  <si>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</si>
  <si>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</si>
  <si>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</si>
  <si>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</si>
  <si>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</si>
  <si>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</si>
  <si>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</si>
  <si>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</si>
  <si>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21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</si>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</sst>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658"/>
  <sheetViews>
    <sheetView tabSelected="1" workbookViewId="0">
      <selection activeCell="H172" sqref="H172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</cols>
  <sheetData>
    <row r="1" spans="1:17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</row>
    <row r="2" spans="1:17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516</v>
      </c>
      <c r="G2" s="101" t="s">
        <v>120</v>
      </c>
      <c r="H2" s="90" t="s">
        <v>101</v>
      </c>
      <c r="I2" s="90"/>
      <c r="J2" s="90">
        <f>SUM(K3,K110,K172)</f>
        <v>0</v>
      </c>
      <c r="K2" s="90">
        <f>I2*J2</f>
        <v>0</v>
      </c>
      <c r="L2" s="90" t="e">
        <f>100*(1-(M2/K2))</f>
        <v>#DIV/0!</v>
      </c>
      <c r="M2" s="90">
        <f>I2*SUM(M3,M110,M172)</f>
        <v>0</v>
      </c>
      <c r="N2">
        <v>2</v>
      </c>
      <c r="O2" s="99" t="s">
        <v>124</v>
      </c>
    </row>
    <row r="3" spans="1:17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215</v>
      </c>
      <c r="G3" s="101" t="s">
        <v>120</v>
      </c>
      <c r="H3" s="90" t="s">
        <v>102</v>
      </c>
      <c r="J3">
        <f>SUM(K4,K10,K18,K27,K31,K39,K47,K52,K57,K64,K69,K104)</f>
        <v>0</v>
      </c>
      <c r="K3">
        <f>I3*J3</f>
        <v>0</v>
      </c>
      <c r="L3" t="e">
        <f>100*(1-(M3/K3))</f>
        <v>#DIV/0!</v>
      </c>
      <c r="M3">
        <f>I3*SUM(M4,M10,M18,M27,M31,M39,M47,M52,M57,M64,M69,M104)</f>
        <v>0</v>
      </c>
      <c r="N3">
        <v>3</v>
      </c>
      <c r="O3" s="99" t="s">
        <v>125</v>
      </c>
    </row>
    <row r="4" spans="1:17" x14ac:dyDescent="0.25">
      <c r="A4" s="92" t="s">
        <v>76</v>
      </c>
      <c r="B4" s="91">
        <v>3</v>
      </c>
      <c r="C4" s="95" t="s">
        <v>10</v>
      </c>
      <c r="D4" s="91" t="s">
        <v>73</v>
      </c>
      <c r="E4" s="97">
        <v>3</v>
      </c>
      <c r="F4" s="97">
        <v>14</v>
      </c>
      <c r="G4" s="101" t="s">
        <v>120</v>
      </c>
      <c r="H4" s="90" t="s">
        <v>103</v>
      </c>
      <c r="J4">
        <f>SUM(K5)</f>
        <v>0</v>
      </c>
      <c r="K4">
        <f>I4*J4</f>
        <v>0</v>
      </c>
      <c r="L4" t="e">
        <f>100*(1-(M4/K4))</f>
        <v>#DIV/0!</v>
      </c>
      <c r="M4">
        <f>I4*SUM(M5)</f>
        <v>0</v>
      </c>
      <c r="N4">
        <v>4</v>
      </c>
      <c r="O4" s="99" t="s">
        <v>126</v>
      </c>
    </row>
    <row r="5" spans="1:17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J5">
        <f>SUM(K6)</f>
        <v>0</v>
      </c>
      <c r="K5">
        <f>I5*J5</f>
        <v>0</v>
      </c>
      <c r="L5" t="e">
        <f>100*(1-(M5/K5))</f>
        <v>#DIV/0!</v>
      </c>
      <c r="M5">
        <f>I5*SUM(M6)</f>
        <v>0</v>
      </c>
      <c r="N5">
        <v>5</v>
      </c>
      <c r="O5" s="99" t="s">
        <v>127</v>
      </c>
    </row>
    <row r="6" spans="1:17" x14ac:dyDescent="0.25">
      <c r="A6" s="93" t="s">
        <v>80</v>
      </c>
      <c r="B6" s="91">
        <v>5</v>
      </c>
      <c r="C6" s="92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J6">
        <f>SUM(K7)</f>
        <v>0</v>
      </c>
      <c r="K6">
        <f>I6*J6</f>
        <v>0</v>
      </c>
      <c r="L6" t="e">
        <f>100*(1-(M6/K6))</f>
        <v>#DIV/0!</v>
      </c>
      <c r="M6">
        <f>I6*SUM(M7)</f>
        <v>0</v>
      </c>
      <c r="N6">
        <v>6</v>
      </c>
      <c r="O6" s="99" t="s">
        <v>128</v>
      </c>
    </row>
    <row r="7" spans="1:17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J7">
        <f>SUM(K8,K9)</f>
        <v>1011170.52104928</v>
      </c>
      <c r="K7">
        <f>I7*J7</f>
        <v>0</v>
      </c>
      <c r="L7" t="e">
        <f>100*(1-(M7/K7))</f>
        <v>#DIV/0!</v>
      </c>
      <c r="M7">
        <f>I7*SUM(M8,M9)</f>
        <v>0</v>
      </c>
      <c r="N7">
        <v>7</v>
      </c>
      <c r="O7" s="99" t="s">
        <v>129</v>
      </c>
    </row>
    <row r="8" spans="1:17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</row>
    <row r="9" spans="1:17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</row>
    <row r="10" spans="1:17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30</v>
      </c>
      <c r="G10" s="101" t="s">
        <v>120</v>
      </c>
      <c r="H10" s="90" t="s">
        <v>111</v>
      </c>
      <c r="J10">
        <f>SUM(K11)</f>
        <v>0</v>
      </c>
      <c r="K10">
        <f>I10*J10</f>
        <v>0</v>
      </c>
      <c r="L10" t="e">
        <f>100*(1-(M10/K10))</f>
        <v>#DIV/0!</v>
      </c>
      <c r="M10">
        <f>I10*SUM(M11)</f>
        <v>0</v>
      </c>
      <c r="N10">
        <v>10</v>
      </c>
      <c r="O10" s="99" t="s">
        <v>132</v>
      </c>
    </row>
    <row r="11" spans="1:17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29</v>
      </c>
      <c r="G11" s="101" t="s">
        <v>120</v>
      </c>
      <c r="H11" s="90" t="s">
        <v>113</v>
      </c>
      <c r="J11">
        <f>SUM(K12)</f>
        <v>0</v>
      </c>
      <c r="K11">
        <f>I11*J11</f>
        <v>0</v>
      </c>
      <c r="L11" t="e">
        <f>100*(1-(M11/K11))</f>
        <v>#DIV/0!</v>
      </c>
      <c r="M11">
        <f>I11*SUM(M12)</f>
        <v>0</v>
      </c>
      <c r="N11">
        <v>11</v>
      </c>
      <c r="O11" s="99" t="s">
        <v>133</v>
      </c>
    </row>
    <row r="12" spans="1:17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28</v>
      </c>
      <c r="G12" s="101" t="s">
        <v>120</v>
      </c>
      <c r="H12" s="90" t="s">
        <v>115</v>
      </c>
      <c r="J12">
        <f>SUM(K13)</f>
        <v>0</v>
      </c>
      <c r="K12">
        <f>I12*J12</f>
        <v>0</v>
      </c>
      <c r="L12" t="e">
        <f>100*(1-(M12/K12))</f>
        <v>#DIV/0!</v>
      </c>
      <c r="M12">
        <f>I12*SUM(M13)</f>
        <v>0</v>
      </c>
      <c r="N12">
        <v>12</v>
      </c>
      <c r="O12" s="99" t="s">
        <v>134</v>
      </c>
    </row>
    <row r="13" spans="1:17" x14ac:dyDescent="0.25">
      <c r="A13" s="93" t="s">
        <v>116</v>
      </c>
      <c r="B13" s="91">
        <v>6</v>
      </c>
      <c r="C13" s="93" t="s">
        <v>114</v>
      </c>
      <c r="D13" s="91" t="s">
        <v>73</v>
      </c>
      <c r="E13" s="96">
        <v>18</v>
      </c>
      <c r="F13" s="96">
        <v>27</v>
      </c>
      <c r="G13" s="101" t="s">
        <v>120</v>
      </c>
      <c r="H13" s="90" t="s">
        <v>117</v>
      </c>
      <c r="J13">
        <f>SUM(K14,K15,K16,K17)</f>
        <v>73140</v>
      </c>
      <c r="K13">
        <f>I13*J13</f>
        <v>0</v>
      </c>
      <c r="L13" t="e">
        <f>100*(1-(M13/K13))</f>
        <v>#DIV/0!</v>
      </c>
      <c r="M13">
        <f>I13*SUM(M14,M15,M16,M17)</f>
        <v>0</v>
      </c>
      <c r="N13">
        <v>13</v>
      </c>
      <c r="O13" s="99" t="s">
        <v>135</v>
      </c>
    </row>
    <row r="14" spans="1:17" x14ac:dyDescent="0.25">
      <c r="A14" s="93" t="s">
        <v>136</v>
      </c>
      <c r="B14" s="91">
        <v>7</v>
      </c>
      <c r="C14" s="93" t="s">
        <v>116</v>
      </c>
      <c r="D14" s="91" t="s">
        <v>73</v>
      </c>
      <c r="E14" s="96">
        <v>19</v>
      </c>
      <c r="F14" s="96">
        <v>20</v>
      </c>
      <c r="G14" s="101" t="s">
        <v>73</v>
      </c>
      <c r="H14" s="90" t="s">
        <v>137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9" t="s">
        <v>138</v>
      </c>
    </row>
    <row r="15" spans="1:17" x14ac:dyDescent="0.25">
      <c r="A15" s="93" t="s">
        <v>139</v>
      </c>
      <c r="B15" s="91">
        <v>7</v>
      </c>
      <c r="C15" s="93" t="s">
        <v>116</v>
      </c>
      <c r="D15" s="91" t="s">
        <v>119</v>
      </c>
      <c r="E15" s="96">
        <v>21</v>
      </c>
      <c r="F15" s="96">
        <v>22</v>
      </c>
      <c r="G15" s="101" t="s">
        <v>73</v>
      </c>
      <c r="H15" s="90" t="s">
        <v>140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9" t="s">
        <v>141</v>
      </c>
    </row>
    <row r="16" spans="1:17" x14ac:dyDescent="0.25">
      <c r="A16" s="93" t="s">
        <v>142</v>
      </c>
      <c r="B16" s="91">
        <v>7</v>
      </c>
      <c r="C16" s="93" t="s">
        <v>116</v>
      </c>
      <c r="D16" s="91" t="s">
        <v>796</v>
      </c>
      <c r="E16" s="96">
        <v>23</v>
      </c>
      <c r="F16" s="96">
        <v>24</v>
      </c>
      <c r="G16" s="101" t="s">
        <v>73</v>
      </c>
      <c r="H16" s="90" t="s">
        <v>143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9" t="s">
        <v>144</v>
      </c>
    </row>
    <row r="17" spans="1:15" x14ac:dyDescent="0.25">
      <c r="A17" s="93" t="s">
        <v>145</v>
      </c>
      <c r="B17" s="91">
        <v>7</v>
      </c>
      <c r="C17" s="93" t="s">
        <v>116</v>
      </c>
      <c r="D17" s="91" t="s">
        <v>797</v>
      </c>
      <c r="E17" s="96">
        <v>25</v>
      </c>
      <c r="F17" s="96">
        <v>26</v>
      </c>
      <c r="G17" s="101" t="s">
        <v>73</v>
      </c>
      <c r="H17" s="90" t="s">
        <v>146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9" t="s">
        <v>147</v>
      </c>
    </row>
    <row r="18" spans="1:15" x14ac:dyDescent="0.25">
      <c r="A18" s="93" t="s">
        <v>148</v>
      </c>
      <c r="B18" s="91">
        <v>3</v>
      </c>
      <c r="C18" s="93" t="s">
        <v>10</v>
      </c>
      <c r="D18" s="91" t="s">
        <v>796</v>
      </c>
      <c r="E18" s="90">
        <v>31</v>
      </c>
      <c r="F18" s="90">
        <v>48</v>
      </c>
      <c r="G18" s="101" t="s">
        <v>120</v>
      </c>
      <c r="H18" s="90" t="s">
        <v>149</v>
      </c>
      <c r="J18">
        <f>SUM(K19)</f>
        <v>0</v>
      </c>
      <c r="K18">
        <f>I18*J18</f>
        <v>0</v>
      </c>
      <c r="L18" t="e">
        <f>100*(1-(M18/K18))</f>
        <v>#DIV/0!</v>
      </c>
      <c r="M18">
        <f>I18*SUM(M19)</f>
        <v>0</v>
      </c>
      <c r="N18">
        <v>18</v>
      </c>
      <c r="O18" s="99" t="s">
        <v>150</v>
      </c>
    </row>
    <row r="19" spans="1:15" x14ac:dyDescent="0.25">
      <c r="A19" s="98" t="s">
        <v>151</v>
      </c>
      <c r="B19" s="91">
        <v>4</v>
      </c>
      <c r="C19" s="91" t="s">
        <v>148</v>
      </c>
      <c r="D19" s="91" t="s">
        <v>73</v>
      </c>
      <c r="E19" s="90">
        <v>32</v>
      </c>
      <c r="F19" s="90">
        <v>47</v>
      </c>
      <c r="G19" s="101" t="s">
        <v>120</v>
      </c>
      <c r="H19" s="90" t="s">
        <v>152</v>
      </c>
      <c r="J19">
        <f>SUM(K20)</f>
        <v>0</v>
      </c>
      <c r="K19">
        <f>I19*J19</f>
        <v>0</v>
      </c>
      <c r="L19" t="e">
        <f>100*(1-(M19/K19))</f>
        <v>#DIV/0!</v>
      </c>
      <c r="M19">
        <f>I19*SUM(M20)</f>
        <v>0</v>
      </c>
      <c r="N19">
        <v>19</v>
      </c>
      <c r="O19" s="99" t="s">
        <v>153</v>
      </c>
    </row>
    <row r="20" spans="1:15" x14ac:dyDescent="0.25">
      <c r="A20" s="98" t="s">
        <v>154</v>
      </c>
      <c r="B20" s="91">
        <v>5</v>
      </c>
      <c r="C20" s="91" t="s">
        <v>151</v>
      </c>
      <c r="D20" s="91" t="s">
        <v>73</v>
      </c>
      <c r="E20" s="90">
        <v>33</v>
      </c>
      <c r="F20" s="90">
        <v>46</v>
      </c>
      <c r="G20" s="101" t="s">
        <v>120</v>
      </c>
      <c r="H20" s="90" t="s">
        <v>149</v>
      </c>
      <c r="J20">
        <f>SUM(K21)</f>
        <v>0</v>
      </c>
      <c r="K20">
        <f>I20*J20</f>
        <v>0</v>
      </c>
      <c r="L20" t="e">
        <f>100*(1-(M20/K20))</f>
        <v>#DIV/0!</v>
      </c>
      <c r="M20">
        <f>I20*SUM(M21)</f>
        <v>0</v>
      </c>
      <c r="N20">
        <v>20</v>
      </c>
      <c r="O20" s="99" t="s">
        <v>155</v>
      </c>
    </row>
    <row r="21" spans="1:15" x14ac:dyDescent="0.25">
      <c r="A21" s="98" t="s">
        <v>156</v>
      </c>
      <c r="B21" s="91">
        <v>6</v>
      </c>
      <c r="C21" s="91" t="s">
        <v>154</v>
      </c>
      <c r="D21" s="91" t="s">
        <v>73</v>
      </c>
      <c r="E21" s="90">
        <v>34</v>
      </c>
      <c r="F21" s="90">
        <v>45</v>
      </c>
      <c r="G21" s="101" t="s">
        <v>120</v>
      </c>
      <c r="H21" s="90" t="s">
        <v>157</v>
      </c>
      <c r="J21">
        <f>SUM(K22,K23,K24,K25,K26)</f>
        <v>34477.15</v>
      </c>
      <c r="K21">
        <f>I21*J21</f>
        <v>0</v>
      </c>
      <c r="L21" t="e">
        <f>100*(1-(M21/K21))</f>
        <v>#DIV/0!</v>
      </c>
      <c r="M21">
        <f>I21*SUM(M22,M23,M24,M25,M26)</f>
        <v>0</v>
      </c>
      <c r="N21">
        <v>21</v>
      </c>
      <c r="O21" s="99" t="s">
        <v>158</v>
      </c>
    </row>
    <row r="22" spans="1:15" x14ac:dyDescent="0.25">
      <c r="A22" s="91" t="s">
        <v>159</v>
      </c>
      <c r="B22" s="91">
        <v>7</v>
      </c>
      <c r="C22" s="91" t="s">
        <v>156</v>
      </c>
      <c r="D22" s="91" t="s">
        <v>73</v>
      </c>
      <c r="E22" s="90">
        <v>35</v>
      </c>
      <c r="F22" s="90">
        <v>36</v>
      </c>
      <c r="G22" s="101" t="s">
        <v>73</v>
      </c>
      <c r="H22" s="90" t="s">
        <v>160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9" t="s">
        <v>161</v>
      </c>
    </row>
    <row r="23" spans="1:15" x14ac:dyDescent="0.25">
      <c r="A23" s="99" t="s">
        <v>162</v>
      </c>
      <c r="B23" s="99">
        <v>7</v>
      </c>
      <c r="C23" s="99" t="s">
        <v>156</v>
      </c>
      <c r="D23" s="99" t="s">
        <v>119</v>
      </c>
      <c r="E23">
        <v>37</v>
      </c>
      <c r="F23">
        <v>38</v>
      </c>
      <c r="G23" s="102" t="s">
        <v>73</v>
      </c>
      <c r="H23" t="s">
        <v>163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9" t="s">
        <v>164</v>
      </c>
    </row>
    <row r="24" spans="1:15" x14ac:dyDescent="0.25">
      <c r="A24" s="93" t="s">
        <v>165</v>
      </c>
      <c r="B24" s="91">
        <v>7</v>
      </c>
      <c r="C24" s="100" t="s">
        <v>156</v>
      </c>
      <c r="D24" s="91" t="s">
        <v>796</v>
      </c>
      <c r="E24" s="90">
        <v>39</v>
      </c>
      <c r="F24" s="90">
        <v>40</v>
      </c>
      <c r="G24" s="101" t="s">
        <v>73</v>
      </c>
      <c r="H24" s="90" t="s">
        <v>166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9" t="s">
        <v>167</v>
      </c>
    </row>
    <row r="25" spans="1:15" x14ac:dyDescent="0.25">
      <c r="A25" s="98" t="s">
        <v>168</v>
      </c>
      <c r="B25" s="91">
        <v>7</v>
      </c>
      <c r="C25" s="91" t="s">
        <v>156</v>
      </c>
      <c r="D25" s="91" t="s">
        <v>797</v>
      </c>
      <c r="E25" s="90">
        <v>41</v>
      </c>
      <c r="F25" s="90">
        <v>42</v>
      </c>
      <c r="G25" s="101" t="s">
        <v>73</v>
      </c>
      <c r="H25" s="90" t="s">
        <v>169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9" t="s">
        <v>170</v>
      </c>
    </row>
    <row r="26" spans="1:15" x14ac:dyDescent="0.25">
      <c r="A26" s="98" t="s">
        <v>171</v>
      </c>
      <c r="B26" s="91">
        <v>7</v>
      </c>
      <c r="C26" s="91" t="s">
        <v>156</v>
      </c>
      <c r="D26" s="91" t="s">
        <v>798</v>
      </c>
      <c r="E26" s="90">
        <v>43</v>
      </c>
      <c r="F26" s="90">
        <v>44</v>
      </c>
      <c r="G26" s="101" t="s">
        <v>73</v>
      </c>
      <c r="H26" s="90" t="s">
        <v>172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9" t="s">
        <v>173</v>
      </c>
    </row>
    <row r="27" spans="1:15" x14ac:dyDescent="0.25">
      <c r="A27" s="98" t="s">
        <v>174</v>
      </c>
      <c r="B27" s="91">
        <v>3</v>
      </c>
      <c r="C27" s="91" t="s">
        <v>10</v>
      </c>
      <c r="D27" s="91" t="s">
        <v>797</v>
      </c>
      <c r="E27" s="90">
        <v>49</v>
      </c>
      <c r="F27" s="90">
        <v>56</v>
      </c>
      <c r="G27" s="101" t="s">
        <v>120</v>
      </c>
      <c r="H27" s="90" t="s">
        <v>175</v>
      </c>
      <c r="J27">
        <f>SUM(K28)</f>
        <v>0</v>
      </c>
      <c r="K27">
        <f>I27*J27</f>
        <v>0</v>
      </c>
      <c r="L27" t="e">
        <f>100*(1-(M27/K27))</f>
        <v>#DIV/0!</v>
      </c>
      <c r="M27">
        <f>I27*SUM(M28)</f>
        <v>0</v>
      </c>
      <c r="N27">
        <v>27</v>
      </c>
      <c r="O27" s="99" t="s">
        <v>176</v>
      </c>
    </row>
    <row r="28" spans="1:15" x14ac:dyDescent="0.25">
      <c r="A28" s="99" t="s">
        <v>177</v>
      </c>
      <c r="B28" s="99">
        <v>4</v>
      </c>
      <c r="C28" s="99" t="s">
        <v>174</v>
      </c>
      <c r="D28" s="99" t="s">
        <v>73</v>
      </c>
      <c r="E28">
        <v>50</v>
      </c>
      <c r="F28">
        <v>55</v>
      </c>
      <c r="G28" s="102" t="s">
        <v>120</v>
      </c>
      <c r="H28" t="s">
        <v>175</v>
      </c>
      <c r="J28">
        <f>SUM(K29)</f>
        <v>0</v>
      </c>
      <c r="K28">
        <f>I28*J28</f>
        <v>0</v>
      </c>
      <c r="L28" t="e">
        <f>100*(1-(M28/K28))</f>
        <v>#DIV/0!</v>
      </c>
      <c r="M28">
        <f>I28*SUM(M29)</f>
        <v>0</v>
      </c>
      <c r="N28">
        <v>28</v>
      </c>
      <c r="O28" s="99" t="s">
        <v>178</v>
      </c>
    </row>
    <row r="29" spans="1:15" x14ac:dyDescent="0.25">
      <c r="A29" s="99" t="s">
        <v>179</v>
      </c>
      <c r="B29" s="99">
        <v>5</v>
      </c>
      <c r="C29" s="99" t="s">
        <v>177</v>
      </c>
      <c r="D29" s="99" t="s">
        <v>73</v>
      </c>
      <c r="E29">
        <v>51</v>
      </c>
      <c r="F29">
        <v>54</v>
      </c>
      <c r="G29" s="102" t="s">
        <v>120</v>
      </c>
      <c r="H29" t="s">
        <v>175</v>
      </c>
      <c r="J29">
        <f>SUM(K30)</f>
        <v>1009039.85737935</v>
      </c>
      <c r="K29">
        <f>I29*J29</f>
        <v>0</v>
      </c>
      <c r="L29" t="e">
        <f>100*(1-(M29/K29))</f>
        <v>#DIV/0!</v>
      </c>
      <c r="M29">
        <f>I29*SUM(M30)</f>
        <v>0</v>
      </c>
      <c r="N29">
        <v>29</v>
      </c>
      <c r="O29" s="99" t="s">
        <v>180</v>
      </c>
    </row>
    <row r="30" spans="1:15" x14ac:dyDescent="0.25">
      <c r="A30" s="99" t="s">
        <v>181</v>
      </c>
      <c r="B30" s="99">
        <v>6</v>
      </c>
      <c r="C30" s="99" t="s">
        <v>179</v>
      </c>
      <c r="D30" s="99" t="s">
        <v>73</v>
      </c>
      <c r="E30">
        <v>52</v>
      </c>
      <c r="F30">
        <v>53</v>
      </c>
      <c r="G30" s="102" t="s">
        <v>73</v>
      </c>
      <c r="H30" t="s">
        <v>107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9" t="s">
        <v>182</v>
      </c>
    </row>
    <row r="31" spans="1:15" x14ac:dyDescent="0.25">
      <c r="A31" s="99" t="s">
        <v>183</v>
      </c>
      <c r="B31" s="99">
        <v>3</v>
      </c>
      <c r="C31" s="99" t="s">
        <v>10</v>
      </c>
      <c r="D31" s="99" t="s">
        <v>798</v>
      </c>
      <c r="E31">
        <v>57</v>
      </c>
      <c r="F31">
        <v>72</v>
      </c>
      <c r="G31" s="102" t="s">
        <v>120</v>
      </c>
      <c r="H31" t="s">
        <v>184</v>
      </c>
      <c r="J31">
        <f>SUM(K32)</f>
        <v>0</v>
      </c>
      <c r="K31">
        <f>I31*J31</f>
        <v>0</v>
      </c>
      <c r="L31" t="e">
        <f>100*(1-(M31/K31))</f>
        <v>#DIV/0!</v>
      </c>
      <c r="M31">
        <f>I31*SUM(M32)</f>
        <v>0</v>
      </c>
      <c r="N31">
        <v>31</v>
      </c>
      <c r="O31" s="99" t="s">
        <v>185</v>
      </c>
    </row>
    <row r="32" spans="1:15" x14ac:dyDescent="0.25">
      <c r="A32" s="99" t="s">
        <v>186</v>
      </c>
      <c r="B32" s="99">
        <v>4</v>
      </c>
      <c r="C32" s="99" t="s">
        <v>183</v>
      </c>
      <c r="D32" s="99" t="s">
        <v>73</v>
      </c>
      <c r="E32">
        <v>58</v>
      </c>
      <c r="F32">
        <v>71</v>
      </c>
      <c r="G32" s="102" t="s">
        <v>120</v>
      </c>
      <c r="H32" t="s">
        <v>184</v>
      </c>
      <c r="J32">
        <f>SUM(K33)</f>
        <v>0</v>
      </c>
      <c r="K32">
        <f>I32*J32</f>
        <v>0</v>
      </c>
      <c r="L32" t="e">
        <f>100*(1-(M32/K32))</f>
        <v>#DIV/0!</v>
      </c>
      <c r="M32">
        <f>I32*SUM(M33)</f>
        <v>0</v>
      </c>
      <c r="N32">
        <v>32</v>
      </c>
      <c r="O32" s="99" t="s">
        <v>187</v>
      </c>
    </row>
    <row r="33" spans="1:15" x14ac:dyDescent="0.25">
      <c r="A33" s="99" t="s">
        <v>188</v>
      </c>
      <c r="B33" s="99">
        <v>5</v>
      </c>
      <c r="C33" s="99" t="s">
        <v>186</v>
      </c>
      <c r="D33" s="99" t="s">
        <v>73</v>
      </c>
      <c r="E33">
        <v>59</v>
      </c>
      <c r="F33">
        <v>70</v>
      </c>
      <c r="G33" s="102" t="s">
        <v>120</v>
      </c>
      <c r="H33" t="s">
        <v>184</v>
      </c>
      <c r="J33">
        <f>SUM(K34)</f>
        <v>0</v>
      </c>
      <c r="K33">
        <f>I33*J33</f>
        <v>0</v>
      </c>
      <c r="L33" t="e">
        <f>100*(1-(M33/K33))</f>
        <v>#DIV/0!</v>
      </c>
      <c r="M33">
        <f>I33*SUM(M34)</f>
        <v>0</v>
      </c>
      <c r="N33">
        <v>33</v>
      </c>
      <c r="O33" s="99" t="s">
        <v>189</v>
      </c>
    </row>
    <row r="34" spans="1:15" x14ac:dyDescent="0.25">
      <c r="A34" s="99" t="s">
        <v>190</v>
      </c>
      <c r="B34" s="99">
        <v>6</v>
      </c>
      <c r="C34" s="99" t="s">
        <v>188</v>
      </c>
      <c r="D34" s="99" t="s">
        <v>73</v>
      </c>
      <c r="E34">
        <v>60</v>
      </c>
      <c r="F34">
        <v>69</v>
      </c>
      <c r="G34" s="102" t="s">
        <v>120</v>
      </c>
      <c r="H34" t="s">
        <v>105</v>
      </c>
      <c r="J34">
        <f>SUM(K35,K36,K37,K38)</f>
        <v>1052574</v>
      </c>
      <c r="K34">
        <f>I34*J34</f>
        <v>0</v>
      </c>
      <c r="L34" t="e">
        <f>100*(1-(M34/K34))</f>
        <v>#DIV/0!</v>
      </c>
      <c r="M34">
        <f>I34*SUM(M35,M36,M37,M38)</f>
        <v>0</v>
      </c>
      <c r="N34">
        <v>34</v>
      </c>
      <c r="O34" s="99" t="s">
        <v>191</v>
      </c>
    </row>
    <row r="35" spans="1:15" x14ac:dyDescent="0.25">
      <c r="A35" s="99" t="s">
        <v>192</v>
      </c>
      <c r="B35" s="99">
        <v>7</v>
      </c>
      <c r="C35" s="99" t="s">
        <v>190</v>
      </c>
      <c r="D35" s="99" t="s">
        <v>73</v>
      </c>
      <c r="E35">
        <v>61</v>
      </c>
      <c r="F35">
        <v>62</v>
      </c>
      <c r="G35" s="102" t="s">
        <v>73</v>
      </c>
      <c r="H35" t="s">
        <v>193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9" t="s">
        <v>194</v>
      </c>
    </row>
    <row r="36" spans="1:15" x14ac:dyDescent="0.25">
      <c r="A36" s="99" t="s">
        <v>195</v>
      </c>
      <c r="B36" s="99">
        <v>7</v>
      </c>
      <c r="C36" s="99" t="s">
        <v>190</v>
      </c>
      <c r="D36" s="99" t="s">
        <v>119</v>
      </c>
      <c r="E36">
        <v>63</v>
      </c>
      <c r="F36">
        <v>64</v>
      </c>
      <c r="G36" s="102" t="s">
        <v>73</v>
      </c>
      <c r="H36" t="s">
        <v>196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9" t="s">
        <v>197</v>
      </c>
    </row>
    <row r="37" spans="1:15" x14ac:dyDescent="0.25">
      <c r="A37" s="99" t="s">
        <v>198</v>
      </c>
      <c r="B37" s="99">
        <v>7</v>
      </c>
      <c r="C37" s="99" t="s">
        <v>190</v>
      </c>
      <c r="D37" s="99" t="s">
        <v>796</v>
      </c>
      <c r="E37">
        <v>65</v>
      </c>
      <c r="F37">
        <v>66</v>
      </c>
      <c r="G37" s="102" t="s">
        <v>73</v>
      </c>
      <c r="H37" t="s">
        <v>109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9" t="s">
        <v>199</v>
      </c>
    </row>
    <row r="38" spans="1:15" x14ac:dyDescent="0.25">
      <c r="A38" s="99" t="s">
        <v>200</v>
      </c>
      <c r="B38" s="99">
        <v>7</v>
      </c>
      <c r="C38" s="99" t="s">
        <v>190</v>
      </c>
      <c r="D38" s="99" t="s">
        <v>797</v>
      </c>
      <c r="E38">
        <v>67</v>
      </c>
      <c r="F38">
        <v>68</v>
      </c>
      <c r="G38" s="102" t="s">
        <v>73</v>
      </c>
      <c r="H38" t="s">
        <v>201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9" t="s">
        <v>202</v>
      </c>
    </row>
    <row r="39" spans="1:15" x14ac:dyDescent="0.25">
      <c r="A39" s="99" t="s">
        <v>203</v>
      </c>
      <c r="B39" s="99">
        <v>3</v>
      </c>
      <c r="C39" s="99" t="s">
        <v>10</v>
      </c>
      <c r="D39" s="99" t="s">
        <v>799</v>
      </c>
      <c r="E39">
        <v>73</v>
      </c>
      <c r="F39">
        <v>88</v>
      </c>
      <c r="G39" s="102" t="s">
        <v>120</v>
      </c>
      <c r="H39" t="s">
        <v>204</v>
      </c>
      <c r="J39">
        <f>SUM(K40)</f>
        <v>0</v>
      </c>
      <c r="K39">
        <f>I39*J39</f>
        <v>0</v>
      </c>
      <c r="L39" t="e">
        <f>100*(1-(M39/K39))</f>
        <v>#DIV/0!</v>
      </c>
      <c r="M39">
        <f>I39*SUM(M40)</f>
        <v>0</v>
      </c>
      <c r="N39">
        <v>39</v>
      </c>
      <c r="O39" s="99" t="s">
        <v>205</v>
      </c>
    </row>
    <row r="40" spans="1:15" x14ac:dyDescent="0.25">
      <c r="A40" s="99" t="s">
        <v>206</v>
      </c>
      <c r="B40" s="99">
        <v>4</v>
      </c>
      <c r="C40" s="99" t="s">
        <v>203</v>
      </c>
      <c r="D40" s="99" t="s">
        <v>73</v>
      </c>
      <c r="E40">
        <v>74</v>
      </c>
      <c r="F40">
        <v>87</v>
      </c>
      <c r="G40" s="102" t="s">
        <v>120</v>
      </c>
      <c r="H40" t="s">
        <v>204</v>
      </c>
      <c r="J40">
        <f>SUM(K41)</f>
        <v>0</v>
      </c>
      <c r="K40">
        <f>I40*J40</f>
        <v>0</v>
      </c>
      <c r="L40" t="e">
        <f>100*(1-(M40/K40))</f>
        <v>#DIV/0!</v>
      </c>
      <c r="M40">
        <f>I40*SUM(M41)</f>
        <v>0</v>
      </c>
      <c r="N40">
        <v>40</v>
      </c>
      <c r="O40" s="99" t="s">
        <v>207</v>
      </c>
    </row>
    <row r="41" spans="1:15" x14ac:dyDescent="0.25">
      <c r="A41" s="99" t="s">
        <v>208</v>
      </c>
      <c r="B41" s="99">
        <v>5</v>
      </c>
      <c r="C41" s="99" t="s">
        <v>206</v>
      </c>
      <c r="D41" s="99" t="s">
        <v>73</v>
      </c>
      <c r="E41">
        <v>75</v>
      </c>
      <c r="F41">
        <v>86</v>
      </c>
      <c r="G41" s="102" t="s">
        <v>120</v>
      </c>
      <c r="H41" t="s">
        <v>204</v>
      </c>
      <c r="J41">
        <f>SUM(K42)</f>
        <v>0</v>
      </c>
      <c r="K41">
        <f>I41*J41</f>
        <v>0</v>
      </c>
      <c r="L41" t="e">
        <f>100*(1-(M41/K41))</f>
        <v>#DIV/0!</v>
      </c>
      <c r="M41">
        <f>I41*SUM(M42)</f>
        <v>0</v>
      </c>
      <c r="N41">
        <v>41</v>
      </c>
      <c r="O41" s="99" t="s">
        <v>209</v>
      </c>
    </row>
    <row r="42" spans="1:15" x14ac:dyDescent="0.25">
      <c r="A42" s="99" t="s">
        <v>210</v>
      </c>
      <c r="B42" s="99">
        <v>6</v>
      </c>
      <c r="C42" s="99" t="s">
        <v>208</v>
      </c>
      <c r="D42" s="99" t="s">
        <v>73</v>
      </c>
      <c r="E42">
        <v>76</v>
      </c>
      <c r="F42">
        <v>85</v>
      </c>
      <c r="G42" s="102" t="s">
        <v>120</v>
      </c>
      <c r="H42" t="s">
        <v>117</v>
      </c>
      <c r="J42">
        <f>SUM(K43,K44,K45,K46)</f>
        <v>141868</v>
      </c>
      <c r="K42">
        <f>I42*J42</f>
        <v>0</v>
      </c>
      <c r="L42" t="e">
        <f>100*(1-(M42/K42))</f>
        <v>#DIV/0!</v>
      </c>
      <c r="M42">
        <f>I42*SUM(M43,M44,M45,M46)</f>
        <v>0</v>
      </c>
      <c r="N42">
        <v>42</v>
      </c>
      <c r="O42" s="99" t="s">
        <v>211</v>
      </c>
    </row>
    <row r="43" spans="1:15" x14ac:dyDescent="0.25">
      <c r="A43" s="99" t="s">
        <v>212</v>
      </c>
      <c r="B43" s="99">
        <v>7</v>
      </c>
      <c r="C43" s="99" t="s">
        <v>210</v>
      </c>
      <c r="D43" s="99" t="s">
        <v>73</v>
      </c>
      <c r="E43">
        <v>77</v>
      </c>
      <c r="F43">
        <v>78</v>
      </c>
      <c r="G43" s="102" t="s">
        <v>73</v>
      </c>
      <c r="H43" t="s">
        <v>137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9" t="s">
        <v>213</v>
      </c>
    </row>
    <row r="44" spans="1:15" x14ac:dyDescent="0.25">
      <c r="A44" s="99" t="s">
        <v>214</v>
      </c>
      <c r="B44" s="99">
        <v>7</v>
      </c>
      <c r="C44" s="99" t="s">
        <v>210</v>
      </c>
      <c r="D44" s="99" t="s">
        <v>119</v>
      </c>
      <c r="E44">
        <v>79</v>
      </c>
      <c r="F44">
        <v>80</v>
      </c>
      <c r="G44" s="102" t="s">
        <v>73</v>
      </c>
      <c r="H44" t="s">
        <v>140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9" t="s">
        <v>215</v>
      </c>
    </row>
    <row r="45" spans="1:15" x14ac:dyDescent="0.25">
      <c r="A45" s="99" t="s">
        <v>216</v>
      </c>
      <c r="B45" s="99">
        <v>7</v>
      </c>
      <c r="C45" s="99" t="s">
        <v>210</v>
      </c>
      <c r="D45" s="99" t="s">
        <v>796</v>
      </c>
      <c r="E45">
        <v>81</v>
      </c>
      <c r="F45">
        <v>82</v>
      </c>
      <c r="G45" s="102" t="s">
        <v>73</v>
      </c>
      <c r="H45" t="s">
        <v>143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9" t="s">
        <v>217</v>
      </c>
    </row>
    <row r="46" spans="1:15" x14ac:dyDescent="0.25">
      <c r="A46" s="99" t="s">
        <v>218</v>
      </c>
      <c r="B46" s="99">
        <v>7</v>
      </c>
      <c r="C46" s="99" t="s">
        <v>210</v>
      </c>
      <c r="D46" s="99" t="s">
        <v>797</v>
      </c>
      <c r="E46">
        <v>83</v>
      </c>
      <c r="F46">
        <v>84</v>
      </c>
      <c r="G46" s="102" t="s">
        <v>73</v>
      </c>
      <c r="H46" t="s">
        <v>146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9" t="s">
        <v>219</v>
      </c>
    </row>
    <row r="47" spans="1:15" x14ac:dyDescent="0.25">
      <c r="A47" s="99" t="s">
        <v>220</v>
      </c>
      <c r="B47" s="99">
        <v>3</v>
      </c>
      <c r="C47" s="99" t="s">
        <v>10</v>
      </c>
      <c r="D47" s="99" t="s">
        <v>800</v>
      </c>
      <c r="E47">
        <v>89</v>
      </c>
      <c r="F47">
        <v>98</v>
      </c>
      <c r="G47" s="102" t="s">
        <v>120</v>
      </c>
      <c r="H47" t="s">
        <v>221</v>
      </c>
      <c r="J47">
        <f>SUM(K48)</f>
        <v>0</v>
      </c>
      <c r="K47">
        <f>I47*J47</f>
        <v>0</v>
      </c>
      <c r="L47" t="e">
        <f>100*(1-(M47/K47))</f>
        <v>#DIV/0!</v>
      </c>
      <c r="M47">
        <f>I47*SUM(M48)</f>
        <v>0</v>
      </c>
      <c r="N47">
        <v>47</v>
      </c>
      <c r="O47" s="99" t="s">
        <v>222</v>
      </c>
    </row>
    <row r="48" spans="1:15" x14ac:dyDescent="0.25">
      <c r="A48" s="99" t="s">
        <v>223</v>
      </c>
      <c r="B48" s="99">
        <v>4</v>
      </c>
      <c r="C48" s="99" t="s">
        <v>220</v>
      </c>
      <c r="D48" s="99" t="s">
        <v>73</v>
      </c>
      <c r="E48">
        <v>90</v>
      </c>
      <c r="F48">
        <v>97</v>
      </c>
      <c r="G48" s="102" t="s">
        <v>120</v>
      </c>
      <c r="H48" t="s">
        <v>224</v>
      </c>
      <c r="J48">
        <f>SUM(K49)</f>
        <v>0</v>
      </c>
      <c r="K48">
        <f>I48*J48</f>
        <v>0</v>
      </c>
      <c r="L48" t="e">
        <f>100*(1-(M48/K48))</f>
        <v>#DIV/0!</v>
      </c>
      <c r="M48">
        <f>I48*SUM(M49)</f>
        <v>0</v>
      </c>
      <c r="N48">
        <v>48</v>
      </c>
      <c r="O48" s="99" t="s">
        <v>225</v>
      </c>
    </row>
    <row r="49" spans="1:15" x14ac:dyDescent="0.25">
      <c r="A49" s="99" t="s">
        <v>226</v>
      </c>
      <c r="B49" s="99">
        <v>5</v>
      </c>
      <c r="C49" s="99" t="s">
        <v>223</v>
      </c>
      <c r="D49" s="99" t="s">
        <v>73</v>
      </c>
      <c r="E49">
        <v>91</v>
      </c>
      <c r="F49">
        <v>96</v>
      </c>
      <c r="G49" s="102" t="s">
        <v>120</v>
      </c>
      <c r="H49" t="s">
        <v>221</v>
      </c>
      <c r="J49">
        <f>SUM(K50)</f>
        <v>0</v>
      </c>
      <c r="K49">
        <f>I49*J49</f>
        <v>0</v>
      </c>
      <c r="L49" t="e">
        <f>100*(1-(M49/K49))</f>
        <v>#DIV/0!</v>
      </c>
      <c r="M49">
        <f>I49*SUM(M50)</f>
        <v>0</v>
      </c>
      <c r="N49">
        <v>49</v>
      </c>
      <c r="O49" s="99" t="s">
        <v>227</v>
      </c>
    </row>
    <row r="50" spans="1:15" x14ac:dyDescent="0.25">
      <c r="A50" s="99" t="s">
        <v>228</v>
      </c>
      <c r="B50" s="99">
        <v>6</v>
      </c>
      <c r="C50" s="99" t="s">
        <v>226</v>
      </c>
      <c r="D50" s="99" t="s">
        <v>73</v>
      </c>
      <c r="E50">
        <v>92</v>
      </c>
      <c r="F50">
        <v>95</v>
      </c>
      <c r="G50" s="102" t="s">
        <v>120</v>
      </c>
      <c r="H50" t="s">
        <v>229</v>
      </c>
      <c r="J50">
        <f>SUM(K51)</f>
        <v>69527.570000000007</v>
      </c>
      <c r="K50">
        <f>I50*J50</f>
        <v>0</v>
      </c>
      <c r="L50" t="e">
        <f>100*(1-(M50/K50))</f>
        <v>#DIV/0!</v>
      </c>
      <c r="M50">
        <f>I50*SUM(M51)</f>
        <v>0</v>
      </c>
      <c r="N50">
        <v>50</v>
      </c>
      <c r="O50" s="99" t="s">
        <v>230</v>
      </c>
    </row>
    <row r="51" spans="1:15" x14ac:dyDescent="0.25">
      <c r="A51" s="99" t="s">
        <v>231</v>
      </c>
      <c r="B51" s="99">
        <v>7</v>
      </c>
      <c r="C51" s="99" t="s">
        <v>228</v>
      </c>
      <c r="D51" s="99" t="s">
        <v>73</v>
      </c>
      <c r="E51">
        <v>93</v>
      </c>
      <c r="F51">
        <v>94</v>
      </c>
      <c r="G51" s="102" t="s">
        <v>73</v>
      </c>
      <c r="H51" t="s">
        <v>232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9" t="s">
        <v>233</v>
      </c>
    </row>
    <row r="52" spans="1:15" x14ac:dyDescent="0.25">
      <c r="A52" s="99" t="s">
        <v>234</v>
      </c>
      <c r="B52" s="99">
        <v>3</v>
      </c>
      <c r="C52" s="99" t="s">
        <v>10</v>
      </c>
      <c r="D52" s="99" t="s">
        <v>801</v>
      </c>
      <c r="E52">
        <v>99</v>
      </c>
      <c r="F52">
        <v>108</v>
      </c>
      <c r="G52" s="102" t="s">
        <v>120</v>
      </c>
      <c r="H52" t="s">
        <v>235</v>
      </c>
      <c r="J52">
        <f>SUM(K53)</f>
        <v>0</v>
      </c>
      <c r="K52">
        <f>I52*J52</f>
        <v>0</v>
      </c>
      <c r="L52" t="e">
        <f>100*(1-(M52/K52))</f>
        <v>#DIV/0!</v>
      </c>
      <c r="M52">
        <f>I52*SUM(M53)</f>
        <v>0</v>
      </c>
      <c r="N52">
        <v>52</v>
      </c>
      <c r="O52" s="99" t="s">
        <v>236</v>
      </c>
    </row>
    <row r="53" spans="1:15" x14ac:dyDescent="0.25">
      <c r="A53" s="99" t="s">
        <v>237</v>
      </c>
      <c r="B53" s="99">
        <v>4</v>
      </c>
      <c r="C53" s="99" t="s">
        <v>234</v>
      </c>
      <c r="D53" s="99" t="s">
        <v>73</v>
      </c>
      <c r="E53">
        <v>100</v>
      </c>
      <c r="F53">
        <v>107</v>
      </c>
      <c r="G53" s="102" t="s">
        <v>120</v>
      </c>
      <c r="H53" t="s">
        <v>235</v>
      </c>
      <c r="J53">
        <f>SUM(K54)</f>
        <v>0</v>
      </c>
      <c r="K53">
        <f>I53*J53</f>
        <v>0</v>
      </c>
      <c r="L53" t="e">
        <f>100*(1-(M53/K53))</f>
        <v>#DIV/0!</v>
      </c>
      <c r="M53">
        <f>I53*SUM(M54)</f>
        <v>0</v>
      </c>
      <c r="N53">
        <v>53</v>
      </c>
      <c r="O53" s="99" t="s">
        <v>238</v>
      </c>
    </row>
    <row r="54" spans="1:15" x14ac:dyDescent="0.25">
      <c r="A54" s="99" t="s">
        <v>239</v>
      </c>
      <c r="B54" s="99">
        <v>5</v>
      </c>
      <c r="C54" s="99" t="s">
        <v>237</v>
      </c>
      <c r="D54" s="99" t="s">
        <v>73</v>
      </c>
      <c r="E54">
        <v>101</v>
      </c>
      <c r="F54">
        <v>106</v>
      </c>
      <c r="G54" s="102" t="s">
        <v>120</v>
      </c>
      <c r="H54" t="s">
        <v>235</v>
      </c>
      <c r="J54">
        <f>SUM(K55)</f>
        <v>0</v>
      </c>
      <c r="K54">
        <f>I54*J54</f>
        <v>0</v>
      </c>
      <c r="L54" t="e">
        <f>100*(1-(M54/K54))</f>
        <v>#DIV/0!</v>
      </c>
      <c r="M54">
        <f>I54*SUM(M55)</f>
        <v>0</v>
      </c>
      <c r="N54">
        <v>54</v>
      </c>
      <c r="O54" s="99" t="s">
        <v>240</v>
      </c>
    </row>
    <row r="55" spans="1:15" x14ac:dyDescent="0.25">
      <c r="A55" s="99" t="s">
        <v>241</v>
      </c>
      <c r="B55" s="99">
        <v>6</v>
      </c>
      <c r="C55" s="99" t="s">
        <v>239</v>
      </c>
      <c r="D55" s="99" t="s">
        <v>73</v>
      </c>
      <c r="E55">
        <v>102</v>
      </c>
      <c r="F55">
        <v>105</v>
      </c>
      <c r="G55" s="102" t="s">
        <v>120</v>
      </c>
      <c r="H55" t="s">
        <v>242</v>
      </c>
      <c r="J55">
        <f>SUM(K56)</f>
        <v>12033.62</v>
      </c>
      <c r="K55">
        <f>I55*J55</f>
        <v>0</v>
      </c>
      <c r="L55" t="e">
        <f>100*(1-(M55/K55))</f>
        <v>#DIV/0!</v>
      </c>
      <c r="M55">
        <f>I55*SUM(M56)</f>
        <v>0</v>
      </c>
      <c r="N55">
        <v>55</v>
      </c>
      <c r="O55" s="99" t="s">
        <v>243</v>
      </c>
    </row>
    <row r="56" spans="1:15" x14ac:dyDescent="0.25">
      <c r="A56" s="99" t="s">
        <v>244</v>
      </c>
      <c r="B56" s="99">
        <v>7</v>
      </c>
      <c r="C56" s="99" t="s">
        <v>241</v>
      </c>
      <c r="D56" s="99" t="s">
        <v>73</v>
      </c>
      <c r="E56">
        <v>103</v>
      </c>
      <c r="F56">
        <v>104</v>
      </c>
      <c r="G56" s="102" t="s">
        <v>73</v>
      </c>
      <c r="H56" t="s">
        <v>245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9" t="s">
        <v>246</v>
      </c>
    </row>
    <row r="57" spans="1:15" x14ac:dyDescent="0.25">
      <c r="A57" s="99" t="s">
        <v>247</v>
      </c>
      <c r="B57" s="99">
        <v>3</v>
      </c>
      <c r="C57" s="99" t="s">
        <v>10</v>
      </c>
      <c r="D57" s="99" t="s">
        <v>802</v>
      </c>
      <c r="E57">
        <v>109</v>
      </c>
      <c r="F57">
        <v>122</v>
      </c>
      <c r="G57" s="102" t="s">
        <v>120</v>
      </c>
      <c r="H57" t="s">
        <v>248</v>
      </c>
      <c r="J57">
        <f>SUM(K58)</f>
        <v>0</v>
      </c>
      <c r="K57">
        <f>I57*J57</f>
        <v>0</v>
      </c>
      <c r="L57" t="e">
        <f>100*(1-(M57/K57))</f>
        <v>#DIV/0!</v>
      </c>
      <c r="M57">
        <f>I57*SUM(M58)</f>
        <v>0</v>
      </c>
      <c r="N57">
        <v>57</v>
      </c>
      <c r="O57" s="99" t="s">
        <v>249</v>
      </c>
    </row>
    <row r="58" spans="1:15" x14ac:dyDescent="0.25">
      <c r="A58" s="99" t="s">
        <v>250</v>
      </c>
      <c r="B58" s="99">
        <v>4</v>
      </c>
      <c r="C58" s="99" t="s">
        <v>247</v>
      </c>
      <c r="D58" s="99" t="s">
        <v>73</v>
      </c>
      <c r="E58">
        <v>110</v>
      </c>
      <c r="F58">
        <v>121</v>
      </c>
      <c r="G58" s="102" t="s">
        <v>120</v>
      </c>
      <c r="H58" t="s">
        <v>248</v>
      </c>
      <c r="J58">
        <f>SUM(K59)</f>
        <v>0</v>
      </c>
      <c r="K58">
        <f>I58*J58</f>
        <v>0</v>
      </c>
      <c r="L58" t="e">
        <f>100*(1-(M58/K58))</f>
        <v>#DIV/0!</v>
      </c>
      <c r="M58">
        <f>I58*SUM(M59)</f>
        <v>0</v>
      </c>
      <c r="N58">
        <v>58</v>
      </c>
      <c r="O58" s="99" t="s">
        <v>251</v>
      </c>
    </row>
    <row r="59" spans="1:15" x14ac:dyDescent="0.25">
      <c r="A59" s="99" t="s">
        <v>252</v>
      </c>
      <c r="B59" s="99">
        <v>5</v>
      </c>
      <c r="C59" s="99" t="s">
        <v>250</v>
      </c>
      <c r="D59" s="99" t="s">
        <v>73</v>
      </c>
      <c r="E59">
        <v>111</v>
      </c>
      <c r="F59">
        <v>120</v>
      </c>
      <c r="G59" s="102" t="s">
        <v>120</v>
      </c>
      <c r="H59" t="s">
        <v>248</v>
      </c>
      <c r="J59">
        <f>SUM(K60)</f>
        <v>0</v>
      </c>
      <c r="K59">
        <f>I59*J59</f>
        <v>0</v>
      </c>
      <c r="L59" t="e">
        <f>100*(1-(M59/K59))</f>
        <v>#DIV/0!</v>
      </c>
      <c r="M59">
        <f>I59*SUM(M60)</f>
        <v>0</v>
      </c>
      <c r="N59">
        <v>59</v>
      </c>
      <c r="O59" s="99" t="s">
        <v>253</v>
      </c>
    </row>
    <row r="60" spans="1:15" x14ac:dyDescent="0.25">
      <c r="A60" s="99" t="s">
        <v>254</v>
      </c>
      <c r="B60" s="99">
        <v>6</v>
      </c>
      <c r="C60" s="99" t="s">
        <v>252</v>
      </c>
      <c r="D60" s="99" t="s">
        <v>73</v>
      </c>
      <c r="E60">
        <v>112</v>
      </c>
      <c r="F60">
        <v>119</v>
      </c>
      <c r="G60" s="102" t="s">
        <v>120</v>
      </c>
      <c r="H60" t="s">
        <v>229</v>
      </c>
      <c r="J60">
        <f>SUM(K61,K62,K63)</f>
        <v>638290.58400000003</v>
      </c>
      <c r="K60">
        <f>I60*J60</f>
        <v>0</v>
      </c>
      <c r="L60" t="e">
        <f>100*(1-(M60/K60))</f>
        <v>#DIV/0!</v>
      </c>
      <c r="M60">
        <f>I60*SUM(M61,M62,M63)</f>
        <v>0</v>
      </c>
      <c r="N60">
        <v>60</v>
      </c>
      <c r="O60" s="99" t="s">
        <v>255</v>
      </c>
    </row>
    <row r="61" spans="1:15" x14ac:dyDescent="0.25">
      <c r="A61" s="99" t="s">
        <v>256</v>
      </c>
      <c r="B61" s="99">
        <v>7</v>
      </c>
      <c r="C61" s="99" t="s">
        <v>254</v>
      </c>
      <c r="D61" s="99" t="s">
        <v>73</v>
      </c>
      <c r="E61">
        <v>113</v>
      </c>
      <c r="F61">
        <v>114</v>
      </c>
      <c r="G61" s="102" t="s">
        <v>73</v>
      </c>
      <c r="H61" t="s">
        <v>257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9" t="s">
        <v>258</v>
      </c>
    </row>
    <row r="62" spans="1:15" x14ac:dyDescent="0.25">
      <c r="A62" s="99" t="s">
        <v>259</v>
      </c>
      <c r="B62" s="99">
        <v>7</v>
      </c>
      <c r="C62" s="99" t="s">
        <v>254</v>
      </c>
      <c r="D62" s="99" t="s">
        <v>119</v>
      </c>
      <c r="E62">
        <v>115</v>
      </c>
      <c r="F62">
        <v>116</v>
      </c>
      <c r="G62" s="102" t="s">
        <v>73</v>
      </c>
      <c r="H62" t="s">
        <v>260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9" t="s">
        <v>261</v>
      </c>
    </row>
    <row r="63" spans="1:15" x14ac:dyDescent="0.25">
      <c r="A63" s="99" t="s">
        <v>262</v>
      </c>
      <c r="B63" s="99">
        <v>7</v>
      </c>
      <c r="C63" s="99" t="s">
        <v>254</v>
      </c>
      <c r="D63" s="99" t="s">
        <v>796</v>
      </c>
      <c r="E63">
        <v>117</v>
      </c>
      <c r="F63">
        <v>118</v>
      </c>
      <c r="G63" s="102" t="s">
        <v>73</v>
      </c>
      <c r="H63" t="s">
        <v>263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9" t="s">
        <v>264</v>
      </c>
    </row>
    <row r="64" spans="1:15" x14ac:dyDescent="0.25">
      <c r="A64" s="99" t="s">
        <v>265</v>
      </c>
      <c r="B64" s="99">
        <v>3</v>
      </c>
      <c r="C64" s="99" t="s">
        <v>10</v>
      </c>
      <c r="D64" s="99" t="s">
        <v>803</v>
      </c>
      <c r="E64">
        <v>123</v>
      </c>
      <c r="F64">
        <v>132</v>
      </c>
      <c r="G64" s="102" t="s">
        <v>120</v>
      </c>
      <c r="H64" t="s">
        <v>266</v>
      </c>
      <c r="J64">
        <f>SUM(K65)</f>
        <v>0</v>
      </c>
      <c r="K64">
        <f>I64*J64</f>
        <v>0</v>
      </c>
      <c r="L64" t="e">
        <f>100*(1-(M64/K64))</f>
        <v>#DIV/0!</v>
      </c>
      <c r="M64">
        <f>I64*SUM(M65)</f>
        <v>0</v>
      </c>
      <c r="N64">
        <v>64</v>
      </c>
      <c r="O64" s="99" t="s">
        <v>267</v>
      </c>
    </row>
    <row r="65" spans="1:15" x14ac:dyDescent="0.25">
      <c r="A65" s="99" t="s">
        <v>268</v>
      </c>
      <c r="B65" s="99">
        <v>4</v>
      </c>
      <c r="C65" s="99" t="s">
        <v>265</v>
      </c>
      <c r="D65" s="99" t="s">
        <v>73</v>
      </c>
      <c r="E65">
        <v>124</v>
      </c>
      <c r="F65">
        <v>131</v>
      </c>
      <c r="G65" s="102" t="s">
        <v>120</v>
      </c>
      <c r="H65" t="s">
        <v>266</v>
      </c>
      <c r="J65">
        <f>SUM(K66)</f>
        <v>0</v>
      </c>
      <c r="K65">
        <f>I65*J65</f>
        <v>0</v>
      </c>
      <c r="L65" t="e">
        <f>100*(1-(M65/K65))</f>
        <v>#DIV/0!</v>
      </c>
      <c r="M65">
        <f>I65*SUM(M66)</f>
        <v>0</v>
      </c>
      <c r="N65">
        <v>65</v>
      </c>
      <c r="O65" s="99" t="s">
        <v>269</v>
      </c>
    </row>
    <row r="66" spans="1:15" x14ac:dyDescent="0.25">
      <c r="A66" s="99" t="s">
        <v>270</v>
      </c>
      <c r="B66" s="99">
        <v>5</v>
      </c>
      <c r="C66" s="99" t="s">
        <v>268</v>
      </c>
      <c r="D66" s="99" t="s">
        <v>73</v>
      </c>
      <c r="E66">
        <v>125</v>
      </c>
      <c r="F66">
        <v>130</v>
      </c>
      <c r="G66" s="102" t="s">
        <v>120</v>
      </c>
      <c r="H66" t="s">
        <v>266</v>
      </c>
      <c r="J66">
        <f>SUM(K67,K68)</f>
        <v>11191.5</v>
      </c>
      <c r="K66">
        <f>I66*J66</f>
        <v>0</v>
      </c>
      <c r="L66" t="e">
        <f>100*(1-(M66/K66))</f>
        <v>#DIV/0!</v>
      </c>
      <c r="M66">
        <f>I66*SUM(M67,M68)</f>
        <v>0</v>
      </c>
      <c r="N66">
        <v>66</v>
      </c>
      <c r="O66" s="99" t="s">
        <v>271</v>
      </c>
    </row>
    <row r="67" spans="1:15" x14ac:dyDescent="0.25">
      <c r="A67" s="99" t="s">
        <v>272</v>
      </c>
      <c r="B67" s="99">
        <v>6</v>
      </c>
      <c r="C67" s="99" t="s">
        <v>270</v>
      </c>
      <c r="D67" s="99" t="s">
        <v>73</v>
      </c>
      <c r="E67">
        <v>126</v>
      </c>
      <c r="F67">
        <v>127</v>
      </c>
      <c r="G67" s="102" t="s">
        <v>73</v>
      </c>
      <c r="H67" t="s">
        <v>273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9" t="s">
        <v>274</v>
      </c>
    </row>
    <row r="68" spans="1:15" x14ac:dyDescent="0.25">
      <c r="A68" s="99" t="s">
        <v>275</v>
      </c>
      <c r="B68" s="99">
        <v>6</v>
      </c>
      <c r="C68" s="99" t="s">
        <v>270</v>
      </c>
      <c r="D68" s="99" t="s">
        <v>119</v>
      </c>
      <c r="E68">
        <v>128</v>
      </c>
      <c r="F68">
        <v>129</v>
      </c>
      <c r="G68" s="102" t="s">
        <v>73</v>
      </c>
      <c r="H68" t="s">
        <v>276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9" t="s">
        <v>277</v>
      </c>
    </row>
    <row r="69" spans="1:15" x14ac:dyDescent="0.25">
      <c r="A69" s="99" t="s">
        <v>278</v>
      </c>
      <c r="B69" s="99">
        <v>3</v>
      </c>
      <c r="C69" s="99" t="s">
        <v>10</v>
      </c>
      <c r="D69" s="99" t="s">
        <v>804</v>
      </c>
      <c r="E69">
        <v>133</v>
      </c>
      <c r="F69">
        <v>202</v>
      </c>
      <c r="G69" s="102" t="s">
        <v>120</v>
      </c>
      <c r="H69" t="s">
        <v>279</v>
      </c>
      <c r="J69">
        <f>SUM(K70)</f>
        <v>0</v>
      </c>
      <c r="K69">
        <f>I69*J69</f>
        <v>0</v>
      </c>
      <c r="L69" t="e">
        <f>100*(1-(M69/K69))</f>
        <v>#DIV/0!</v>
      </c>
      <c r="M69">
        <f>I69*SUM(M70)</f>
        <v>0</v>
      </c>
      <c r="N69">
        <v>69</v>
      </c>
      <c r="O69" s="99" t="s">
        <v>280</v>
      </c>
    </row>
    <row r="70" spans="1:15" x14ac:dyDescent="0.25">
      <c r="A70" s="99" t="s">
        <v>281</v>
      </c>
      <c r="B70" s="99">
        <v>4</v>
      </c>
      <c r="C70" s="99" t="s">
        <v>278</v>
      </c>
      <c r="D70" s="99" t="s">
        <v>73</v>
      </c>
      <c r="E70">
        <v>134</v>
      </c>
      <c r="F70">
        <v>201</v>
      </c>
      <c r="G70" s="102" t="s">
        <v>120</v>
      </c>
      <c r="H70" t="s">
        <v>279</v>
      </c>
      <c r="J70">
        <f>SUM(K71)</f>
        <v>0</v>
      </c>
      <c r="K70">
        <f>I70*J70</f>
        <v>0</v>
      </c>
      <c r="L70" t="e">
        <f>100*(1-(M70/K70))</f>
        <v>#DIV/0!</v>
      </c>
      <c r="M70">
        <f>I70*SUM(M71)</f>
        <v>0</v>
      </c>
      <c r="N70">
        <v>70</v>
      </c>
      <c r="O70" s="99" t="s">
        <v>282</v>
      </c>
    </row>
    <row r="71" spans="1:15" x14ac:dyDescent="0.25">
      <c r="A71" s="99" t="s">
        <v>283</v>
      </c>
      <c r="B71" s="99">
        <v>5</v>
      </c>
      <c r="C71" s="99" t="s">
        <v>281</v>
      </c>
      <c r="D71" s="99" t="s">
        <v>73</v>
      </c>
      <c r="E71">
        <v>135</v>
      </c>
      <c r="F71">
        <v>200</v>
      </c>
      <c r="G71" s="102" t="s">
        <v>120</v>
      </c>
      <c r="H71" t="s">
        <v>279</v>
      </c>
      <c r="J71">
        <f>SUM(K72,K101)</f>
        <v>0</v>
      </c>
      <c r="K71">
        <f>I71*J71</f>
        <v>0</v>
      </c>
      <c r="L71" t="e">
        <f>100*(1-(M71/K71))</f>
        <v>#DIV/0!</v>
      </c>
      <c r="M71">
        <f>I71*SUM(M72,M101)</f>
        <v>0</v>
      </c>
      <c r="N71">
        <v>71</v>
      </c>
      <c r="O71" s="99" t="s">
        <v>284</v>
      </c>
    </row>
    <row r="72" spans="1:15" x14ac:dyDescent="0.25">
      <c r="A72" s="99" t="s">
        <v>285</v>
      </c>
      <c r="B72" s="99">
        <v>6</v>
      </c>
      <c r="C72" s="99" t="s">
        <v>283</v>
      </c>
      <c r="D72" s="99" t="s">
        <v>73</v>
      </c>
      <c r="E72">
        <v>136</v>
      </c>
      <c r="F72">
        <v>193</v>
      </c>
      <c r="G72" s="102" t="s">
        <v>120</v>
      </c>
      <c r="H72" t="s">
        <v>286</v>
      </c>
      <c r="J72">
        <f>SUM(K73,K74,K75,K76,K77,K78,K79,K80,K81,K82,K83,K84,K85,K86,K87,K88,K89,K90,K91,K92,K93,K94,K95,K96,K97,K98,K99,K100)</f>
        <v>183834</v>
      </c>
      <c r="K72">
        <f>I72*J72</f>
        <v>0</v>
      </c>
      <c r="L72" t="e">
        <f>100*(1-(M72/K72))</f>
        <v>#DIV/0!</v>
      </c>
      <c r="M72">
        <f>I72*SUM(M73,M74,M75,M76,M77,M78,M79,M80,M81,M82,M83,M84,M85,M86,M87,M88,M89,M90,M91,M92,M93,M94,M95,M96,M97,M98,M99,M100)</f>
        <v>0</v>
      </c>
      <c r="N72">
        <v>72</v>
      </c>
      <c r="O72" s="99" t="s">
        <v>287</v>
      </c>
    </row>
    <row r="73" spans="1:15" x14ac:dyDescent="0.25">
      <c r="A73" s="99" t="s">
        <v>288</v>
      </c>
      <c r="B73" s="99">
        <v>7</v>
      </c>
      <c r="C73" s="99" t="s">
        <v>285</v>
      </c>
      <c r="D73" s="99" t="s">
        <v>73</v>
      </c>
      <c r="E73">
        <v>137</v>
      </c>
      <c r="F73">
        <v>138</v>
      </c>
      <c r="G73" s="102" t="s">
        <v>73</v>
      </c>
      <c r="H73" t="s">
        <v>289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9" t="s">
        <v>290</v>
      </c>
    </row>
    <row r="74" spans="1:15" x14ac:dyDescent="0.25">
      <c r="A74" s="99" t="s">
        <v>291</v>
      </c>
      <c r="B74" s="99">
        <v>7</v>
      </c>
      <c r="C74" s="99" t="s">
        <v>285</v>
      </c>
      <c r="D74" s="99" t="s">
        <v>119</v>
      </c>
      <c r="E74">
        <v>139</v>
      </c>
      <c r="F74">
        <v>140</v>
      </c>
      <c r="G74" s="102" t="s">
        <v>73</v>
      </c>
      <c r="H74" t="s">
        <v>292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9" t="s">
        <v>293</v>
      </c>
    </row>
    <row r="75" spans="1:15" x14ac:dyDescent="0.25">
      <c r="A75" s="99" t="s">
        <v>294</v>
      </c>
      <c r="B75" s="99">
        <v>7</v>
      </c>
      <c r="C75" s="99" t="s">
        <v>285</v>
      </c>
      <c r="D75" s="99" t="s">
        <v>796</v>
      </c>
      <c r="E75">
        <v>141</v>
      </c>
      <c r="F75">
        <v>142</v>
      </c>
      <c r="G75" s="102" t="s">
        <v>73</v>
      </c>
      <c r="H75" t="s">
        <v>295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9" t="s">
        <v>296</v>
      </c>
    </row>
    <row r="76" spans="1:15" x14ac:dyDescent="0.25">
      <c r="A76" s="99" t="s">
        <v>297</v>
      </c>
      <c r="B76" s="99">
        <v>7</v>
      </c>
      <c r="C76" s="99" t="s">
        <v>285</v>
      </c>
      <c r="D76" s="99" t="s">
        <v>797</v>
      </c>
      <c r="E76">
        <v>143</v>
      </c>
      <c r="F76">
        <v>144</v>
      </c>
      <c r="G76" s="102" t="s">
        <v>73</v>
      </c>
      <c r="H76" t="s">
        <v>298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9" t="s">
        <v>299</v>
      </c>
    </row>
    <row r="77" spans="1:15" x14ac:dyDescent="0.25">
      <c r="A77" s="99" t="s">
        <v>300</v>
      </c>
      <c r="B77" s="99">
        <v>7</v>
      </c>
      <c r="C77" s="99" t="s">
        <v>285</v>
      </c>
      <c r="D77" s="99" t="s">
        <v>798</v>
      </c>
      <c r="E77">
        <v>145</v>
      </c>
      <c r="F77">
        <v>146</v>
      </c>
      <c r="G77" s="102" t="s">
        <v>73</v>
      </c>
      <c r="H77" t="s">
        <v>301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9" t="s">
        <v>302</v>
      </c>
    </row>
    <row r="78" spans="1:15" x14ac:dyDescent="0.25">
      <c r="A78" s="99" t="s">
        <v>303</v>
      </c>
      <c r="B78" s="99">
        <v>7</v>
      </c>
      <c r="C78" s="99" t="s">
        <v>285</v>
      </c>
      <c r="D78" s="99" t="s">
        <v>799</v>
      </c>
      <c r="E78">
        <v>147</v>
      </c>
      <c r="F78">
        <v>148</v>
      </c>
      <c r="G78" s="102" t="s">
        <v>73</v>
      </c>
      <c r="H78" t="s">
        <v>304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9" t="s">
        <v>305</v>
      </c>
    </row>
    <row r="79" spans="1:15" x14ac:dyDescent="0.25">
      <c r="A79" s="99" t="s">
        <v>306</v>
      </c>
      <c r="B79" s="99">
        <v>7</v>
      </c>
      <c r="C79" s="99" t="s">
        <v>285</v>
      </c>
      <c r="D79" s="99" t="s">
        <v>800</v>
      </c>
      <c r="E79">
        <v>149</v>
      </c>
      <c r="F79">
        <v>150</v>
      </c>
      <c r="G79" s="102" t="s">
        <v>73</v>
      </c>
      <c r="H79" t="s">
        <v>307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9" t="s">
        <v>308</v>
      </c>
    </row>
    <row r="80" spans="1:15" x14ac:dyDescent="0.25">
      <c r="A80" s="99" t="s">
        <v>309</v>
      </c>
      <c r="B80" s="99">
        <v>7</v>
      </c>
      <c r="C80" s="99" t="s">
        <v>285</v>
      </c>
      <c r="D80" s="99" t="s">
        <v>801</v>
      </c>
      <c r="E80">
        <v>151</v>
      </c>
      <c r="F80">
        <v>152</v>
      </c>
      <c r="G80" s="102" t="s">
        <v>73</v>
      </c>
      <c r="H80" t="s">
        <v>310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9" t="s">
        <v>311</v>
      </c>
    </row>
    <row r="81" spans="1:15" x14ac:dyDescent="0.25">
      <c r="A81" s="99" t="s">
        <v>312</v>
      </c>
      <c r="B81" s="99">
        <v>7</v>
      </c>
      <c r="C81" s="99" t="s">
        <v>285</v>
      </c>
      <c r="D81" s="99" t="s">
        <v>802</v>
      </c>
      <c r="E81">
        <v>153</v>
      </c>
      <c r="F81">
        <v>154</v>
      </c>
      <c r="G81" s="102" t="s">
        <v>73</v>
      </c>
      <c r="H81" t="s">
        <v>313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9" t="s">
        <v>314</v>
      </c>
    </row>
    <row r="82" spans="1:15" x14ac:dyDescent="0.25">
      <c r="A82" s="99" t="s">
        <v>315</v>
      </c>
      <c r="B82" s="99">
        <v>7</v>
      </c>
      <c r="C82" s="99" t="s">
        <v>285</v>
      </c>
      <c r="D82" s="99" t="s">
        <v>803</v>
      </c>
      <c r="E82">
        <v>155</v>
      </c>
      <c r="F82">
        <v>156</v>
      </c>
      <c r="G82" s="102" t="s">
        <v>73</v>
      </c>
      <c r="H82" t="s">
        <v>316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9" t="s">
        <v>317</v>
      </c>
    </row>
    <row r="83" spans="1:15" x14ac:dyDescent="0.25">
      <c r="A83" s="99" t="s">
        <v>318</v>
      </c>
      <c r="B83" s="99">
        <v>7</v>
      </c>
      <c r="C83" s="99" t="s">
        <v>285</v>
      </c>
      <c r="D83" s="99" t="s">
        <v>804</v>
      </c>
      <c r="E83">
        <v>157</v>
      </c>
      <c r="F83">
        <v>158</v>
      </c>
      <c r="G83" s="102" t="s">
        <v>73</v>
      </c>
      <c r="H83" t="s">
        <v>319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9" t="s">
        <v>320</v>
      </c>
    </row>
    <row r="84" spans="1:15" x14ac:dyDescent="0.25">
      <c r="A84" s="99" t="s">
        <v>321</v>
      </c>
      <c r="B84" s="99">
        <v>7</v>
      </c>
      <c r="C84" s="99" t="s">
        <v>285</v>
      </c>
      <c r="D84" s="99" t="s">
        <v>805</v>
      </c>
      <c r="E84">
        <v>159</v>
      </c>
      <c r="F84">
        <v>160</v>
      </c>
      <c r="G84" s="102" t="s">
        <v>73</v>
      </c>
      <c r="H84" t="s">
        <v>322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9" t="s">
        <v>323</v>
      </c>
    </row>
    <row r="85" spans="1:15" x14ac:dyDescent="0.25">
      <c r="A85" s="99" t="s">
        <v>324</v>
      </c>
      <c r="B85" s="99">
        <v>7</v>
      </c>
      <c r="C85" s="99" t="s">
        <v>285</v>
      </c>
      <c r="D85" s="99" t="s">
        <v>806</v>
      </c>
      <c r="E85">
        <v>161</v>
      </c>
      <c r="F85">
        <v>162</v>
      </c>
      <c r="G85" s="102" t="s">
        <v>73</v>
      </c>
      <c r="H85" t="s">
        <v>325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9" t="s">
        <v>326</v>
      </c>
    </row>
    <row r="86" spans="1:15" x14ac:dyDescent="0.25">
      <c r="A86" s="99" t="s">
        <v>327</v>
      </c>
      <c r="B86" s="99">
        <v>7</v>
      </c>
      <c r="C86" s="99" t="s">
        <v>285</v>
      </c>
      <c r="D86" s="99" t="s">
        <v>807</v>
      </c>
      <c r="E86">
        <v>163</v>
      </c>
      <c r="F86">
        <v>164</v>
      </c>
      <c r="G86" s="102" t="s">
        <v>73</v>
      </c>
      <c r="H86" t="s">
        <v>328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9" t="s">
        <v>329</v>
      </c>
    </row>
    <row r="87" spans="1:15" x14ac:dyDescent="0.25">
      <c r="A87" s="99" t="s">
        <v>330</v>
      </c>
      <c r="B87" s="99">
        <v>7</v>
      </c>
      <c r="C87" s="99" t="s">
        <v>285</v>
      </c>
      <c r="D87" s="99" t="s">
        <v>124</v>
      </c>
      <c r="E87">
        <v>165</v>
      </c>
      <c r="F87">
        <v>166</v>
      </c>
      <c r="G87" s="102" t="s">
        <v>73</v>
      </c>
      <c r="H87" t="s">
        <v>331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9" t="s">
        <v>332</v>
      </c>
    </row>
    <row r="88" spans="1:15" x14ac:dyDescent="0.25">
      <c r="A88" s="99" t="s">
        <v>333</v>
      </c>
      <c r="B88" s="99">
        <v>7</v>
      </c>
      <c r="C88" s="99" t="s">
        <v>285</v>
      </c>
      <c r="D88" s="99" t="s">
        <v>125</v>
      </c>
      <c r="E88">
        <v>167</v>
      </c>
      <c r="F88">
        <v>168</v>
      </c>
      <c r="G88" s="102" t="s">
        <v>73</v>
      </c>
      <c r="H88" t="s">
        <v>334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9" t="s">
        <v>335</v>
      </c>
    </row>
    <row r="89" spans="1:15" x14ac:dyDescent="0.25">
      <c r="A89" s="99" t="s">
        <v>336</v>
      </c>
      <c r="B89" s="99">
        <v>7</v>
      </c>
      <c r="C89" s="99" t="s">
        <v>285</v>
      </c>
      <c r="D89" s="99" t="s">
        <v>126</v>
      </c>
      <c r="E89">
        <v>169</v>
      </c>
      <c r="F89">
        <v>170</v>
      </c>
      <c r="G89" s="102" t="s">
        <v>73</v>
      </c>
      <c r="H89" t="s">
        <v>337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9" t="s">
        <v>338</v>
      </c>
    </row>
    <row r="90" spans="1:15" x14ac:dyDescent="0.25">
      <c r="A90" s="99" t="s">
        <v>339</v>
      </c>
      <c r="B90" s="99">
        <v>7</v>
      </c>
      <c r="C90" s="99" t="s">
        <v>285</v>
      </c>
      <c r="D90" s="99" t="s">
        <v>127</v>
      </c>
      <c r="E90">
        <v>171</v>
      </c>
      <c r="F90">
        <v>172</v>
      </c>
      <c r="G90" s="102" t="s">
        <v>73</v>
      </c>
      <c r="H90" t="s">
        <v>340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9" t="s">
        <v>341</v>
      </c>
    </row>
    <row r="91" spans="1:15" x14ac:dyDescent="0.25">
      <c r="A91" s="99" t="s">
        <v>342</v>
      </c>
      <c r="B91" s="99">
        <v>7</v>
      </c>
      <c r="C91" s="99" t="s">
        <v>285</v>
      </c>
      <c r="D91" s="99" t="s">
        <v>128</v>
      </c>
      <c r="E91">
        <v>173</v>
      </c>
      <c r="F91">
        <v>174</v>
      </c>
      <c r="G91" s="102" t="s">
        <v>73</v>
      </c>
      <c r="H91" t="s">
        <v>343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9" t="s">
        <v>344</v>
      </c>
    </row>
    <row r="92" spans="1:15" x14ac:dyDescent="0.25">
      <c r="A92" s="99" t="s">
        <v>345</v>
      </c>
      <c r="B92" s="99">
        <v>7</v>
      </c>
      <c r="C92" s="99" t="s">
        <v>285</v>
      </c>
      <c r="D92" s="99" t="s">
        <v>129</v>
      </c>
      <c r="E92">
        <v>175</v>
      </c>
      <c r="F92">
        <v>176</v>
      </c>
      <c r="G92" s="102" t="s">
        <v>73</v>
      </c>
      <c r="H92" t="s">
        <v>346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9" t="s">
        <v>347</v>
      </c>
    </row>
    <row r="93" spans="1:15" x14ac:dyDescent="0.25">
      <c r="A93" s="99" t="s">
        <v>348</v>
      </c>
      <c r="B93" s="99">
        <v>7</v>
      </c>
      <c r="C93" s="99" t="s">
        <v>285</v>
      </c>
      <c r="D93" s="99" t="s">
        <v>808</v>
      </c>
      <c r="E93">
        <v>177</v>
      </c>
      <c r="F93">
        <v>178</v>
      </c>
      <c r="G93" s="102" t="s">
        <v>73</v>
      </c>
      <c r="H93" t="s">
        <v>349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9" t="s">
        <v>350</v>
      </c>
    </row>
    <row r="94" spans="1:15" x14ac:dyDescent="0.25">
      <c r="A94" s="99" t="s">
        <v>351</v>
      </c>
      <c r="B94" s="99">
        <v>7</v>
      </c>
      <c r="C94" s="99" t="s">
        <v>285</v>
      </c>
      <c r="D94" s="99" t="s">
        <v>130</v>
      </c>
      <c r="E94">
        <v>179</v>
      </c>
      <c r="F94">
        <v>180</v>
      </c>
      <c r="G94" s="102" t="s">
        <v>73</v>
      </c>
      <c r="H94" t="s">
        <v>352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9" t="s">
        <v>353</v>
      </c>
    </row>
    <row r="95" spans="1:15" x14ac:dyDescent="0.25">
      <c r="A95" s="99" t="s">
        <v>354</v>
      </c>
      <c r="B95" s="99">
        <v>7</v>
      </c>
      <c r="C95" s="99" t="s">
        <v>285</v>
      </c>
      <c r="D95" s="99" t="s">
        <v>131</v>
      </c>
      <c r="E95">
        <v>181</v>
      </c>
      <c r="F95">
        <v>182</v>
      </c>
      <c r="G95" s="102" t="s">
        <v>73</v>
      </c>
      <c r="H95" t="s">
        <v>355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9" t="s">
        <v>356</v>
      </c>
    </row>
    <row r="96" spans="1:15" x14ac:dyDescent="0.25">
      <c r="A96" s="99" t="s">
        <v>357</v>
      </c>
      <c r="B96" s="99">
        <v>7</v>
      </c>
      <c r="C96" s="99" t="s">
        <v>285</v>
      </c>
      <c r="D96" s="99" t="s">
        <v>809</v>
      </c>
      <c r="E96">
        <v>183</v>
      </c>
      <c r="F96">
        <v>184</v>
      </c>
      <c r="G96" s="102" t="s">
        <v>73</v>
      </c>
      <c r="H96" t="s">
        <v>358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9" t="s">
        <v>359</v>
      </c>
    </row>
    <row r="97" spans="1:15" x14ac:dyDescent="0.25">
      <c r="A97" s="99" t="s">
        <v>360</v>
      </c>
      <c r="B97" s="99">
        <v>7</v>
      </c>
      <c r="C97" s="99" t="s">
        <v>285</v>
      </c>
      <c r="D97" s="99" t="s">
        <v>132</v>
      </c>
      <c r="E97">
        <v>185</v>
      </c>
      <c r="F97">
        <v>186</v>
      </c>
      <c r="G97" s="102" t="s">
        <v>73</v>
      </c>
      <c r="H97" t="s">
        <v>361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9" t="s">
        <v>362</v>
      </c>
    </row>
    <row r="98" spans="1:15" x14ac:dyDescent="0.25">
      <c r="A98" s="99" t="s">
        <v>363</v>
      </c>
      <c r="B98" s="99">
        <v>7</v>
      </c>
      <c r="C98" s="99" t="s">
        <v>285</v>
      </c>
      <c r="D98" s="99" t="s">
        <v>133</v>
      </c>
      <c r="E98">
        <v>187</v>
      </c>
      <c r="F98">
        <v>188</v>
      </c>
      <c r="G98" s="102" t="s">
        <v>73</v>
      </c>
      <c r="H98" t="s">
        <v>364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9" t="s">
        <v>365</v>
      </c>
    </row>
    <row r="99" spans="1:15" x14ac:dyDescent="0.25">
      <c r="A99" s="99" t="s">
        <v>366</v>
      </c>
      <c r="B99" s="99">
        <v>7</v>
      </c>
      <c r="C99" s="99" t="s">
        <v>285</v>
      </c>
      <c r="D99" s="99" t="s">
        <v>134</v>
      </c>
      <c r="E99">
        <v>189</v>
      </c>
      <c r="F99">
        <v>190</v>
      </c>
      <c r="G99" s="102" t="s">
        <v>73</v>
      </c>
      <c r="H99" t="s">
        <v>367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9" t="s">
        <v>368</v>
      </c>
    </row>
    <row r="100" spans="1:15" x14ac:dyDescent="0.25">
      <c r="A100" s="99" t="s">
        <v>369</v>
      </c>
      <c r="B100" s="99">
        <v>7</v>
      </c>
      <c r="C100" s="99" t="s">
        <v>285</v>
      </c>
      <c r="D100" s="99" t="s">
        <v>135</v>
      </c>
      <c r="E100">
        <v>191</v>
      </c>
      <c r="F100">
        <v>192</v>
      </c>
      <c r="G100" s="102" t="s">
        <v>73</v>
      </c>
      <c r="H100" t="s">
        <v>370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9" t="s">
        <v>371</v>
      </c>
    </row>
    <row r="101" spans="1:15" x14ac:dyDescent="0.25">
      <c r="A101" s="99" t="s">
        <v>372</v>
      </c>
      <c r="B101" s="99">
        <v>6</v>
      </c>
      <c r="C101" s="99" t="s">
        <v>283</v>
      </c>
      <c r="D101" s="99" t="s">
        <v>119</v>
      </c>
      <c r="E101">
        <v>194</v>
      </c>
      <c r="F101">
        <v>199</v>
      </c>
      <c r="G101" s="102" t="s">
        <v>120</v>
      </c>
      <c r="H101" t="s">
        <v>286</v>
      </c>
      <c r="J101">
        <f>SUM(K102,K103)</f>
        <v>12024</v>
      </c>
      <c r="K101">
        <f>I101*J101</f>
        <v>0</v>
      </c>
      <c r="L101" t="e">
        <f>100*(1-(M101/K101))</f>
        <v>#DIV/0!</v>
      </c>
      <c r="M101">
        <f>I101*SUM(M102,M103)</f>
        <v>0</v>
      </c>
      <c r="N101">
        <v>101</v>
      </c>
      <c r="O101" s="99" t="s">
        <v>373</v>
      </c>
    </row>
    <row r="102" spans="1:15" x14ac:dyDescent="0.25">
      <c r="A102" s="99" t="s">
        <v>374</v>
      </c>
      <c r="B102" s="99">
        <v>7</v>
      </c>
      <c r="C102" s="99" t="s">
        <v>372</v>
      </c>
      <c r="D102" s="99" t="s">
        <v>73</v>
      </c>
      <c r="E102">
        <v>195</v>
      </c>
      <c r="F102">
        <v>196</v>
      </c>
      <c r="G102" s="102" t="s">
        <v>73</v>
      </c>
      <c r="H102" t="s">
        <v>375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9" t="s">
        <v>376</v>
      </c>
    </row>
    <row r="103" spans="1:15" x14ac:dyDescent="0.25">
      <c r="A103" s="99" t="s">
        <v>377</v>
      </c>
      <c r="B103" s="99">
        <v>7</v>
      </c>
      <c r="C103" s="99" t="s">
        <v>372</v>
      </c>
      <c r="D103" s="99" t="s">
        <v>119</v>
      </c>
      <c r="E103">
        <v>197</v>
      </c>
      <c r="F103">
        <v>198</v>
      </c>
      <c r="G103" s="102" t="s">
        <v>73</v>
      </c>
      <c r="H103" t="s">
        <v>378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9" t="s">
        <v>379</v>
      </c>
    </row>
    <row r="104" spans="1:15" x14ac:dyDescent="0.25">
      <c r="A104" s="99" t="s">
        <v>380</v>
      </c>
      <c r="B104" s="99">
        <v>3</v>
      </c>
      <c r="C104" s="99" t="s">
        <v>10</v>
      </c>
      <c r="D104" s="99" t="s">
        <v>805</v>
      </c>
      <c r="E104">
        <v>203</v>
      </c>
      <c r="F104">
        <v>214</v>
      </c>
      <c r="G104" s="102" t="s">
        <v>120</v>
      </c>
      <c r="H104" t="s">
        <v>381</v>
      </c>
      <c r="J104">
        <f>SUM(K105)</f>
        <v>0</v>
      </c>
      <c r="K104">
        <f>I104*J104</f>
        <v>0</v>
      </c>
      <c r="L104" t="e">
        <f>100*(1-(M104/K104))</f>
        <v>#DIV/0!</v>
      </c>
      <c r="M104">
        <f>I104*SUM(M105)</f>
        <v>0</v>
      </c>
      <c r="N104">
        <v>104</v>
      </c>
      <c r="O104" s="99" t="s">
        <v>382</v>
      </c>
    </row>
    <row r="105" spans="1:15" x14ac:dyDescent="0.25">
      <c r="A105" s="99" t="s">
        <v>383</v>
      </c>
      <c r="B105" s="99">
        <v>4</v>
      </c>
      <c r="C105" s="99" t="s">
        <v>380</v>
      </c>
      <c r="D105" s="99" t="s">
        <v>73</v>
      </c>
      <c r="E105">
        <v>204</v>
      </c>
      <c r="F105">
        <v>213</v>
      </c>
      <c r="G105" s="102" t="s">
        <v>120</v>
      </c>
      <c r="H105" t="s">
        <v>381</v>
      </c>
      <c r="J105">
        <f>SUM(K106)</f>
        <v>0</v>
      </c>
      <c r="K105">
        <f>I105*J105</f>
        <v>0</v>
      </c>
      <c r="L105" t="e">
        <f>100*(1-(M105/K105))</f>
        <v>#DIV/0!</v>
      </c>
      <c r="M105">
        <f>I105*SUM(M106)</f>
        <v>0</v>
      </c>
      <c r="N105">
        <v>105</v>
      </c>
      <c r="O105" s="99" t="s">
        <v>384</v>
      </c>
    </row>
    <row r="106" spans="1:15" x14ac:dyDescent="0.25">
      <c r="A106" s="99" t="s">
        <v>385</v>
      </c>
      <c r="B106" s="99">
        <v>5</v>
      </c>
      <c r="C106" s="99" t="s">
        <v>383</v>
      </c>
      <c r="D106" s="99" t="s">
        <v>73</v>
      </c>
      <c r="E106">
        <v>205</v>
      </c>
      <c r="F106">
        <v>212</v>
      </c>
      <c r="G106" s="102" t="s">
        <v>120</v>
      </c>
      <c r="H106" t="s">
        <v>381</v>
      </c>
      <c r="J106">
        <f>SUM(K107,K108,K109)</f>
        <v>1574449.68</v>
      </c>
      <c r="K106">
        <f>I106*J106</f>
        <v>0</v>
      </c>
      <c r="L106" t="e">
        <f>100*(1-(M106/K106))</f>
        <v>#DIV/0!</v>
      </c>
      <c r="M106">
        <f>I106*SUM(M107,M108,M109)</f>
        <v>0</v>
      </c>
      <c r="N106">
        <v>106</v>
      </c>
      <c r="O106" s="99" t="s">
        <v>386</v>
      </c>
    </row>
    <row r="107" spans="1:15" x14ac:dyDescent="0.25">
      <c r="A107" s="99" t="s">
        <v>387</v>
      </c>
      <c r="B107" s="99">
        <v>6</v>
      </c>
      <c r="C107" s="99" t="s">
        <v>385</v>
      </c>
      <c r="D107" s="99" t="s">
        <v>73</v>
      </c>
      <c r="E107">
        <v>206</v>
      </c>
      <c r="F107">
        <v>207</v>
      </c>
      <c r="G107" s="102" t="s">
        <v>73</v>
      </c>
      <c r="H107" t="s">
        <v>388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9" t="s">
        <v>389</v>
      </c>
    </row>
    <row r="108" spans="1:15" x14ac:dyDescent="0.25">
      <c r="A108" s="99" t="s">
        <v>390</v>
      </c>
      <c r="B108" s="99">
        <v>6</v>
      </c>
      <c r="C108" s="99" t="s">
        <v>385</v>
      </c>
      <c r="D108" s="99" t="s">
        <v>119</v>
      </c>
      <c r="E108">
        <v>208</v>
      </c>
      <c r="F108">
        <v>209</v>
      </c>
      <c r="G108" s="102" t="s">
        <v>73</v>
      </c>
      <c r="H108" t="s">
        <v>391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9" t="s">
        <v>392</v>
      </c>
    </row>
    <row r="109" spans="1:15" x14ac:dyDescent="0.25">
      <c r="A109" s="99" t="s">
        <v>393</v>
      </c>
      <c r="B109" s="99">
        <v>6</v>
      </c>
      <c r="C109" s="99" t="s">
        <v>385</v>
      </c>
      <c r="D109" s="99" t="s">
        <v>796</v>
      </c>
      <c r="E109">
        <v>210</v>
      </c>
      <c r="F109">
        <v>211</v>
      </c>
      <c r="G109" s="102" t="s">
        <v>73</v>
      </c>
      <c r="H109" t="s">
        <v>394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9" t="s">
        <v>395</v>
      </c>
    </row>
    <row r="110" spans="1:15" x14ac:dyDescent="0.25">
      <c r="A110" s="99" t="s">
        <v>396</v>
      </c>
      <c r="B110" s="99">
        <v>2</v>
      </c>
      <c r="C110" s="99" t="s">
        <v>73</v>
      </c>
      <c r="D110" s="99" t="s">
        <v>119</v>
      </c>
      <c r="E110">
        <v>216</v>
      </c>
      <c r="F110">
        <v>339</v>
      </c>
      <c r="G110" s="102" t="s">
        <v>120</v>
      </c>
      <c r="H110" t="s">
        <v>397</v>
      </c>
      <c r="J110">
        <f>SUM(K111,K166)</f>
        <v>0</v>
      </c>
      <c r="K110">
        <f>I110*J110</f>
        <v>0</v>
      </c>
      <c r="L110" t="e">
        <f>100*(1-(M110/K110))</f>
        <v>#DIV/0!</v>
      </c>
      <c r="M110">
        <f>I110*SUM(M111,M166)</f>
        <v>0</v>
      </c>
      <c r="N110">
        <v>110</v>
      </c>
      <c r="O110" s="99" t="s">
        <v>398</v>
      </c>
    </row>
    <row r="111" spans="1:15" x14ac:dyDescent="0.25">
      <c r="A111" s="99" t="s">
        <v>399</v>
      </c>
      <c r="B111" s="99">
        <v>3</v>
      </c>
      <c r="C111" s="99" t="s">
        <v>396</v>
      </c>
      <c r="D111" s="99" t="s">
        <v>73</v>
      </c>
      <c r="E111">
        <v>217</v>
      </c>
      <c r="F111">
        <v>326</v>
      </c>
      <c r="G111" s="102" t="s">
        <v>120</v>
      </c>
      <c r="H111" t="s">
        <v>400</v>
      </c>
      <c r="J111">
        <f>SUM(K112,K121,K130,K139,K148,K157)</f>
        <v>0</v>
      </c>
      <c r="K111">
        <f>I111*J111</f>
        <v>0</v>
      </c>
      <c r="L111" t="e">
        <f>100*(1-(M111/K111))</f>
        <v>#DIV/0!</v>
      </c>
      <c r="M111">
        <f>I111*SUM(M112,M121,M130,M139,M148,M157)</f>
        <v>0</v>
      </c>
      <c r="N111">
        <v>111</v>
      </c>
      <c r="O111" s="99" t="s">
        <v>401</v>
      </c>
    </row>
    <row r="112" spans="1:15" x14ac:dyDescent="0.25">
      <c r="A112" s="99" t="s">
        <v>402</v>
      </c>
      <c r="B112" s="99">
        <v>4</v>
      </c>
      <c r="C112" s="99" t="s">
        <v>399</v>
      </c>
      <c r="D112" s="99" t="s">
        <v>73</v>
      </c>
      <c r="E112">
        <v>218</v>
      </c>
      <c r="F112">
        <v>235</v>
      </c>
      <c r="G112" s="102" t="s">
        <v>120</v>
      </c>
      <c r="H112" t="s">
        <v>403</v>
      </c>
      <c r="J112">
        <f>SUM(K113)</f>
        <v>0</v>
      </c>
      <c r="K112">
        <f>I112*J112</f>
        <v>0</v>
      </c>
      <c r="L112" t="e">
        <f>100*(1-(M112/K112))</f>
        <v>#DIV/0!</v>
      </c>
      <c r="M112">
        <f>I112*SUM(M113)</f>
        <v>0</v>
      </c>
      <c r="N112">
        <v>112</v>
      </c>
      <c r="O112" s="99" t="s">
        <v>404</v>
      </c>
    </row>
    <row r="113" spans="1:15" x14ac:dyDescent="0.25">
      <c r="A113" s="99" t="s">
        <v>405</v>
      </c>
      <c r="B113" s="99">
        <v>5</v>
      </c>
      <c r="C113" s="99" t="s">
        <v>402</v>
      </c>
      <c r="D113" s="99" t="s">
        <v>73</v>
      </c>
      <c r="E113">
        <v>219</v>
      </c>
      <c r="F113">
        <v>234</v>
      </c>
      <c r="G113" s="102" t="s">
        <v>120</v>
      </c>
      <c r="H113" t="s">
        <v>406</v>
      </c>
      <c r="J113">
        <f>SUM(K114,K118)</f>
        <v>0</v>
      </c>
      <c r="K113">
        <f>I113*J113</f>
        <v>0</v>
      </c>
      <c r="L113" t="e">
        <f>100*(1-(M113/K113))</f>
        <v>#DIV/0!</v>
      </c>
      <c r="M113">
        <f>I113*SUM(M114,M118)</f>
        <v>0</v>
      </c>
      <c r="N113">
        <v>113</v>
      </c>
      <c r="O113" s="99" t="s">
        <v>407</v>
      </c>
    </row>
    <row r="114" spans="1:15" x14ac:dyDescent="0.25">
      <c r="A114" s="99" t="s">
        <v>408</v>
      </c>
      <c r="B114" s="99">
        <v>6</v>
      </c>
      <c r="C114" s="99" t="s">
        <v>405</v>
      </c>
      <c r="D114" s="99" t="s">
        <v>73</v>
      </c>
      <c r="E114">
        <v>220</v>
      </c>
      <c r="F114">
        <v>227</v>
      </c>
      <c r="G114" s="102" t="s">
        <v>120</v>
      </c>
      <c r="H114" t="s">
        <v>409</v>
      </c>
      <c r="J114">
        <f>SUM(K115,K116,K117)</f>
        <v>19559.40408</v>
      </c>
      <c r="K114">
        <f>I114*J114</f>
        <v>0</v>
      </c>
      <c r="L114" t="e">
        <f>100*(1-(M114/K114))</f>
        <v>#DIV/0!</v>
      </c>
      <c r="M114">
        <f>I114*SUM(M115,M116,M117)</f>
        <v>0</v>
      </c>
      <c r="N114">
        <v>114</v>
      </c>
      <c r="O114" s="99" t="s">
        <v>410</v>
      </c>
    </row>
    <row r="115" spans="1:15" x14ac:dyDescent="0.25">
      <c r="A115" s="99" t="s">
        <v>411</v>
      </c>
      <c r="B115" s="99">
        <v>7</v>
      </c>
      <c r="C115" s="99" t="s">
        <v>408</v>
      </c>
      <c r="D115" s="99" t="s">
        <v>73</v>
      </c>
      <c r="E115">
        <v>221</v>
      </c>
      <c r="F115">
        <v>222</v>
      </c>
      <c r="G115" s="102" t="s">
        <v>73</v>
      </c>
      <c r="H115" t="s">
        <v>412</v>
      </c>
      <c r="I115">
        <v>12000</v>
      </c>
      <c r="J115">
        <v>1.3243346499999999</v>
      </c>
      <c r="K115">
        <f>I115*J115</f>
        <v>15892.015799999999</v>
      </c>
      <c r="L115">
        <v>27.83</v>
      </c>
      <c r="M115">
        <f>(1-(L115/100))*K115</f>
        <v>11469.26780286</v>
      </c>
      <c r="N115">
        <v>115</v>
      </c>
      <c r="O115" s="99" t="s">
        <v>413</v>
      </c>
    </row>
    <row r="116" spans="1:15" x14ac:dyDescent="0.25">
      <c r="A116" s="99" t="s">
        <v>414</v>
      </c>
      <c r="B116" s="99">
        <v>7</v>
      </c>
      <c r="C116" s="99" t="s">
        <v>408</v>
      </c>
      <c r="D116" s="99" t="s">
        <v>119</v>
      </c>
      <c r="E116">
        <v>223</v>
      </c>
      <c r="F116">
        <v>224</v>
      </c>
      <c r="G116" s="102" t="s">
        <v>73</v>
      </c>
      <c r="H116" t="s">
        <v>415</v>
      </c>
      <c r="I116">
        <v>12000</v>
      </c>
      <c r="J116">
        <v>3.820196E-2</v>
      </c>
      <c r="K116">
        <f>I116*J116</f>
        <v>458.42352</v>
      </c>
      <c r="L116">
        <v>27.83</v>
      </c>
      <c r="M116">
        <f>(1-(L116/100))*K116</f>
        <v>330.84425438400001</v>
      </c>
      <c r="N116">
        <v>116</v>
      </c>
      <c r="O116" s="99" t="s">
        <v>416</v>
      </c>
    </row>
    <row r="117" spans="1:15" x14ac:dyDescent="0.25">
      <c r="A117" s="99" t="s">
        <v>417</v>
      </c>
      <c r="B117" s="99">
        <v>7</v>
      </c>
      <c r="C117" s="99" t="s">
        <v>408</v>
      </c>
      <c r="D117" s="99" t="s">
        <v>796</v>
      </c>
      <c r="E117">
        <v>225</v>
      </c>
      <c r="F117">
        <v>226</v>
      </c>
      <c r="G117" s="102" t="s">
        <v>73</v>
      </c>
      <c r="H117" t="s">
        <v>418</v>
      </c>
      <c r="I117">
        <v>12000</v>
      </c>
      <c r="J117">
        <v>0.26741373000000002</v>
      </c>
      <c r="K117">
        <f>I117*J117</f>
        <v>3208.9647600000003</v>
      </c>
      <c r="L117">
        <v>27.83</v>
      </c>
      <c r="M117">
        <f>(1-(L117/100))*K117</f>
        <v>2315.9098672920004</v>
      </c>
      <c r="N117">
        <v>117</v>
      </c>
      <c r="O117" s="99" t="s">
        <v>419</v>
      </c>
    </row>
    <row r="118" spans="1:15" x14ac:dyDescent="0.25">
      <c r="A118" s="99" t="s">
        <v>420</v>
      </c>
      <c r="B118" s="99">
        <v>6</v>
      </c>
      <c r="C118" s="99" t="s">
        <v>405</v>
      </c>
      <c r="D118" s="99" t="s">
        <v>119</v>
      </c>
      <c r="E118">
        <v>228</v>
      </c>
      <c r="F118">
        <v>233</v>
      </c>
      <c r="G118" s="102" t="s">
        <v>120</v>
      </c>
      <c r="H118" t="s">
        <v>409</v>
      </c>
      <c r="J118">
        <f>SUM(K119,K120)</f>
        <v>21698.713919999998</v>
      </c>
      <c r="K118">
        <f>I118*J118</f>
        <v>0</v>
      </c>
      <c r="L118" t="e">
        <f>100*(1-(M118/K118))</f>
        <v>#DIV/0!</v>
      </c>
      <c r="M118">
        <f>I118*SUM(M119,M120)</f>
        <v>0</v>
      </c>
      <c r="N118">
        <v>118</v>
      </c>
      <c r="O118" s="99" t="s">
        <v>421</v>
      </c>
    </row>
    <row r="119" spans="1:15" x14ac:dyDescent="0.25">
      <c r="A119" s="99" t="s">
        <v>422</v>
      </c>
      <c r="B119" s="99">
        <v>7</v>
      </c>
      <c r="C119" s="99" t="s">
        <v>420</v>
      </c>
      <c r="D119" s="99" t="s">
        <v>73</v>
      </c>
      <c r="E119">
        <v>229</v>
      </c>
      <c r="F119">
        <v>230</v>
      </c>
      <c r="G119" s="102" t="s">
        <v>73</v>
      </c>
      <c r="H119" t="s">
        <v>423</v>
      </c>
      <c r="I119">
        <v>12000</v>
      </c>
      <c r="J119">
        <v>1.2097287699999999</v>
      </c>
      <c r="K119">
        <f>I119*J119</f>
        <v>14516.745239999998</v>
      </c>
      <c r="L119">
        <v>27.83</v>
      </c>
      <c r="M119">
        <f>(1-(L119/100))*K119</f>
        <v>10476.735039707999</v>
      </c>
      <c r="N119">
        <v>119</v>
      </c>
      <c r="O119" s="99" t="s">
        <v>424</v>
      </c>
    </row>
    <row r="120" spans="1:15" x14ac:dyDescent="0.25">
      <c r="A120" s="99" t="s">
        <v>425</v>
      </c>
      <c r="B120" s="99">
        <v>7</v>
      </c>
      <c r="C120" s="99" t="s">
        <v>420</v>
      </c>
      <c r="D120" s="99" t="s">
        <v>119</v>
      </c>
      <c r="E120">
        <v>231</v>
      </c>
      <c r="F120">
        <v>232</v>
      </c>
      <c r="G120" s="102" t="s">
        <v>73</v>
      </c>
      <c r="H120" t="s">
        <v>426</v>
      </c>
      <c r="I120">
        <v>12000</v>
      </c>
      <c r="J120">
        <v>0.59849739000000002</v>
      </c>
      <c r="K120">
        <f>I120*J120</f>
        <v>7181.9686799999999</v>
      </c>
      <c r="L120">
        <v>27.83</v>
      </c>
      <c r="M120">
        <f>(1-(L120/100))*K120</f>
        <v>5183.2267963559998</v>
      </c>
      <c r="N120">
        <v>120</v>
      </c>
      <c r="O120" s="99" t="s">
        <v>427</v>
      </c>
    </row>
    <row r="121" spans="1:15" x14ac:dyDescent="0.25">
      <c r="A121" s="99" t="s">
        <v>428</v>
      </c>
      <c r="B121" s="99">
        <v>4</v>
      </c>
      <c r="C121" s="99" t="s">
        <v>399</v>
      </c>
      <c r="D121" s="99" t="s">
        <v>119</v>
      </c>
      <c r="E121">
        <v>236</v>
      </c>
      <c r="F121">
        <v>253</v>
      </c>
      <c r="G121" s="102" t="s">
        <v>120</v>
      </c>
      <c r="H121" t="s">
        <v>429</v>
      </c>
      <c r="J121">
        <f>SUM(K122)</f>
        <v>0</v>
      </c>
      <c r="K121">
        <f>I121*J121</f>
        <v>0</v>
      </c>
      <c r="L121" t="e">
        <f>100*(1-(M121/K121))</f>
        <v>#DIV/0!</v>
      </c>
      <c r="M121">
        <f>I121*SUM(M122)</f>
        <v>0</v>
      </c>
      <c r="N121">
        <v>121</v>
      </c>
      <c r="O121" s="99" t="s">
        <v>430</v>
      </c>
    </row>
    <row r="122" spans="1:15" x14ac:dyDescent="0.25">
      <c r="A122" s="99" t="s">
        <v>431</v>
      </c>
      <c r="B122" s="99">
        <v>5</v>
      </c>
      <c r="C122" s="99" t="s">
        <v>428</v>
      </c>
      <c r="D122" s="99" t="s">
        <v>73</v>
      </c>
      <c r="E122">
        <v>237</v>
      </c>
      <c r="F122">
        <v>252</v>
      </c>
      <c r="G122" s="102" t="s">
        <v>120</v>
      </c>
      <c r="H122" t="s">
        <v>432</v>
      </c>
      <c r="J122">
        <f>SUM(K123,K127)</f>
        <v>0</v>
      </c>
      <c r="K122">
        <f>I122*J122</f>
        <v>0</v>
      </c>
      <c r="L122" t="e">
        <f>100*(1-(M122/K122))</f>
        <v>#DIV/0!</v>
      </c>
      <c r="M122">
        <f>I122*SUM(M123,M127)</f>
        <v>0</v>
      </c>
      <c r="N122">
        <v>122</v>
      </c>
      <c r="O122" s="99" t="s">
        <v>433</v>
      </c>
    </row>
    <row r="123" spans="1:15" x14ac:dyDescent="0.25">
      <c r="A123" s="99" t="s">
        <v>434</v>
      </c>
      <c r="B123" s="99">
        <v>6</v>
      </c>
      <c r="C123" s="99" t="s">
        <v>431</v>
      </c>
      <c r="D123" s="99" t="s">
        <v>73</v>
      </c>
      <c r="E123">
        <v>238</v>
      </c>
      <c r="F123">
        <v>245</v>
      </c>
      <c r="G123" s="102" t="s">
        <v>120</v>
      </c>
      <c r="H123" t="s">
        <v>409</v>
      </c>
      <c r="J123">
        <f>SUM(K124,K125,K126)</f>
        <v>17603.463672000002</v>
      </c>
      <c r="K123">
        <f>I123*J123</f>
        <v>0</v>
      </c>
      <c r="L123" t="e">
        <f>100*(1-(M123/K123))</f>
        <v>#DIV/0!</v>
      </c>
      <c r="M123">
        <f>I123*SUM(M124,M125,M126)</f>
        <v>0</v>
      </c>
      <c r="N123">
        <v>123</v>
      </c>
      <c r="O123" s="99" t="s">
        <v>435</v>
      </c>
    </row>
    <row r="124" spans="1:15" x14ac:dyDescent="0.25">
      <c r="A124" s="99" t="s">
        <v>436</v>
      </c>
      <c r="B124" s="99">
        <v>7</v>
      </c>
      <c r="C124" s="99" t="s">
        <v>434</v>
      </c>
      <c r="D124" s="99" t="s">
        <v>73</v>
      </c>
      <c r="E124">
        <v>239</v>
      </c>
      <c r="F124">
        <v>240</v>
      </c>
      <c r="G124" s="102" t="s">
        <v>73</v>
      </c>
      <c r="H124" t="s">
        <v>412</v>
      </c>
      <c r="I124">
        <v>10800</v>
      </c>
      <c r="J124">
        <v>1.3243346499999999</v>
      </c>
      <c r="K124">
        <f>I124*J124</f>
        <v>14302.81422</v>
      </c>
      <c r="L124">
        <v>27.83</v>
      </c>
      <c r="M124">
        <f>(1-(L124/100))*K124</f>
        <v>10322.341022574001</v>
      </c>
      <c r="N124">
        <v>124</v>
      </c>
      <c r="O124" s="99" t="s">
        <v>437</v>
      </c>
    </row>
    <row r="125" spans="1:15" x14ac:dyDescent="0.25">
      <c r="A125" s="99" t="s">
        <v>438</v>
      </c>
      <c r="B125" s="99">
        <v>7</v>
      </c>
      <c r="C125" s="99" t="s">
        <v>434</v>
      </c>
      <c r="D125" s="99" t="s">
        <v>119</v>
      </c>
      <c r="E125">
        <v>241</v>
      </c>
      <c r="F125">
        <v>242</v>
      </c>
      <c r="G125" s="102" t="s">
        <v>73</v>
      </c>
      <c r="H125" t="s">
        <v>415</v>
      </c>
      <c r="I125">
        <v>10800</v>
      </c>
      <c r="J125">
        <v>3.820196E-2</v>
      </c>
      <c r="K125">
        <f>I125*J125</f>
        <v>412.58116799999999</v>
      </c>
      <c r="L125">
        <v>27.83</v>
      </c>
      <c r="M125">
        <f>(1-(L125/100))*K125</f>
        <v>297.75982894560002</v>
      </c>
      <c r="N125">
        <v>125</v>
      </c>
      <c r="O125" s="99" t="s">
        <v>439</v>
      </c>
    </row>
    <row r="126" spans="1:15" x14ac:dyDescent="0.25">
      <c r="A126" s="99" t="s">
        <v>440</v>
      </c>
      <c r="B126" s="99">
        <v>7</v>
      </c>
      <c r="C126" s="99" t="s">
        <v>434</v>
      </c>
      <c r="D126" s="99" t="s">
        <v>796</v>
      </c>
      <c r="E126">
        <v>243</v>
      </c>
      <c r="F126">
        <v>244</v>
      </c>
      <c r="G126" s="102" t="s">
        <v>73</v>
      </c>
      <c r="H126" t="s">
        <v>418</v>
      </c>
      <c r="I126">
        <v>10800</v>
      </c>
      <c r="J126">
        <v>0.26741373000000002</v>
      </c>
      <c r="K126">
        <f>I126*J126</f>
        <v>2888.0682839999999</v>
      </c>
      <c r="L126">
        <v>27.83</v>
      </c>
      <c r="M126">
        <f>(1-(L126/100))*K126</f>
        <v>2084.3188805628001</v>
      </c>
      <c r="N126">
        <v>126</v>
      </c>
      <c r="O126" s="99" t="s">
        <v>441</v>
      </c>
    </row>
    <row r="127" spans="1:15" x14ac:dyDescent="0.25">
      <c r="A127" s="99" t="s">
        <v>442</v>
      </c>
      <c r="B127" s="99">
        <v>6</v>
      </c>
      <c r="C127" s="99" t="s">
        <v>431</v>
      </c>
      <c r="D127" s="99" t="s">
        <v>119</v>
      </c>
      <c r="E127">
        <v>246</v>
      </c>
      <c r="F127">
        <v>251</v>
      </c>
      <c r="G127" s="102" t="s">
        <v>120</v>
      </c>
      <c r="H127" t="s">
        <v>409</v>
      </c>
      <c r="J127">
        <f>SUM(K128,K129)</f>
        <v>19528.842527999997</v>
      </c>
      <c r="K127">
        <f>I127*J127</f>
        <v>0</v>
      </c>
      <c r="L127" t="e">
        <f>100*(1-(M127/K127))</f>
        <v>#DIV/0!</v>
      </c>
      <c r="M127">
        <f>I127*SUM(M128,M129)</f>
        <v>0</v>
      </c>
      <c r="N127">
        <v>127</v>
      </c>
      <c r="O127" s="99" t="s">
        <v>443</v>
      </c>
    </row>
    <row r="128" spans="1:15" x14ac:dyDescent="0.25">
      <c r="A128" s="99" t="s">
        <v>444</v>
      </c>
      <c r="B128" s="99">
        <v>7</v>
      </c>
      <c r="C128" s="99" t="s">
        <v>442</v>
      </c>
      <c r="D128" s="99" t="s">
        <v>73</v>
      </c>
      <c r="E128">
        <v>247</v>
      </c>
      <c r="F128">
        <v>248</v>
      </c>
      <c r="G128" s="102" t="s">
        <v>73</v>
      </c>
      <c r="H128" t="s">
        <v>423</v>
      </c>
      <c r="I128">
        <v>10800</v>
      </c>
      <c r="J128">
        <v>1.2097287699999999</v>
      </c>
      <c r="K128">
        <f>I128*J128</f>
        <v>13065.070715999998</v>
      </c>
      <c r="L128">
        <v>27.83</v>
      </c>
      <c r="M128">
        <f>(1-(L128/100))*K128</f>
        <v>9429.0615357371989</v>
      </c>
      <c r="N128">
        <v>128</v>
      </c>
      <c r="O128" s="99" t="s">
        <v>445</v>
      </c>
    </row>
    <row r="129" spans="1:15" x14ac:dyDescent="0.25">
      <c r="A129" s="99" t="s">
        <v>446</v>
      </c>
      <c r="B129" s="99">
        <v>7</v>
      </c>
      <c r="C129" s="99" t="s">
        <v>442</v>
      </c>
      <c r="D129" s="99" t="s">
        <v>119</v>
      </c>
      <c r="E129">
        <v>249</v>
      </c>
      <c r="F129">
        <v>250</v>
      </c>
      <c r="G129" s="102" t="s">
        <v>73</v>
      </c>
      <c r="H129" t="s">
        <v>426</v>
      </c>
      <c r="I129">
        <v>10800</v>
      </c>
      <c r="J129">
        <v>0.59849739000000002</v>
      </c>
      <c r="K129">
        <f>I129*J129</f>
        <v>6463.771812</v>
      </c>
      <c r="L129">
        <v>27.83</v>
      </c>
      <c r="M129">
        <f>(1-(L129/100))*K129</f>
        <v>4664.9041167204005</v>
      </c>
      <c r="N129">
        <v>129</v>
      </c>
      <c r="O129" s="99" t="s">
        <v>447</v>
      </c>
    </row>
    <row r="130" spans="1:15" x14ac:dyDescent="0.25">
      <c r="A130" s="99" t="s">
        <v>448</v>
      </c>
      <c r="B130" s="99">
        <v>4</v>
      </c>
      <c r="C130" s="99" t="s">
        <v>399</v>
      </c>
      <c r="D130" s="99" t="s">
        <v>796</v>
      </c>
      <c r="E130">
        <v>254</v>
      </c>
      <c r="F130">
        <v>271</v>
      </c>
      <c r="G130" s="102" t="s">
        <v>120</v>
      </c>
      <c r="H130" t="s">
        <v>449</v>
      </c>
      <c r="J130">
        <f>SUM(K131)</f>
        <v>0</v>
      </c>
      <c r="K130">
        <f>I130*J130</f>
        <v>0</v>
      </c>
      <c r="L130" t="e">
        <f>100*(1-(M130/K130))</f>
        <v>#DIV/0!</v>
      </c>
      <c r="M130">
        <f>I130*SUM(M131)</f>
        <v>0</v>
      </c>
      <c r="N130">
        <v>130</v>
      </c>
      <c r="O130" s="99" t="s">
        <v>450</v>
      </c>
    </row>
    <row r="131" spans="1:15" x14ac:dyDescent="0.25">
      <c r="A131" s="99" t="s">
        <v>451</v>
      </c>
      <c r="B131" s="99">
        <v>5</v>
      </c>
      <c r="C131" s="99" t="s">
        <v>448</v>
      </c>
      <c r="D131" s="99" t="s">
        <v>73</v>
      </c>
      <c r="E131">
        <v>255</v>
      </c>
      <c r="F131">
        <v>270</v>
      </c>
      <c r="G131" s="102" t="s">
        <v>120</v>
      </c>
      <c r="H131" t="s">
        <v>452</v>
      </c>
      <c r="J131">
        <f>SUM(K132,K136)</f>
        <v>0</v>
      </c>
      <c r="K131">
        <f>I131*J131</f>
        <v>0</v>
      </c>
      <c r="L131" t="e">
        <f>100*(1-(M131/K131))</f>
        <v>#DIV/0!</v>
      </c>
      <c r="M131">
        <f>I131*SUM(M132,M136)</f>
        <v>0</v>
      </c>
      <c r="N131">
        <v>131</v>
      </c>
      <c r="O131" s="99" t="s">
        <v>453</v>
      </c>
    </row>
    <row r="132" spans="1:15" x14ac:dyDescent="0.25">
      <c r="A132" s="99" t="s">
        <v>454</v>
      </c>
      <c r="B132" s="99">
        <v>6</v>
      </c>
      <c r="C132" s="99" t="s">
        <v>451</v>
      </c>
      <c r="D132" s="99" t="s">
        <v>73</v>
      </c>
      <c r="E132">
        <v>256</v>
      </c>
      <c r="F132">
        <v>263</v>
      </c>
      <c r="G132" s="102" t="s">
        <v>120</v>
      </c>
      <c r="H132" t="s">
        <v>409</v>
      </c>
      <c r="J132">
        <f>SUM(K133,K134,K135)</f>
        <v>17440.468637999998</v>
      </c>
      <c r="K132">
        <f>I132*J132</f>
        <v>0</v>
      </c>
      <c r="L132" t="e">
        <f>100*(1-(M132/K132))</f>
        <v>#DIV/0!</v>
      </c>
      <c r="M132">
        <f>I132*SUM(M133,M134,M135)</f>
        <v>0</v>
      </c>
      <c r="N132">
        <v>132</v>
      </c>
      <c r="O132" s="99" t="s">
        <v>455</v>
      </c>
    </row>
    <row r="133" spans="1:15" x14ac:dyDescent="0.25">
      <c r="A133" s="99" t="s">
        <v>456</v>
      </c>
      <c r="B133" s="99">
        <v>7</v>
      </c>
      <c r="C133" s="99" t="s">
        <v>454</v>
      </c>
      <c r="D133" s="99" t="s">
        <v>73</v>
      </c>
      <c r="E133">
        <v>257</v>
      </c>
      <c r="F133">
        <v>258</v>
      </c>
      <c r="G133" s="102" t="s">
        <v>73</v>
      </c>
      <c r="H133" t="s">
        <v>412</v>
      </c>
      <c r="I133">
        <v>10700</v>
      </c>
      <c r="J133">
        <v>1.3243346499999999</v>
      </c>
      <c r="K133">
        <f>I133*J133</f>
        <v>14170.380755</v>
      </c>
      <c r="L133">
        <v>27.83</v>
      </c>
      <c r="M133">
        <f>(1-(L133/100))*K133</f>
        <v>10226.7637908835</v>
      </c>
      <c r="N133">
        <v>133</v>
      </c>
      <c r="O133" s="99" t="s">
        <v>457</v>
      </c>
    </row>
    <row r="134" spans="1:15" x14ac:dyDescent="0.25">
      <c r="A134" s="99" t="s">
        <v>458</v>
      </c>
      <c r="B134" s="99">
        <v>7</v>
      </c>
      <c r="C134" s="99" t="s">
        <v>454</v>
      </c>
      <c r="D134" s="99" t="s">
        <v>119</v>
      </c>
      <c r="E134">
        <v>259</v>
      </c>
      <c r="F134">
        <v>260</v>
      </c>
      <c r="G134" s="102" t="s">
        <v>73</v>
      </c>
      <c r="H134" t="s">
        <v>415</v>
      </c>
      <c r="I134">
        <v>10700</v>
      </c>
      <c r="J134">
        <v>3.820196E-2</v>
      </c>
      <c r="K134">
        <f>I134*J134</f>
        <v>408.76097199999998</v>
      </c>
      <c r="L134">
        <v>27.83</v>
      </c>
      <c r="M134">
        <f>(1-(L134/100))*K134</f>
        <v>295.00279349239997</v>
      </c>
      <c r="N134">
        <v>134</v>
      </c>
      <c r="O134" s="99" t="s">
        <v>459</v>
      </c>
    </row>
    <row r="135" spans="1:15" x14ac:dyDescent="0.25">
      <c r="A135" s="99" t="s">
        <v>460</v>
      </c>
      <c r="B135" s="99">
        <v>7</v>
      </c>
      <c r="C135" s="99" t="s">
        <v>454</v>
      </c>
      <c r="D135" s="99" t="s">
        <v>796</v>
      </c>
      <c r="E135">
        <v>261</v>
      </c>
      <c r="F135">
        <v>262</v>
      </c>
      <c r="G135" s="102" t="s">
        <v>73</v>
      </c>
      <c r="H135" t="s">
        <v>418</v>
      </c>
      <c r="I135">
        <v>10700</v>
      </c>
      <c r="J135">
        <v>0.26741373000000002</v>
      </c>
      <c r="K135">
        <f>I135*J135</f>
        <v>2861.3269110000001</v>
      </c>
      <c r="L135">
        <v>27.83</v>
      </c>
      <c r="M135">
        <f>(1-(L135/100))*K135</f>
        <v>2065.0196316687002</v>
      </c>
      <c r="N135">
        <v>135</v>
      </c>
      <c r="O135" s="99" t="s">
        <v>461</v>
      </c>
    </row>
    <row r="136" spans="1:15" x14ac:dyDescent="0.25">
      <c r="A136" s="99" t="s">
        <v>462</v>
      </c>
      <c r="B136" s="99">
        <v>6</v>
      </c>
      <c r="C136" s="99" t="s">
        <v>451</v>
      </c>
      <c r="D136" s="99" t="s">
        <v>119</v>
      </c>
      <c r="E136">
        <v>264</v>
      </c>
      <c r="F136">
        <v>269</v>
      </c>
      <c r="G136" s="102" t="s">
        <v>120</v>
      </c>
      <c r="H136" t="s">
        <v>409</v>
      </c>
      <c r="J136">
        <f>SUM(K137,K138)</f>
        <v>19348.019912</v>
      </c>
      <c r="K136">
        <f>I136*J136</f>
        <v>0</v>
      </c>
      <c r="L136" t="e">
        <f>100*(1-(M136/K136))</f>
        <v>#DIV/0!</v>
      </c>
      <c r="M136">
        <f>I136*SUM(M137,M138)</f>
        <v>0</v>
      </c>
      <c r="N136">
        <v>136</v>
      </c>
      <c r="O136" s="99" t="s">
        <v>463</v>
      </c>
    </row>
    <row r="137" spans="1:15" x14ac:dyDescent="0.25">
      <c r="A137" s="99" t="s">
        <v>464</v>
      </c>
      <c r="B137" s="99">
        <v>7</v>
      </c>
      <c r="C137" s="99" t="s">
        <v>462</v>
      </c>
      <c r="D137" s="99" t="s">
        <v>73</v>
      </c>
      <c r="E137">
        <v>265</v>
      </c>
      <c r="F137">
        <v>266</v>
      </c>
      <c r="G137" s="102" t="s">
        <v>73</v>
      </c>
      <c r="H137" t="s">
        <v>423</v>
      </c>
      <c r="I137">
        <v>10700</v>
      </c>
      <c r="J137">
        <v>1.2097287699999999</v>
      </c>
      <c r="K137">
        <f>I137*J137</f>
        <v>12944.097838999998</v>
      </c>
      <c r="L137">
        <v>27.83</v>
      </c>
      <c r="M137">
        <f>(1-(L137/100))*K137</f>
        <v>9341.7554104062983</v>
      </c>
      <c r="N137">
        <v>137</v>
      </c>
      <c r="O137" s="99" t="s">
        <v>465</v>
      </c>
    </row>
    <row r="138" spans="1:15" x14ac:dyDescent="0.25">
      <c r="A138" s="99" t="s">
        <v>466</v>
      </c>
      <c r="B138" s="99">
        <v>7</v>
      </c>
      <c r="C138" s="99" t="s">
        <v>462</v>
      </c>
      <c r="D138" s="99" t="s">
        <v>119</v>
      </c>
      <c r="E138">
        <v>267</v>
      </c>
      <c r="F138">
        <v>268</v>
      </c>
      <c r="G138" s="102" t="s">
        <v>73</v>
      </c>
      <c r="H138" t="s">
        <v>426</v>
      </c>
      <c r="I138">
        <v>10700</v>
      </c>
      <c r="J138">
        <v>0.59849739000000002</v>
      </c>
      <c r="K138">
        <f>I138*J138</f>
        <v>6403.9220730000006</v>
      </c>
      <c r="L138">
        <v>27.83</v>
      </c>
      <c r="M138">
        <f>(1-(L138/100))*K138</f>
        <v>4621.7105600841005</v>
      </c>
      <c r="N138">
        <v>138</v>
      </c>
      <c r="O138" s="99" t="s">
        <v>467</v>
      </c>
    </row>
    <row r="139" spans="1:15" x14ac:dyDescent="0.25">
      <c r="A139" s="99" t="s">
        <v>468</v>
      </c>
      <c r="B139" s="99">
        <v>4</v>
      </c>
      <c r="C139" s="99" t="s">
        <v>399</v>
      </c>
      <c r="D139" s="99" t="s">
        <v>797</v>
      </c>
      <c r="E139">
        <v>272</v>
      </c>
      <c r="F139">
        <v>289</v>
      </c>
      <c r="G139" s="102" t="s">
        <v>120</v>
      </c>
      <c r="H139" t="s">
        <v>469</v>
      </c>
      <c r="J139">
        <f>SUM(K140)</f>
        <v>0</v>
      </c>
      <c r="K139">
        <f>I139*J139</f>
        <v>0</v>
      </c>
      <c r="L139" t="e">
        <f>100*(1-(M139/K139))</f>
        <v>#DIV/0!</v>
      </c>
      <c r="M139">
        <f>I139*SUM(M140)</f>
        <v>0</v>
      </c>
      <c r="N139">
        <v>139</v>
      </c>
      <c r="O139" s="99" t="s">
        <v>470</v>
      </c>
    </row>
    <row r="140" spans="1:15" x14ac:dyDescent="0.25">
      <c r="A140" s="99" t="s">
        <v>471</v>
      </c>
      <c r="B140" s="99">
        <v>5</v>
      </c>
      <c r="C140" s="99" t="s">
        <v>468</v>
      </c>
      <c r="D140" s="99" t="s">
        <v>73</v>
      </c>
      <c r="E140">
        <v>273</v>
      </c>
      <c r="F140">
        <v>288</v>
      </c>
      <c r="G140" s="102" t="s">
        <v>120</v>
      </c>
      <c r="H140" t="s">
        <v>472</v>
      </c>
      <c r="J140">
        <f>SUM(K141,K145)</f>
        <v>0</v>
      </c>
      <c r="K140">
        <f>I140*J140</f>
        <v>0</v>
      </c>
      <c r="L140" t="e">
        <f>100*(1-(M140/K140))</f>
        <v>#DIV/0!</v>
      </c>
      <c r="M140">
        <f>I140*SUM(M141,M145)</f>
        <v>0</v>
      </c>
      <c r="N140">
        <v>140</v>
      </c>
      <c r="O140" s="99" t="s">
        <v>473</v>
      </c>
    </row>
    <row r="141" spans="1:15" x14ac:dyDescent="0.25">
      <c r="A141" s="99" t="s">
        <v>474</v>
      </c>
      <c r="B141" s="99">
        <v>6</v>
      </c>
      <c r="C141" s="99" t="s">
        <v>471</v>
      </c>
      <c r="D141" s="99" t="s">
        <v>73</v>
      </c>
      <c r="E141">
        <v>274</v>
      </c>
      <c r="F141">
        <v>281</v>
      </c>
      <c r="G141" s="102" t="s">
        <v>120</v>
      </c>
      <c r="H141" t="s">
        <v>409</v>
      </c>
      <c r="J141">
        <f>SUM(K142,K143,K144)</f>
        <v>15647.523263999999</v>
      </c>
      <c r="K141">
        <f>I141*J141</f>
        <v>0</v>
      </c>
      <c r="L141" t="e">
        <f>100*(1-(M141/K141))</f>
        <v>#DIV/0!</v>
      </c>
      <c r="M141">
        <f>I141*SUM(M142,M143,M144)</f>
        <v>0</v>
      </c>
      <c r="N141">
        <v>141</v>
      </c>
      <c r="O141" s="99" t="s">
        <v>475</v>
      </c>
    </row>
    <row r="142" spans="1:15" x14ac:dyDescent="0.25">
      <c r="A142" s="99" t="s">
        <v>476</v>
      </c>
      <c r="B142" s="99">
        <v>7</v>
      </c>
      <c r="C142" s="99" t="s">
        <v>474</v>
      </c>
      <c r="D142" s="99" t="s">
        <v>73</v>
      </c>
      <c r="E142">
        <v>275</v>
      </c>
      <c r="F142">
        <v>276</v>
      </c>
      <c r="G142" s="102" t="s">
        <v>73</v>
      </c>
      <c r="H142" t="s">
        <v>412</v>
      </c>
      <c r="I142">
        <v>9600</v>
      </c>
      <c r="J142">
        <v>1.3243346499999999</v>
      </c>
      <c r="K142">
        <f>I142*J142</f>
        <v>12713.612639999999</v>
      </c>
      <c r="L142">
        <v>27.83</v>
      </c>
      <c r="M142">
        <f>(1-(L142/100))*K142</f>
        <v>9175.4142422879995</v>
      </c>
      <c r="N142">
        <v>142</v>
      </c>
      <c r="O142" s="99" t="s">
        <v>477</v>
      </c>
    </row>
    <row r="143" spans="1:15" x14ac:dyDescent="0.25">
      <c r="A143" s="99" t="s">
        <v>478</v>
      </c>
      <c r="B143" s="99">
        <v>7</v>
      </c>
      <c r="C143" s="99" t="s">
        <v>474</v>
      </c>
      <c r="D143" s="99" t="s">
        <v>119</v>
      </c>
      <c r="E143">
        <v>277</v>
      </c>
      <c r="F143">
        <v>278</v>
      </c>
      <c r="G143" s="102" t="s">
        <v>73</v>
      </c>
      <c r="H143" t="s">
        <v>415</v>
      </c>
      <c r="I143">
        <v>9600</v>
      </c>
      <c r="J143">
        <v>3.820196E-2</v>
      </c>
      <c r="K143">
        <f>I143*J143</f>
        <v>366.73881599999999</v>
      </c>
      <c r="L143">
        <v>27.83</v>
      </c>
      <c r="M143">
        <f>(1-(L143/100))*K143</f>
        <v>264.67540350719997</v>
      </c>
      <c r="N143">
        <v>143</v>
      </c>
      <c r="O143" s="99" t="s">
        <v>479</v>
      </c>
    </row>
    <row r="144" spans="1:15" x14ac:dyDescent="0.25">
      <c r="A144" s="99" t="s">
        <v>480</v>
      </c>
      <c r="B144" s="99">
        <v>7</v>
      </c>
      <c r="C144" s="99" t="s">
        <v>474</v>
      </c>
      <c r="D144" s="99" t="s">
        <v>796</v>
      </c>
      <c r="E144">
        <v>279</v>
      </c>
      <c r="F144">
        <v>280</v>
      </c>
      <c r="G144" s="102" t="s">
        <v>73</v>
      </c>
      <c r="H144" t="s">
        <v>418</v>
      </c>
      <c r="I144">
        <v>9600</v>
      </c>
      <c r="J144">
        <v>0.26741373000000002</v>
      </c>
      <c r="K144">
        <f>I144*J144</f>
        <v>2567.1718080000001</v>
      </c>
      <c r="L144">
        <v>27.83</v>
      </c>
      <c r="M144">
        <f>(1-(L144/100))*K144</f>
        <v>1852.7278938336001</v>
      </c>
      <c r="N144">
        <v>144</v>
      </c>
      <c r="O144" s="99" t="s">
        <v>481</v>
      </c>
    </row>
    <row r="145" spans="1:15" x14ac:dyDescent="0.25">
      <c r="A145" s="99" t="s">
        <v>482</v>
      </c>
      <c r="B145" s="99">
        <v>6</v>
      </c>
      <c r="C145" s="99" t="s">
        <v>471</v>
      </c>
      <c r="D145" s="99" t="s">
        <v>119</v>
      </c>
      <c r="E145">
        <v>282</v>
      </c>
      <c r="F145">
        <v>287</v>
      </c>
      <c r="G145" s="102" t="s">
        <v>120</v>
      </c>
      <c r="H145" t="s">
        <v>409</v>
      </c>
      <c r="J145">
        <f>SUM(K146,K147)</f>
        <v>17358.971136</v>
      </c>
      <c r="K145">
        <f>I145*J145</f>
        <v>0</v>
      </c>
      <c r="L145" t="e">
        <f>100*(1-(M145/K145))</f>
        <v>#DIV/0!</v>
      </c>
      <c r="M145">
        <f>I145*SUM(M146,M147)</f>
        <v>0</v>
      </c>
      <c r="N145">
        <v>145</v>
      </c>
      <c r="O145" s="99" t="s">
        <v>483</v>
      </c>
    </row>
    <row r="146" spans="1:15" x14ac:dyDescent="0.25">
      <c r="A146" s="99" t="s">
        <v>484</v>
      </c>
      <c r="B146" s="99">
        <v>7</v>
      </c>
      <c r="C146" s="99" t="s">
        <v>482</v>
      </c>
      <c r="D146" s="99" t="s">
        <v>73</v>
      </c>
      <c r="E146">
        <v>283</v>
      </c>
      <c r="F146">
        <v>284</v>
      </c>
      <c r="G146" s="102" t="s">
        <v>73</v>
      </c>
      <c r="H146" t="s">
        <v>423</v>
      </c>
      <c r="I146">
        <v>9600</v>
      </c>
      <c r="J146">
        <v>1.2097287699999999</v>
      </c>
      <c r="K146">
        <f>I146*J146</f>
        <v>11613.396191999998</v>
      </c>
      <c r="L146">
        <v>27.83</v>
      </c>
      <c r="M146">
        <f>(1-(L146/100))*K146</f>
        <v>8381.3880317663989</v>
      </c>
      <c r="N146">
        <v>146</v>
      </c>
      <c r="O146" s="99" t="s">
        <v>485</v>
      </c>
    </row>
    <row r="147" spans="1:15" x14ac:dyDescent="0.25">
      <c r="A147" s="99" t="s">
        <v>486</v>
      </c>
      <c r="B147" s="99">
        <v>7</v>
      </c>
      <c r="C147" s="99" t="s">
        <v>482</v>
      </c>
      <c r="D147" s="99" t="s">
        <v>119</v>
      </c>
      <c r="E147">
        <v>285</v>
      </c>
      <c r="F147">
        <v>286</v>
      </c>
      <c r="G147" s="102" t="s">
        <v>73</v>
      </c>
      <c r="H147" t="s">
        <v>426</v>
      </c>
      <c r="I147">
        <v>9600</v>
      </c>
      <c r="J147">
        <v>0.59849739000000002</v>
      </c>
      <c r="K147">
        <f>I147*J147</f>
        <v>5745.574944</v>
      </c>
      <c r="L147">
        <v>27.83</v>
      </c>
      <c r="M147">
        <f>(1-(L147/100))*K147</f>
        <v>4146.5814370848002</v>
      </c>
      <c r="N147">
        <v>147</v>
      </c>
      <c r="O147" s="99" t="s">
        <v>487</v>
      </c>
    </row>
    <row r="148" spans="1:15" x14ac:dyDescent="0.25">
      <c r="A148" s="99" t="s">
        <v>488</v>
      </c>
      <c r="B148" s="99">
        <v>4</v>
      </c>
      <c r="C148" s="99" t="s">
        <v>399</v>
      </c>
      <c r="D148" s="99" t="s">
        <v>798</v>
      </c>
      <c r="E148">
        <v>290</v>
      </c>
      <c r="F148">
        <v>307</v>
      </c>
      <c r="G148" s="102" t="s">
        <v>120</v>
      </c>
      <c r="H148" t="s">
        <v>489</v>
      </c>
      <c r="J148">
        <f>SUM(K149)</f>
        <v>0</v>
      </c>
      <c r="K148">
        <f>I148*J148</f>
        <v>0</v>
      </c>
      <c r="L148" t="e">
        <f>100*(1-(M148/K148))</f>
        <v>#DIV/0!</v>
      </c>
      <c r="M148">
        <f>I148*SUM(M149)</f>
        <v>0</v>
      </c>
      <c r="N148">
        <v>148</v>
      </c>
      <c r="O148" s="99" t="s">
        <v>490</v>
      </c>
    </row>
    <row r="149" spans="1:15" x14ac:dyDescent="0.25">
      <c r="A149" s="99" t="s">
        <v>491</v>
      </c>
      <c r="B149" s="99">
        <v>5</v>
      </c>
      <c r="C149" s="99" t="s">
        <v>488</v>
      </c>
      <c r="D149" s="99" t="s">
        <v>73</v>
      </c>
      <c r="E149">
        <v>291</v>
      </c>
      <c r="F149">
        <v>306</v>
      </c>
      <c r="G149" s="102" t="s">
        <v>120</v>
      </c>
      <c r="H149" t="s">
        <v>492</v>
      </c>
      <c r="J149">
        <f>SUM(K150,K154)</f>
        <v>0</v>
      </c>
      <c r="K149">
        <f>I149*J149</f>
        <v>0</v>
      </c>
      <c r="L149" t="e">
        <f>100*(1-(M149/K149))</f>
        <v>#DIV/0!</v>
      </c>
      <c r="M149">
        <f>I149*SUM(M150,M154)</f>
        <v>0</v>
      </c>
      <c r="N149">
        <v>149</v>
      </c>
      <c r="O149" s="99" t="s">
        <v>493</v>
      </c>
    </row>
    <row r="150" spans="1:15" x14ac:dyDescent="0.25">
      <c r="A150" s="99" t="s">
        <v>494</v>
      </c>
      <c r="B150" s="99">
        <v>6</v>
      </c>
      <c r="C150" s="99" t="s">
        <v>491</v>
      </c>
      <c r="D150" s="99" t="s">
        <v>73</v>
      </c>
      <c r="E150">
        <v>292</v>
      </c>
      <c r="F150">
        <v>299</v>
      </c>
      <c r="G150" s="102" t="s">
        <v>120</v>
      </c>
      <c r="H150" t="s">
        <v>409</v>
      </c>
      <c r="J150">
        <f>SUM(K151,K152,K153)</f>
        <v>14832.548093999998</v>
      </c>
      <c r="K150">
        <f>I150*J150</f>
        <v>0</v>
      </c>
      <c r="L150" t="e">
        <f>100*(1-(M150/K150))</f>
        <v>#DIV/0!</v>
      </c>
      <c r="M150">
        <f>I150*SUM(M151,M152,M153)</f>
        <v>0</v>
      </c>
      <c r="N150">
        <v>150</v>
      </c>
      <c r="O150" s="99" t="s">
        <v>495</v>
      </c>
    </row>
    <row r="151" spans="1:15" x14ac:dyDescent="0.25">
      <c r="A151" s="99" t="s">
        <v>496</v>
      </c>
      <c r="B151" s="99">
        <v>7</v>
      </c>
      <c r="C151" s="99" t="s">
        <v>494</v>
      </c>
      <c r="D151" s="99" t="s">
        <v>73</v>
      </c>
      <c r="E151">
        <v>293</v>
      </c>
      <c r="F151">
        <v>294</v>
      </c>
      <c r="G151" s="102" t="s">
        <v>73</v>
      </c>
      <c r="H151" t="s">
        <v>412</v>
      </c>
      <c r="I151">
        <v>9100</v>
      </c>
      <c r="J151">
        <v>1.3243346499999999</v>
      </c>
      <c r="K151">
        <f>I151*J151</f>
        <v>12051.445314999999</v>
      </c>
      <c r="L151">
        <v>27.83</v>
      </c>
      <c r="M151">
        <f>(1-(L151/100))*K151</f>
        <v>8697.5280838354993</v>
      </c>
      <c r="N151">
        <v>151</v>
      </c>
      <c r="O151" s="99" t="s">
        <v>497</v>
      </c>
    </row>
    <row r="152" spans="1:15" x14ac:dyDescent="0.25">
      <c r="A152" s="99" t="s">
        <v>498</v>
      </c>
      <c r="B152" s="99">
        <v>7</v>
      </c>
      <c r="C152" s="99" t="s">
        <v>494</v>
      </c>
      <c r="D152" s="99" t="s">
        <v>119</v>
      </c>
      <c r="E152">
        <v>295</v>
      </c>
      <c r="F152">
        <v>296</v>
      </c>
      <c r="G152" s="102" t="s">
        <v>73</v>
      </c>
      <c r="H152" t="s">
        <v>415</v>
      </c>
      <c r="I152">
        <v>9100</v>
      </c>
      <c r="J152">
        <v>3.820196E-2</v>
      </c>
      <c r="K152">
        <f>I152*J152</f>
        <v>347.63783599999999</v>
      </c>
      <c r="L152">
        <v>27.83</v>
      </c>
      <c r="M152">
        <f>(1-(L152/100))*K152</f>
        <v>250.8902262412</v>
      </c>
      <c r="N152">
        <v>152</v>
      </c>
      <c r="O152" s="99" t="s">
        <v>499</v>
      </c>
    </row>
    <row r="153" spans="1:15" x14ac:dyDescent="0.25">
      <c r="A153" s="99" t="s">
        <v>500</v>
      </c>
      <c r="B153" s="99">
        <v>7</v>
      </c>
      <c r="C153" s="99" t="s">
        <v>494</v>
      </c>
      <c r="D153" s="99" t="s">
        <v>796</v>
      </c>
      <c r="E153">
        <v>297</v>
      </c>
      <c r="F153">
        <v>298</v>
      </c>
      <c r="G153" s="102" t="s">
        <v>73</v>
      </c>
      <c r="H153" t="s">
        <v>418</v>
      </c>
      <c r="I153">
        <v>9100</v>
      </c>
      <c r="J153">
        <v>0.26741373000000002</v>
      </c>
      <c r="K153">
        <f>I153*J153</f>
        <v>2433.4649429999999</v>
      </c>
      <c r="L153">
        <v>27.83</v>
      </c>
      <c r="M153">
        <f>(1-(L153/100))*K153</f>
        <v>1756.2316493630999</v>
      </c>
      <c r="N153">
        <v>153</v>
      </c>
      <c r="O153" s="99" t="s">
        <v>501</v>
      </c>
    </row>
    <row r="154" spans="1:15" x14ac:dyDescent="0.25">
      <c r="A154" s="99" t="s">
        <v>502</v>
      </c>
      <c r="B154" s="99">
        <v>6</v>
      </c>
      <c r="C154" s="99" t="s">
        <v>491</v>
      </c>
      <c r="D154" s="99" t="s">
        <v>119</v>
      </c>
      <c r="E154">
        <v>300</v>
      </c>
      <c r="F154">
        <v>305</v>
      </c>
      <c r="G154" s="102" t="s">
        <v>120</v>
      </c>
      <c r="H154" t="s">
        <v>409</v>
      </c>
      <c r="J154">
        <f>SUM(K155,K156)</f>
        <v>16454.858055999997</v>
      </c>
      <c r="K154">
        <f>I154*J154</f>
        <v>0</v>
      </c>
      <c r="L154" t="e">
        <f>100*(1-(M154/K154))</f>
        <v>#DIV/0!</v>
      </c>
      <c r="M154">
        <f>I154*SUM(M155,M156)</f>
        <v>0</v>
      </c>
      <c r="N154">
        <v>154</v>
      </c>
      <c r="O154" s="99" t="s">
        <v>503</v>
      </c>
    </row>
    <row r="155" spans="1:15" x14ac:dyDescent="0.25">
      <c r="A155" s="99" t="s">
        <v>504</v>
      </c>
      <c r="B155" s="99">
        <v>7</v>
      </c>
      <c r="C155" s="99" t="s">
        <v>502</v>
      </c>
      <c r="D155" s="99" t="s">
        <v>73</v>
      </c>
      <c r="E155">
        <v>301</v>
      </c>
      <c r="F155">
        <v>302</v>
      </c>
      <c r="G155" s="102" t="s">
        <v>73</v>
      </c>
      <c r="H155" t="s">
        <v>423</v>
      </c>
      <c r="I155">
        <v>9100</v>
      </c>
      <c r="J155">
        <v>1.2097287699999999</v>
      </c>
      <c r="K155">
        <f>I155*J155</f>
        <v>11008.531806999999</v>
      </c>
      <c r="L155">
        <v>27.83</v>
      </c>
      <c r="M155">
        <f>(1-(L155/100))*K155</f>
        <v>7944.8574051118994</v>
      </c>
      <c r="N155">
        <v>155</v>
      </c>
      <c r="O155" s="99" t="s">
        <v>505</v>
      </c>
    </row>
    <row r="156" spans="1:15" x14ac:dyDescent="0.25">
      <c r="A156" s="99" t="s">
        <v>506</v>
      </c>
      <c r="B156" s="99">
        <v>7</v>
      </c>
      <c r="C156" s="99" t="s">
        <v>502</v>
      </c>
      <c r="D156" s="99" t="s">
        <v>119</v>
      </c>
      <c r="E156">
        <v>303</v>
      </c>
      <c r="F156">
        <v>304</v>
      </c>
      <c r="G156" s="102" t="s">
        <v>73</v>
      </c>
      <c r="H156" t="s">
        <v>426</v>
      </c>
      <c r="I156">
        <v>9100</v>
      </c>
      <c r="J156">
        <v>0.59849739000000002</v>
      </c>
      <c r="K156">
        <f>I156*J156</f>
        <v>5446.3262489999997</v>
      </c>
      <c r="L156">
        <v>27.83</v>
      </c>
      <c r="M156">
        <f>(1-(L156/100))*K156</f>
        <v>3930.6136539033</v>
      </c>
      <c r="N156">
        <v>156</v>
      </c>
      <c r="O156" s="99" t="s">
        <v>507</v>
      </c>
    </row>
    <row r="157" spans="1:15" x14ac:dyDescent="0.25">
      <c r="A157" s="99" t="s">
        <v>508</v>
      </c>
      <c r="B157" s="99">
        <v>4</v>
      </c>
      <c r="C157" s="99" t="s">
        <v>399</v>
      </c>
      <c r="D157" s="99" t="s">
        <v>799</v>
      </c>
      <c r="E157">
        <v>308</v>
      </c>
      <c r="F157">
        <v>325</v>
      </c>
      <c r="G157" s="102" t="s">
        <v>120</v>
      </c>
      <c r="H157" t="s">
        <v>509</v>
      </c>
      <c r="J157">
        <f>SUM(K158)</f>
        <v>0</v>
      </c>
      <c r="K157">
        <f>I157*J157</f>
        <v>0</v>
      </c>
      <c r="L157" t="e">
        <f>100*(1-(M157/K157))</f>
        <v>#DIV/0!</v>
      </c>
      <c r="M157">
        <f>I157*SUM(M158)</f>
        <v>0</v>
      </c>
      <c r="N157">
        <v>157</v>
      </c>
      <c r="O157" s="99" t="s">
        <v>510</v>
      </c>
    </row>
    <row r="158" spans="1:15" x14ac:dyDescent="0.25">
      <c r="A158" s="99" t="s">
        <v>511</v>
      </c>
      <c r="B158" s="99">
        <v>5</v>
      </c>
      <c r="C158" s="99" t="s">
        <v>508</v>
      </c>
      <c r="D158" s="99" t="s">
        <v>73</v>
      </c>
      <c r="E158">
        <v>309</v>
      </c>
      <c r="F158">
        <v>324</v>
      </c>
      <c r="G158" s="102" t="s">
        <v>120</v>
      </c>
      <c r="H158" t="s">
        <v>512</v>
      </c>
      <c r="J158">
        <f>SUM(K159,K163)</f>
        <v>0</v>
      </c>
      <c r="K158">
        <f>I158*J158</f>
        <v>0</v>
      </c>
      <c r="L158" t="e">
        <f>100*(1-(M158/K158))</f>
        <v>#DIV/0!</v>
      </c>
      <c r="M158">
        <f>I158*SUM(M159,M163)</f>
        <v>0</v>
      </c>
      <c r="N158">
        <v>158</v>
      </c>
      <c r="O158" s="99" t="s">
        <v>513</v>
      </c>
    </row>
    <row r="159" spans="1:15" x14ac:dyDescent="0.25">
      <c r="A159" s="99" t="s">
        <v>514</v>
      </c>
      <c r="B159" s="99">
        <v>6</v>
      </c>
      <c r="C159" s="99" t="s">
        <v>511</v>
      </c>
      <c r="D159" s="99" t="s">
        <v>73</v>
      </c>
      <c r="E159">
        <v>310</v>
      </c>
      <c r="F159">
        <v>317</v>
      </c>
      <c r="G159" s="102" t="s">
        <v>120</v>
      </c>
      <c r="H159" t="s">
        <v>409</v>
      </c>
      <c r="J159">
        <f>SUM(K160,K161,K162)</f>
        <v>25427.225304</v>
      </c>
      <c r="K159">
        <f>I159*J159</f>
        <v>0</v>
      </c>
      <c r="L159" t="e">
        <f>100*(1-(M159/K159))</f>
        <v>#DIV/0!</v>
      </c>
      <c r="M159">
        <f>I159*SUM(M160,M161,M162)</f>
        <v>0</v>
      </c>
      <c r="N159">
        <v>159</v>
      </c>
      <c r="O159" s="99" t="s">
        <v>515</v>
      </c>
    </row>
    <row r="160" spans="1:15" x14ac:dyDescent="0.25">
      <c r="A160" s="99" t="s">
        <v>516</v>
      </c>
      <c r="B160" s="99">
        <v>7</v>
      </c>
      <c r="C160" s="99" t="s">
        <v>514</v>
      </c>
      <c r="D160" s="99" t="s">
        <v>73</v>
      </c>
      <c r="E160">
        <v>311</v>
      </c>
      <c r="F160">
        <v>312</v>
      </c>
      <c r="G160" s="102" t="s">
        <v>73</v>
      </c>
      <c r="H160" t="s">
        <v>412</v>
      </c>
      <c r="I160">
        <v>15600</v>
      </c>
      <c r="J160">
        <v>1.3243346499999999</v>
      </c>
      <c r="K160">
        <f>I160*J160</f>
        <v>20659.62054</v>
      </c>
      <c r="L160">
        <v>27.83</v>
      </c>
      <c r="M160">
        <f>(1-(L160/100))*K160</f>
        <v>14910.048143718001</v>
      </c>
      <c r="N160">
        <v>160</v>
      </c>
      <c r="O160" s="99" t="s">
        <v>517</v>
      </c>
    </row>
    <row r="161" spans="1:15" x14ac:dyDescent="0.25">
      <c r="A161" s="99" t="s">
        <v>518</v>
      </c>
      <c r="B161" s="99">
        <v>7</v>
      </c>
      <c r="C161" s="99" t="s">
        <v>514</v>
      </c>
      <c r="D161" s="99" t="s">
        <v>119</v>
      </c>
      <c r="E161">
        <v>313</v>
      </c>
      <c r="F161">
        <v>314</v>
      </c>
      <c r="G161" s="102" t="s">
        <v>73</v>
      </c>
      <c r="H161" t="s">
        <v>415</v>
      </c>
      <c r="I161">
        <v>15600</v>
      </c>
      <c r="J161">
        <v>3.820196E-2</v>
      </c>
      <c r="K161">
        <f>I161*J161</f>
        <v>595.95057599999996</v>
      </c>
      <c r="L161">
        <v>27.83</v>
      </c>
      <c r="M161">
        <f>(1-(L161/100))*K161</f>
        <v>430.09753069919998</v>
      </c>
      <c r="N161">
        <v>161</v>
      </c>
      <c r="O161" s="99" t="s">
        <v>519</v>
      </c>
    </row>
    <row r="162" spans="1:15" x14ac:dyDescent="0.25">
      <c r="A162" s="99" t="s">
        <v>520</v>
      </c>
      <c r="B162" s="99">
        <v>7</v>
      </c>
      <c r="C162" s="99" t="s">
        <v>514</v>
      </c>
      <c r="D162" s="99" t="s">
        <v>796</v>
      </c>
      <c r="E162">
        <v>315</v>
      </c>
      <c r="F162">
        <v>316</v>
      </c>
      <c r="G162" s="102" t="s">
        <v>73</v>
      </c>
      <c r="H162" t="s">
        <v>418</v>
      </c>
      <c r="I162">
        <v>15600</v>
      </c>
      <c r="J162">
        <v>0.26741373000000002</v>
      </c>
      <c r="K162">
        <f>I162*J162</f>
        <v>4171.6541880000004</v>
      </c>
      <c r="L162">
        <v>27.83</v>
      </c>
      <c r="M162">
        <f>(1-(L162/100))*K162</f>
        <v>3010.6828274796003</v>
      </c>
      <c r="N162">
        <v>162</v>
      </c>
      <c r="O162" s="99" t="s">
        <v>521</v>
      </c>
    </row>
    <row r="163" spans="1:15" x14ac:dyDescent="0.25">
      <c r="A163" s="99" t="s">
        <v>522</v>
      </c>
      <c r="B163" s="99">
        <v>6</v>
      </c>
      <c r="C163" s="99" t="s">
        <v>511</v>
      </c>
      <c r="D163" s="99" t="s">
        <v>119</v>
      </c>
      <c r="E163">
        <v>318</v>
      </c>
      <c r="F163">
        <v>323</v>
      </c>
      <c r="G163" s="102" t="s">
        <v>120</v>
      </c>
      <c r="H163" t="s">
        <v>409</v>
      </c>
      <c r="J163">
        <f>SUM(K164,K165)</f>
        <v>28208.328095999997</v>
      </c>
      <c r="K163">
        <f>I163*J163</f>
        <v>0</v>
      </c>
      <c r="L163" t="e">
        <f>100*(1-(M163/K163))</f>
        <v>#DIV/0!</v>
      </c>
      <c r="M163">
        <f>I163*SUM(M164,M165)</f>
        <v>0</v>
      </c>
      <c r="N163">
        <v>163</v>
      </c>
      <c r="O163" s="99" t="s">
        <v>523</v>
      </c>
    </row>
    <row r="164" spans="1:15" x14ac:dyDescent="0.25">
      <c r="A164" s="99" t="s">
        <v>524</v>
      </c>
      <c r="B164" s="99">
        <v>7</v>
      </c>
      <c r="C164" s="99" t="s">
        <v>522</v>
      </c>
      <c r="D164" s="99" t="s">
        <v>73</v>
      </c>
      <c r="E164">
        <v>319</v>
      </c>
      <c r="F164">
        <v>320</v>
      </c>
      <c r="G164" s="102" t="s">
        <v>73</v>
      </c>
      <c r="H164" t="s">
        <v>423</v>
      </c>
      <c r="I164">
        <v>15600</v>
      </c>
      <c r="J164">
        <v>1.2097287699999999</v>
      </c>
      <c r="K164">
        <f>I164*J164</f>
        <v>18871.768811999998</v>
      </c>
      <c r="L164">
        <v>27.83</v>
      </c>
      <c r="M164">
        <f>(1-(L164/100))*K164</f>
        <v>13619.755551620399</v>
      </c>
      <c r="N164">
        <v>164</v>
      </c>
      <c r="O164" s="99" t="s">
        <v>525</v>
      </c>
    </row>
    <row r="165" spans="1:15" x14ac:dyDescent="0.25">
      <c r="A165" s="99" t="s">
        <v>526</v>
      </c>
      <c r="B165" s="99">
        <v>7</v>
      </c>
      <c r="C165" s="99" t="s">
        <v>522</v>
      </c>
      <c r="D165" s="99" t="s">
        <v>119</v>
      </c>
      <c r="E165">
        <v>321</v>
      </c>
      <c r="F165">
        <v>322</v>
      </c>
      <c r="G165" s="102" t="s">
        <v>73</v>
      </c>
      <c r="H165" t="s">
        <v>426</v>
      </c>
      <c r="I165">
        <v>15600</v>
      </c>
      <c r="J165">
        <v>0.59849739000000002</v>
      </c>
      <c r="K165">
        <f>I165*J165</f>
        <v>9336.5592840000008</v>
      </c>
      <c r="L165">
        <v>27.83</v>
      </c>
      <c r="M165">
        <f>(1-(L165/100))*K165</f>
        <v>6738.1948352628006</v>
      </c>
      <c r="N165">
        <v>165</v>
      </c>
      <c r="O165" s="99" t="s">
        <v>527</v>
      </c>
    </row>
    <row r="166" spans="1:15" x14ac:dyDescent="0.25">
      <c r="A166" s="99" t="s">
        <v>528</v>
      </c>
      <c r="B166" s="99">
        <v>3</v>
      </c>
      <c r="C166" s="99" t="s">
        <v>396</v>
      </c>
      <c r="D166" s="99" t="s">
        <v>119</v>
      </c>
      <c r="E166">
        <v>327</v>
      </c>
      <c r="F166">
        <v>338</v>
      </c>
      <c r="G166" s="102" t="s">
        <v>120</v>
      </c>
      <c r="H166" t="s">
        <v>529</v>
      </c>
      <c r="J166">
        <f>SUM(K167)</f>
        <v>0</v>
      </c>
      <c r="K166">
        <f>I166*J166</f>
        <v>0</v>
      </c>
      <c r="L166" t="e">
        <f>100*(1-(M166/K166))</f>
        <v>#DIV/0!</v>
      </c>
      <c r="M166">
        <f>I166*SUM(M167)</f>
        <v>0</v>
      </c>
      <c r="N166">
        <v>166</v>
      </c>
      <c r="O166" s="99" t="s">
        <v>530</v>
      </c>
    </row>
    <row r="167" spans="1:15" x14ac:dyDescent="0.25">
      <c r="A167" s="99" t="s">
        <v>531</v>
      </c>
      <c r="B167" s="99">
        <v>4</v>
      </c>
      <c r="C167" s="99" t="s">
        <v>528</v>
      </c>
      <c r="D167" s="99" t="s">
        <v>73</v>
      </c>
      <c r="E167">
        <v>328</v>
      </c>
      <c r="F167">
        <v>337</v>
      </c>
      <c r="G167" s="102" t="s">
        <v>120</v>
      </c>
      <c r="H167" t="s">
        <v>529</v>
      </c>
      <c r="J167">
        <f>SUM(K168)</f>
        <v>0</v>
      </c>
      <c r="K167">
        <f>I167*J167</f>
        <v>0</v>
      </c>
      <c r="L167" t="e">
        <f>100*(1-(M167/K167))</f>
        <v>#DIV/0!</v>
      </c>
      <c r="M167">
        <f>I167*SUM(M168)</f>
        <v>0</v>
      </c>
      <c r="N167">
        <v>167</v>
      </c>
      <c r="O167" s="99" t="s">
        <v>532</v>
      </c>
    </row>
    <row r="168" spans="1:15" x14ac:dyDescent="0.25">
      <c r="A168" s="99" t="s">
        <v>533</v>
      </c>
      <c r="B168" s="99">
        <v>5</v>
      </c>
      <c r="C168" s="99" t="s">
        <v>531</v>
      </c>
      <c r="D168" s="99" t="s">
        <v>73</v>
      </c>
      <c r="E168">
        <v>329</v>
      </c>
      <c r="F168">
        <v>336</v>
      </c>
      <c r="G168" s="102" t="s">
        <v>120</v>
      </c>
      <c r="H168" t="s">
        <v>529</v>
      </c>
      <c r="J168">
        <f>SUM(K169,K170,K171)</f>
        <v>613990.59000000008</v>
      </c>
      <c r="K168">
        <f>I168*J168</f>
        <v>0</v>
      </c>
      <c r="L168" t="e">
        <f>100*(1-(M168/K168))</f>
        <v>#DIV/0!</v>
      </c>
      <c r="M168">
        <f>I168*SUM(M169,M170,M171)</f>
        <v>0</v>
      </c>
      <c r="N168">
        <v>168</v>
      </c>
      <c r="O168" s="99" t="s">
        <v>534</v>
      </c>
    </row>
    <row r="169" spans="1:15" x14ac:dyDescent="0.25">
      <c r="A169" s="99" t="s">
        <v>535</v>
      </c>
      <c r="B169" s="99">
        <v>6</v>
      </c>
      <c r="C169" s="99" t="s">
        <v>533</v>
      </c>
      <c r="D169" s="99" t="s">
        <v>73</v>
      </c>
      <c r="E169">
        <v>330</v>
      </c>
      <c r="F169">
        <v>331</v>
      </c>
      <c r="G169" s="102" t="s">
        <v>73</v>
      </c>
      <c r="H169" t="s">
        <v>536</v>
      </c>
      <c r="I169">
        <v>1</v>
      </c>
      <c r="J169">
        <v>121969.23</v>
      </c>
      <c r="K169">
        <f>I169*J169</f>
        <v>121969.23</v>
      </c>
      <c r="L169">
        <v>7</v>
      </c>
      <c r="M169">
        <f>(1-(L169/100))*K169</f>
        <v>113431.38389999999</v>
      </c>
      <c r="N169">
        <v>169</v>
      </c>
      <c r="O169" s="99" t="s">
        <v>537</v>
      </c>
    </row>
    <row r="170" spans="1:15" x14ac:dyDescent="0.25">
      <c r="A170" s="99" t="s">
        <v>538</v>
      </c>
      <c r="B170" s="99">
        <v>6</v>
      </c>
      <c r="C170" s="99" t="s">
        <v>533</v>
      </c>
      <c r="D170" s="99" t="s">
        <v>119</v>
      </c>
      <c r="E170">
        <v>332</v>
      </c>
      <c r="F170">
        <v>333</v>
      </c>
      <c r="G170" s="102" t="s">
        <v>73</v>
      </c>
      <c r="H170" t="s">
        <v>539</v>
      </c>
      <c r="I170">
        <v>1</v>
      </c>
      <c r="J170">
        <v>482610.46</v>
      </c>
      <c r="K170">
        <f>I170*J170</f>
        <v>482610.46</v>
      </c>
      <c r="L170">
        <v>7</v>
      </c>
      <c r="M170">
        <f>(1-(L170/100))*K170</f>
        <v>448827.72779999999</v>
      </c>
      <c r="N170">
        <v>170</v>
      </c>
      <c r="O170" s="99" t="s">
        <v>540</v>
      </c>
    </row>
    <row r="171" spans="1:15" x14ac:dyDescent="0.25">
      <c r="A171" s="99" t="s">
        <v>541</v>
      </c>
      <c r="B171" s="99">
        <v>6</v>
      </c>
      <c r="C171" s="99" t="s">
        <v>533</v>
      </c>
      <c r="D171" s="99" t="s">
        <v>796</v>
      </c>
      <c r="E171">
        <v>334</v>
      </c>
      <c r="F171">
        <v>335</v>
      </c>
      <c r="G171" s="102" t="s">
        <v>73</v>
      </c>
      <c r="H171" t="s">
        <v>542</v>
      </c>
      <c r="I171">
        <v>1</v>
      </c>
      <c r="J171">
        <v>9410.9</v>
      </c>
      <c r="K171">
        <f>I171*J171</f>
        <v>9410.9</v>
      </c>
      <c r="L171">
        <v>7</v>
      </c>
      <c r="M171">
        <f>(1-(L171/100))*K171</f>
        <v>8752.1369999999988</v>
      </c>
      <c r="N171">
        <v>171</v>
      </c>
      <c r="O171" s="99" t="s">
        <v>543</v>
      </c>
    </row>
    <row r="172" spans="1:15" x14ac:dyDescent="0.25">
      <c r="A172" s="99" t="s">
        <v>544</v>
      </c>
      <c r="B172" s="99">
        <v>2</v>
      </c>
      <c r="C172" s="99" t="s">
        <v>73</v>
      </c>
      <c r="D172" s="99" t="s">
        <v>796</v>
      </c>
      <c r="E172">
        <v>340</v>
      </c>
      <c r="F172">
        <v>515</v>
      </c>
      <c r="G172" s="102" t="s">
        <v>120</v>
      </c>
      <c r="H172" t="s">
        <v>545</v>
      </c>
      <c r="J172">
        <f>SUM(K173,K202,K229,K233,K242,K248,K254)</f>
        <v>0</v>
      </c>
      <c r="K172">
        <f>I172*J172</f>
        <v>0</v>
      </c>
      <c r="L172" t="e">
        <f>100*(1-(M172/K172))</f>
        <v>#DIV/0!</v>
      </c>
      <c r="M172">
        <f>I172*SUM(M173,M202,M229,M233,M242,M248,M254)</f>
        <v>0</v>
      </c>
      <c r="N172">
        <v>172</v>
      </c>
      <c r="O172" s="99" t="s">
        <v>546</v>
      </c>
    </row>
    <row r="173" spans="1:15" x14ac:dyDescent="0.25">
      <c r="A173" s="99" t="s">
        <v>547</v>
      </c>
      <c r="B173" s="99">
        <v>3</v>
      </c>
      <c r="C173" s="99" t="s">
        <v>544</v>
      </c>
      <c r="D173" s="99" t="s">
        <v>73</v>
      </c>
      <c r="E173">
        <v>341</v>
      </c>
      <c r="F173">
        <v>398</v>
      </c>
      <c r="G173" s="102" t="s">
        <v>120</v>
      </c>
      <c r="H173" t="s">
        <v>548</v>
      </c>
      <c r="J173">
        <f>SUM(K174)</f>
        <v>0</v>
      </c>
      <c r="K173">
        <f>I173*J173</f>
        <v>0</v>
      </c>
      <c r="L173" t="e">
        <f>100*(1-(M173/K173))</f>
        <v>#DIV/0!</v>
      </c>
      <c r="M173">
        <f>I173*SUM(M174)</f>
        <v>0</v>
      </c>
      <c r="N173">
        <v>173</v>
      </c>
      <c r="O173" s="99" t="s">
        <v>549</v>
      </c>
    </row>
    <row r="174" spans="1:15" x14ac:dyDescent="0.25">
      <c r="A174" s="99" t="s">
        <v>550</v>
      </c>
      <c r="B174" s="99">
        <v>4</v>
      </c>
      <c r="C174" s="99" t="s">
        <v>547</v>
      </c>
      <c r="D174" s="99" t="s">
        <v>73</v>
      </c>
      <c r="E174">
        <v>342</v>
      </c>
      <c r="F174">
        <v>397</v>
      </c>
      <c r="G174" s="102" t="s">
        <v>120</v>
      </c>
      <c r="H174" t="s">
        <v>551</v>
      </c>
      <c r="J174">
        <f>SUM(K175,K182,K186)</f>
        <v>0</v>
      </c>
      <c r="K174">
        <f>I174*J174</f>
        <v>0</v>
      </c>
      <c r="L174" t="e">
        <f>100*(1-(M174/K174))</f>
        <v>#DIV/0!</v>
      </c>
      <c r="M174">
        <f>I174*SUM(M175,M182,M186)</f>
        <v>0</v>
      </c>
      <c r="N174">
        <v>174</v>
      </c>
      <c r="O174" s="99" t="s">
        <v>552</v>
      </c>
    </row>
    <row r="175" spans="1:15" x14ac:dyDescent="0.25">
      <c r="A175" s="99" t="s">
        <v>553</v>
      </c>
      <c r="B175" s="99">
        <v>5</v>
      </c>
      <c r="C175" s="99" t="s">
        <v>550</v>
      </c>
      <c r="D175" s="99" t="s">
        <v>73</v>
      </c>
      <c r="E175">
        <v>343</v>
      </c>
      <c r="F175">
        <v>356</v>
      </c>
      <c r="G175" s="102" t="s">
        <v>120</v>
      </c>
      <c r="H175" t="s">
        <v>554</v>
      </c>
      <c r="J175">
        <f>SUM(K176)</f>
        <v>0</v>
      </c>
      <c r="K175">
        <f>I175*J175</f>
        <v>0</v>
      </c>
      <c r="L175" t="e">
        <f>100*(1-(M175/K175))</f>
        <v>#DIV/0!</v>
      </c>
      <c r="M175">
        <f>I175*SUM(M176)</f>
        <v>0</v>
      </c>
      <c r="N175">
        <v>175</v>
      </c>
      <c r="O175" s="99" t="s">
        <v>555</v>
      </c>
    </row>
    <row r="176" spans="1:15" x14ac:dyDescent="0.25">
      <c r="A176" s="99" t="s">
        <v>556</v>
      </c>
      <c r="B176" s="99">
        <v>6</v>
      </c>
      <c r="C176" s="99" t="s">
        <v>553</v>
      </c>
      <c r="D176" s="99" t="s">
        <v>73</v>
      </c>
      <c r="E176">
        <v>344</v>
      </c>
      <c r="F176">
        <v>355</v>
      </c>
      <c r="G176" s="102" t="s">
        <v>120</v>
      </c>
      <c r="H176" t="s">
        <v>557</v>
      </c>
      <c r="J176">
        <f>SUM(K177,K178,K179,K180,K181)</f>
        <v>1957035</v>
      </c>
      <c r="K176">
        <f>I176*J176</f>
        <v>0</v>
      </c>
      <c r="L176" t="e">
        <f>100*(1-(M176/K176))</f>
        <v>#DIV/0!</v>
      </c>
      <c r="M176">
        <f>I176*SUM(M177,M178,M179,M180,M181)</f>
        <v>0</v>
      </c>
      <c r="N176">
        <v>176</v>
      </c>
      <c r="O176" s="99" t="s">
        <v>558</v>
      </c>
    </row>
    <row r="177" spans="1:15" x14ac:dyDescent="0.25">
      <c r="A177" s="99" t="s">
        <v>559</v>
      </c>
      <c r="B177" s="99">
        <v>7</v>
      </c>
      <c r="C177" s="99" t="s">
        <v>556</v>
      </c>
      <c r="D177" s="99" t="s">
        <v>73</v>
      </c>
      <c r="E177">
        <v>345</v>
      </c>
      <c r="F177">
        <v>346</v>
      </c>
      <c r="G177" s="102" t="s">
        <v>73</v>
      </c>
      <c r="H177" t="s">
        <v>560</v>
      </c>
      <c r="I177">
        <v>1</v>
      </c>
      <c r="J177">
        <v>122533</v>
      </c>
      <c r="K177">
        <f>I177*J177</f>
        <v>122533</v>
      </c>
      <c r="L177">
        <v>27.83</v>
      </c>
      <c r="M177">
        <f>(1-(L177/100))*K177</f>
        <v>88432.066099999996</v>
      </c>
      <c r="N177">
        <v>177</v>
      </c>
      <c r="O177" s="99" t="s">
        <v>561</v>
      </c>
    </row>
    <row r="178" spans="1:15" x14ac:dyDescent="0.25">
      <c r="A178" s="99" t="s">
        <v>562</v>
      </c>
      <c r="B178" s="99">
        <v>7</v>
      </c>
      <c r="C178" s="99" t="s">
        <v>556</v>
      </c>
      <c r="D178" s="99" t="s">
        <v>119</v>
      </c>
      <c r="E178">
        <v>347</v>
      </c>
      <c r="F178">
        <v>348</v>
      </c>
      <c r="G178" s="102" t="s">
        <v>73</v>
      </c>
      <c r="H178" t="s">
        <v>563</v>
      </c>
      <c r="I178">
        <v>24</v>
      </c>
      <c r="J178">
        <v>19677</v>
      </c>
      <c r="K178">
        <f>I178*J178</f>
        <v>472248</v>
      </c>
      <c r="L178">
        <v>27.83</v>
      </c>
      <c r="M178">
        <f>(1-(L178/100))*K178</f>
        <v>340821.38160000002</v>
      </c>
      <c r="N178">
        <v>178</v>
      </c>
      <c r="O178" s="99" t="s">
        <v>564</v>
      </c>
    </row>
    <row r="179" spans="1:15" x14ac:dyDescent="0.25">
      <c r="A179" s="99" t="s">
        <v>565</v>
      </c>
      <c r="B179" s="99">
        <v>7</v>
      </c>
      <c r="C179" s="99" t="s">
        <v>556</v>
      </c>
      <c r="D179" s="99" t="s">
        <v>796</v>
      </c>
      <c r="E179">
        <v>349</v>
      </c>
      <c r="F179">
        <v>350</v>
      </c>
      <c r="G179" s="102" t="s">
        <v>73</v>
      </c>
      <c r="H179" t="s">
        <v>566</v>
      </c>
      <c r="I179">
        <v>24</v>
      </c>
      <c r="J179">
        <v>52014</v>
      </c>
      <c r="K179">
        <f>I179*J179</f>
        <v>1248336</v>
      </c>
      <c r="L179">
        <v>27.83</v>
      </c>
      <c r="M179">
        <f>(1-(L179/100))*K179</f>
        <v>900924.09120000002</v>
      </c>
      <c r="N179">
        <v>179</v>
      </c>
      <c r="O179" s="99" t="s">
        <v>567</v>
      </c>
    </row>
    <row r="180" spans="1:15" x14ac:dyDescent="0.25">
      <c r="A180" s="99" t="s">
        <v>568</v>
      </c>
      <c r="B180" s="99">
        <v>7</v>
      </c>
      <c r="C180" s="99" t="s">
        <v>556</v>
      </c>
      <c r="D180" s="99" t="s">
        <v>797</v>
      </c>
      <c r="E180">
        <v>351</v>
      </c>
      <c r="F180">
        <v>352</v>
      </c>
      <c r="G180" s="102" t="s">
        <v>73</v>
      </c>
      <c r="H180" t="s">
        <v>569</v>
      </c>
      <c r="I180">
        <v>2</v>
      </c>
      <c r="J180">
        <v>15224</v>
      </c>
      <c r="K180">
        <f>I180*J180</f>
        <v>30448</v>
      </c>
      <c r="L180">
        <v>27.83</v>
      </c>
      <c r="M180">
        <f>(1-(L180/100))*K180</f>
        <v>21974.321599999999</v>
      </c>
      <c r="N180">
        <v>180</v>
      </c>
      <c r="O180" s="99" t="s">
        <v>570</v>
      </c>
    </row>
    <row r="181" spans="1:15" x14ac:dyDescent="0.25">
      <c r="A181" s="99" t="s">
        <v>571</v>
      </c>
      <c r="B181" s="99">
        <v>7</v>
      </c>
      <c r="C181" s="99" t="s">
        <v>556</v>
      </c>
      <c r="D181" s="99" t="s">
        <v>798</v>
      </c>
      <c r="E181">
        <v>353</v>
      </c>
      <c r="F181">
        <v>354</v>
      </c>
      <c r="G181" s="102" t="s">
        <v>73</v>
      </c>
      <c r="H181" t="s">
        <v>572</v>
      </c>
      <c r="I181">
        <v>1</v>
      </c>
      <c r="J181">
        <v>83470</v>
      </c>
      <c r="K181">
        <f>I181*J181</f>
        <v>83470</v>
      </c>
      <c r="L181">
        <v>27.83</v>
      </c>
      <c r="M181">
        <f>(1-(L181/100))*K181</f>
        <v>60240.298999999999</v>
      </c>
      <c r="N181">
        <v>181</v>
      </c>
      <c r="O181" s="99" t="s">
        <v>573</v>
      </c>
    </row>
    <row r="182" spans="1:15" x14ac:dyDescent="0.25">
      <c r="A182" s="99" t="s">
        <v>574</v>
      </c>
      <c r="B182" s="99">
        <v>5</v>
      </c>
      <c r="C182" s="99" t="s">
        <v>550</v>
      </c>
      <c r="D182" s="99" t="s">
        <v>119</v>
      </c>
      <c r="E182">
        <v>357</v>
      </c>
      <c r="F182">
        <v>364</v>
      </c>
      <c r="G182" s="102" t="s">
        <v>120</v>
      </c>
      <c r="H182" t="s">
        <v>575</v>
      </c>
      <c r="J182">
        <f>SUM(K183)</f>
        <v>0</v>
      </c>
      <c r="K182">
        <f>I182*J182</f>
        <v>0</v>
      </c>
      <c r="L182" t="e">
        <f>100*(1-(M182/K182))</f>
        <v>#DIV/0!</v>
      </c>
      <c r="M182">
        <f>I182*SUM(M183)</f>
        <v>0</v>
      </c>
      <c r="N182">
        <v>182</v>
      </c>
      <c r="O182" s="99" t="s">
        <v>576</v>
      </c>
    </row>
    <row r="183" spans="1:15" x14ac:dyDescent="0.25">
      <c r="A183" s="99" t="s">
        <v>577</v>
      </c>
      <c r="B183" s="99">
        <v>6</v>
      </c>
      <c r="C183" s="99" t="s">
        <v>574</v>
      </c>
      <c r="D183" s="99" t="s">
        <v>73</v>
      </c>
      <c r="E183">
        <v>358</v>
      </c>
      <c r="F183">
        <v>363</v>
      </c>
      <c r="G183" s="102" t="s">
        <v>120</v>
      </c>
      <c r="H183" t="s">
        <v>578</v>
      </c>
      <c r="J183">
        <f>SUM(K184,K185)</f>
        <v>206003</v>
      </c>
      <c r="K183">
        <f>I183*J183</f>
        <v>0</v>
      </c>
      <c r="L183" t="e">
        <f>100*(1-(M183/K183))</f>
        <v>#DIV/0!</v>
      </c>
      <c r="M183">
        <f>I183*SUM(M184,M185)</f>
        <v>0</v>
      </c>
      <c r="N183">
        <v>183</v>
      </c>
      <c r="O183" s="99" t="s">
        <v>579</v>
      </c>
    </row>
    <row r="184" spans="1:15" x14ac:dyDescent="0.25">
      <c r="A184" s="99" t="s">
        <v>580</v>
      </c>
      <c r="B184" s="99">
        <v>7</v>
      </c>
      <c r="C184" s="99" t="s">
        <v>577</v>
      </c>
      <c r="D184" s="99" t="s">
        <v>73</v>
      </c>
      <c r="E184">
        <v>359</v>
      </c>
      <c r="F184">
        <v>360</v>
      </c>
      <c r="G184" s="102" t="s">
        <v>73</v>
      </c>
      <c r="H184" t="s">
        <v>560</v>
      </c>
      <c r="I184">
        <v>1</v>
      </c>
      <c r="J184">
        <v>122533</v>
      </c>
      <c r="K184">
        <f>I184*J184</f>
        <v>122533</v>
      </c>
      <c r="L184">
        <v>100</v>
      </c>
      <c r="M184">
        <f>(1-(L184/100))*K184</f>
        <v>0</v>
      </c>
      <c r="N184">
        <v>184</v>
      </c>
      <c r="O184" s="99" t="s">
        <v>581</v>
      </c>
    </row>
    <row r="185" spans="1:15" x14ac:dyDescent="0.25">
      <c r="A185" s="99" t="s">
        <v>582</v>
      </c>
      <c r="B185" s="99">
        <v>7</v>
      </c>
      <c r="C185" s="99" t="s">
        <v>577</v>
      </c>
      <c r="D185" s="99" t="s">
        <v>119</v>
      </c>
      <c r="E185">
        <v>361</v>
      </c>
      <c r="F185">
        <v>362</v>
      </c>
      <c r="G185" s="102" t="s">
        <v>73</v>
      </c>
      <c r="H185" t="s">
        <v>572</v>
      </c>
      <c r="I185">
        <v>1</v>
      </c>
      <c r="J185">
        <v>83470</v>
      </c>
      <c r="K185">
        <f>I185*J185</f>
        <v>83470</v>
      </c>
      <c r="L185">
        <v>100</v>
      </c>
      <c r="M185">
        <f>(1-(L185/100))*K185</f>
        <v>0</v>
      </c>
      <c r="N185">
        <v>185</v>
      </c>
      <c r="O185" s="99" t="s">
        <v>583</v>
      </c>
    </row>
    <row r="186" spans="1:15" x14ac:dyDescent="0.25">
      <c r="A186" s="99" t="s">
        <v>584</v>
      </c>
      <c r="B186" s="99">
        <v>5</v>
      </c>
      <c r="C186" s="99" t="s">
        <v>550</v>
      </c>
      <c r="D186" s="99" t="s">
        <v>796</v>
      </c>
      <c r="E186">
        <v>365</v>
      </c>
      <c r="F186">
        <v>396</v>
      </c>
      <c r="G186" s="102" t="s">
        <v>120</v>
      </c>
      <c r="H186" t="s">
        <v>585</v>
      </c>
      <c r="J186">
        <f>SUM(K187)</f>
        <v>0</v>
      </c>
      <c r="K186">
        <f>I186*J186</f>
        <v>0</v>
      </c>
      <c r="L186" t="e">
        <f>100*(1-(M186/K186))</f>
        <v>#DIV/0!</v>
      </c>
      <c r="M186">
        <f>I186*SUM(M187)</f>
        <v>0</v>
      </c>
      <c r="N186">
        <v>186</v>
      </c>
      <c r="O186" s="99" t="s">
        <v>586</v>
      </c>
    </row>
    <row r="187" spans="1:15" x14ac:dyDescent="0.25">
      <c r="A187" s="99" t="s">
        <v>587</v>
      </c>
      <c r="B187" s="99">
        <v>6</v>
      </c>
      <c r="C187" s="99" t="s">
        <v>584</v>
      </c>
      <c r="D187" s="99" t="s">
        <v>73</v>
      </c>
      <c r="E187">
        <v>366</v>
      </c>
      <c r="F187">
        <v>395</v>
      </c>
      <c r="G187" s="102" t="s">
        <v>120</v>
      </c>
      <c r="H187" t="s">
        <v>588</v>
      </c>
      <c r="J187">
        <f>SUM(K188,K189,K190,K191,K192,K193,K194,K195,K196,K197,K198,K199,K200,K201)</f>
        <v>70030.990000000005</v>
      </c>
      <c r="K187">
        <f>I187*J187</f>
        <v>0</v>
      </c>
      <c r="L187" t="e">
        <f>100*(1-(M187/K187))</f>
        <v>#DIV/0!</v>
      </c>
      <c r="M187">
        <f>I187*SUM(M188,M189,M190,M191,M192,M193,M194,M195,M196,M197,M198,M199,M200,M201)</f>
        <v>0</v>
      </c>
      <c r="N187">
        <v>187</v>
      </c>
      <c r="O187" s="99" t="s">
        <v>589</v>
      </c>
    </row>
    <row r="188" spans="1:15" x14ac:dyDescent="0.25">
      <c r="A188" s="99" t="s">
        <v>590</v>
      </c>
      <c r="B188" s="99">
        <v>7</v>
      </c>
      <c r="C188" s="99" t="s">
        <v>587</v>
      </c>
      <c r="D188" s="99" t="s">
        <v>73</v>
      </c>
      <c r="E188">
        <v>367</v>
      </c>
      <c r="F188">
        <v>368</v>
      </c>
      <c r="G188" s="102" t="s">
        <v>73</v>
      </c>
      <c r="H188" t="s">
        <v>591</v>
      </c>
      <c r="I188">
        <v>1</v>
      </c>
      <c r="J188">
        <v>11484</v>
      </c>
      <c r="K188">
        <f>I188*J188</f>
        <v>11484</v>
      </c>
      <c r="L188">
        <v>27.83</v>
      </c>
      <c r="M188">
        <f>(1-(L188/100))*K188</f>
        <v>8288.0028000000002</v>
      </c>
      <c r="N188">
        <v>188</v>
      </c>
      <c r="O188" s="99" t="s">
        <v>592</v>
      </c>
    </row>
    <row r="189" spans="1:15" x14ac:dyDescent="0.25">
      <c r="A189" s="99" t="s">
        <v>593</v>
      </c>
      <c r="B189" s="99">
        <v>7</v>
      </c>
      <c r="C189" s="99" t="s">
        <v>587</v>
      </c>
      <c r="D189" s="99" t="s">
        <v>119</v>
      </c>
      <c r="E189">
        <v>369</v>
      </c>
      <c r="F189">
        <v>370</v>
      </c>
      <c r="G189" s="102" t="s">
        <v>73</v>
      </c>
      <c r="H189" t="s">
        <v>594</v>
      </c>
      <c r="I189">
        <v>1</v>
      </c>
      <c r="J189">
        <v>9450</v>
      </c>
      <c r="K189">
        <f>I189*J189</f>
        <v>9450</v>
      </c>
      <c r="L189">
        <v>27.83</v>
      </c>
      <c r="M189">
        <f>(1-(L189/100))*K189</f>
        <v>6820.0650000000005</v>
      </c>
      <c r="N189">
        <v>189</v>
      </c>
      <c r="O189" s="99" t="s">
        <v>595</v>
      </c>
    </row>
    <row r="190" spans="1:15" x14ac:dyDescent="0.25">
      <c r="A190" s="99" t="s">
        <v>596</v>
      </c>
      <c r="B190" s="99">
        <v>7</v>
      </c>
      <c r="C190" s="99" t="s">
        <v>587</v>
      </c>
      <c r="D190" s="99" t="s">
        <v>796</v>
      </c>
      <c r="E190">
        <v>371</v>
      </c>
      <c r="F190">
        <v>372</v>
      </c>
      <c r="G190" s="102" t="s">
        <v>73</v>
      </c>
      <c r="H190" t="s">
        <v>160</v>
      </c>
      <c r="I190">
        <v>1</v>
      </c>
      <c r="J190">
        <v>15931.63</v>
      </c>
      <c r="K190">
        <f>I190*J190</f>
        <v>15931.63</v>
      </c>
      <c r="L190">
        <v>27.83</v>
      </c>
      <c r="M190">
        <f>(1-(L190/100))*K190</f>
        <v>11497.857371</v>
      </c>
      <c r="N190">
        <v>190</v>
      </c>
      <c r="O190" s="99" t="s">
        <v>597</v>
      </c>
    </row>
    <row r="191" spans="1:15" x14ac:dyDescent="0.25">
      <c r="A191" s="99" t="s">
        <v>598</v>
      </c>
      <c r="B191" s="99">
        <v>7</v>
      </c>
      <c r="C191" s="99" t="s">
        <v>587</v>
      </c>
      <c r="D191" s="99" t="s">
        <v>797</v>
      </c>
      <c r="E191">
        <v>373</v>
      </c>
      <c r="F191">
        <v>374</v>
      </c>
      <c r="G191" s="102" t="s">
        <v>73</v>
      </c>
      <c r="H191" t="s">
        <v>599</v>
      </c>
      <c r="I191">
        <v>1</v>
      </c>
      <c r="J191">
        <v>5590</v>
      </c>
      <c r="K191">
        <f>I191*J191</f>
        <v>5590</v>
      </c>
      <c r="L191">
        <v>27.83</v>
      </c>
      <c r="M191">
        <f>(1-(L191/100))*K191</f>
        <v>4034.3029999999999</v>
      </c>
      <c r="N191">
        <v>191</v>
      </c>
      <c r="O191" s="99" t="s">
        <v>600</v>
      </c>
    </row>
    <row r="192" spans="1:15" x14ac:dyDescent="0.25">
      <c r="A192" s="99" t="s">
        <v>601</v>
      </c>
      <c r="B192" s="99">
        <v>7</v>
      </c>
      <c r="C192" s="99" t="s">
        <v>587</v>
      </c>
      <c r="D192" s="99" t="s">
        <v>798</v>
      </c>
      <c r="E192">
        <v>375</v>
      </c>
      <c r="F192">
        <v>376</v>
      </c>
      <c r="G192" s="102" t="s">
        <v>73</v>
      </c>
      <c r="H192" t="s">
        <v>602</v>
      </c>
      <c r="I192">
        <v>1</v>
      </c>
      <c r="J192">
        <v>106.97</v>
      </c>
      <c r="K192">
        <f>I192*J192</f>
        <v>106.97</v>
      </c>
      <c r="L192">
        <v>27.83</v>
      </c>
      <c r="M192">
        <f>(1-(L192/100))*K192</f>
        <v>77.200248999999999</v>
      </c>
      <c r="N192">
        <v>192</v>
      </c>
      <c r="O192" s="99" t="s">
        <v>603</v>
      </c>
    </row>
    <row r="193" spans="1:15" x14ac:dyDescent="0.25">
      <c r="A193" s="99" t="s">
        <v>604</v>
      </c>
      <c r="B193" s="99">
        <v>7</v>
      </c>
      <c r="C193" s="99" t="s">
        <v>587</v>
      </c>
      <c r="D193" s="99" t="s">
        <v>799</v>
      </c>
      <c r="E193">
        <v>377</v>
      </c>
      <c r="F193">
        <v>378</v>
      </c>
      <c r="G193" s="102" t="s">
        <v>73</v>
      </c>
      <c r="H193" t="s">
        <v>166</v>
      </c>
      <c r="I193">
        <v>1</v>
      </c>
      <c r="J193">
        <v>2728.29</v>
      </c>
      <c r="K193">
        <f>I193*J193</f>
        <v>2728.29</v>
      </c>
      <c r="L193">
        <v>27.83</v>
      </c>
      <c r="M193">
        <f>(1-(L193/100))*K193</f>
        <v>1969.006893</v>
      </c>
      <c r="N193">
        <v>193</v>
      </c>
      <c r="O193" s="99" t="s">
        <v>605</v>
      </c>
    </row>
    <row r="194" spans="1:15" x14ac:dyDescent="0.25">
      <c r="A194" s="99" t="s">
        <v>606</v>
      </c>
      <c r="B194" s="99">
        <v>7</v>
      </c>
      <c r="C194" s="99" t="s">
        <v>587</v>
      </c>
      <c r="D194" s="99" t="s">
        <v>800</v>
      </c>
      <c r="E194">
        <v>379</v>
      </c>
      <c r="F194">
        <v>380</v>
      </c>
      <c r="G194" s="102" t="s">
        <v>73</v>
      </c>
      <c r="H194" t="s">
        <v>607</v>
      </c>
      <c r="I194">
        <v>1</v>
      </c>
      <c r="J194">
        <v>3896</v>
      </c>
      <c r="K194">
        <f>I194*J194</f>
        <v>3896</v>
      </c>
      <c r="L194">
        <v>27.83</v>
      </c>
      <c r="M194">
        <f>(1-(L194/100))*K194</f>
        <v>2811.7431999999999</v>
      </c>
      <c r="N194">
        <v>194</v>
      </c>
      <c r="O194" s="99" t="s">
        <v>608</v>
      </c>
    </row>
    <row r="195" spans="1:15" x14ac:dyDescent="0.25">
      <c r="A195" s="99" t="s">
        <v>609</v>
      </c>
      <c r="B195" s="99">
        <v>7</v>
      </c>
      <c r="C195" s="99" t="s">
        <v>587</v>
      </c>
      <c r="D195" s="99" t="s">
        <v>801</v>
      </c>
      <c r="E195">
        <v>381</v>
      </c>
      <c r="F195">
        <v>382</v>
      </c>
      <c r="G195" s="102" t="s">
        <v>73</v>
      </c>
      <c r="H195" t="s">
        <v>169</v>
      </c>
      <c r="I195">
        <v>1</v>
      </c>
      <c r="J195">
        <v>6810</v>
      </c>
      <c r="K195">
        <f>I195*J195</f>
        <v>6810</v>
      </c>
      <c r="L195">
        <v>27.83</v>
      </c>
      <c r="M195">
        <f>(1-(L195/100))*K195</f>
        <v>4914.777</v>
      </c>
      <c r="N195">
        <v>195</v>
      </c>
      <c r="O195" s="99" t="s">
        <v>610</v>
      </c>
    </row>
    <row r="196" spans="1:15" x14ac:dyDescent="0.25">
      <c r="A196" s="99" t="s">
        <v>611</v>
      </c>
      <c r="B196" s="99">
        <v>7</v>
      </c>
      <c r="C196" s="99" t="s">
        <v>587</v>
      </c>
      <c r="D196" s="99" t="s">
        <v>802</v>
      </c>
      <c r="E196">
        <v>383</v>
      </c>
      <c r="F196">
        <v>384</v>
      </c>
      <c r="G196" s="102" t="s">
        <v>73</v>
      </c>
      <c r="H196" t="s">
        <v>612</v>
      </c>
      <c r="I196">
        <v>1</v>
      </c>
      <c r="J196">
        <v>1027.4000000000001</v>
      </c>
      <c r="K196">
        <f>I196*J196</f>
        <v>1027.4000000000001</v>
      </c>
      <c r="L196">
        <v>27.83</v>
      </c>
      <c r="M196">
        <f>(1-(L196/100))*K196</f>
        <v>741.47458000000006</v>
      </c>
      <c r="N196">
        <v>196</v>
      </c>
      <c r="O196" s="99" t="s">
        <v>613</v>
      </c>
    </row>
    <row r="197" spans="1:15" x14ac:dyDescent="0.25">
      <c r="A197" s="99" t="s">
        <v>614</v>
      </c>
      <c r="B197" s="99">
        <v>7</v>
      </c>
      <c r="C197" s="99" t="s">
        <v>587</v>
      </c>
      <c r="D197" s="99" t="s">
        <v>803</v>
      </c>
      <c r="E197">
        <v>385</v>
      </c>
      <c r="F197">
        <v>386</v>
      </c>
      <c r="G197" s="102" t="s">
        <v>73</v>
      </c>
      <c r="H197" t="s">
        <v>172</v>
      </c>
      <c r="I197">
        <v>1</v>
      </c>
      <c r="J197">
        <v>3061.23</v>
      </c>
      <c r="K197">
        <f>I197*J197</f>
        <v>3061.23</v>
      </c>
      <c r="L197">
        <v>27.83</v>
      </c>
      <c r="M197">
        <f>(1-(L197/100))*K197</f>
        <v>2209.2896909999999</v>
      </c>
      <c r="N197">
        <v>197</v>
      </c>
      <c r="O197" s="99" t="s">
        <v>615</v>
      </c>
    </row>
    <row r="198" spans="1:15" x14ac:dyDescent="0.25">
      <c r="A198" s="99" t="s">
        <v>616</v>
      </c>
      <c r="B198" s="99">
        <v>7</v>
      </c>
      <c r="C198" s="99" t="s">
        <v>587</v>
      </c>
      <c r="D198" s="99" t="s">
        <v>804</v>
      </c>
      <c r="E198">
        <v>387</v>
      </c>
      <c r="F198">
        <v>388</v>
      </c>
      <c r="G198" s="102" t="s">
        <v>73</v>
      </c>
      <c r="H198" t="s">
        <v>617</v>
      </c>
      <c r="I198">
        <v>1</v>
      </c>
      <c r="J198">
        <v>44.53</v>
      </c>
      <c r="K198">
        <f>I198*J198</f>
        <v>44.53</v>
      </c>
      <c r="L198">
        <v>27.83</v>
      </c>
      <c r="M198">
        <f>(1-(L198/100))*K198</f>
        <v>32.137301000000001</v>
      </c>
      <c r="N198">
        <v>198</v>
      </c>
      <c r="O198" s="99" t="s">
        <v>618</v>
      </c>
    </row>
    <row r="199" spans="1:15" x14ac:dyDescent="0.25">
      <c r="A199" s="99" t="s">
        <v>619</v>
      </c>
      <c r="B199" s="99">
        <v>7</v>
      </c>
      <c r="C199" s="99" t="s">
        <v>587</v>
      </c>
      <c r="D199" s="99" t="s">
        <v>805</v>
      </c>
      <c r="E199">
        <v>389</v>
      </c>
      <c r="F199">
        <v>390</v>
      </c>
      <c r="G199" s="102" t="s">
        <v>73</v>
      </c>
      <c r="H199" t="s">
        <v>620</v>
      </c>
      <c r="I199">
        <v>1</v>
      </c>
      <c r="J199">
        <v>575.67999999999995</v>
      </c>
      <c r="K199">
        <f>I199*J199</f>
        <v>575.67999999999995</v>
      </c>
      <c r="L199">
        <v>27.83</v>
      </c>
      <c r="M199">
        <f>(1-(L199/100))*K199</f>
        <v>415.468256</v>
      </c>
      <c r="N199">
        <v>199</v>
      </c>
      <c r="O199" s="99" t="s">
        <v>621</v>
      </c>
    </row>
    <row r="200" spans="1:15" x14ac:dyDescent="0.25">
      <c r="A200" s="99" t="s">
        <v>622</v>
      </c>
      <c r="B200" s="99">
        <v>7</v>
      </c>
      <c r="C200" s="99" t="s">
        <v>587</v>
      </c>
      <c r="D200" s="99" t="s">
        <v>806</v>
      </c>
      <c r="E200">
        <v>391</v>
      </c>
      <c r="F200">
        <v>392</v>
      </c>
      <c r="G200" s="102" t="s">
        <v>73</v>
      </c>
      <c r="H200" t="s">
        <v>623</v>
      </c>
      <c r="I200">
        <v>1</v>
      </c>
      <c r="J200">
        <v>3066.17</v>
      </c>
      <c r="K200">
        <f>I200*J200</f>
        <v>3066.17</v>
      </c>
      <c r="L200">
        <v>27.83</v>
      </c>
      <c r="M200">
        <f>(1-(L200/100))*K200</f>
        <v>2212.8548890000002</v>
      </c>
      <c r="N200">
        <v>200</v>
      </c>
      <c r="O200" s="99" t="s">
        <v>624</v>
      </c>
    </row>
    <row r="201" spans="1:15" x14ac:dyDescent="0.25">
      <c r="A201" s="99" t="s">
        <v>625</v>
      </c>
      <c r="B201" s="99">
        <v>7</v>
      </c>
      <c r="C201" s="99" t="s">
        <v>587</v>
      </c>
      <c r="D201" s="99" t="s">
        <v>807</v>
      </c>
      <c r="E201">
        <v>393</v>
      </c>
      <c r="F201">
        <v>394</v>
      </c>
      <c r="G201" s="102" t="s">
        <v>73</v>
      </c>
      <c r="H201" t="s">
        <v>626</v>
      </c>
      <c r="I201">
        <v>1</v>
      </c>
      <c r="J201">
        <v>6259.09</v>
      </c>
      <c r="K201">
        <f>I201*J201</f>
        <v>6259.09</v>
      </c>
      <c r="L201">
        <v>27.83</v>
      </c>
      <c r="M201">
        <f>(1-(L201/100))*K201</f>
        <v>4517.1852530000006</v>
      </c>
      <c r="N201">
        <v>201</v>
      </c>
      <c r="O201" s="99" t="s">
        <v>627</v>
      </c>
    </row>
    <row r="202" spans="1:15" x14ac:dyDescent="0.25">
      <c r="A202" s="99" t="s">
        <v>628</v>
      </c>
      <c r="B202" s="99">
        <v>3</v>
      </c>
      <c r="C202" s="99" t="s">
        <v>544</v>
      </c>
      <c r="D202" s="99" t="s">
        <v>119</v>
      </c>
      <c r="E202">
        <v>399</v>
      </c>
      <c r="F202">
        <v>452</v>
      </c>
      <c r="G202" s="102" t="s">
        <v>120</v>
      </c>
      <c r="H202" t="s">
        <v>629</v>
      </c>
      <c r="J202">
        <f>SUM(K203,K223)</f>
        <v>0</v>
      </c>
      <c r="K202">
        <f>I202*J202</f>
        <v>0</v>
      </c>
      <c r="L202" t="e">
        <f>100*(1-(M202/K202))</f>
        <v>#DIV/0!</v>
      </c>
      <c r="M202">
        <f>I202*SUM(M203,M223)</f>
        <v>0</v>
      </c>
      <c r="N202">
        <v>202</v>
      </c>
      <c r="O202" s="99" t="s">
        <v>630</v>
      </c>
    </row>
    <row r="203" spans="1:15" x14ac:dyDescent="0.25">
      <c r="A203" s="99" t="s">
        <v>631</v>
      </c>
      <c r="B203" s="99">
        <v>4</v>
      </c>
      <c r="C203" s="99" t="s">
        <v>628</v>
      </c>
      <c r="D203" s="99" t="s">
        <v>73</v>
      </c>
      <c r="E203">
        <v>400</v>
      </c>
      <c r="F203">
        <v>439</v>
      </c>
      <c r="G203" s="102" t="s">
        <v>120</v>
      </c>
      <c r="H203" t="s">
        <v>632</v>
      </c>
      <c r="J203">
        <f>SUM(K204,K220)</f>
        <v>0</v>
      </c>
      <c r="K203">
        <f>I203*J203</f>
        <v>0</v>
      </c>
      <c r="L203" t="e">
        <f>100*(1-(M203/K203))</f>
        <v>#DIV/0!</v>
      </c>
      <c r="M203">
        <f>I203*SUM(M204,M220)</f>
        <v>0</v>
      </c>
      <c r="N203">
        <v>203</v>
      </c>
      <c r="O203" s="99" t="s">
        <v>633</v>
      </c>
    </row>
    <row r="204" spans="1:15" x14ac:dyDescent="0.25">
      <c r="A204" s="99" t="s">
        <v>634</v>
      </c>
      <c r="B204" s="99">
        <v>5</v>
      </c>
      <c r="C204" s="99" t="s">
        <v>631</v>
      </c>
      <c r="D204" s="99" t="s">
        <v>73</v>
      </c>
      <c r="E204">
        <v>401</v>
      </c>
      <c r="F204">
        <v>432</v>
      </c>
      <c r="G204" s="102" t="s">
        <v>120</v>
      </c>
      <c r="H204" t="s">
        <v>635</v>
      </c>
      <c r="J204">
        <f>SUM(K205,K206,K207,K208,K209,K210,K211,K212,K213,K214,K215,K216,K217,K218,K219)</f>
        <v>3721461.4618639997</v>
      </c>
      <c r="K204">
        <f>I204*J204</f>
        <v>0</v>
      </c>
      <c r="L204" t="e">
        <f>100*(1-(M204/K204))</f>
        <v>#DIV/0!</v>
      </c>
      <c r="M204">
        <f>I204*SUM(M205,M206,M207,M208,M209,M210,M211,M212,M213,M214,M215,M216,M217,M218,M219)</f>
        <v>0</v>
      </c>
      <c r="N204">
        <v>204</v>
      </c>
      <c r="O204" s="99" t="s">
        <v>636</v>
      </c>
    </row>
    <row r="205" spans="1:15" x14ac:dyDescent="0.25">
      <c r="A205" s="99" t="s">
        <v>637</v>
      </c>
      <c r="B205" s="99">
        <v>6</v>
      </c>
      <c r="C205" s="99" t="s">
        <v>634</v>
      </c>
      <c r="D205" s="99" t="s">
        <v>73</v>
      </c>
      <c r="E205">
        <v>402</v>
      </c>
      <c r="F205">
        <v>403</v>
      </c>
      <c r="G205" s="102" t="s">
        <v>73</v>
      </c>
      <c r="H205" t="s">
        <v>638</v>
      </c>
      <c r="I205">
        <v>200</v>
      </c>
      <c r="J205">
        <v>394.37157774000002</v>
      </c>
      <c r="K205">
        <f>I205*J205</f>
        <v>78874.315547999999</v>
      </c>
      <c r="L205">
        <v>56.7</v>
      </c>
      <c r="M205">
        <f>(1-(L205/100))*K205</f>
        <v>34152.578632283992</v>
      </c>
      <c r="N205">
        <v>205</v>
      </c>
      <c r="O205" s="99" t="s">
        <v>639</v>
      </c>
    </row>
    <row r="206" spans="1:15" x14ac:dyDescent="0.25">
      <c r="A206" s="99" t="s">
        <v>640</v>
      </c>
      <c r="B206" s="99">
        <v>6</v>
      </c>
      <c r="C206" s="99" t="s">
        <v>634</v>
      </c>
      <c r="D206" s="99" t="s">
        <v>119</v>
      </c>
      <c r="E206">
        <v>404</v>
      </c>
      <c r="F206">
        <v>405</v>
      </c>
      <c r="G206" s="102" t="s">
        <v>73</v>
      </c>
      <c r="H206" t="s">
        <v>641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>
        <v>206</v>
      </c>
      <c r="O206" s="99" t="s">
        <v>642</v>
      </c>
    </row>
    <row r="207" spans="1:15" x14ac:dyDescent="0.25">
      <c r="A207" s="99" t="s">
        <v>643</v>
      </c>
      <c r="B207" s="99">
        <v>6</v>
      </c>
      <c r="C207" s="99" t="s">
        <v>634</v>
      </c>
      <c r="D207" s="99" t="s">
        <v>796</v>
      </c>
      <c r="E207">
        <v>406</v>
      </c>
      <c r="F207">
        <v>407</v>
      </c>
      <c r="G207" s="102" t="s">
        <v>73</v>
      </c>
      <c r="H207" t="s">
        <v>644</v>
      </c>
      <c r="I207">
        <v>200</v>
      </c>
      <c r="J207">
        <v>428.28218514999998</v>
      </c>
      <c r="K207">
        <f>I207*J207</f>
        <v>85656.437030000001</v>
      </c>
      <c r="L207">
        <v>56.7</v>
      </c>
      <c r="M207">
        <f>(1-(L207/100))*K207</f>
        <v>37089.237233989996</v>
      </c>
      <c r="N207">
        <v>207</v>
      </c>
      <c r="O207" s="99" t="s">
        <v>645</v>
      </c>
    </row>
    <row r="208" spans="1:15" x14ac:dyDescent="0.25">
      <c r="A208" s="99" t="s">
        <v>646</v>
      </c>
      <c r="B208" s="99">
        <v>6</v>
      </c>
      <c r="C208" s="99" t="s">
        <v>634</v>
      </c>
      <c r="D208" s="99" t="s">
        <v>797</v>
      </c>
      <c r="E208">
        <v>408</v>
      </c>
      <c r="F208">
        <v>409</v>
      </c>
      <c r="G208" s="102" t="s">
        <v>73</v>
      </c>
      <c r="H208" t="s">
        <v>647</v>
      </c>
      <c r="I208">
        <v>200</v>
      </c>
      <c r="J208">
        <v>394.37157774000002</v>
      </c>
      <c r="K208">
        <f>I208*J208</f>
        <v>78874.315547999999</v>
      </c>
      <c r="L208">
        <v>56.7</v>
      </c>
      <c r="M208">
        <f>(1-(L208/100))*K208</f>
        <v>34152.578632283992</v>
      </c>
      <c r="N208">
        <v>208</v>
      </c>
      <c r="O208" s="99" t="s">
        <v>648</v>
      </c>
    </row>
    <row r="209" spans="1:15" x14ac:dyDescent="0.25">
      <c r="A209" s="99" t="s">
        <v>649</v>
      </c>
      <c r="B209" s="99">
        <v>6</v>
      </c>
      <c r="C209" s="99" t="s">
        <v>634</v>
      </c>
      <c r="D209" s="99" t="s">
        <v>798</v>
      </c>
      <c r="E209">
        <v>410</v>
      </c>
      <c r="F209">
        <v>411</v>
      </c>
      <c r="G209" s="102" t="s">
        <v>73</v>
      </c>
      <c r="H209" t="s">
        <v>650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>
        <v>209</v>
      </c>
      <c r="O209" s="99" t="s">
        <v>651</v>
      </c>
    </row>
    <row r="210" spans="1:15" x14ac:dyDescent="0.25">
      <c r="A210" s="99" t="s">
        <v>652</v>
      </c>
      <c r="B210" s="99">
        <v>6</v>
      </c>
      <c r="C210" s="99" t="s">
        <v>634</v>
      </c>
      <c r="D210" s="99" t="s">
        <v>799</v>
      </c>
      <c r="E210">
        <v>412</v>
      </c>
      <c r="F210">
        <v>413</v>
      </c>
      <c r="G210" s="102" t="s">
        <v>73</v>
      </c>
      <c r="H210" t="s">
        <v>653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>
        <v>210</v>
      </c>
      <c r="O210" s="99" t="s">
        <v>654</v>
      </c>
    </row>
    <row r="211" spans="1:15" x14ac:dyDescent="0.25">
      <c r="A211" s="99" t="s">
        <v>655</v>
      </c>
      <c r="B211" s="99">
        <v>6</v>
      </c>
      <c r="C211" s="99" t="s">
        <v>634</v>
      </c>
      <c r="D211" s="99" t="s">
        <v>800</v>
      </c>
      <c r="E211">
        <v>414</v>
      </c>
      <c r="F211">
        <v>415</v>
      </c>
      <c r="G211" s="102" t="s">
        <v>73</v>
      </c>
      <c r="H211" t="s">
        <v>656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>
        <v>211</v>
      </c>
      <c r="O211" s="99" t="s">
        <v>657</v>
      </c>
    </row>
    <row r="212" spans="1:15" x14ac:dyDescent="0.25">
      <c r="A212" s="99" t="s">
        <v>658</v>
      </c>
      <c r="B212" s="99">
        <v>6</v>
      </c>
      <c r="C212" s="99" t="s">
        <v>634</v>
      </c>
      <c r="D212" s="99" t="s">
        <v>801</v>
      </c>
      <c r="E212">
        <v>416</v>
      </c>
      <c r="F212">
        <v>417</v>
      </c>
      <c r="G212" s="102" t="s">
        <v>73</v>
      </c>
      <c r="H212" t="s">
        <v>659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>
        <v>212</v>
      </c>
      <c r="O212" s="99" t="s">
        <v>660</v>
      </c>
    </row>
    <row r="213" spans="1:15" x14ac:dyDescent="0.25">
      <c r="A213" s="99" t="s">
        <v>661</v>
      </c>
      <c r="B213" s="99">
        <v>6</v>
      </c>
      <c r="C213" s="99" t="s">
        <v>634</v>
      </c>
      <c r="D213" s="99" t="s">
        <v>802</v>
      </c>
      <c r="E213">
        <v>418</v>
      </c>
      <c r="F213">
        <v>419</v>
      </c>
      <c r="G213" s="102" t="s">
        <v>73</v>
      </c>
      <c r="H213" t="s">
        <v>662</v>
      </c>
      <c r="I213">
        <v>10</v>
      </c>
      <c r="J213">
        <v>23662</v>
      </c>
      <c r="K213">
        <f>I213*J213</f>
        <v>236620</v>
      </c>
      <c r="L213">
        <v>56.7</v>
      </c>
      <c r="M213">
        <f>(1-(L213/100))*K213</f>
        <v>102456.45999999999</v>
      </c>
      <c r="N213">
        <v>213</v>
      </c>
      <c r="O213" s="99" t="s">
        <v>663</v>
      </c>
    </row>
    <row r="214" spans="1:15" x14ac:dyDescent="0.25">
      <c r="A214" s="99" t="s">
        <v>664</v>
      </c>
      <c r="B214" s="99">
        <v>6</v>
      </c>
      <c r="C214" s="99" t="s">
        <v>634</v>
      </c>
      <c r="D214" s="99" t="s">
        <v>803</v>
      </c>
      <c r="E214">
        <v>420</v>
      </c>
      <c r="F214">
        <v>421</v>
      </c>
      <c r="G214" s="102" t="s">
        <v>73</v>
      </c>
      <c r="H214" t="s">
        <v>665</v>
      </c>
      <c r="I214">
        <v>200</v>
      </c>
      <c r="J214">
        <v>10043.295555840001</v>
      </c>
      <c r="K214">
        <f>I214*J214</f>
        <v>2008659.1111680001</v>
      </c>
      <c r="L214">
        <v>63.92</v>
      </c>
      <c r="M214">
        <f>(1-(L214/100))*K214</f>
        <v>724724.20730941452</v>
      </c>
      <c r="N214">
        <v>214</v>
      </c>
      <c r="O214" s="99" t="s">
        <v>666</v>
      </c>
    </row>
    <row r="215" spans="1:15" x14ac:dyDescent="0.25">
      <c r="A215" s="99" t="s">
        <v>667</v>
      </c>
      <c r="B215" s="99">
        <v>6</v>
      </c>
      <c r="C215" s="99" t="s">
        <v>634</v>
      </c>
      <c r="D215" s="99" t="s">
        <v>804</v>
      </c>
      <c r="E215">
        <v>422</v>
      </c>
      <c r="F215">
        <v>423</v>
      </c>
      <c r="G215" s="102" t="s">
        <v>73</v>
      </c>
      <c r="H215" t="s">
        <v>668</v>
      </c>
      <c r="I215">
        <v>200</v>
      </c>
      <c r="J215">
        <v>882.46529988999998</v>
      </c>
      <c r="K215">
        <f>I215*J215</f>
        <v>176493.059978</v>
      </c>
      <c r="L215">
        <v>63.92</v>
      </c>
      <c r="M215">
        <f>(1-(L215/100))*K215</f>
        <v>63678.696040062401</v>
      </c>
      <c r="N215">
        <v>215</v>
      </c>
      <c r="O215" s="99" t="s">
        <v>669</v>
      </c>
    </row>
    <row r="216" spans="1:15" x14ac:dyDescent="0.25">
      <c r="A216" s="99" t="s">
        <v>670</v>
      </c>
      <c r="B216" s="99">
        <v>6</v>
      </c>
      <c r="C216" s="99" t="s">
        <v>634</v>
      </c>
      <c r="D216" s="99" t="s">
        <v>805</v>
      </c>
      <c r="E216">
        <v>424</v>
      </c>
      <c r="F216">
        <v>425</v>
      </c>
      <c r="G216" s="102" t="s">
        <v>73</v>
      </c>
      <c r="H216" t="s">
        <v>671</v>
      </c>
      <c r="I216">
        <v>200</v>
      </c>
      <c r="J216">
        <v>662.16732459000002</v>
      </c>
      <c r="K216">
        <f>I216*J216</f>
        <v>132433.46491800001</v>
      </c>
      <c r="L216">
        <v>63.92</v>
      </c>
      <c r="M216">
        <f>(1-(L216/100))*K216</f>
        <v>47781.994142414405</v>
      </c>
      <c r="N216">
        <v>216</v>
      </c>
      <c r="O216" s="99" t="s">
        <v>672</v>
      </c>
    </row>
    <row r="217" spans="1:15" x14ac:dyDescent="0.25">
      <c r="A217" s="99" t="s">
        <v>673</v>
      </c>
      <c r="B217" s="99">
        <v>6</v>
      </c>
      <c r="C217" s="99" t="s">
        <v>634</v>
      </c>
      <c r="D217" s="99" t="s">
        <v>806</v>
      </c>
      <c r="E217">
        <v>426</v>
      </c>
      <c r="F217">
        <v>427</v>
      </c>
      <c r="G217" s="102" t="s">
        <v>73</v>
      </c>
      <c r="H217" t="s">
        <v>674</v>
      </c>
      <c r="I217">
        <v>200</v>
      </c>
      <c r="J217">
        <v>882.46529988999998</v>
      </c>
      <c r="K217">
        <f>I217*J217</f>
        <v>176493.059978</v>
      </c>
      <c r="L217">
        <v>63.92</v>
      </c>
      <c r="M217">
        <f>(1-(L217/100))*K217</f>
        <v>63678.696040062401</v>
      </c>
      <c r="N217">
        <v>217</v>
      </c>
      <c r="O217" s="99" t="s">
        <v>675</v>
      </c>
    </row>
    <row r="218" spans="1:15" x14ac:dyDescent="0.25">
      <c r="A218" s="99" t="s">
        <v>676</v>
      </c>
      <c r="B218" s="99">
        <v>6</v>
      </c>
      <c r="C218" s="99" t="s">
        <v>634</v>
      </c>
      <c r="D218" s="99" t="s">
        <v>807</v>
      </c>
      <c r="E218">
        <v>428</v>
      </c>
      <c r="F218">
        <v>429</v>
      </c>
      <c r="G218" s="102" t="s">
        <v>73</v>
      </c>
      <c r="H218" t="s">
        <v>677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>
        <v>218</v>
      </c>
      <c r="O218" s="99" t="s">
        <v>678</v>
      </c>
    </row>
    <row r="219" spans="1:15" x14ac:dyDescent="0.25">
      <c r="A219" s="99" t="s">
        <v>679</v>
      </c>
      <c r="B219" s="99">
        <v>6</v>
      </c>
      <c r="C219" s="99" t="s">
        <v>634</v>
      </c>
      <c r="D219" s="99" t="s">
        <v>124</v>
      </c>
      <c r="E219">
        <v>430</v>
      </c>
      <c r="F219">
        <v>431</v>
      </c>
      <c r="G219" s="102" t="s">
        <v>73</v>
      </c>
      <c r="H219" t="s">
        <v>680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>
        <v>219</v>
      </c>
      <c r="O219" s="99" t="s">
        <v>681</v>
      </c>
    </row>
    <row r="220" spans="1:15" x14ac:dyDescent="0.25">
      <c r="A220" s="99" t="s">
        <v>682</v>
      </c>
      <c r="B220" s="99">
        <v>5</v>
      </c>
      <c r="C220" s="99" t="s">
        <v>631</v>
      </c>
      <c r="D220" s="99" t="s">
        <v>119</v>
      </c>
      <c r="E220">
        <v>433</v>
      </c>
      <c r="F220">
        <v>438</v>
      </c>
      <c r="G220" s="102" t="s">
        <v>120</v>
      </c>
      <c r="H220" t="s">
        <v>683</v>
      </c>
      <c r="J220">
        <f>SUM(K221)</f>
        <v>0</v>
      </c>
      <c r="K220">
        <f>I220*J220</f>
        <v>0</v>
      </c>
      <c r="L220" t="e">
        <f>100*(1-(M220/K220))</f>
        <v>#DIV/0!</v>
      </c>
      <c r="M220">
        <f>I220*SUM(M221)</f>
        <v>0</v>
      </c>
      <c r="N220">
        <v>220</v>
      </c>
      <c r="O220" s="99" t="s">
        <v>684</v>
      </c>
    </row>
    <row r="221" spans="1:15" x14ac:dyDescent="0.25">
      <c r="A221" s="99" t="s">
        <v>685</v>
      </c>
      <c r="B221" s="99">
        <v>6</v>
      </c>
      <c r="C221" s="99" t="s">
        <v>682</v>
      </c>
      <c r="D221" s="99" t="s">
        <v>73</v>
      </c>
      <c r="E221">
        <v>434</v>
      </c>
      <c r="F221">
        <v>437</v>
      </c>
      <c r="G221" s="102" t="s">
        <v>120</v>
      </c>
      <c r="H221" t="s">
        <v>686</v>
      </c>
      <c r="J221">
        <f>SUM(K222)</f>
        <v>3944</v>
      </c>
      <c r="K221">
        <f>I221*J221</f>
        <v>0</v>
      </c>
      <c r="L221" t="e">
        <f>100*(1-(M221/K221))</f>
        <v>#DIV/0!</v>
      </c>
      <c r="M221">
        <f>I221*SUM(M222)</f>
        <v>0</v>
      </c>
      <c r="N221">
        <v>221</v>
      </c>
      <c r="O221" s="99" t="s">
        <v>687</v>
      </c>
    </row>
    <row r="222" spans="1:15" x14ac:dyDescent="0.25">
      <c r="A222" s="99" t="s">
        <v>688</v>
      </c>
      <c r="B222" s="99">
        <v>7</v>
      </c>
      <c r="C222" s="99" t="s">
        <v>685</v>
      </c>
      <c r="D222" s="99" t="s">
        <v>73</v>
      </c>
      <c r="E222">
        <v>435</v>
      </c>
      <c r="F222">
        <v>436</v>
      </c>
      <c r="G222" s="102" t="s">
        <v>73</v>
      </c>
      <c r="H222" t="s">
        <v>689</v>
      </c>
      <c r="I222">
        <v>1</v>
      </c>
      <c r="J222">
        <v>3944</v>
      </c>
      <c r="K222">
        <f>I222*J222</f>
        <v>3944</v>
      </c>
      <c r="L222">
        <v>100</v>
      </c>
      <c r="M222">
        <f>(1-(L222/100))*K222</f>
        <v>0</v>
      </c>
      <c r="N222">
        <v>222</v>
      </c>
      <c r="O222" s="99" t="s">
        <v>690</v>
      </c>
    </row>
    <row r="223" spans="1:15" x14ac:dyDescent="0.25">
      <c r="A223" s="99" t="s">
        <v>691</v>
      </c>
      <c r="B223" s="99">
        <v>4</v>
      </c>
      <c r="C223" s="99" t="s">
        <v>628</v>
      </c>
      <c r="D223" s="99" t="s">
        <v>119</v>
      </c>
      <c r="E223">
        <v>440</v>
      </c>
      <c r="F223">
        <v>451</v>
      </c>
      <c r="G223" s="102" t="s">
        <v>120</v>
      </c>
      <c r="H223" t="s">
        <v>692</v>
      </c>
      <c r="J223">
        <f>SUM(K224)</f>
        <v>0</v>
      </c>
      <c r="K223">
        <f>I223*J223</f>
        <v>0</v>
      </c>
      <c r="L223" t="e">
        <f>100*(1-(M223/K223))</f>
        <v>#DIV/0!</v>
      </c>
      <c r="M223">
        <f>I223*SUM(M224)</f>
        <v>0</v>
      </c>
      <c r="N223">
        <v>223</v>
      </c>
      <c r="O223" s="99" t="s">
        <v>693</v>
      </c>
    </row>
    <row r="224" spans="1:15" x14ac:dyDescent="0.25">
      <c r="A224" s="99" t="s">
        <v>694</v>
      </c>
      <c r="B224" s="99">
        <v>5</v>
      </c>
      <c r="C224" s="99" t="s">
        <v>691</v>
      </c>
      <c r="D224" s="99" t="s">
        <v>73</v>
      </c>
      <c r="E224">
        <v>441</v>
      </c>
      <c r="F224">
        <v>450</v>
      </c>
      <c r="G224" s="102" t="s">
        <v>120</v>
      </c>
      <c r="H224" t="s">
        <v>695</v>
      </c>
      <c r="J224">
        <f>SUM(K225,K226,K227,K228)</f>
        <v>423978.09752900002</v>
      </c>
      <c r="K224">
        <f>I224*J224</f>
        <v>0</v>
      </c>
      <c r="L224" t="e">
        <f>100*(1-(M224/K224))</f>
        <v>#DIV/0!</v>
      </c>
      <c r="M224">
        <f>I224*SUM(M225,M226,M227,M228)</f>
        <v>0</v>
      </c>
      <c r="N224">
        <v>224</v>
      </c>
      <c r="O224" s="99" t="s">
        <v>696</v>
      </c>
    </row>
    <row r="225" spans="1:15" x14ac:dyDescent="0.25">
      <c r="A225" s="99" t="s">
        <v>697</v>
      </c>
      <c r="B225" s="99">
        <v>6</v>
      </c>
      <c r="C225" s="99" t="s">
        <v>694</v>
      </c>
      <c r="D225" s="99" t="s">
        <v>73</v>
      </c>
      <c r="E225">
        <v>442</v>
      </c>
      <c r="F225">
        <v>443</v>
      </c>
      <c r="G225" s="102" t="s">
        <v>73</v>
      </c>
      <c r="H225" t="s">
        <v>698</v>
      </c>
      <c r="I225">
        <v>20</v>
      </c>
      <c r="J225">
        <v>2410.54374125</v>
      </c>
      <c r="K225">
        <f>I225*J225</f>
        <v>48210.874824999999</v>
      </c>
      <c r="L225">
        <v>27.83</v>
      </c>
      <c r="M225">
        <f>(1-(L225/100))*K225</f>
        <v>34793.788361202496</v>
      </c>
      <c r="N225">
        <v>225</v>
      </c>
      <c r="O225" s="99" t="s">
        <v>699</v>
      </c>
    </row>
    <row r="226" spans="1:15" x14ac:dyDescent="0.25">
      <c r="A226" s="99" t="s">
        <v>700</v>
      </c>
      <c r="B226" s="99">
        <v>6</v>
      </c>
      <c r="C226" s="99" t="s">
        <v>694</v>
      </c>
      <c r="D226" s="99" t="s">
        <v>119</v>
      </c>
      <c r="E226">
        <v>444</v>
      </c>
      <c r="F226">
        <v>445</v>
      </c>
      <c r="G226" s="102" t="s">
        <v>73</v>
      </c>
      <c r="H226" t="s">
        <v>701</v>
      </c>
      <c r="I226">
        <v>200</v>
      </c>
      <c r="J226">
        <v>803.51458042000002</v>
      </c>
      <c r="K226">
        <f>I226*J226</f>
        <v>160702.916084</v>
      </c>
      <c r="L226">
        <v>27.83</v>
      </c>
      <c r="M226">
        <f>(1-(L226/100))*K226</f>
        <v>115979.2945378228</v>
      </c>
      <c r="N226">
        <v>226</v>
      </c>
      <c r="O226" s="99" t="s">
        <v>702</v>
      </c>
    </row>
    <row r="227" spans="1:15" x14ac:dyDescent="0.25">
      <c r="A227" s="99" t="s">
        <v>703</v>
      </c>
      <c r="B227" s="99">
        <v>6</v>
      </c>
      <c r="C227" s="99" t="s">
        <v>694</v>
      </c>
      <c r="D227" s="99" t="s">
        <v>796</v>
      </c>
      <c r="E227">
        <v>446</v>
      </c>
      <c r="F227">
        <v>447</v>
      </c>
      <c r="G227" s="102" t="s">
        <v>73</v>
      </c>
      <c r="H227" t="s">
        <v>704</v>
      </c>
      <c r="I227">
        <v>1000</v>
      </c>
      <c r="J227">
        <v>33.108366230000001</v>
      </c>
      <c r="K227">
        <f>I227*J227</f>
        <v>33108.36623</v>
      </c>
      <c r="L227">
        <v>27.83</v>
      </c>
      <c r="M227">
        <f>(1-(L227/100))*K227</f>
        <v>23894.307908191</v>
      </c>
      <c r="N227">
        <v>227</v>
      </c>
      <c r="O227" s="99" t="s">
        <v>705</v>
      </c>
    </row>
    <row r="228" spans="1:15" x14ac:dyDescent="0.25">
      <c r="A228" s="99" t="s">
        <v>706</v>
      </c>
      <c r="B228" s="99">
        <v>6</v>
      </c>
      <c r="C228" s="99" t="s">
        <v>694</v>
      </c>
      <c r="D228" s="99" t="s">
        <v>797</v>
      </c>
      <c r="E228">
        <v>448</v>
      </c>
      <c r="F228">
        <v>449</v>
      </c>
      <c r="G228" s="102" t="s">
        <v>73</v>
      </c>
      <c r="H228" t="s">
        <v>707</v>
      </c>
      <c r="I228">
        <v>3000</v>
      </c>
      <c r="J228">
        <v>60.651980129999998</v>
      </c>
      <c r="K228">
        <f>I228*J228</f>
        <v>181955.94039</v>
      </c>
      <c r="L228">
        <v>27.83</v>
      </c>
      <c r="M228">
        <f>(1-(L228/100))*K228</f>
        <v>131317.60217946299</v>
      </c>
      <c r="N228">
        <v>228</v>
      </c>
      <c r="O228" s="99" t="s">
        <v>708</v>
      </c>
    </row>
    <row r="229" spans="1:15" x14ac:dyDescent="0.25">
      <c r="A229" s="99" t="s">
        <v>709</v>
      </c>
      <c r="B229" s="99">
        <v>3</v>
      </c>
      <c r="C229" s="99" t="s">
        <v>544</v>
      </c>
      <c r="D229" s="99" t="s">
        <v>796</v>
      </c>
      <c r="E229">
        <v>453</v>
      </c>
      <c r="F229">
        <v>460</v>
      </c>
      <c r="G229" s="102" t="s">
        <v>120</v>
      </c>
      <c r="H229" t="s">
        <v>710</v>
      </c>
      <c r="J229">
        <f>SUM(K230)</f>
        <v>0</v>
      </c>
      <c r="K229">
        <f>I229*J229</f>
        <v>0</v>
      </c>
      <c r="L229" t="e">
        <f>100*(1-(M229/K229))</f>
        <v>#DIV/0!</v>
      </c>
      <c r="M229">
        <f>I229*SUM(M230)</f>
        <v>0</v>
      </c>
      <c r="N229">
        <v>229</v>
      </c>
      <c r="O229" s="99" t="s">
        <v>711</v>
      </c>
    </row>
    <row r="230" spans="1:15" x14ac:dyDescent="0.25">
      <c r="A230" s="99" t="s">
        <v>712</v>
      </c>
      <c r="B230" s="99">
        <v>4</v>
      </c>
      <c r="C230" s="99" t="s">
        <v>709</v>
      </c>
      <c r="D230" s="99" t="s">
        <v>73</v>
      </c>
      <c r="E230">
        <v>454</v>
      </c>
      <c r="F230">
        <v>459</v>
      </c>
      <c r="G230" s="102" t="s">
        <v>120</v>
      </c>
      <c r="H230" t="s">
        <v>710</v>
      </c>
      <c r="J230">
        <f>SUM(K231)</f>
        <v>0</v>
      </c>
      <c r="K230">
        <f>I230*J230</f>
        <v>0</v>
      </c>
      <c r="L230" t="e">
        <f>100*(1-(M230/K230))</f>
        <v>#DIV/0!</v>
      </c>
      <c r="M230">
        <f>I230*SUM(M231)</f>
        <v>0</v>
      </c>
      <c r="N230">
        <v>230</v>
      </c>
      <c r="O230" s="99" t="s">
        <v>713</v>
      </c>
    </row>
    <row r="231" spans="1:15" x14ac:dyDescent="0.25">
      <c r="A231" s="99" t="s">
        <v>714</v>
      </c>
      <c r="B231" s="99">
        <v>5</v>
      </c>
      <c r="C231" s="99" t="s">
        <v>712</v>
      </c>
      <c r="D231" s="99" t="s">
        <v>73</v>
      </c>
      <c r="E231">
        <v>455</v>
      </c>
      <c r="F231">
        <v>458</v>
      </c>
      <c r="G231" s="102" t="s">
        <v>120</v>
      </c>
      <c r="H231" t="s">
        <v>710</v>
      </c>
      <c r="J231">
        <f>SUM(K232)</f>
        <v>647424</v>
      </c>
      <c r="K231">
        <f>I231*J231</f>
        <v>0</v>
      </c>
      <c r="L231" t="e">
        <f>100*(1-(M231/K231))</f>
        <v>#DIV/0!</v>
      </c>
      <c r="M231">
        <f>I231*SUM(M232)</f>
        <v>0</v>
      </c>
      <c r="N231">
        <v>231</v>
      </c>
      <c r="O231" s="99" t="s">
        <v>715</v>
      </c>
    </row>
    <row r="232" spans="1:15" x14ac:dyDescent="0.25">
      <c r="A232" s="99" t="s">
        <v>716</v>
      </c>
      <c r="B232" s="99">
        <v>6</v>
      </c>
      <c r="C232" s="99" t="s">
        <v>714</v>
      </c>
      <c r="D232" s="99" t="s">
        <v>73</v>
      </c>
      <c r="E232">
        <v>456</v>
      </c>
      <c r="F232">
        <v>457</v>
      </c>
      <c r="G232" s="102" t="s">
        <v>73</v>
      </c>
      <c r="H232" t="s">
        <v>710</v>
      </c>
      <c r="I232">
        <v>4496</v>
      </c>
      <c r="J232">
        <v>144</v>
      </c>
      <c r="K232">
        <f>I232*J232</f>
        <v>647424</v>
      </c>
      <c r="L232">
        <v>44.07</v>
      </c>
      <c r="M232">
        <f>(1-(L232/100))*K232</f>
        <v>362104.24320000003</v>
      </c>
      <c r="N232">
        <v>232</v>
      </c>
      <c r="O232" s="99" t="s">
        <v>717</v>
      </c>
    </row>
    <row r="233" spans="1:15" x14ac:dyDescent="0.25">
      <c r="A233" s="99" t="s">
        <v>718</v>
      </c>
      <c r="B233" s="99">
        <v>3</v>
      </c>
      <c r="C233" s="99" t="s">
        <v>544</v>
      </c>
      <c r="D233" s="99" t="s">
        <v>797</v>
      </c>
      <c r="E233">
        <v>461</v>
      </c>
      <c r="F233">
        <v>478</v>
      </c>
      <c r="G233" s="102" t="s">
        <v>120</v>
      </c>
      <c r="H233" t="s">
        <v>719</v>
      </c>
      <c r="J233">
        <f>SUM(K234,K237)</f>
        <v>0</v>
      </c>
      <c r="K233">
        <f>I233*J233</f>
        <v>0</v>
      </c>
      <c r="L233" t="e">
        <f>100*(1-(M233/K233))</f>
        <v>#DIV/0!</v>
      </c>
      <c r="M233">
        <f>I233*SUM(M234,M237)</f>
        <v>0</v>
      </c>
      <c r="N233">
        <v>233</v>
      </c>
      <c r="O233" s="99" t="s">
        <v>720</v>
      </c>
    </row>
    <row r="234" spans="1:15" x14ac:dyDescent="0.25">
      <c r="A234" s="99" t="s">
        <v>721</v>
      </c>
      <c r="B234" s="99">
        <v>4</v>
      </c>
      <c r="C234" s="99" t="s">
        <v>718</v>
      </c>
      <c r="D234" s="99" t="s">
        <v>73</v>
      </c>
      <c r="E234">
        <v>462</v>
      </c>
      <c r="F234">
        <v>467</v>
      </c>
      <c r="G234" s="102" t="s">
        <v>120</v>
      </c>
      <c r="H234" t="s">
        <v>722</v>
      </c>
      <c r="J234">
        <f>SUM(K235)</f>
        <v>0</v>
      </c>
      <c r="K234">
        <f>I234*J234</f>
        <v>0</v>
      </c>
      <c r="L234" t="e">
        <f>100*(1-(M234/K234))</f>
        <v>#DIV/0!</v>
      </c>
      <c r="M234">
        <f>I234*SUM(M235)</f>
        <v>0</v>
      </c>
      <c r="N234">
        <v>234</v>
      </c>
      <c r="O234" s="99" t="s">
        <v>723</v>
      </c>
    </row>
    <row r="235" spans="1:15" x14ac:dyDescent="0.25">
      <c r="A235" s="99" t="s">
        <v>724</v>
      </c>
      <c r="B235" s="99">
        <v>5</v>
      </c>
      <c r="C235" s="99" t="s">
        <v>721</v>
      </c>
      <c r="D235" s="99" t="s">
        <v>73</v>
      </c>
      <c r="E235">
        <v>463</v>
      </c>
      <c r="F235">
        <v>466</v>
      </c>
      <c r="G235" s="102" t="s">
        <v>120</v>
      </c>
      <c r="H235" t="s">
        <v>725</v>
      </c>
      <c r="J235">
        <f>SUM(K236)</f>
        <v>876720</v>
      </c>
      <c r="K235">
        <f>I235*J235</f>
        <v>0</v>
      </c>
      <c r="L235" t="e">
        <f>100*(1-(M235/K235))</f>
        <v>#DIV/0!</v>
      </c>
      <c r="M235">
        <f>I235*SUM(M236)</f>
        <v>0</v>
      </c>
      <c r="N235">
        <v>235</v>
      </c>
      <c r="O235" s="99" t="s">
        <v>726</v>
      </c>
    </row>
    <row r="236" spans="1:15" x14ac:dyDescent="0.25">
      <c r="A236" s="99" t="s">
        <v>727</v>
      </c>
      <c r="B236" s="99">
        <v>6</v>
      </c>
      <c r="C236" s="99" t="s">
        <v>724</v>
      </c>
      <c r="D236" s="99" t="s">
        <v>73</v>
      </c>
      <c r="E236">
        <v>464</v>
      </c>
      <c r="F236">
        <v>465</v>
      </c>
      <c r="G236" s="102" t="s">
        <v>73</v>
      </c>
      <c r="H236" t="s">
        <v>728</v>
      </c>
      <c r="I236">
        <v>4496</v>
      </c>
      <c r="J236">
        <v>195</v>
      </c>
      <c r="K236">
        <f>I236*J236</f>
        <v>876720</v>
      </c>
      <c r="L236">
        <v>44.07</v>
      </c>
      <c r="M236">
        <f>(1-(L236/100))*K236</f>
        <v>490349.49600000004</v>
      </c>
      <c r="N236">
        <v>236</v>
      </c>
      <c r="O236" s="99" t="s">
        <v>729</v>
      </c>
    </row>
    <row r="237" spans="1:15" x14ac:dyDescent="0.25">
      <c r="A237" s="99" t="s">
        <v>730</v>
      </c>
      <c r="B237" s="99">
        <v>4</v>
      </c>
      <c r="C237" s="99" t="s">
        <v>718</v>
      </c>
      <c r="D237" s="99" t="s">
        <v>119</v>
      </c>
      <c r="E237">
        <v>468</v>
      </c>
      <c r="F237">
        <v>477</v>
      </c>
      <c r="G237" s="102" t="s">
        <v>120</v>
      </c>
      <c r="H237" t="s">
        <v>731</v>
      </c>
      <c r="J237">
        <f>SUM(K238,K240)</f>
        <v>0</v>
      </c>
      <c r="K237">
        <f>I237*J237</f>
        <v>0</v>
      </c>
      <c r="L237" t="e">
        <f>100*(1-(M237/K237))</f>
        <v>#DIV/0!</v>
      </c>
      <c r="M237">
        <f>I237*SUM(M238,M240)</f>
        <v>0</v>
      </c>
      <c r="N237">
        <v>237</v>
      </c>
      <c r="O237" s="99" t="s">
        <v>732</v>
      </c>
    </row>
    <row r="238" spans="1:15" x14ac:dyDescent="0.25">
      <c r="A238" s="99" t="s">
        <v>733</v>
      </c>
      <c r="B238" s="99">
        <v>5</v>
      </c>
      <c r="C238" s="99" t="s">
        <v>730</v>
      </c>
      <c r="D238" s="99" t="s">
        <v>73</v>
      </c>
      <c r="E238">
        <v>469</v>
      </c>
      <c r="F238">
        <v>472</v>
      </c>
      <c r="G238" s="102" t="s">
        <v>120</v>
      </c>
      <c r="H238" t="s">
        <v>734</v>
      </c>
      <c r="J238">
        <f>SUM(K239)</f>
        <v>4.13</v>
      </c>
      <c r="K238">
        <f>I238*J238</f>
        <v>0</v>
      </c>
      <c r="L238" t="e">
        <f>100*(1-(M238/K238))</f>
        <v>#DIV/0!</v>
      </c>
      <c r="M238">
        <f>I238*SUM(M239)</f>
        <v>0</v>
      </c>
      <c r="N238">
        <v>238</v>
      </c>
      <c r="O238" s="99" t="s">
        <v>735</v>
      </c>
    </row>
    <row r="239" spans="1:15" x14ac:dyDescent="0.25">
      <c r="A239" s="99" t="s">
        <v>736</v>
      </c>
      <c r="B239" s="99">
        <v>6</v>
      </c>
      <c r="C239" s="99" t="s">
        <v>733</v>
      </c>
      <c r="D239" s="99" t="s">
        <v>73</v>
      </c>
      <c r="E239">
        <v>470</v>
      </c>
      <c r="F239">
        <v>471</v>
      </c>
      <c r="G239" s="102" t="s">
        <v>73</v>
      </c>
      <c r="H239" t="s">
        <v>737</v>
      </c>
      <c r="I239">
        <v>1</v>
      </c>
      <c r="J239">
        <v>4.13</v>
      </c>
      <c r="K239">
        <f>I239*J239</f>
        <v>4.13</v>
      </c>
      <c r="L239">
        <v>77.63</v>
      </c>
      <c r="M239">
        <f>(1-(L239/100))*K239</f>
        <v>0.92388100000000006</v>
      </c>
      <c r="N239">
        <v>239</v>
      </c>
      <c r="O239" s="99" t="s">
        <v>738</v>
      </c>
    </row>
    <row r="240" spans="1:15" x14ac:dyDescent="0.25">
      <c r="A240" s="99" t="s">
        <v>739</v>
      </c>
      <c r="B240" s="99">
        <v>5</v>
      </c>
      <c r="C240" s="99" t="s">
        <v>730</v>
      </c>
      <c r="D240" s="99" t="s">
        <v>119</v>
      </c>
      <c r="E240">
        <v>473</v>
      </c>
      <c r="F240">
        <v>476</v>
      </c>
      <c r="G240" s="102" t="s">
        <v>120</v>
      </c>
      <c r="H240" t="s">
        <v>740</v>
      </c>
      <c r="J240">
        <f>SUM(K241)</f>
        <v>12.41</v>
      </c>
      <c r="K240">
        <f>I240*J240</f>
        <v>0</v>
      </c>
      <c r="L240" t="e">
        <f>100*(1-(M240/K240))</f>
        <v>#DIV/0!</v>
      </c>
      <c r="M240">
        <f>I240*SUM(M241)</f>
        <v>0</v>
      </c>
      <c r="N240">
        <v>240</v>
      </c>
      <c r="O240" s="99" t="s">
        <v>741</v>
      </c>
    </row>
    <row r="241" spans="1:15" x14ac:dyDescent="0.25">
      <c r="A241" s="99" t="s">
        <v>742</v>
      </c>
      <c r="B241" s="99">
        <v>6</v>
      </c>
      <c r="C241" s="99" t="s">
        <v>739</v>
      </c>
      <c r="D241" s="99" t="s">
        <v>73</v>
      </c>
      <c r="E241">
        <v>474</v>
      </c>
      <c r="F241">
        <v>475</v>
      </c>
      <c r="G241" s="102" t="s">
        <v>73</v>
      </c>
      <c r="H241" t="s">
        <v>743</v>
      </c>
      <c r="I241">
        <v>1</v>
      </c>
      <c r="J241">
        <v>12.41</v>
      </c>
      <c r="K241">
        <f>I241*J241</f>
        <v>12.41</v>
      </c>
      <c r="L241">
        <v>77.63</v>
      </c>
      <c r="M241">
        <f>(1-(L241/100))*K241</f>
        <v>2.7761170000000002</v>
      </c>
      <c r="N241">
        <v>241</v>
      </c>
      <c r="O241" s="99" t="s">
        <v>744</v>
      </c>
    </row>
    <row r="242" spans="1:15" x14ac:dyDescent="0.25">
      <c r="A242" s="99" t="s">
        <v>745</v>
      </c>
      <c r="B242" s="99">
        <v>3</v>
      </c>
      <c r="C242" s="99" t="s">
        <v>544</v>
      </c>
      <c r="D242" s="99" t="s">
        <v>798</v>
      </c>
      <c r="E242">
        <v>479</v>
      </c>
      <c r="F242">
        <v>490</v>
      </c>
      <c r="G242" s="102" t="s">
        <v>120</v>
      </c>
      <c r="H242" t="s">
        <v>746</v>
      </c>
      <c r="J242">
        <f>SUM(K243)</f>
        <v>0</v>
      </c>
      <c r="K242">
        <f>I242*J242</f>
        <v>0</v>
      </c>
      <c r="L242" t="e">
        <f>100*(1-(M242/K242))</f>
        <v>#DIV/0!</v>
      </c>
      <c r="M242">
        <f>I242*SUM(M243)</f>
        <v>0</v>
      </c>
      <c r="N242">
        <v>242</v>
      </c>
      <c r="O242" s="99" t="s">
        <v>747</v>
      </c>
    </row>
    <row r="243" spans="1:15" x14ac:dyDescent="0.25">
      <c r="A243" s="99" t="s">
        <v>748</v>
      </c>
      <c r="B243" s="99">
        <v>4</v>
      </c>
      <c r="C243" s="99" t="s">
        <v>745</v>
      </c>
      <c r="D243" s="99" t="s">
        <v>73</v>
      </c>
      <c r="E243">
        <v>480</v>
      </c>
      <c r="F243">
        <v>489</v>
      </c>
      <c r="G243" s="102" t="s">
        <v>120</v>
      </c>
      <c r="H243" t="s">
        <v>749</v>
      </c>
      <c r="J243">
        <f>SUM(K244)</f>
        <v>0</v>
      </c>
      <c r="K243">
        <f>I243*J243</f>
        <v>0</v>
      </c>
      <c r="L243" t="e">
        <f>100*(1-(M243/K243))</f>
        <v>#DIV/0!</v>
      </c>
      <c r="M243">
        <f>I243*SUM(M244)</f>
        <v>0</v>
      </c>
      <c r="N243">
        <v>243</v>
      </c>
      <c r="O243" s="99" t="s">
        <v>750</v>
      </c>
    </row>
    <row r="244" spans="1:15" x14ac:dyDescent="0.25">
      <c r="A244" s="99" t="s">
        <v>751</v>
      </c>
      <c r="B244" s="99">
        <v>5</v>
      </c>
      <c r="C244" s="99" t="s">
        <v>748</v>
      </c>
      <c r="D244" s="99" t="s">
        <v>73</v>
      </c>
      <c r="E244">
        <v>481</v>
      </c>
      <c r="F244">
        <v>488</v>
      </c>
      <c r="G244" s="102" t="s">
        <v>120</v>
      </c>
      <c r="H244" t="s">
        <v>746</v>
      </c>
      <c r="J244">
        <f>SUM(K245,K246,K247)</f>
        <v>669183.07000000007</v>
      </c>
      <c r="K244">
        <f>I244*J244</f>
        <v>0</v>
      </c>
      <c r="L244" t="e">
        <f>100*(1-(M244/K244))</f>
        <v>#DIV/0!</v>
      </c>
      <c r="M244">
        <f>I244*SUM(M245,M246,M247)</f>
        <v>0</v>
      </c>
      <c r="N244">
        <v>244</v>
      </c>
      <c r="O244" s="99" t="s">
        <v>752</v>
      </c>
    </row>
    <row r="245" spans="1:15" x14ac:dyDescent="0.25">
      <c r="A245" s="99" t="s">
        <v>753</v>
      </c>
      <c r="B245" s="99">
        <v>6</v>
      </c>
      <c r="C245" s="99" t="s">
        <v>751</v>
      </c>
      <c r="D245" s="99" t="s">
        <v>73</v>
      </c>
      <c r="E245">
        <v>482</v>
      </c>
      <c r="F245">
        <v>483</v>
      </c>
      <c r="G245" s="102" t="s">
        <v>73</v>
      </c>
      <c r="H245" t="s">
        <v>754</v>
      </c>
      <c r="I245">
        <v>1</v>
      </c>
      <c r="J245">
        <v>104855.38</v>
      </c>
      <c r="K245">
        <f>I245*J245</f>
        <v>104855.38</v>
      </c>
      <c r="L245">
        <v>7</v>
      </c>
      <c r="M245">
        <f>(1-(L245/100))*K245</f>
        <v>97515.503400000001</v>
      </c>
      <c r="N245">
        <v>245</v>
      </c>
      <c r="O245" s="99" t="s">
        <v>755</v>
      </c>
    </row>
    <row r="246" spans="1:15" x14ac:dyDescent="0.25">
      <c r="A246" s="99" t="s">
        <v>756</v>
      </c>
      <c r="B246" s="99">
        <v>6</v>
      </c>
      <c r="C246" s="99" t="s">
        <v>751</v>
      </c>
      <c r="D246" s="99" t="s">
        <v>119</v>
      </c>
      <c r="E246">
        <v>484</v>
      </c>
      <c r="F246">
        <v>485</v>
      </c>
      <c r="G246" s="102" t="s">
        <v>73</v>
      </c>
      <c r="H246" t="s">
        <v>757</v>
      </c>
      <c r="I246">
        <v>1</v>
      </c>
      <c r="J246">
        <v>553533.78</v>
      </c>
      <c r="K246">
        <f>I246*J246</f>
        <v>553533.78</v>
      </c>
      <c r="L246">
        <v>7</v>
      </c>
      <c r="M246">
        <f>(1-(L246/100))*K246</f>
        <v>514786.4154</v>
      </c>
      <c r="N246">
        <v>246</v>
      </c>
      <c r="O246" s="99" t="s">
        <v>758</v>
      </c>
    </row>
    <row r="247" spans="1:15" x14ac:dyDescent="0.25">
      <c r="A247" s="99" t="s">
        <v>759</v>
      </c>
      <c r="B247" s="99">
        <v>6</v>
      </c>
      <c r="C247" s="99" t="s">
        <v>751</v>
      </c>
      <c r="D247" s="99" t="s">
        <v>796</v>
      </c>
      <c r="E247">
        <v>486</v>
      </c>
      <c r="F247">
        <v>487</v>
      </c>
      <c r="G247" s="102" t="s">
        <v>73</v>
      </c>
      <c r="H247" t="s">
        <v>760</v>
      </c>
      <c r="I247">
        <v>1</v>
      </c>
      <c r="J247">
        <v>10793.91</v>
      </c>
      <c r="K247">
        <f>I247*J247</f>
        <v>10793.91</v>
      </c>
      <c r="L247">
        <v>7</v>
      </c>
      <c r="M247">
        <f>(1-(L247/100))*K247</f>
        <v>10038.336299999999</v>
      </c>
      <c r="N247">
        <v>247</v>
      </c>
      <c r="O247" s="99" t="s">
        <v>761</v>
      </c>
    </row>
    <row r="248" spans="1:15" x14ac:dyDescent="0.25">
      <c r="A248" s="99" t="s">
        <v>762</v>
      </c>
      <c r="B248" s="99">
        <v>3</v>
      </c>
      <c r="C248" s="99" t="s">
        <v>544</v>
      </c>
      <c r="D248" s="99" t="s">
        <v>799</v>
      </c>
      <c r="E248">
        <v>491</v>
      </c>
      <c r="F248">
        <v>502</v>
      </c>
      <c r="G248" s="102" t="s">
        <v>120</v>
      </c>
      <c r="H248" t="s">
        <v>763</v>
      </c>
      <c r="J248">
        <f>SUM(K249)</f>
        <v>0</v>
      </c>
      <c r="K248">
        <f>I248*J248</f>
        <v>0</v>
      </c>
      <c r="L248" t="e">
        <f>100*(1-(M248/K248))</f>
        <v>#DIV/0!</v>
      </c>
      <c r="M248">
        <f>I248*SUM(M249)</f>
        <v>0</v>
      </c>
      <c r="N248">
        <v>248</v>
      </c>
      <c r="O248" s="99" t="s">
        <v>764</v>
      </c>
    </row>
    <row r="249" spans="1:15" x14ac:dyDescent="0.25">
      <c r="A249" s="99" t="s">
        <v>765</v>
      </c>
      <c r="B249" s="99">
        <v>4</v>
      </c>
      <c r="C249" s="99" t="s">
        <v>762</v>
      </c>
      <c r="D249" s="99" t="s">
        <v>73</v>
      </c>
      <c r="E249">
        <v>492</v>
      </c>
      <c r="F249">
        <v>501</v>
      </c>
      <c r="G249" s="102" t="s">
        <v>120</v>
      </c>
      <c r="H249" t="s">
        <v>766</v>
      </c>
      <c r="J249">
        <f>SUM(K250)</f>
        <v>0</v>
      </c>
      <c r="K249">
        <f>I249*J249</f>
        <v>0</v>
      </c>
      <c r="L249" t="e">
        <f>100*(1-(M249/K249))</f>
        <v>#DIV/0!</v>
      </c>
      <c r="M249">
        <f>I249*SUM(M250)</f>
        <v>0</v>
      </c>
      <c r="N249">
        <v>249</v>
      </c>
      <c r="O249" s="99" t="s">
        <v>767</v>
      </c>
    </row>
    <row r="250" spans="1:15" x14ac:dyDescent="0.25">
      <c r="A250" s="99" t="s">
        <v>768</v>
      </c>
      <c r="B250" s="99">
        <v>5</v>
      </c>
      <c r="C250" s="99" t="s">
        <v>765</v>
      </c>
      <c r="D250" s="99" t="s">
        <v>73</v>
      </c>
      <c r="E250">
        <v>493</v>
      </c>
      <c r="F250">
        <v>500</v>
      </c>
      <c r="G250" s="102" t="s">
        <v>120</v>
      </c>
      <c r="H250" t="s">
        <v>763</v>
      </c>
      <c r="J250">
        <f>SUM(K251,K252,K253)</f>
        <v>2137060.2399999998</v>
      </c>
      <c r="K250">
        <f>I250*J250</f>
        <v>0</v>
      </c>
      <c r="L250" t="e">
        <f>100*(1-(M250/K250))</f>
        <v>#DIV/0!</v>
      </c>
      <c r="M250">
        <f>I250*SUM(M251,M252,M253)</f>
        <v>0</v>
      </c>
      <c r="N250">
        <v>250</v>
      </c>
      <c r="O250" s="99" t="s">
        <v>769</v>
      </c>
    </row>
    <row r="251" spans="1:15" x14ac:dyDescent="0.25">
      <c r="A251" s="99" t="s">
        <v>770</v>
      </c>
      <c r="B251" s="99">
        <v>6</v>
      </c>
      <c r="C251" s="99" t="s">
        <v>768</v>
      </c>
      <c r="D251" s="99" t="s">
        <v>73</v>
      </c>
      <c r="E251">
        <v>494</v>
      </c>
      <c r="F251">
        <v>495</v>
      </c>
      <c r="G251" s="102" t="s">
        <v>73</v>
      </c>
      <c r="H251" t="s">
        <v>771</v>
      </c>
      <c r="I251">
        <v>1</v>
      </c>
      <c r="J251">
        <v>212215.38</v>
      </c>
      <c r="K251">
        <f>I251*J251</f>
        <v>212215.38</v>
      </c>
      <c r="L251">
        <v>7</v>
      </c>
      <c r="M251">
        <f>(1-(L251/100))*K251</f>
        <v>197360.3034</v>
      </c>
      <c r="N251">
        <v>251</v>
      </c>
      <c r="O251" s="99" t="s">
        <v>772</v>
      </c>
    </row>
    <row r="252" spans="1:15" x14ac:dyDescent="0.25">
      <c r="A252" s="99" t="s">
        <v>773</v>
      </c>
      <c r="B252" s="99">
        <v>6</v>
      </c>
      <c r="C252" s="99" t="s">
        <v>768</v>
      </c>
      <c r="D252" s="99" t="s">
        <v>119</v>
      </c>
      <c r="E252">
        <v>496</v>
      </c>
      <c r="F252">
        <v>497</v>
      </c>
      <c r="G252" s="102" t="s">
        <v>73</v>
      </c>
      <c r="H252" t="s">
        <v>774</v>
      </c>
      <c r="I252">
        <v>1</v>
      </c>
      <c r="J252">
        <v>1888028.31</v>
      </c>
      <c r="K252">
        <f>I252*J252</f>
        <v>1888028.31</v>
      </c>
      <c r="L252">
        <v>7</v>
      </c>
      <c r="M252">
        <f>(1-(L252/100))*K252</f>
        <v>1755866.3282999999</v>
      </c>
      <c r="N252">
        <v>252</v>
      </c>
      <c r="O252" s="99" t="s">
        <v>775</v>
      </c>
    </row>
    <row r="253" spans="1:15" x14ac:dyDescent="0.25">
      <c r="A253" s="99" t="s">
        <v>776</v>
      </c>
      <c r="B253" s="99">
        <v>6</v>
      </c>
      <c r="C253" s="99" t="s">
        <v>768</v>
      </c>
      <c r="D253" s="99" t="s">
        <v>796</v>
      </c>
      <c r="E253">
        <v>498</v>
      </c>
      <c r="F253">
        <v>499</v>
      </c>
      <c r="G253" s="102" t="s">
        <v>73</v>
      </c>
      <c r="H253" t="s">
        <v>777</v>
      </c>
      <c r="I253">
        <v>1</v>
      </c>
      <c r="J253">
        <v>36816.550000000003</v>
      </c>
      <c r="K253">
        <f>I253*J253</f>
        <v>36816.550000000003</v>
      </c>
      <c r="L253">
        <v>7</v>
      </c>
      <c r="M253">
        <f>(1-(L253/100))*K253</f>
        <v>34239.391499999998</v>
      </c>
      <c r="N253">
        <v>253</v>
      </c>
      <c r="O253" s="99" t="s">
        <v>778</v>
      </c>
    </row>
    <row r="254" spans="1:15" x14ac:dyDescent="0.25">
      <c r="A254" s="99" t="s">
        <v>779</v>
      </c>
      <c r="B254" s="99">
        <v>3</v>
      </c>
      <c r="C254" s="99" t="s">
        <v>544</v>
      </c>
      <c r="D254" s="99" t="s">
        <v>800</v>
      </c>
      <c r="E254">
        <v>503</v>
      </c>
      <c r="F254">
        <v>514</v>
      </c>
      <c r="G254" s="102" t="s">
        <v>120</v>
      </c>
      <c r="H254" t="s">
        <v>780</v>
      </c>
      <c r="J254">
        <f>SUM(K255)</f>
        <v>0</v>
      </c>
      <c r="K254">
        <f>I254*J254</f>
        <v>0</v>
      </c>
      <c r="L254" t="e">
        <f>100*(1-(M254/K254))</f>
        <v>#DIV/0!</v>
      </c>
      <c r="M254">
        <f>I254*SUM(M255)</f>
        <v>0</v>
      </c>
      <c r="N254">
        <v>254</v>
      </c>
      <c r="O254" s="99" t="s">
        <v>781</v>
      </c>
    </row>
    <row r="255" spans="1:15" x14ac:dyDescent="0.25">
      <c r="A255" s="99" t="s">
        <v>782</v>
      </c>
      <c r="B255" s="99">
        <v>4</v>
      </c>
      <c r="C255" s="99" t="s">
        <v>779</v>
      </c>
      <c r="D255" s="99" t="s">
        <v>73</v>
      </c>
      <c r="E255">
        <v>504</v>
      </c>
      <c r="F255">
        <v>513</v>
      </c>
      <c r="G255" s="102" t="s">
        <v>120</v>
      </c>
      <c r="H255" t="s">
        <v>783</v>
      </c>
      <c r="J255">
        <f>SUM(K256)</f>
        <v>0</v>
      </c>
      <c r="K255">
        <f>I255*J255</f>
        <v>0</v>
      </c>
      <c r="L255" t="e">
        <f>100*(1-(M255/K255))</f>
        <v>#DIV/0!</v>
      </c>
      <c r="M255">
        <f>I255*SUM(M256)</f>
        <v>0</v>
      </c>
      <c r="N255">
        <v>255</v>
      </c>
      <c r="O255" s="99" t="s">
        <v>784</v>
      </c>
    </row>
    <row r="256" spans="1:15" x14ac:dyDescent="0.25">
      <c r="A256" s="99" t="s">
        <v>785</v>
      </c>
      <c r="B256" s="99">
        <v>5</v>
      </c>
      <c r="C256" s="99" t="s">
        <v>782</v>
      </c>
      <c r="D256" s="99" t="s">
        <v>73</v>
      </c>
      <c r="E256">
        <v>505</v>
      </c>
      <c r="F256">
        <v>512</v>
      </c>
      <c r="G256" s="102" t="s">
        <v>120</v>
      </c>
      <c r="H256" t="s">
        <v>780</v>
      </c>
      <c r="J256">
        <f>SUM(K257,K258,K259)</f>
        <v>514187.55</v>
      </c>
      <c r="K256">
        <f>I256*J256</f>
        <v>0</v>
      </c>
      <c r="L256" t="e">
        <f>100*(1-(M256/K256))</f>
        <v>#DIV/0!</v>
      </c>
      <c r="M256">
        <f>I256*SUM(M257,M258,M259)</f>
        <v>0</v>
      </c>
      <c r="N256">
        <v>256</v>
      </c>
      <c r="O256" s="99" t="s">
        <v>786</v>
      </c>
    </row>
    <row r="257" spans="1:15" x14ac:dyDescent="0.25">
      <c r="A257" s="99" t="s">
        <v>787</v>
      </c>
      <c r="B257" s="99">
        <v>6</v>
      </c>
      <c r="C257" s="99" t="s">
        <v>785</v>
      </c>
      <c r="D257" s="99" t="s">
        <v>73</v>
      </c>
      <c r="E257">
        <v>506</v>
      </c>
      <c r="F257">
        <v>507</v>
      </c>
      <c r="G257" s="102" t="s">
        <v>73</v>
      </c>
      <c r="H257" t="s">
        <v>788</v>
      </c>
      <c r="I257">
        <v>1</v>
      </c>
      <c r="J257">
        <v>57876.92</v>
      </c>
      <c r="K257">
        <f>I257*J257</f>
        <v>57876.92</v>
      </c>
      <c r="L257">
        <v>7</v>
      </c>
      <c r="M257">
        <f>(1-(L257/100))*K257</f>
        <v>53825.535599999996</v>
      </c>
      <c r="N257">
        <v>257</v>
      </c>
      <c r="O257" s="99" t="s">
        <v>789</v>
      </c>
    </row>
    <row r="258" spans="1:15" x14ac:dyDescent="0.25">
      <c r="A258" s="99" t="s">
        <v>790</v>
      </c>
      <c r="B258" s="99">
        <v>6</v>
      </c>
      <c r="C258" s="99" t="s">
        <v>785</v>
      </c>
      <c r="D258" s="99" t="s">
        <v>119</v>
      </c>
      <c r="E258">
        <v>508</v>
      </c>
      <c r="F258">
        <v>509</v>
      </c>
      <c r="G258" s="102" t="s">
        <v>73</v>
      </c>
      <c r="H258" t="s">
        <v>791</v>
      </c>
      <c r="I258">
        <v>1</v>
      </c>
      <c r="J258">
        <v>447582.77</v>
      </c>
      <c r="K258">
        <f>I258*J258</f>
        <v>447582.77</v>
      </c>
      <c r="L258">
        <v>7</v>
      </c>
      <c r="M258">
        <f>(1-(L258/100))*K258</f>
        <v>416251.97609999997</v>
      </c>
      <c r="N258">
        <v>258</v>
      </c>
      <c r="O258" s="99" t="s">
        <v>792</v>
      </c>
    </row>
    <row r="259" spans="1:15" x14ac:dyDescent="0.25">
      <c r="A259" s="99" t="s">
        <v>793</v>
      </c>
      <c r="B259" s="99">
        <v>6</v>
      </c>
      <c r="C259" s="99" t="s">
        <v>785</v>
      </c>
      <c r="D259" s="99" t="s">
        <v>796</v>
      </c>
      <c r="E259">
        <v>510</v>
      </c>
      <c r="F259">
        <v>511</v>
      </c>
      <c r="G259" s="102" t="s">
        <v>73</v>
      </c>
      <c r="H259" t="s">
        <v>794</v>
      </c>
      <c r="I259">
        <v>1</v>
      </c>
      <c r="J259">
        <v>8727.86</v>
      </c>
      <c r="K259">
        <f>I259*J259</f>
        <v>8727.86</v>
      </c>
      <c r="L259">
        <v>7</v>
      </c>
      <c r="M259">
        <f>(1-(L259/100))*K259</f>
        <v>8116.9098000000004</v>
      </c>
      <c r="N259">
        <v>259</v>
      </c>
      <c r="O259" s="99" t="s">
        <v>795</v>
      </c>
    </row>
    <row r="260" spans="1:15" x14ac:dyDescent="0.25">
      <c r="G260" s="102"/>
    </row>
    <row r="261" spans="1:15" x14ac:dyDescent="0.25">
      <c r="G261" s="102"/>
    </row>
    <row r="262" spans="1:15" x14ac:dyDescent="0.25">
      <c r="G262" s="102"/>
    </row>
    <row r="263" spans="1:15" x14ac:dyDescent="0.25">
      <c r="G263" s="102"/>
    </row>
    <row r="264" spans="1:15" x14ac:dyDescent="0.25">
      <c r="G264" s="102"/>
    </row>
    <row r="265" spans="1:15" x14ac:dyDescent="0.25">
      <c r="G265" s="102"/>
    </row>
    <row r="266" spans="1:15" x14ac:dyDescent="0.25">
      <c r="G266" s="102"/>
    </row>
    <row r="267" spans="1:15" x14ac:dyDescent="0.25">
      <c r="G267" s="102"/>
    </row>
    <row r="268" spans="1:15" x14ac:dyDescent="0.25">
      <c r="G268" s="102"/>
    </row>
    <row r="269" spans="1:15" x14ac:dyDescent="0.25">
      <c r="G269" s="102"/>
    </row>
    <row r="270" spans="1:15" x14ac:dyDescent="0.25">
      <c r="G270" s="102"/>
    </row>
    <row r="271" spans="1:15" x14ac:dyDescent="0.25">
      <c r="G271" s="102"/>
    </row>
    <row r="272" spans="1:15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  <row r="658" spans="7:7" x14ac:dyDescent="0.25">
      <c r="G658" s="102"/>
    </row>
  </sheetData>
  <autoFilter ref="A1:G25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Q11" sqref="Q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2012-04-19T08:44:27Z</dcterms:modified>
</cp:coreProperties>
</file>
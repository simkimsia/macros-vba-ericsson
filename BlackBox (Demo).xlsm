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855" windowWidth="13140" windowHeight="51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Database!$A$1:$G$69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590" i="2"/>
  <c r="L483" i="2"/>
  <c r="L459" i="2"/>
  <c r="L431" i="2"/>
  <c r="L260" i="2"/>
  <c r="L172" i="2"/>
  <c r="L110" i="2"/>
  <c r="L3" i="2"/>
  <c r="K590" i="2"/>
  <c r="K483" i="2"/>
  <c r="K459" i="2"/>
  <c r="K431" i="2"/>
  <c r="K260" i="2"/>
  <c r="K172" i="2"/>
  <c r="K110" i="2"/>
  <c r="K3" i="2"/>
  <c r="M590" i="2"/>
  <c r="M483" i="2"/>
  <c r="M459" i="2"/>
  <c r="M431" i="2"/>
  <c r="M260" i="2"/>
  <c r="M172" i="2"/>
  <c r="M110" i="2"/>
  <c r="M3" i="2"/>
  <c r="J590" i="2"/>
  <c r="J483" i="2"/>
  <c r="J459" i="2"/>
  <c r="J431" i="2"/>
  <c r="J260" i="2"/>
  <c r="J172" i="2"/>
  <c r="J110" i="2"/>
  <c r="J3" i="2"/>
  <c r="L591" i="2"/>
  <c r="L570" i="2"/>
  <c r="L484" i="2"/>
  <c r="L460" i="2"/>
  <c r="L432" i="2"/>
  <c r="L261" i="2"/>
  <c r="L202" i="2"/>
  <c r="L173" i="2"/>
  <c r="L111" i="2"/>
  <c r="L653" i="2"/>
  <c r="L57" i="2"/>
  <c r="L52" i="2"/>
  <c r="L47" i="2"/>
  <c r="L39" i="2"/>
  <c r="L31" i="2"/>
  <c r="L18" i="2"/>
  <c r="L10" i="2"/>
  <c r="L69" i="2"/>
  <c r="L4" i="2"/>
  <c r="K591" i="2"/>
  <c r="K570" i="2"/>
  <c r="K484" i="2"/>
  <c r="K460" i="2"/>
  <c r="K432" i="2"/>
  <c r="K261" i="2"/>
  <c r="K202" i="2"/>
  <c r="K173" i="2"/>
  <c r="K111" i="2"/>
  <c r="K653" i="2"/>
  <c r="K57" i="2"/>
  <c r="K52" i="2"/>
  <c r="K47" i="2"/>
  <c r="K39" i="2"/>
  <c r="K31" i="2"/>
  <c r="K18" i="2"/>
  <c r="K10" i="2"/>
  <c r="K69" i="2"/>
  <c r="K4" i="2"/>
  <c r="M591" i="2"/>
  <c r="M570" i="2"/>
  <c r="M484" i="2"/>
  <c r="M460" i="2"/>
  <c r="M432" i="2"/>
  <c r="M261" i="2"/>
  <c r="M202" i="2"/>
  <c r="M173" i="2"/>
  <c r="M111" i="2"/>
  <c r="M653" i="2"/>
  <c r="M57" i="2"/>
  <c r="M52" i="2"/>
  <c r="M47" i="2"/>
  <c r="M39" i="2"/>
  <c r="M31" i="2"/>
  <c r="M18" i="2"/>
  <c r="M10" i="2"/>
  <c r="M69" i="2"/>
  <c r="M4" i="2"/>
  <c r="J591" i="2"/>
  <c r="J570" i="2"/>
  <c r="J484" i="2"/>
  <c r="J460" i="2"/>
  <c r="J432" i="2"/>
  <c r="J261" i="2"/>
  <c r="J202" i="2"/>
  <c r="J173" i="2"/>
  <c r="J111" i="2"/>
  <c r="J653" i="2"/>
  <c r="J57" i="2"/>
  <c r="J52" i="2"/>
  <c r="J47" i="2"/>
  <c r="J39" i="2"/>
  <c r="J31" i="2"/>
  <c r="J18" i="2"/>
  <c r="J10" i="2"/>
  <c r="J69" i="2"/>
  <c r="J4" i="2"/>
  <c r="L647" i="2"/>
  <c r="L592" i="2"/>
  <c r="L584" i="2"/>
  <c r="L571" i="2"/>
  <c r="L564" i="2"/>
  <c r="L558" i="2"/>
  <c r="L552" i="2"/>
  <c r="L546" i="2"/>
  <c r="L542" i="2"/>
  <c r="L538" i="2"/>
  <c r="L528" i="2"/>
  <c r="L518" i="2"/>
  <c r="L514" i="2"/>
  <c r="L505" i="2"/>
  <c r="L496" i="2"/>
  <c r="L485" i="2"/>
  <c r="L477" i="2"/>
  <c r="L469" i="2"/>
  <c r="L461" i="2"/>
  <c r="L453" i="2"/>
  <c r="L438" i="2"/>
  <c r="L433" i="2"/>
  <c r="L425" i="2"/>
  <c r="L419" i="2"/>
  <c r="L415" i="2"/>
  <c r="L386" i="2"/>
  <c r="L356" i="2"/>
  <c r="L326" i="2"/>
  <c r="L296" i="2"/>
  <c r="L262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654" i="2"/>
  <c r="L58" i="2"/>
  <c r="L53" i="2"/>
  <c r="L48" i="2"/>
  <c r="L40" i="2"/>
  <c r="L32" i="2"/>
  <c r="L27" i="2"/>
  <c r="L19" i="2"/>
  <c r="L11" i="2"/>
  <c r="L104" i="2"/>
  <c r="L70" i="2"/>
  <c r="L64" i="2"/>
  <c r="L5" i="2"/>
  <c r="K647" i="2"/>
  <c r="K592" i="2"/>
  <c r="K584" i="2"/>
  <c r="K571" i="2"/>
  <c r="K564" i="2"/>
  <c r="K558" i="2"/>
  <c r="K552" i="2"/>
  <c r="K546" i="2"/>
  <c r="K542" i="2"/>
  <c r="K538" i="2"/>
  <c r="K528" i="2"/>
  <c r="K518" i="2"/>
  <c r="K514" i="2"/>
  <c r="K505" i="2"/>
  <c r="K496" i="2"/>
  <c r="K485" i="2"/>
  <c r="K477" i="2"/>
  <c r="K469" i="2"/>
  <c r="K461" i="2"/>
  <c r="K453" i="2"/>
  <c r="K438" i="2"/>
  <c r="K433" i="2"/>
  <c r="K425" i="2"/>
  <c r="K419" i="2"/>
  <c r="K415" i="2"/>
  <c r="K386" i="2"/>
  <c r="K356" i="2"/>
  <c r="K326" i="2"/>
  <c r="K296" i="2"/>
  <c r="K262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654" i="2"/>
  <c r="K58" i="2"/>
  <c r="K53" i="2"/>
  <c r="K48" i="2"/>
  <c r="K40" i="2"/>
  <c r="K32" i="2"/>
  <c r="K27" i="2"/>
  <c r="K19" i="2"/>
  <c r="K11" i="2"/>
  <c r="K104" i="2"/>
  <c r="K70" i="2"/>
  <c r="K64" i="2"/>
  <c r="K5" i="2"/>
  <c r="M647" i="2"/>
  <c r="M592" i="2"/>
  <c r="M584" i="2"/>
  <c r="M571" i="2"/>
  <c r="M564" i="2"/>
  <c r="M558" i="2"/>
  <c r="M552" i="2"/>
  <c r="M546" i="2"/>
  <c r="M542" i="2"/>
  <c r="M538" i="2"/>
  <c r="M528" i="2"/>
  <c r="M518" i="2"/>
  <c r="M514" i="2"/>
  <c r="M505" i="2"/>
  <c r="M496" i="2"/>
  <c r="M485" i="2"/>
  <c r="M477" i="2"/>
  <c r="M469" i="2"/>
  <c r="M461" i="2"/>
  <c r="M453" i="2"/>
  <c r="M438" i="2"/>
  <c r="M433" i="2"/>
  <c r="M425" i="2"/>
  <c r="M419" i="2"/>
  <c r="M415" i="2"/>
  <c r="M386" i="2"/>
  <c r="M356" i="2"/>
  <c r="M326" i="2"/>
  <c r="M296" i="2"/>
  <c r="M262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654" i="2"/>
  <c r="M58" i="2"/>
  <c r="M53" i="2"/>
  <c r="M48" i="2"/>
  <c r="M40" i="2"/>
  <c r="M32" i="2"/>
  <c r="M27" i="2"/>
  <c r="M19" i="2"/>
  <c r="M11" i="2"/>
  <c r="M104" i="2"/>
  <c r="M70" i="2"/>
  <c r="M64" i="2"/>
  <c r="M5" i="2"/>
  <c r="J647" i="2"/>
  <c r="J592" i="2"/>
  <c r="J584" i="2"/>
  <c r="J571" i="2"/>
  <c r="J564" i="2"/>
  <c r="J558" i="2"/>
  <c r="J552" i="2"/>
  <c r="J546" i="2"/>
  <c r="J542" i="2"/>
  <c r="J538" i="2"/>
  <c r="J528" i="2"/>
  <c r="J518" i="2"/>
  <c r="J514" i="2"/>
  <c r="J505" i="2"/>
  <c r="J496" i="2"/>
  <c r="J485" i="2"/>
  <c r="J477" i="2"/>
  <c r="J469" i="2"/>
  <c r="J461" i="2"/>
  <c r="J453" i="2"/>
  <c r="J438" i="2"/>
  <c r="J433" i="2"/>
  <c r="J425" i="2"/>
  <c r="J419" i="2"/>
  <c r="J415" i="2"/>
  <c r="J386" i="2"/>
  <c r="J356" i="2"/>
  <c r="J326" i="2"/>
  <c r="J296" i="2"/>
  <c r="J262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654" i="2"/>
  <c r="J58" i="2"/>
  <c r="J53" i="2"/>
  <c r="J48" i="2"/>
  <c r="J40" i="2"/>
  <c r="J32" i="2"/>
  <c r="J27" i="2"/>
  <c r="J19" i="2"/>
  <c r="J11" i="2"/>
  <c r="J104" i="2"/>
  <c r="J70" i="2"/>
  <c r="J64" i="2"/>
  <c r="J5" i="2"/>
  <c r="L648" i="2"/>
  <c r="L644" i="2"/>
  <c r="L593" i="2"/>
  <c r="L585" i="2"/>
  <c r="L572" i="2"/>
  <c r="L565" i="2"/>
  <c r="L559" i="2"/>
  <c r="L553" i="2"/>
  <c r="L547" i="2"/>
  <c r="L543" i="2"/>
  <c r="L539" i="2"/>
  <c r="L529" i="2"/>
  <c r="L519" i="2"/>
  <c r="L515" i="2"/>
  <c r="L506" i="2"/>
  <c r="L497" i="2"/>
  <c r="L486" i="2"/>
  <c r="L478" i="2"/>
  <c r="L470" i="2"/>
  <c r="L462" i="2"/>
  <c r="L454" i="2"/>
  <c r="L449" i="2"/>
  <c r="L443" i="2"/>
  <c r="L439" i="2"/>
  <c r="L434" i="2"/>
  <c r="L426" i="2"/>
  <c r="L420" i="2"/>
  <c r="L416" i="2"/>
  <c r="L411" i="2"/>
  <c r="L387" i="2"/>
  <c r="L357" i="2"/>
  <c r="L327" i="2"/>
  <c r="L305" i="2"/>
  <c r="L297" i="2"/>
  <c r="L272" i="2"/>
  <c r="L263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655" i="2"/>
  <c r="L59" i="2"/>
  <c r="L54" i="2"/>
  <c r="L49" i="2"/>
  <c r="L41" i="2"/>
  <c r="L33" i="2"/>
  <c r="L28" i="2"/>
  <c r="L20" i="2"/>
  <c r="L12" i="2"/>
  <c r="L105" i="2"/>
  <c r="L71" i="2"/>
  <c r="L65" i="2"/>
  <c r="L6" i="2"/>
  <c r="K648" i="2"/>
  <c r="K644" i="2"/>
  <c r="K593" i="2"/>
  <c r="K585" i="2"/>
  <c r="K572" i="2"/>
  <c r="K565" i="2"/>
  <c r="K559" i="2"/>
  <c r="K553" i="2"/>
  <c r="K547" i="2"/>
  <c r="K543" i="2"/>
  <c r="K539" i="2"/>
  <c r="K529" i="2"/>
  <c r="K519" i="2"/>
  <c r="K515" i="2"/>
  <c r="K506" i="2"/>
  <c r="K497" i="2"/>
  <c r="K486" i="2"/>
  <c r="K478" i="2"/>
  <c r="K470" i="2"/>
  <c r="K462" i="2"/>
  <c r="K454" i="2"/>
  <c r="K449" i="2"/>
  <c r="K443" i="2"/>
  <c r="K439" i="2"/>
  <c r="K434" i="2"/>
  <c r="K426" i="2"/>
  <c r="K420" i="2"/>
  <c r="K416" i="2"/>
  <c r="K411" i="2"/>
  <c r="K387" i="2"/>
  <c r="K357" i="2"/>
  <c r="K327" i="2"/>
  <c r="K305" i="2"/>
  <c r="K297" i="2"/>
  <c r="K272" i="2"/>
  <c r="K263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655" i="2"/>
  <c r="K59" i="2"/>
  <c r="K54" i="2"/>
  <c r="K49" i="2"/>
  <c r="K41" i="2"/>
  <c r="K33" i="2"/>
  <c r="K28" i="2"/>
  <c r="K20" i="2"/>
  <c r="K12" i="2"/>
  <c r="K105" i="2"/>
  <c r="K71" i="2"/>
  <c r="K65" i="2"/>
  <c r="K6" i="2"/>
  <c r="M648" i="2"/>
  <c r="M644" i="2"/>
  <c r="M593" i="2"/>
  <c r="M585" i="2"/>
  <c r="M572" i="2"/>
  <c r="M565" i="2"/>
  <c r="M559" i="2"/>
  <c r="M553" i="2"/>
  <c r="M547" i="2"/>
  <c r="M543" i="2"/>
  <c r="M539" i="2"/>
  <c r="M529" i="2"/>
  <c r="M519" i="2"/>
  <c r="M515" i="2"/>
  <c r="M506" i="2"/>
  <c r="M497" i="2"/>
  <c r="M486" i="2"/>
  <c r="M478" i="2"/>
  <c r="M470" i="2"/>
  <c r="M462" i="2"/>
  <c r="M454" i="2"/>
  <c r="M449" i="2"/>
  <c r="M443" i="2"/>
  <c r="M439" i="2"/>
  <c r="M434" i="2"/>
  <c r="M426" i="2"/>
  <c r="M420" i="2"/>
  <c r="M416" i="2"/>
  <c r="M411" i="2"/>
  <c r="M387" i="2"/>
  <c r="M357" i="2"/>
  <c r="M327" i="2"/>
  <c r="M305" i="2"/>
  <c r="M297" i="2"/>
  <c r="M272" i="2"/>
  <c r="M263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655" i="2"/>
  <c r="M59" i="2"/>
  <c r="M54" i="2"/>
  <c r="M49" i="2"/>
  <c r="M41" i="2"/>
  <c r="M33" i="2"/>
  <c r="M28" i="2"/>
  <c r="M20" i="2"/>
  <c r="M12" i="2"/>
  <c r="M105" i="2"/>
  <c r="M71" i="2"/>
  <c r="M65" i="2"/>
  <c r="M6" i="2"/>
  <c r="J648" i="2"/>
  <c r="J644" i="2"/>
  <c r="J593" i="2"/>
  <c r="J585" i="2"/>
  <c r="J572" i="2"/>
  <c r="J565" i="2"/>
  <c r="J559" i="2"/>
  <c r="J553" i="2"/>
  <c r="J547" i="2"/>
  <c r="J543" i="2"/>
  <c r="J539" i="2"/>
  <c r="J529" i="2"/>
  <c r="J519" i="2"/>
  <c r="J515" i="2"/>
  <c r="J506" i="2"/>
  <c r="J497" i="2"/>
  <c r="J486" i="2"/>
  <c r="J478" i="2"/>
  <c r="J470" i="2"/>
  <c r="J462" i="2"/>
  <c r="J454" i="2"/>
  <c r="J449" i="2"/>
  <c r="J443" i="2"/>
  <c r="J439" i="2"/>
  <c r="J434" i="2"/>
  <c r="J426" i="2"/>
  <c r="J420" i="2"/>
  <c r="J416" i="2"/>
  <c r="J411" i="2"/>
  <c r="J387" i="2"/>
  <c r="J357" i="2"/>
  <c r="J327" i="2"/>
  <c r="J305" i="2"/>
  <c r="J297" i="2"/>
  <c r="J272" i="2"/>
  <c r="J263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655" i="2"/>
  <c r="J59" i="2"/>
  <c r="J54" i="2"/>
  <c r="J49" i="2"/>
  <c r="J41" i="2"/>
  <c r="J33" i="2"/>
  <c r="J28" i="2"/>
  <c r="J20" i="2"/>
  <c r="J12" i="2"/>
  <c r="J105" i="2"/>
  <c r="J71" i="2"/>
  <c r="J65" i="2"/>
  <c r="J6" i="2"/>
  <c r="L649" i="2"/>
  <c r="L645" i="2"/>
  <c r="L630" i="2"/>
  <c r="L621" i="2"/>
  <c r="L610" i="2"/>
  <c r="L596" i="2"/>
  <c r="L594" i="2"/>
  <c r="L586" i="2"/>
  <c r="L582" i="2"/>
  <c r="L580" i="2"/>
  <c r="L573" i="2"/>
  <c r="L566" i="2"/>
  <c r="L560" i="2"/>
  <c r="L554" i="2"/>
  <c r="L548" i="2"/>
  <c r="L544" i="2"/>
  <c r="L540" i="2"/>
  <c r="L530" i="2"/>
  <c r="L520" i="2"/>
  <c r="L516" i="2"/>
  <c r="L507" i="2"/>
  <c r="L498" i="2"/>
  <c r="L487" i="2"/>
  <c r="L479" i="2"/>
  <c r="L475" i="2"/>
  <c r="L473" i="2"/>
  <c r="L471" i="2"/>
  <c r="L467" i="2"/>
  <c r="L465" i="2"/>
  <c r="L463" i="2"/>
  <c r="L455" i="2"/>
  <c r="L450" i="2"/>
  <c r="L444" i="2"/>
  <c r="L440" i="2"/>
  <c r="L435" i="2"/>
  <c r="L427" i="2"/>
  <c r="L421" i="2"/>
  <c r="L417" i="2"/>
  <c r="L412" i="2"/>
  <c r="L388" i="2"/>
  <c r="L358" i="2"/>
  <c r="L328" i="2"/>
  <c r="L318" i="2"/>
  <c r="L306" i="2"/>
  <c r="L298" i="2"/>
  <c r="L288" i="2"/>
  <c r="L273" i="2"/>
  <c r="L264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56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649" i="2"/>
  <c r="K645" i="2"/>
  <c r="K630" i="2"/>
  <c r="K621" i="2"/>
  <c r="K610" i="2"/>
  <c r="K596" i="2"/>
  <c r="K594" i="2"/>
  <c r="K586" i="2"/>
  <c r="K582" i="2"/>
  <c r="K580" i="2"/>
  <c r="K573" i="2"/>
  <c r="K566" i="2"/>
  <c r="K560" i="2"/>
  <c r="K554" i="2"/>
  <c r="K548" i="2"/>
  <c r="K544" i="2"/>
  <c r="K540" i="2"/>
  <c r="K530" i="2"/>
  <c r="K520" i="2"/>
  <c r="K516" i="2"/>
  <c r="K507" i="2"/>
  <c r="K498" i="2"/>
  <c r="K487" i="2"/>
  <c r="K479" i="2"/>
  <c r="K475" i="2"/>
  <c r="K473" i="2"/>
  <c r="K471" i="2"/>
  <c r="K467" i="2"/>
  <c r="K465" i="2"/>
  <c r="K463" i="2"/>
  <c r="K455" i="2"/>
  <c r="K450" i="2"/>
  <c r="K444" i="2"/>
  <c r="K440" i="2"/>
  <c r="K435" i="2"/>
  <c r="K427" i="2"/>
  <c r="K421" i="2"/>
  <c r="K417" i="2"/>
  <c r="K412" i="2"/>
  <c r="K388" i="2"/>
  <c r="K358" i="2"/>
  <c r="K328" i="2"/>
  <c r="K318" i="2"/>
  <c r="K306" i="2"/>
  <c r="K298" i="2"/>
  <c r="K288" i="2"/>
  <c r="K273" i="2"/>
  <c r="K264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56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649" i="2"/>
  <c r="M645" i="2"/>
  <c r="M630" i="2"/>
  <c r="M621" i="2"/>
  <c r="M610" i="2"/>
  <c r="M596" i="2"/>
  <c r="M594" i="2"/>
  <c r="M586" i="2"/>
  <c r="M582" i="2"/>
  <c r="M580" i="2"/>
  <c r="M573" i="2"/>
  <c r="M566" i="2"/>
  <c r="M560" i="2"/>
  <c r="M554" i="2"/>
  <c r="M548" i="2"/>
  <c r="M544" i="2"/>
  <c r="M540" i="2"/>
  <c r="M530" i="2"/>
  <c r="M520" i="2"/>
  <c r="M516" i="2"/>
  <c r="M507" i="2"/>
  <c r="M498" i="2"/>
  <c r="M487" i="2"/>
  <c r="M479" i="2"/>
  <c r="M475" i="2"/>
  <c r="M473" i="2"/>
  <c r="M471" i="2"/>
  <c r="M467" i="2"/>
  <c r="M465" i="2"/>
  <c r="M463" i="2"/>
  <c r="M455" i="2"/>
  <c r="M450" i="2"/>
  <c r="M444" i="2"/>
  <c r="M440" i="2"/>
  <c r="M435" i="2"/>
  <c r="M427" i="2"/>
  <c r="M421" i="2"/>
  <c r="M417" i="2"/>
  <c r="M412" i="2"/>
  <c r="M388" i="2"/>
  <c r="M358" i="2"/>
  <c r="M328" i="2"/>
  <c r="M318" i="2"/>
  <c r="M306" i="2"/>
  <c r="M298" i="2"/>
  <c r="M288" i="2"/>
  <c r="M273" i="2"/>
  <c r="M264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56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649" i="2"/>
  <c r="J645" i="2"/>
  <c r="J630" i="2"/>
  <c r="J621" i="2"/>
  <c r="J610" i="2"/>
  <c r="J596" i="2"/>
  <c r="J594" i="2"/>
  <c r="J586" i="2"/>
  <c r="J582" i="2"/>
  <c r="J580" i="2"/>
  <c r="J573" i="2"/>
  <c r="J566" i="2"/>
  <c r="J560" i="2"/>
  <c r="J554" i="2"/>
  <c r="J548" i="2"/>
  <c r="J544" i="2"/>
  <c r="J540" i="2"/>
  <c r="J530" i="2"/>
  <c r="J520" i="2"/>
  <c r="J516" i="2"/>
  <c r="J507" i="2"/>
  <c r="J498" i="2"/>
  <c r="J487" i="2"/>
  <c r="J479" i="2"/>
  <c r="J475" i="2"/>
  <c r="J473" i="2"/>
  <c r="J471" i="2"/>
  <c r="J467" i="2"/>
  <c r="J465" i="2"/>
  <c r="J463" i="2"/>
  <c r="J455" i="2"/>
  <c r="J450" i="2"/>
  <c r="J444" i="2"/>
  <c r="J440" i="2"/>
  <c r="J435" i="2"/>
  <c r="J427" i="2"/>
  <c r="J421" i="2"/>
  <c r="J417" i="2"/>
  <c r="J412" i="2"/>
  <c r="J388" i="2"/>
  <c r="J358" i="2"/>
  <c r="J328" i="2"/>
  <c r="J318" i="2"/>
  <c r="J306" i="2"/>
  <c r="J298" i="2"/>
  <c r="J288" i="2"/>
  <c r="J273" i="2"/>
  <c r="J264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56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<sst xmlns="http://schemas.openxmlformats.org/spreadsheetml/2006/main" count="3398" uniqueCount="1259">
  <si>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</si>
  <si>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</si>
  <si>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</si>
  <si>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</si>
  <si>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</si>
  <si>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</si>
  <si>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</si>
  <si>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</si>
  <si>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</si>
  <si>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</si>
  <si>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</si>
  <si>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</si>
  <si>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</si>
  <si>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</si>
  <si>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</si>
  <si>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</si>
  <si>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</si>
  <si>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</si>
  <si>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</si>
  <si>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</si>
  <si>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</si>
  <si>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</si>
  <si>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</si>
  <si>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</si>
  <si>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</si>
  <si>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</si>
  <si>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</si>
  <si>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</si>
  <si>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</si>
  <si>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</si>
  <si>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</si>
  <si>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</si>
  <si>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</si>
  <si>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</si>
  <si>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</si>
  <si>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</si>
  <si>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</si>
  <si>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</si>
  <si>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</si>
  <si>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</si>
  <si>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</si>
  <si>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</si>
  <si>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</si>
  <si>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</si>
  <si>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</si>
  <si>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</si>
  <si>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</si>
  <si>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</si>
  <si>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</si>
  <si>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</si>
  <si>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</si>
  <si>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</si>
  <si>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</si>
  <si>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</si>
  <si>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</si>
  <si>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</si>
  <si>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</si>
  <si>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</si>
  <si>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</si>
  <si>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</si>
  <si>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</si>
  <si>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</si>
  <si>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</si>
  <si>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</si>
  <si>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</si>
  <si>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</si>
  <si>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</si>
  <si>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</si>
  <si>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</si>
  <si>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</si>
  <si>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</si>
  <si>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</si>
  <si>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</si>
  <si>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</si>
  <si>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</si>
  <si>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</si>
  <si>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/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</si>
  <si>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</si>
  <si>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</si>
  <si>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</si>
  <si>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</si>
  <si>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</si>
  <si>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</si>
  <si>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</si>
  <si>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</si>
  <si>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</si>
  <si>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</si>
  <si>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</si>
  <si>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</si>
  <si>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</si>
  <si>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</si>
  <si>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</si>
  <si>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</si>
  <si>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2</t>
  </si>
  <si>
    <t>3</t>
  </si>
  <si>
    <t>4</t>
  </si>
  <si>
    <t>5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</si>
  <si>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</si>
  <si>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</si>
  <si>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</si>
  <si>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</si>
  <si>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</si>
  <si>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</si>
  <si>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</si>
  <si>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</si>
  <si>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</si>
  <si>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</si>
  <si>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</si>
  <si>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</si>
  <si>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</si>
  <si>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</si>
  <si>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</si>
  <si>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</si>
  <si>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</si>
  <si>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</si>
  <si>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</si>
  <si>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</si>
  <si>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</si>
  <si>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</si>
  <si>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</si>
  <si>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</si>
  <si>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</si>
  <si>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</si>
  <si>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>1.1.2.1.1.1.1</t>
  </si>
  <si>
    <t>CUDB Blade v3</t>
  </si>
  <si>
    <t>1.1.2.1.1.1.2</t>
  </si>
  <si>
    <t>Cabinet</t>
  </si>
  <si>
    <t>1.1.2.1.1.1.3</t>
  </si>
  <si>
    <t>Network Interface Blade (NWI-E 450A)</t>
  </si>
  <si>
    <t>1.1.2.1.1.1.4</t>
  </si>
  <si>
    <t>Unequipped subrack with 2 SCXB2</t>
  </si>
  <si>
    <t>1.1.3</t>
  </si>
  <si>
    <t>CUDB Spares</t>
  </si>
  <si>
    <t>1.1.3.1</t>
  </si>
  <si>
    <t>CUDB Spares 1</t>
  </si>
  <si>
    <t>1.1.3.1.1</t>
  </si>
  <si>
    <t>1.1.3.1.1.1</t>
  </si>
  <si>
    <t>PRODUCT PACKAGE/SP CUDB 11B (FAP1302513)</t>
  </si>
  <si>
    <t>1.1.3.1.1.1.1</t>
  </si>
  <si>
    <t>GEP3-HD300</t>
  </si>
  <si>
    <t>1.1.3.1.1.1.2</t>
  </si>
  <si>
    <t>NWI-E 450A</t>
  </si>
  <si>
    <t>1.1.3.1.1.1.3</t>
  </si>
  <si>
    <t>PFM HOD</t>
  </si>
  <si>
    <t>1.1.3.1.1.1.4</t>
  </si>
  <si>
    <t>SCXB2</t>
  </si>
  <si>
    <t>1.1.3.1.1.1.5</t>
  </si>
  <si>
    <t>Subrack + Backplane</t>
  </si>
  <si>
    <t>1.1.4</t>
  </si>
  <si>
    <t>HLR-FE Spares</t>
  </si>
  <si>
    <t>1.1.4.1</t>
  </si>
  <si>
    <t>1.1.4.1.1</t>
  </si>
  <si>
    <t>1.1.4.1.1.1</t>
  </si>
  <si>
    <t>0</t>
  </si>
  <si>
    <t>1.1.5</t>
  </si>
  <si>
    <t>HLR-FE LIVE (FY12/13)</t>
  </si>
  <si>
    <t>1.1.5.1</t>
  </si>
  <si>
    <t>1.1.5.1.1</t>
  </si>
  <si>
    <t>1.1.5.1.1.1</t>
  </si>
  <si>
    <t>1.1.5.1.1.1.1</t>
  </si>
  <si>
    <t>HLR-FE 1.0 Blade</t>
  </si>
  <si>
    <t>1.1.5.1.1.1.2</t>
  </si>
  <si>
    <t>HLR-FE Middleware</t>
  </si>
  <si>
    <t>1.1.5.1.1.1.3</t>
  </si>
  <si>
    <t>1.1.5.1.1.1.4</t>
  </si>
  <si>
    <t>HLR-FE on Ericsson Blade HW 1.0 Base Configuration  (incl. 3 blades)</t>
  </si>
  <si>
    <t>1.1.6</t>
  </si>
  <si>
    <t>CUDB LIVE (FY12/13)</t>
  </si>
  <si>
    <t>1.1.6.1</t>
  </si>
  <si>
    <t>1.1.6.1.1</t>
  </si>
  <si>
    <t>1.1.6.1.1.1</t>
  </si>
  <si>
    <t>6</t>
  </si>
  <si>
    <t>1.1.6.1.1.1.1</t>
  </si>
  <si>
    <t>1.1.6.1.1.1.2</t>
  </si>
  <si>
    <t>1.1.6.1.1.1.3</t>
  </si>
  <si>
    <t>1.1.6.1.1.1.4</t>
  </si>
  <si>
    <t>1.1.7</t>
  </si>
  <si>
    <t>CUDB SW Testbed</t>
  </si>
  <si>
    <t>1.1.7.1</t>
  </si>
  <si>
    <t>CUDB SW Testbed 2</t>
  </si>
  <si>
    <t>1.1.7.1.1</t>
  </si>
  <si>
    <t>1.1.7.1.1.1</t>
  </si>
  <si>
    <t>PRODUCT PACKAGE/CUDB 11 SW (FAP1302181)</t>
  </si>
  <si>
    <t>1.1.7.1.1.1.1</t>
  </si>
  <si>
    <t>CUDB Customer Test System</t>
  </si>
  <si>
    <t>1.1.8</t>
  </si>
  <si>
    <t>HLR FE SW OLP 11B</t>
  </si>
  <si>
    <t>1.1.8.1</t>
  </si>
  <si>
    <t>1.1.8.1.1</t>
  </si>
  <si>
    <t>1.1.8.1.1.1</t>
  </si>
  <si>
    <t>PRODUCT PACKAGE/HLR/AUC-FE 11B (FAP1302463)</t>
  </si>
  <si>
    <t>1.1.8.1.1.1.1</t>
  </si>
  <si>
    <t>Customer Test Lab System</t>
  </si>
  <si>
    <t>1.1.9</t>
  </si>
  <si>
    <t>CUDB SW LIVE (FY12/13)</t>
  </si>
  <si>
    <t>1.1.9.1</t>
  </si>
  <si>
    <t>1.1.9.1.1</t>
  </si>
  <si>
    <t>1.1.9.1.1.1</t>
  </si>
  <si>
    <t>1.1.9.1.1.1.1</t>
  </si>
  <si>
    <t>AUC Profile Basic</t>
  </si>
  <si>
    <t>1.1.9.1.1.1.2</t>
  </si>
  <si>
    <t>Double Geographical Redundancy</t>
  </si>
  <si>
    <t>1.1.9.1.1.1.3</t>
  </si>
  <si>
    <t>HLR Profile Basic</t>
  </si>
  <si>
    <t>1.1.10</t>
  </si>
  <si>
    <t>HLR_3G (FY12/13)</t>
  </si>
  <si>
    <t>1.1.10.1</t>
  </si>
  <si>
    <t>1.1.10.1.1</t>
  </si>
  <si>
    <t>1.1.10.1.1.1</t>
  </si>
  <si>
    <t>3G.324M Multimedia support in HLR</t>
  </si>
  <si>
    <t>1.1.10.1.1.2</t>
  </si>
  <si>
    <t>GPRS Charging Characteristics Support in HLR</t>
  </si>
  <si>
    <t>7</t>
  </si>
  <si>
    <t>8</t>
  </si>
  <si>
    <t>9</t>
  </si>
  <si>
    <t>10</t>
  </si>
  <si>
    <t>1.1.11</t>
  </si>
  <si>
    <t>HLR_2G/3G (FY12/13)</t>
  </si>
  <si>
    <t>1.1.11.1</t>
  </si>
  <si>
    <t>1.1.11.1.1</t>
  </si>
  <si>
    <t>1.1.11.1.1.1</t>
  </si>
  <si>
    <t>PRODUCT PACKAGE/HLR/AUC and FNR R14.1 (FAP1302048)</t>
  </si>
  <si>
    <t>1.1.11.1.1.1.1</t>
  </si>
  <si>
    <t>AUC (AXE) Alternative A4 algorithm</t>
  </si>
  <si>
    <t>1.1.11.1.1.1.2</t>
  </si>
  <si>
    <t>AUC R14.1 Basic GSM SW package</t>
  </si>
  <si>
    <t>1.1.11.1.1.1.3</t>
  </si>
  <si>
    <t>Access to Mobile IN Services in HLR</t>
  </si>
  <si>
    <t>1.1.11.1.1.1.4</t>
  </si>
  <si>
    <t>Added AUC R14.1 Basic WCDMA support for GSM/WCDMA combined networks</t>
  </si>
  <si>
    <t>1.1.11.1.1.1.5</t>
  </si>
  <si>
    <t>Any Time Interrogation in HLR</t>
  </si>
  <si>
    <t>1.1.11.1.1.1.6</t>
  </si>
  <si>
    <t>Call Barring Services in HLR</t>
  </si>
  <si>
    <t>1.1.11.1.1.1.7</t>
  </si>
  <si>
    <t>Call Forwarding Services in HLR</t>
  </si>
  <si>
    <t>1.1.11.1.1.1.8</t>
  </si>
  <si>
    <t>Call Waiting and Call Hold subscription</t>
  </si>
  <si>
    <t>1.1.11.1.1.1.9</t>
  </si>
  <si>
    <t>Calling Line Identification Services subscription</t>
  </si>
  <si>
    <t>1.1.11.1.1.1.10</t>
  </si>
  <si>
    <t>Default Call Forwarding</t>
  </si>
  <si>
    <t>1.1.11.1.1.1.11</t>
  </si>
  <si>
    <t>File Output for Subscriber Data in HLR</t>
  </si>
  <si>
    <t>1.1.11.1.1.1.12</t>
  </si>
  <si>
    <t>GPRS Support in HLR</t>
  </si>
  <si>
    <t>1.1.11.1.1.1.13</t>
  </si>
  <si>
    <t>HLR R14.1 Basic SW package</t>
  </si>
  <si>
    <t>1.1.11.1.1.1.14</t>
  </si>
  <si>
    <t>Immediate Call Itemisation subscription</t>
  </si>
  <si>
    <t>1.1.11.1.1.1.15</t>
  </si>
  <si>
    <t>MTP Policing</t>
  </si>
  <si>
    <t>1.1.11.1.1.1.16</t>
  </si>
  <si>
    <t>Multi Party Service subscription</t>
  </si>
  <si>
    <t>1.1.11.1.1.1.17</t>
  </si>
  <si>
    <t>No. 7 Supervision</t>
  </si>
  <si>
    <t>1.1.11.1.1.1.18</t>
  </si>
  <si>
    <t>Operator Determined Barring in HLR</t>
  </si>
  <si>
    <t>1.1.11.1.1.1.19</t>
  </si>
  <si>
    <t>Positioning in HLR for CS</t>
  </si>
  <si>
    <t>1.1.11.1.1.1.20</t>
  </si>
  <si>
    <t>Positioning in HLR for PS</t>
  </si>
  <si>
    <t>1.1.11.1.1.1.21</t>
  </si>
  <si>
    <t>Remote Control Equipment</t>
  </si>
  <si>
    <t>1.1.11.1.1.1.22</t>
  </si>
  <si>
    <t>Roaming Restriction per Subscription</t>
  </si>
  <si>
    <t>1.1.11.1.1.1.23</t>
  </si>
  <si>
    <t>Roaming Service Restrictions in HLR</t>
  </si>
  <si>
    <t>1.1.11.1.1.1.24</t>
  </si>
  <si>
    <t>SMS over GPRS in HLR</t>
  </si>
  <si>
    <t>1.1.11.1.1.1.25</t>
  </si>
  <si>
    <t>Short Message Services in HLR</t>
  </si>
  <si>
    <t>1.1.11.1.1.1.26</t>
  </si>
  <si>
    <t>Signaling Transport  over IP (SIGTRAN) in HLR</t>
  </si>
  <si>
    <t>1.1.11.1.1.1.27</t>
  </si>
  <si>
    <t>Unstructured SS Data (USSD) to External Node</t>
  </si>
  <si>
    <t>1.1.11.1.1.1.28</t>
  </si>
  <si>
    <t>Unstructured SS data in HLR</t>
  </si>
  <si>
    <t>1.1.11.1.1.2</t>
  </si>
  <si>
    <t>1.1.11.1.1.2.1</t>
  </si>
  <si>
    <t>Flexible Allocation of MSISDN</t>
  </si>
  <si>
    <t>1.1.11.1.1.2.2</t>
  </si>
  <si>
    <t>R14.1 SW Basic Package for FNR</t>
  </si>
  <si>
    <t>1.1.12</t>
  </si>
  <si>
    <t>Services_UDC_PA1</t>
  </si>
  <si>
    <t>1.1.12.1</t>
  </si>
  <si>
    <t>1.1.12.1.1</t>
  </si>
  <si>
    <t>1.1.12.1.1.1</t>
  </si>
  <si>
    <t>UDC_Project_Management</t>
  </si>
  <si>
    <t>1.1.12.1.1.2</t>
  </si>
  <si>
    <t>UDC_Implementation</t>
  </si>
  <si>
    <t>1.1.12.1.1.3</t>
  </si>
  <si>
    <t>UDC_Risk Mitigation</t>
  </si>
  <si>
    <t>1.2</t>
  </si>
  <si>
    <t>MSS 12A SW Upgrade</t>
  </si>
  <si>
    <t>1.2.1</t>
  </si>
  <si>
    <t>New category</t>
  </si>
  <si>
    <t>1.2.1.1</t>
  </si>
  <si>
    <t>MSC-S1 12A SW Upgrade ES (IPB 702 1829/1) 1 1</t>
  </si>
  <si>
    <t>1.2.1.1.1</t>
  </si>
  <si>
    <t>MSC-S1 12A SW Upgrade ES (IPB 702 1829/1)</t>
  </si>
  <si>
    <t>1.2.1.1.1.1</t>
  </si>
  <si>
    <t>PRODUCT PACKAGE/MSC 12A SW (FAP1302689)</t>
  </si>
  <si>
    <t>1.2.1.1.1.1.1</t>
  </si>
  <si>
    <t>Upgrade R14.1 to 12A MSC-S Basic SW Package</t>
  </si>
  <si>
    <t>1.2.1.1.1.1.2</t>
  </si>
  <si>
    <t>Upgrade to Legal Interception of Location Update procedure</t>
  </si>
  <si>
    <t>1.2.1.1.1.1.3</t>
  </si>
  <si>
    <t>Upgrade to Remote Control Equipment</t>
  </si>
  <si>
    <t>1.2.1.1.1.2</t>
  </si>
  <si>
    <t>1.2.1.1.1.2.1</t>
  </si>
  <si>
    <t>LTE to CS Fallback</t>
  </si>
  <si>
    <t>1.2.1.1.1.2.2</t>
  </si>
  <si>
    <t>SMS over SGs-interface</t>
  </si>
  <si>
    <t>1.2.1.2</t>
  </si>
  <si>
    <t>MSC-S2 12A SW Upgrade ES (IPB 702 1803/1) 1 1</t>
  </si>
  <si>
    <t>1.2.1.2.1</t>
  </si>
  <si>
    <t>MSC-S2 12A SW Upgrade ES (IPB 702 1803/1)</t>
  </si>
  <si>
    <t>1.2.1.2.1.1</t>
  </si>
  <si>
    <t>1.2.1.2.1.1.1</t>
  </si>
  <si>
    <t>1.2.1.2.1.1.2</t>
  </si>
  <si>
    <t>1.2.1.2.1.1.3</t>
  </si>
  <si>
    <t>1.2.1.2.1.2</t>
  </si>
  <si>
    <t>1.2.1.2.1.2.1</t>
  </si>
  <si>
    <t>1.2.1.2.1.2.2</t>
  </si>
  <si>
    <t>1.2.1.3</t>
  </si>
  <si>
    <t>MSC-S3 12A SW Upgrade ES (IPB 702 1814/1) 1 1</t>
  </si>
  <si>
    <t>1.2.1.3.1</t>
  </si>
  <si>
    <t>MSC-S3 12A SW Upgrade ES (IPB 702 1814/1)</t>
  </si>
  <si>
    <t>1.2.1.3.1.1</t>
  </si>
  <si>
    <t>1.2.1.3.1.1.1</t>
  </si>
  <si>
    <t>1.2.1.3.1.1.2</t>
  </si>
  <si>
    <t>1.2.1.3.1.1.3</t>
  </si>
  <si>
    <t>1.2.1.3.1.2</t>
  </si>
  <si>
    <t>1.2.1.3.1.2.1</t>
  </si>
  <si>
    <t>1.2.1.3.1.2.2</t>
  </si>
  <si>
    <t>1.2.1.4</t>
  </si>
  <si>
    <t>MSC-S4 12A SW Upgrade ES (IPB 702 1830/1) 1 1</t>
  </si>
  <si>
    <t>1.2.1.4.1</t>
  </si>
  <si>
    <t>MSC-S4 12A SW Upgrade ES (IPB 702 1830/1)</t>
  </si>
  <si>
    <t>1.2.1.4.1.1</t>
  </si>
  <si>
    <t>1.2.1.4.1.1.1</t>
  </si>
  <si>
    <t>1.2.1.4.1.1.2</t>
  </si>
  <si>
    <t>1.2.1.4.1.1.3</t>
  </si>
  <si>
    <t>1.2.1.4.1.2</t>
  </si>
  <si>
    <t>1.2.1.4.1.2.1</t>
  </si>
  <si>
    <t>1.2.1.4.1.2.2</t>
  </si>
  <si>
    <t>1.2.1.5</t>
  </si>
  <si>
    <t>MSC-S5 12A SW Upgrade ES (IPB 702 1831/1) 1 1</t>
  </si>
  <si>
    <t>1.2.1.5.1</t>
  </si>
  <si>
    <t>MSC-S5 12A SW Upgrade ES (IPB 702 1831/1)</t>
  </si>
  <si>
    <t>1.2.1.5.1.1</t>
  </si>
  <si>
    <t>1.2.1.5.1.1.1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</si>
  <si>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</si>
  <si>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</si>
  <si>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</si>
  <si>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</si>
  <si>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</si>
  <si>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</si>
  <si>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</si>
  <si>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</si>
  <si>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</si>
  <si>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</si>
  <si>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</si>
  <si>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</si>
  <si>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</si>
  <si>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</si>
  <si>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</si>
  <si>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</si>
  <si>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</si>
  <si>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</si>
  <si>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1.2.1.5.1.1.2</t>
  </si>
  <si>
    <t>1.2.1.5.1.1.3</t>
  </si>
  <si>
    <t>1.2.1.5.1.2</t>
  </si>
  <si>
    <t>1.2.1.5.1.2.1</t>
  </si>
  <si>
    <t>1.2.1.5.1.2.2</t>
  </si>
  <si>
    <t>1.2.1.6</t>
  </si>
  <si>
    <t>MSC-S6 12A SW Upgrade ES (IPB 702 1848/1) 1 1</t>
  </si>
  <si>
    <t>1.2.1.6.1</t>
  </si>
  <si>
    <t>MSC-S6 12A SW Upgrade ES (IPB 702 1848/1)</t>
  </si>
  <si>
    <t>1.2.1.6.1.1</t>
  </si>
  <si>
    <t>1.2.1.6.1.1.1</t>
  </si>
  <si>
    <t>1.2.1.6.1.1.2</t>
  </si>
  <si>
    <t>1.2.1.6.1.1.3</t>
  </si>
  <si>
    <t>1.2.1.6.1.2</t>
  </si>
  <si>
    <t>1.2.1.6.1.2.1</t>
  </si>
  <si>
    <t>1.2.1.6.1.2.2</t>
  </si>
  <si>
    <t>1.2.2</t>
  </si>
  <si>
    <t>MSS_R12A_Sw_Upg_PA1</t>
  </si>
  <si>
    <t>1.2.2.1</t>
  </si>
  <si>
    <t>1.2.2.1.1</t>
  </si>
  <si>
    <t>1.2.2.1.1.1</t>
  </si>
  <si>
    <t>MSS_R12A_SW_Upg Project Management</t>
  </si>
  <si>
    <t>1.2.2.1.1.2</t>
  </si>
  <si>
    <t>MSS_R12A_SW_Upg Implementation</t>
  </si>
  <si>
    <t>1.2.2.1.1.3</t>
  </si>
  <si>
    <t>MSS_R12A_SW_Upg Risk Mitigation</t>
  </si>
  <si>
    <t>1.3</t>
  </si>
  <si>
    <t>PS Core HW</t>
  </si>
  <si>
    <t>1.3.1</t>
  </si>
  <si>
    <t>FY12/13</t>
  </si>
  <si>
    <t>1.3.1.1</t>
  </si>
  <si>
    <t>SGSN MkVIII - HW</t>
  </si>
  <si>
    <t>1.3.1.1.1</t>
  </si>
  <si>
    <t>MkVIII upgrade from MkVI</t>
  </si>
  <si>
    <t>1.3.1.1.1.1</t>
  </si>
  <si>
    <t>PRODUCT PACKAGE/SGSN-MME 2011B MkVIII (FAP1302718)</t>
  </si>
  <si>
    <t>1.3.1.1.1.1.1</t>
  </si>
  <si>
    <t>SGSN-MME MkVIII Base Platform Upgrade License</t>
  </si>
  <si>
    <t>1.3.1.1.1.1.2</t>
  </si>
  <si>
    <t>SGSN-MME MkVIII Expansion Blade</t>
  </si>
  <si>
    <t>1.3.1.1.1.1.3</t>
  </si>
  <si>
    <t>SGSN-MME MkVIII Expansion Blade Platform License</t>
  </si>
  <si>
    <t>1.3.1.1.1.1.4</t>
  </si>
  <si>
    <t>SGSN-MME MkVIII Expansion Subrack</t>
  </si>
  <si>
    <t>1.3.1.1.1.1.5</t>
  </si>
  <si>
    <t>SGSN-MME MkVIII HW Base Upgrade Kit (new cabinet)</t>
  </si>
  <si>
    <t>1.3.1.1.2</t>
  </si>
  <si>
    <t>OLP SGSN-MkVIII/1mag upgrade from MkVI</t>
  </si>
  <si>
    <t>1.3.1.1.2.1</t>
  </si>
  <si>
    <t>PRODUCT PACKAGE/SGSN-MME 2011A MkVIII (FAP1302485)</t>
  </si>
  <si>
    <t>1.3.1.1.2.1.1</t>
  </si>
  <si>
    <t>1.3.1.1.2.1.2</t>
  </si>
  <si>
    <t>1.3.1.1.3</t>
  </si>
  <si>
    <t>SGSN-MkVIII HW Spare Parts</t>
  </si>
  <si>
    <t>1.3.1.1.3.1</t>
  </si>
  <si>
    <t>PRODUCT PACKAGE/SP SGSN-MME 2011A MkVIII (FAP1302548)</t>
  </si>
  <si>
    <t>1.3.1.1.3.1.1</t>
  </si>
  <si>
    <t>CMXB3 EGEM2</t>
  </si>
  <si>
    <t>1.3.1.1.3.1.2</t>
  </si>
  <si>
    <t>GEP3-24GB</t>
  </si>
  <si>
    <t>1.3.1.1.3.1.3</t>
  </si>
  <si>
    <t>1.3.1.1.3.1.4</t>
  </si>
  <si>
    <t>O/E conv.; 1G, 3x10G</t>
  </si>
  <si>
    <t>1.3.1.1.3.1.5</t>
  </si>
  <si>
    <t>OPTICAL TRANSCEIVER/TRX SM CPRI DUAL RAT</t>
  </si>
  <si>
    <t>1.3.1.1.3.1.6</t>
  </si>
  <si>
    <t>1.3.1.1.3.1.7</t>
  </si>
  <si>
    <t>PFM LOD</t>
  </si>
  <si>
    <t>1.3.1.1.3.1.8</t>
  </si>
  <si>
    <t>1.3.1.1.3.1.9</t>
  </si>
  <si>
    <t>SFP GB-TX  RJ45 Ethernet transceiver 1000Base-T 1.25G</t>
  </si>
  <si>
    <t>1.3.1.1.3.1.10</t>
  </si>
  <si>
    <t>1.3.1.1.3.1.11</t>
  </si>
  <si>
    <t>TRX MM 1000Base-SX LC-SFP -5/+85C (1400421-0010)</t>
  </si>
  <si>
    <t>1.3.1.1.3.1.12</t>
  </si>
  <si>
    <t>TRX MM 10GBase-LRM 1310nm DBF LC-SFP+ receptacle 0/+70C 3.3V</t>
  </si>
  <si>
    <t>1.3.1.1.3.1.13</t>
  </si>
  <si>
    <t>TRX MM 10Gbase-SR 850nm VCSEL LC-SFP+ receptacle 0/+70C 3.3V</t>
  </si>
  <si>
    <t>1.3.1.1.3.1.14</t>
  </si>
  <si>
    <t>TRX SM 10GBase-LR 1310nm DBF LC-SFP+ receptacle 0/+70C 3.3V</t>
  </si>
  <si>
    <t>1.3.2</t>
  </si>
  <si>
    <t>GSN Sw</t>
  </si>
  <si>
    <t>1.3.2.1</t>
  </si>
  <si>
    <t>FY12/13 GSN SW</t>
  </si>
  <si>
    <t>1.3.2.1.1</t>
  </si>
  <si>
    <t>MkVIII SGSN 2011B SW</t>
  </si>
  <si>
    <t>1.3.2.1.1.1</t>
  </si>
  <si>
    <t>5kPDP HSDPA Support, Exp5 (48-84Mbps)</t>
  </si>
  <si>
    <t>1.3.2.1.1.2</t>
  </si>
  <si>
    <t>5kPDP HSDPA support, Exp1 (2-8Mbps)</t>
  </si>
  <si>
    <t>1.3.2.1.1.3</t>
  </si>
  <si>
    <t>APN Resolution Funchtional Extension</t>
  </si>
  <si>
    <t>1.3.2.1.1.4</t>
  </si>
  <si>
    <t>Enhanced UL Supp. (2-4Mbps)</t>
  </si>
  <si>
    <t>1.3.2.1.1.5</t>
  </si>
  <si>
    <t>Enhanced UL Supp. Exp1 (4-8Mbps)</t>
  </si>
  <si>
    <t>1.3.2.1.1.6</t>
  </si>
  <si>
    <t>HSDPA Support Exp 2 (8-16Mbps)</t>
  </si>
  <si>
    <t>1.3.2.1.1.7</t>
  </si>
  <si>
    <t>HSDPA Support Exp3 (16-32 Mbps)</t>
  </si>
  <si>
    <t>1.3.2.1.1.8</t>
  </si>
  <si>
    <t>HSDPA Support Exp4 (32-48 Mbps)</t>
  </si>
  <si>
    <t>1.3.2.1.1.9</t>
  </si>
  <si>
    <t>SGSN-MME 2011B 10 kPPS GSM or 50 kPPS WCDMA Capacity SW License</t>
  </si>
  <si>
    <t>1.3.2.1.1.10</t>
  </si>
  <si>
    <t>SGSN-MME 2011B 5k IP Sessions Capacity SW License</t>
  </si>
  <si>
    <t>1.3.2.1.1.11</t>
  </si>
  <si>
    <t>5k IPSession Dual Access for GSM and WCDMA</t>
  </si>
  <si>
    <t>1.3.2.1.1.12</t>
  </si>
  <si>
    <t>5k IPSession Gb over IP</t>
  </si>
  <si>
    <t>1.3.2.1.1.13</t>
  </si>
  <si>
    <t>5k IPSessionSGSN Pool for GSM</t>
  </si>
  <si>
    <t>1.3.2.1.1.14</t>
  </si>
  <si>
    <t>5k IPSession SGSN Pool for WCDMA</t>
  </si>
  <si>
    <t>1.3.2.1.1.15</t>
  </si>
  <si>
    <t>5k IPSession SS7 over IP (SIGTRAN)</t>
  </si>
  <si>
    <t>1.3.2.1.2</t>
  </si>
  <si>
    <t>OLP SGSN MkVIII SW</t>
  </si>
  <si>
    <t>1.3.2.1.2.1</t>
  </si>
  <si>
    <t>PRODUCT PACKAGE/SGSN-MME 2011B Software (FAP1302716)</t>
  </si>
  <si>
    <t>1.3.2.1.2.1.1</t>
  </si>
  <si>
    <t>SGSN-MME 2011B SW License for Test-lab usage</t>
  </si>
  <si>
    <t>1.3.2.2</t>
  </si>
  <si>
    <t>FY12/13 SW Upgrade</t>
  </si>
  <si>
    <t>1.3.2.2.1</t>
  </si>
  <si>
    <t>FY12/13 SW upgrade</t>
  </si>
  <si>
    <t>1.3.2.2.1.1</t>
  </si>
  <si>
    <t>SGSN-MME 2010B to 2011A 10 kPPS GSM or 50 kPPS WCDMA SW Upgrade License</t>
  </si>
  <si>
    <t>1.3.2.2.1.2</t>
  </si>
  <si>
    <t>SGSN-MME 2010B to 2011A 5k IP Sessions SW Upgrade License</t>
  </si>
  <si>
    <t>1.3.2.2.1.3</t>
  </si>
  <si>
    <t>SW Upgrade from GGSN 2010B to GGSN-MPG 2011A License for 1 k IP Session</t>
  </si>
  <si>
    <t>1.3.2.2.1.4</t>
  </si>
  <si>
    <t>SW Upgrade from GGSN 2010B to GGSN-MPG 2011A License for 1 kPPS</t>
  </si>
  <si>
    <t>1.3.3</t>
  </si>
  <si>
    <t>Gb over IP</t>
  </si>
  <si>
    <t>1.3.3.1</t>
  </si>
  <si>
    <t>1.3.3.1.1</t>
  </si>
  <si>
    <t>1.3.3.1.1.1</t>
  </si>
  <si>
    <t>1.3.4</t>
  </si>
  <si>
    <t>SGSN in Pool</t>
  </si>
  <si>
    <t>1.3.4.1</t>
  </si>
  <si>
    <t>SGSN In Pool Feature</t>
  </si>
  <si>
    <t>1.3.4.1.1</t>
  </si>
  <si>
    <t>SGSN in Pool Feature</t>
  </si>
  <si>
    <t>1.3.4.1.1.1</t>
  </si>
  <si>
    <t>SGSN in Pool support in BSC</t>
  </si>
  <si>
    <t>1.3.4.2</t>
  </si>
  <si>
    <t>p. 16 ChE</t>
  </si>
  <si>
    <t>1.3.4.2.1</t>
  </si>
  <si>
    <t>FAJ 121 972, Support for SGSN in pool p.16ChE UL</t>
  </si>
  <si>
    <t>1.3.4.2.1.1</t>
  </si>
  <si>
    <t>UL_Support for SiP, FAJ 121972</t>
  </si>
  <si>
    <t>1.3.4.2.2</t>
  </si>
  <si>
    <t>FAJ 121 972, Support for SGSN in pool p.16ChE DL</t>
  </si>
  <si>
    <t>1.3.4.2.2.1</t>
  </si>
  <si>
    <t>DL_Support for SiP, FAJ 121972</t>
  </si>
  <si>
    <t>1.3.5</t>
  </si>
  <si>
    <t>Gb_Over_IP_PA1</t>
  </si>
  <si>
    <t>1.3.5.1</t>
  </si>
  <si>
    <t>Gb_Over_IP_PA1 2</t>
  </si>
  <si>
    <t>1.3.5.1.1</t>
  </si>
  <si>
    <t>1.3.5.1.1.1</t>
  </si>
  <si>
    <t>Gb Over IP Project Management</t>
  </si>
  <si>
    <t>1.3.5.1.1.2</t>
  </si>
  <si>
    <t>Gb Over IP Implementation</t>
  </si>
  <si>
    <t>1.3.5.1.1.3</t>
  </si>
  <si>
    <t>Gb Over IP Risk Mitigation</t>
  </si>
  <si>
    <t>1.3.6</t>
  </si>
  <si>
    <t>MK8_SGSN_in_Pool_Live_PA1</t>
  </si>
  <si>
    <t>1.3.6.1</t>
  </si>
  <si>
    <t>MK8_SGSN_in_Pool_Live_PA1 4</t>
  </si>
  <si>
    <t>1.3.6.1.1</t>
  </si>
  <si>
    <t>1.3.6.1.1.1</t>
  </si>
  <si>
    <t>MK 8_SGSN in pool Live Project Management</t>
  </si>
  <si>
    <t>1.3.6.1.1.2</t>
  </si>
  <si>
    <t>MK 8_SGSN in pool Live Implementation</t>
  </si>
  <si>
    <t>1.3.6.1.1.3</t>
  </si>
  <si>
    <t>MK 8_SGSN in pool Live Risk Mitigation</t>
  </si>
  <si>
    <t>1.3.7</t>
  </si>
  <si>
    <t>MK8_SGSN_Pool_OLP_PA1</t>
  </si>
  <si>
    <t>1.3.7.1</t>
  </si>
  <si>
    <t>MK8_SGSN_Pool_OLP_PA1 5</t>
  </si>
  <si>
    <t>1.3.7.1.1</t>
  </si>
  <si>
    <t>1.3.7.1.1.1</t>
  </si>
  <si>
    <t>Mk 8_SGSN in pool OLP Project Management</t>
  </si>
  <si>
    <t>1.3.7.1.1.2</t>
  </si>
  <si>
    <t>Mk 8_SGSN in pool OLP Implementation</t>
  </si>
  <si>
    <t>1.3.7.1.1.3</t>
  </si>
  <si>
    <t>Mk 8_SGSN in pool OLP Risk Mitigation</t>
  </si>
  <si>
    <t>1.4</t>
  </si>
  <si>
    <t>MSC-BC SW</t>
  </si>
  <si>
    <t>1.4.1</t>
  </si>
  <si>
    <t>MSC-BC Expansion</t>
  </si>
  <si>
    <t>1.4.1.1</t>
  </si>
  <si>
    <t>MSC-BC LIVE</t>
  </si>
  <si>
    <t>1.4.1.1.1</t>
  </si>
  <si>
    <t>MSC BC_LIVE_FY12/13</t>
  </si>
  <si>
    <t>1.4.1.1.1.1</t>
  </si>
  <si>
    <t>PRODUCT PACKAGE/MSC-S Blade Cluster 2.1 (FAP1301890)</t>
  </si>
  <si>
    <t>1.4.1.1.1.1.1</t>
  </si>
  <si>
    <t>Alarm cable to DF</t>
  </si>
  <si>
    <t>1.4.1.1.1.1.2</t>
  </si>
  <si>
    <t>MSC-S BC 2.1 Base Configuration (2+1)</t>
  </si>
  <si>
    <t>1.4.1.1.1.1.3</t>
  </si>
  <si>
    <t>MSC-S BC 2.1 Blade</t>
  </si>
  <si>
    <t>1.4.1.1.1.1.4</t>
  </si>
  <si>
    <t>MSC-S BC 2.1 Middleware</t>
  </si>
  <si>
    <t>1.4.1.1.1.1.5</t>
  </si>
  <si>
    <t>Optical/electrical Converter</t>
  </si>
  <si>
    <t>1.4.1.1.1.1.6</t>
  </si>
  <si>
    <t>1.4.1.1.1.1.7</t>
  </si>
  <si>
    <t>SFP for 1 Gigabit Ethernet</t>
  </si>
  <si>
    <t>1.4.1.1.2</t>
  </si>
  <si>
    <t>T-MGW LIVE - FY12/13</t>
  </si>
  <si>
    <t>1.4.1.1.2.1</t>
  </si>
  <si>
    <t>PRODUCT PACKAGE/GMP V4, HW only (FAP1301252/2)</t>
  </si>
  <si>
    <t>1.4.1.1.2.1.1</t>
  </si>
  <si>
    <t>1 Gigabit Ethernet Port</t>
  </si>
  <si>
    <t>1.4.1.1.2.1.2</t>
  </si>
  <si>
    <t>155 Mbps TDM, Protected Port Pair in GMPv4</t>
  </si>
  <si>
    <t>1.4.1.1.2.1.3</t>
  </si>
  <si>
    <t>Base Configuration 4010</t>
  </si>
  <si>
    <t>1.4.1.1.2.1.4</t>
  </si>
  <si>
    <t>CAR (Call/s), SW level R6.1</t>
  </si>
  <si>
    <t>1.4.1.1.2.1.5</t>
  </si>
  <si>
    <t>CONNECTION CABLE/SYNCHRONIZATION CABLE</t>
  </si>
  <si>
    <t>1.4.1.1.2.1.6</t>
  </si>
  <si>
    <t>CS Data and GSM Fax</t>
  </si>
  <si>
    <t>1.4.1.1.2.1.7</t>
  </si>
  <si>
    <t>DDF Cable Twisted Pair, 100m</t>
  </si>
  <si>
    <t>1.4.1.1.2.1.8</t>
  </si>
  <si>
    <t>E1/T1 16 Ports</t>
  </si>
  <si>
    <t>1.4.1.1.2.1.9</t>
  </si>
  <si>
    <t>Electrical Connection Field</t>
  </si>
  <si>
    <t>1.4.1.1.2.1.10</t>
  </si>
  <si>
    <t>Interface Cable ETH straight, 90M</t>
  </si>
  <si>
    <t>1.4.1.1.2.1.11</t>
  </si>
  <si>
    <t>Media Stream Processing HW</t>
  </si>
  <si>
    <t>1.4.1.1.2.1.12</t>
  </si>
  <si>
    <t>Positive strengthening cable</t>
  </si>
  <si>
    <t>1.4.1.1.2.1.13</t>
  </si>
  <si>
    <t>Power cables, 3 sleeves D-sub</t>
  </si>
  <si>
    <t>1.4.1.1.2.1.14</t>
  </si>
  <si>
    <t>Signaling Capacity, SW level R6.1</t>
  </si>
  <si>
    <t>1.4.1.1.2.2</t>
  </si>
  <si>
    <t>PRODUCT PACKAGE/CSM 2.0 (FAP1302050)</t>
  </si>
  <si>
    <t>1.4.1.1.2.2.1</t>
  </si>
  <si>
    <t>16xE1 120 Ohm Cable 75 M</t>
  </si>
  <si>
    <t>1.4.1.1.2.2.2</t>
  </si>
  <si>
    <t>CSM Remote Management (CSM-RM)</t>
  </si>
  <si>
    <t>1.4.1.1.2.2.3</t>
  </si>
  <si>
    <t>CSM-RM RJ45 Cable 20 M</t>
  </si>
  <si>
    <t>1.4.1.1.2.2.4</t>
  </si>
  <si>
    <t>CSM-RM RJ45 Cable 5 M</t>
  </si>
  <si>
    <t>1.4.1.1.2.2.5</t>
  </si>
  <si>
    <t>Conversion of 1 STM-1 to 63 E1</t>
  </si>
  <si>
    <t>1.4.1.1.2.2.6</t>
  </si>
  <si>
    <t>Fiber Cable 2f LC-SC 100 M</t>
  </si>
  <si>
    <t>1.4.1.1.2.2.7</t>
  </si>
  <si>
    <t>1.4.1.2</t>
  </si>
  <si>
    <t>MSC-BC OLP</t>
  </si>
  <si>
    <t>1.4.1.2.1</t>
  </si>
  <si>
    <t>MSC BC_OLP_FY12/13</t>
  </si>
  <si>
    <t>1.4.1.2.1.1</t>
  </si>
  <si>
    <t>1.4.1.2.1.1.1</t>
  </si>
  <si>
    <t>1.4.1.2.1.1.2</t>
  </si>
  <si>
    <t>1.4.1.2.1.1.3</t>
  </si>
  <si>
    <t>1.4.1.2.1.1.4</t>
  </si>
  <si>
    <t>1.4.1.2.1.1.5</t>
  </si>
  <si>
    <t>1.4.1.2.1.1.6</t>
  </si>
  <si>
    <t>1.4.1.2.2</t>
  </si>
  <si>
    <t>T-MGW OLP - FY12/13</t>
  </si>
  <si>
    <t>1.4.1.2.2.1</t>
  </si>
  <si>
    <t>1.4.1.2.2.1.1</t>
  </si>
  <si>
    <t>1.4.1.2.2.1.2</t>
  </si>
  <si>
    <t>1.4.1.2.2.1.3</t>
  </si>
  <si>
    <t>1.4.1.2.2.1.4</t>
  </si>
  <si>
    <t>1.4.1.2.2.1.5</t>
  </si>
  <si>
    <t>1.4.1.2.2.1.6</t>
  </si>
  <si>
    <t>1.4.1.2.2.1.7</t>
  </si>
  <si>
    <t>1.4.1.2.2.1.8</t>
  </si>
  <si>
    <t>1.4.1.2.2.1.9</t>
  </si>
  <si>
    <t>1.4.1.2.2.1.10</t>
  </si>
  <si>
    <t>1.4.1.2.2.1.11</t>
  </si>
  <si>
    <t>1.4.1.2.2.2</t>
  </si>
  <si>
    <t>1.4.1.2.2.2.1</t>
  </si>
  <si>
    <t>1.4.1.2.2.2.2</t>
  </si>
  <si>
    <t>1.4.1.2.2.2.3</t>
  </si>
  <si>
    <t>1.4.1.2.2.2.4</t>
  </si>
  <si>
    <t>1.4.1.2.2.2.5</t>
  </si>
  <si>
    <t>1.4.1.2.2.2.6</t>
  </si>
  <si>
    <t>1.4.1.2.2.2.7</t>
  </si>
  <si>
    <t>1.4.1.3</t>
  </si>
  <si>
    <t>MSC-BC Spares</t>
  </si>
  <si>
    <t>1.4.1.3.1</t>
  </si>
  <si>
    <t>1.4.1.3.1.1</t>
  </si>
  <si>
    <t>PRODUCT PACKAGE/SP MSC-S Blade Cluster 2 (FAP1301912)</t>
  </si>
  <si>
    <t>1.4.1.3.1.1.1</t>
  </si>
  <si>
    <t>APUB2</t>
  </si>
  <si>
    <t>1.4.1.3.1.1.2</t>
  </si>
  <si>
    <t>CONVERTER O/E conv. 1G, 10G</t>
  </si>
  <si>
    <t>1.4.1.3.1.1.3</t>
  </si>
  <si>
    <t>CMCB</t>
  </si>
  <si>
    <t>1.4.1.3.1.1.4</t>
  </si>
  <si>
    <t>EQUIPPED MAGAZINE/ISAC SUBRACK+BACKPLANE</t>
  </si>
  <si>
    <t>1.4.1.3.1.1.5</t>
  </si>
  <si>
    <t>FAN/FAN</t>
  </si>
  <si>
    <t>1.4.1.3.1.1.6</t>
  </si>
  <si>
    <t>CPUB2-24QC</t>
  </si>
  <si>
    <t>1.4.1.3.1.1.7</t>
  </si>
  <si>
    <t>1.4.1.3.1.1.8</t>
  </si>
  <si>
    <t>PRINTED BOARD ASSEMB/GARP-1</t>
  </si>
  <si>
    <t>1.4.1.3.1.1.9</t>
  </si>
  <si>
    <t>EXB5</t>
  </si>
  <si>
    <t>1.4.1.3.1.1.10</t>
  </si>
  <si>
    <t>PRINTED BOARD ASSEMB/ISER GIGE 1000BASE-</t>
  </si>
  <si>
    <t>1.4.1.3.1.1.11</t>
  </si>
  <si>
    <t>PRINTED BOARD ASSEMB/ISER GIGE FX LX</t>
  </si>
  <si>
    <t>1.4.1.3.1.1.12</t>
  </si>
  <si>
    <t>GED-DVD</t>
  </si>
  <si>
    <t>1.4.1.3.1.1.13</t>
  </si>
  <si>
    <t>PRINTED BOARD ASSEMB/ISER GIGE FX SX</t>
  </si>
  <si>
    <t>1.4.1.3.1.1.14</t>
  </si>
  <si>
    <t>GED-SASF 600GB</t>
  </si>
  <si>
    <t>1.4.1.3.1.1.15</t>
  </si>
  <si>
    <t>PRINTED BOARD ASSEMB/XDB-2</t>
  </si>
  <si>
    <t>1.4.1.3.1.1.16</t>
  </si>
  <si>
    <t>PRODUCT/1000BASE-LX 1310N SM SFP .</t>
  </si>
  <si>
    <t>1.4.1.3.1.1.17</t>
  </si>
  <si>
    <t>PRINTED BOARD ASSEMB/CPUB-24</t>
  </si>
  <si>
    <t>1.4.1.3.1.1.18</t>
  </si>
  <si>
    <t>PRODUCT/1000BASE-SX 850NM MM SFP .</t>
  </si>
  <si>
    <t>1.4.1.3.1.1.19</t>
  </si>
  <si>
    <t>1.4.1.3.1.1.20</t>
  </si>
  <si>
    <t>PRINTED BOARD ASSEMB/GEP2-4-QC-HD</t>
  </si>
  <si>
    <t>1.4.1.3.1.1.21</t>
  </si>
  <si>
    <t>PRINTED BOARD ASSEMB/ISLB</t>
  </si>
  <si>
    <t>1.4.1.3.1.1.22</t>
  </si>
  <si>
    <t>PRINTED BOARD ASSEMB/MAUB</t>
  </si>
  <si>
    <t>1.4.1.3.1.1.23</t>
  </si>
  <si>
    <t>PRINTED BOARD ASSEMB/SCB-RP</t>
  </si>
  <si>
    <t>1.4.1.3.1.1.24</t>
  </si>
  <si>
    <t>PRINTED BOARD ASSEMB/STEB</t>
  </si>
  <si>
    <t>1.4.1.3.1.1.25</t>
  </si>
  <si>
    <t>Printed Board Assemb, CDB  (APT 1.5)</t>
  </si>
  <si>
    <t>1.4.1.3.1.1.26</t>
  </si>
  <si>
    <t>Printed Board Assemb, IRB  (APT 1.5)</t>
  </si>
  <si>
    <t>1.4.1.3.1.1.27</t>
  </si>
  <si>
    <t>SCXB</t>
  </si>
  <si>
    <t>1.4.1.4</t>
  </si>
  <si>
    <t>T-MGW Spares</t>
  </si>
  <si>
    <t>1.4.1.4.1</t>
  </si>
  <si>
    <t>1.4.1.4.1.1</t>
  </si>
  <si>
    <t>PRODUCT PACKAGE/SP GMP V4.0 (M-MGw R6.0 (FAP1301022)</t>
  </si>
  <si>
    <t>1.4.1.4.1.1.1</t>
  </si>
  <si>
    <t>CONTROL UNIT/SCU</t>
  </si>
  <si>
    <t>1.4.1.4.1.1.2</t>
  </si>
  <si>
    <t>1.4.1.4.1.1.3</t>
  </si>
  <si>
    <t>DISTRIBUTION FRAME/CCF, 24 E1/T1</t>
  </si>
  <si>
    <t>1.4.1.4.1.1.4</t>
  </si>
  <si>
    <t>DISTRIBUTION UNIT/PDU-14 (14X15A, MAX 2X</t>
  </si>
  <si>
    <t>1.4.1.4.1.1.5</t>
  </si>
  <si>
    <t>DISTRIBUTION UNIT/PDU-HC (6X30A + 1X15A,</t>
  </si>
  <si>
    <t>1.4.1.4.1.1.6</t>
  </si>
  <si>
    <t>ECF, Ethernet Connection Field, 16 Ports</t>
  </si>
  <si>
    <t>1.4.1.4.1.1.7</t>
  </si>
  <si>
    <t>ET-IPG;1Gb/s 4prt XAUI</t>
  </si>
  <si>
    <t>1.4.1.4.1.1.8</t>
  </si>
  <si>
    <t>ET-MC1</t>
  </si>
  <si>
    <t>1.4.1.4.1.1.9</t>
  </si>
  <si>
    <t>FAN</t>
  </si>
  <si>
    <t>1.4.1.4.1.1.10</t>
  </si>
  <si>
    <t>FAN UNIT</t>
  </si>
  <si>
    <t>1.4.1.4.1.1.11</t>
  </si>
  <si>
    <t>GPB; 1,8GHZ 4GB/4GB</t>
  </si>
  <si>
    <t>1.4.1.4.1.1.12</t>
  </si>
  <si>
    <t>HCS v3</t>
  </si>
  <si>
    <t>1.4.1.4.1.1.13</t>
  </si>
  <si>
    <t>O/E conv.; 10G, 100/1000</t>
  </si>
  <si>
    <t>1.4.1.4.1.1.14</t>
  </si>
  <si>
    <t>OPTICAL TRANSCEIVER/SFP 1000BASE-LX40 DU</t>
  </si>
  <si>
    <t>1.4.1.4.1.1.15</t>
  </si>
  <si>
    <t>PRINTED BOARD ASSEMB GPB; 1,8GHz 2GB/4GB</t>
  </si>
  <si>
    <t>1.4.1.4.1.1.16</t>
  </si>
  <si>
    <t>PRINTED BOARD ASSEMB/ET-C41</t>
  </si>
  <si>
    <t>1.4.1.4.1.1.17</t>
  </si>
  <si>
    <t>PRINTED BOARD ASSEMB/MSB3</t>
  </si>
  <si>
    <t>1.4.1.4.1.1.18</t>
  </si>
  <si>
    <t>PRINTED BOARD ASSEMB/SXB3</t>
  </si>
  <si>
    <t>1.4.1.4.1.1.19</t>
  </si>
  <si>
    <t>1.4.1.4.1.1.20</t>
  </si>
  <si>
    <t>1.4.1.4.1.1.21</t>
  </si>
  <si>
    <t>PRODUCT/1000BASE-ZX 1550N SM SFP .</t>
  </si>
  <si>
    <t>1.4.1.4.1.1.22</t>
  </si>
  <si>
    <t>SCB-DF; 4ISL 630Mb/s</t>
  </si>
  <si>
    <t>1.4.1.4.1.1.23</t>
  </si>
  <si>
    <t>SFP LC STM-1  S1.1</t>
  </si>
  <si>
    <t>1.4.1.4.1.1.24</t>
  </si>
  <si>
    <t>1.4.1.4.1.1.25</t>
  </si>
  <si>
    <t>1.4.1.4.1.1.26</t>
  </si>
  <si>
    <t>1.4.1.4.1.1.27</t>
  </si>
  <si>
    <t>TUB; Timing Unit Board</t>
  </si>
  <si>
    <t>1.4.1.5</t>
  </si>
  <si>
    <t>TSC-BC SW</t>
  </si>
  <si>
    <t>1.4.1.5.1</t>
  </si>
  <si>
    <t>1.4.1.5.1.1</t>
  </si>
  <si>
    <t>PRODUCT PACKAGE/MSC R14.1 SW (FAP1301883)</t>
  </si>
  <si>
    <t>1.4.1.5.1.1.1</t>
  </si>
  <si>
    <t>Accounting</t>
  </si>
  <si>
    <t>1.4.1.5.1.1.2</t>
  </si>
  <si>
    <t>CAMEL Phase 2 Support</t>
  </si>
  <si>
    <t>1.4.1.5.1.1.3</t>
  </si>
  <si>
    <t>CAMEL Phase 3 Support</t>
  </si>
  <si>
    <t>1.4.1.5.1.1.4</t>
  </si>
  <si>
    <t>Call Forwarding Services</t>
  </si>
  <si>
    <t>1.4.1.5.1.1.5</t>
  </si>
  <si>
    <t>Ericsson Enhanced Intelligent Networks Capability Set 1 for</t>
  </si>
  <si>
    <t>1.4.1.5.1.1.6</t>
  </si>
  <si>
    <t>Hot Billing</t>
  </si>
  <si>
    <t>1.4.1.5.1.1.7</t>
  </si>
  <si>
    <t>Legal Interception of non local numbers at outgoing call</t>
  </si>
  <si>
    <t>1.4.1.5.1.1.8</t>
  </si>
  <si>
    <t>Link.Call Data Record, MSC&amp;SSF</t>
  </si>
  <si>
    <t>1.4.1.5.1.1.9</t>
  </si>
  <si>
    <t>MAP interf. MSC-SMSServ.Cent.</t>
  </si>
  <si>
    <t>1.4.1.5.1.1.10</t>
  </si>
  <si>
    <t>MAP interface MSC-EIR</t>
  </si>
  <si>
    <t>1.4.1.5.1.1.11</t>
  </si>
  <si>
    <t>MSC-S R14.1 Basic SW package</t>
  </si>
  <si>
    <t>1.4.1.5.1.1.12</t>
  </si>
  <si>
    <t>MTP Policing (ETSI only)</t>
  </si>
  <si>
    <t>1.4.1.5.1.1.13</t>
  </si>
  <si>
    <t>Personalized Ring Back Tone</t>
  </si>
  <si>
    <t>1.4.1.5.1.1.14</t>
  </si>
  <si>
    <t>Primary Rate Access</t>
  </si>
  <si>
    <t>1.4.1.5.1.1.15</t>
  </si>
  <si>
    <t>1.4.1.5.1.1.16</t>
  </si>
  <si>
    <t>SCCP Policing (ETSI only)</t>
  </si>
  <si>
    <t>1.4.1.5.1.1.17</t>
  </si>
  <si>
    <t>SS7 Supervision</t>
  </si>
  <si>
    <t>1.4.1.5.1.1.18</t>
  </si>
  <si>
    <t>Short Message Services</t>
  </si>
  <si>
    <t>1.4.1.5.1.1.19</t>
  </si>
  <si>
    <t>Signaling Gateway</t>
  </si>
  <si>
    <t>1.4.1.5.1.1.20</t>
  </si>
  <si>
    <t>Signalling Transport over IP (SIGTRAN)</t>
  </si>
  <si>
    <t>1.4.1.5.1.1.21</t>
  </si>
  <si>
    <t>Single Personal Number in MSC</t>
  </si>
  <si>
    <t>1.4.1.5.1.1.22</t>
  </si>
  <si>
    <t>Support of M3UA relay</t>
  </si>
  <si>
    <t>1.4.1.6</t>
  </si>
  <si>
    <t>Additional MSC-BC SW</t>
  </si>
  <si>
    <t>1.4.1.6.1</t>
  </si>
  <si>
    <t>1.4.1.6.1.1</t>
  </si>
  <si>
    <t>1.4.1.6.1.2</t>
  </si>
  <si>
    <t>1.4.1.7</t>
  </si>
  <si>
    <t>MSC-BC SW OLP</t>
  </si>
  <si>
    <t>1.4.1.7.1</t>
  </si>
  <si>
    <t>1.4.1.7.1.1</t>
  </si>
  <si>
    <t>1.4.1.7.1.1.1</t>
  </si>
  <si>
    <t>MSC-S SW License for Test-lab usage</t>
  </si>
  <si>
    <t>1.4.2</t>
  </si>
  <si>
    <t>MSC-BC_Exp_Live_PA1</t>
  </si>
  <si>
    <t>1.4.2.1</t>
  </si>
  <si>
    <t>MSC-BC_Exp_Live_PA1 1</t>
  </si>
  <si>
    <t>1.4.2.1.1</t>
  </si>
  <si>
    <t>1.4.2.1.1.1</t>
  </si>
  <si>
    <t>MSC-BC Expansion_Live Project Management</t>
  </si>
  <si>
    <t>1.4.2.1.1.2</t>
  </si>
  <si>
    <t>MSC-BC Expansion_Live Implementation</t>
  </si>
  <si>
    <t>1.4.2.1.1.3</t>
  </si>
  <si>
    <t>MSC-BC Expansion_Live Risk Mitigation</t>
  </si>
  <si>
    <t>1.4.3</t>
  </si>
  <si>
    <t>MSC-BC_Exp_OLP_PA1</t>
  </si>
  <si>
    <t>1.4.3.1</t>
  </si>
  <si>
    <t>MSC-BC_Exp_OLP_PA1 3</t>
  </si>
  <si>
    <t>1.4.3.1.1</t>
  </si>
  <si>
    <t>1.4.3.1.1.1</t>
  </si>
  <si>
    <t>MSC-BC Expansion_OLP Project Management</t>
  </si>
  <si>
    <t>1.4.3.1.1.2</t>
  </si>
  <si>
    <t>MSC-BC Expansion_OLP Implementation</t>
  </si>
  <si>
    <t>1.4.3.1.1.3</t>
  </si>
  <si>
    <t>MSC-BC Expansion_OLP Risk Mitigation</t>
  </si>
  <si>
    <t>1.5</t>
  </si>
  <si>
    <t>MBSC PCU SERVICES</t>
  </si>
  <si>
    <t>1.5.1</t>
  </si>
  <si>
    <t>MBSC PCU Expansion</t>
  </si>
  <si>
    <t>1.5.1.1</t>
  </si>
  <si>
    <t>MBSC PCU Expansion (LIVE)</t>
  </si>
  <si>
    <t>1.5.1.1.1</t>
  </si>
  <si>
    <t>MBSC PCU LIVE Expansion (GPHB)</t>
  </si>
  <si>
    <t>1.5.1.1.1.1</t>
  </si>
  <si>
    <t>PRODUCT PACKAGE/BSC &amp; BSC/TRC expansion (FAP1302171)</t>
  </si>
  <si>
    <t>1.5.1.1.1.1.1</t>
  </si>
  <si>
    <t>BSC PCU (GPHB)</t>
  </si>
  <si>
    <t>1.5.1.1.1.1.2</t>
  </si>
  <si>
    <t>1.5.1.2</t>
  </si>
  <si>
    <t>MBSC PCU Expansion (OLP)</t>
  </si>
  <si>
    <t>1.5.1.2.1</t>
  </si>
  <si>
    <t>MBSC PCU OLP Expansion (GPHB)</t>
  </si>
  <si>
    <t>1.5.1.2.1.1</t>
  </si>
  <si>
    <t>1.5.1.2.1.1.1</t>
  </si>
  <si>
    <t>1.5.1.2.1.1.2</t>
  </si>
  <si>
    <t>1.5.1.3</t>
  </si>
  <si>
    <t>MBSC PCU Spares</t>
  </si>
  <si>
    <t>1.5.1.3.1</t>
  </si>
  <si>
    <t>MBSC PCU Spares (GPHB)</t>
  </si>
  <si>
    <t>1.5.1.3.1.1</t>
  </si>
  <si>
    <t>PRINTED BOARD ASSEMB/GARP2-GPH B</t>
  </si>
  <si>
    <t>1.5.1.3.1.2</t>
  </si>
  <si>
    <t>1.5.1.3.1.3</t>
  </si>
  <si>
    <t>1.5.1.3.1.4</t>
  </si>
  <si>
    <t>PRINTED BOARD ASSEMB/GARP-2</t>
  </si>
  <si>
    <t>1.5.1.4</t>
  </si>
  <si>
    <t>MBSC5 RPB-S Expansion</t>
  </si>
  <si>
    <t>1.5.1.4.1</t>
  </si>
  <si>
    <t>1.5.1.4.1.1</t>
  </si>
  <si>
    <t>Printed Board Assemb,  RPBI-S (APZ21230, Replaces ROJ 207 030/1)</t>
  </si>
  <si>
    <t>1.5.1.4.1.2</t>
  </si>
  <si>
    <t>Sofix Connection Cable</t>
  </si>
  <si>
    <t>1.5.2</t>
  </si>
  <si>
    <t>MBSC_PCU_Exp_PA1</t>
  </si>
  <si>
    <t>1.5.2.1</t>
  </si>
  <si>
    <t>MBSC_PCU_Exp_PA1 2</t>
  </si>
  <si>
    <t>1.5.2.1.1</t>
  </si>
  <si>
    <t>1.5.2.1.1.1</t>
  </si>
  <si>
    <t>MBSC PCU Expansion  Project Management</t>
  </si>
  <si>
    <t>1.5.2.1.1.2</t>
  </si>
  <si>
    <t>MBSC PCU Expansion  Implementation</t>
  </si>
  <si>
    <t>1.5.2.1.1.3</t>
  </si>
  <si>
    <t>MBSC PCU Expansion  Risk Mitigation</t>
  </si>
  <si>
    <t>1.6</t>
  </si>
  <si>
    <t>EMA HW</t>
  </si>
  <si>
    <t>1.6.1</t>
  </si>
  <si>
    <t>EMA</t>
  </si>
  <si>
    <t>1.6.1.1</t>
  </si>
  <si>
    <t>EMA Main Site</t>
  </si>
  <si>
    <t>1.6.1.1.1</t>
  </si>
  <si>
    <t>EMA - PG Expansion - Main Site</t>
  </si>
  <si>
    <t>1.6.1.1.1.1</t>
  </si>
  <si>
    <t>EMA PG 6.3 HW</t>
  </si>
  <si>
    <t>1.6.1.1.1.1.1</t>
  </si>
  <si>
    <t>EMA Blade servers, Chassi, Switches, Routers</t>
  </si>
  <si>
    <t>1.6.1.1.1.2</t>
  </si>
  <si>
    <t>EMA 6.3 SW Expansion</t>
  </si>
  <si>
    <t>1.6.1.1.1.2.1</t>
  </si>
  <si>
    <t>EMA Basic SW, expansion to HA</t>
  </si>
  <si>
    <t>1.6.1.1.2</t>
  </si>
  <si>
    <t>EMA 6.3 SW Upgrade Y1</t>
  </si>
  <si>
    <t>1.6.1.1.2.1</t>
  </si>
  <si>
    <t>Yearly EMA SW Upgrad</t>
  </si>
  <si>
    <t>1.6.1.2</t>
  </si>
  <si>
    <t>EMA Redundant Site</t>
  </si>
  <si>
    <t>1.6.1.2.1</t>
  </si>
  <si>
    <t>EMA - PG Expansion - Redundant Site</t>
  </si>
  <si>
    <t>1.6.1.2.1.1</t>
  </si>
  <si>
    <t>EMA PG 6.3 HW Redundant</t>
  </si>
  <si>
    <t>1.6.1.2.1.1.1</t>
  </si>
  <si>
    <t>1.6.1.2.1.2</t>
  </si>
  <si>
    <t>EMA 6.3 SW Expansion Redundant</t>
  </si>
  <si>
    <t>1.6.1.2.1.2.1</t>
  </si>
  <si>
    <t>1.6.1.2.2</t>
  </si>
  <si>
    <t>1.6.1.2.2.1</t>
  </si>
  <si>
    <t>1.6.2</t>
  </si>
  <si>
    <t>EMA_Upg_6.3_PA1</t>
  </si>
  <si>
    <t>1.6.2.1</t>
  </si>
  <si>
    <t>1.6.2.1.1</t>
  </si>
  <si>
    <t>1.6.2.1.1.1</t>
  </si>
  <si>
    <t>EMA Upg from 6.1 to 6.3 Project Management</t>
  </si>
  <si>
    <t>1.6.2.1.1.2</t>
  </si>
  <si>
    <t>EMA Upg from 6.1 to 6.3 Implementation</t>
  </si>
  <si>
    <t>1.6.2.1.1.3</t>
  </si>
  <si>
    <t>EMA Upg from 6.1 to 6.3 Risk Mitigation</t>
  </si>
  <si>
    <t>1.7</t>
  </si>
  <si>
    <t>RNC HW</t>
  </si>
  <si>
    <t>1.7.1</t>
  </si>
  <si>
    <t>RNC</t>
  </si>
  <si>
    <t>1.7.1.1</t>
  </si>
  <si>
    <t>EVO_OLP</t>
  </si>
  <si>
    <t>1.7.1.1.1</t>
  </si>
  <si>
    <t>EVO8200_OLP</t>
  </si>
  <si>
    <t>1.7.1.1.1.1</t>
  </si>
  <si>
    <t>PRODUCT PACKAGE/Evo Controller 8200 (FAP1302655)</t>
  </si>
  <si>
    <t>1.7.1.1.1.1.1</t>
  </si>
  <si>
    <t>Opto Interface Acc. to  10 Base LR</t>
  </si>
  <si>
    <t>1.7.1.1.1.1.2</t>
  </si>
  <si>
    <t>Ether. transport  1000Base-T 1.25 G</t>
  </si>
  <si>
    <t>1.7.1.1.1.1.3</t>
  </si>
  <si>
    <t>Evo-ET, RNC port HWAC - EvoC 8200</t>
  </si>
  <si>
    <t>1.7.1.1.1.1.4</t>
  </si>
  <si>
    <t>EvoC 8200 - RNC Throughput Capacity HWAC (per 50 Mbps)</t>
  </si>
  <si>
    <t>1.7.1.1.1.1.5</t>
  </si>
  <si>
    <t>EvoC 8200 - RNC User Capacity HWAC (per 1000  users)</t>
  </si>
  <si>
    <t>1.7.1.1.1.1.6</t>
  </si>
  <si>
    <t>EvoC STM1 Interface (Evo-ET)</t>
  </si>
  <si>
    <t>1.7.1.1.1.1.7</t>
  </si>
  <si>
    <t>HW Capacity Expansion (EPB1) - EvoC 8200</t>
  </si>
  <si>
    <t>1.7.1.1.1.1.8</t>
  </si>
  <si>
    <t>RNC Base Configuration - EvoC 8200</t>
  </si>
  <si>
    <t>1.7.1.2</t>
  </si>
  <si>
    <t>8 RNC3820 R2 HW upgrade</t>
  </si>
  <si>
    <t>1.7.1.2.1</t>
  </si>
  <si>
    <t>RNC3820 HW upgrade</t>
  </si>
  <si>
    <t>1.7.1.2.1.1</t>
  </si>
  <si>
    <t>PRODUCT PACKAGE/RNC 3820 HW Release 2.0 (FAP 130 2275)</t>
  </si>
  <si>
    <t>1.7.1.2.1.1.1</t>
  </si>
  <si>
    <t>2 * APP 2 in RNC3820 ( 1 pair KDU 137 557/4 )</t>
  </si>
  <si>
    <t>1.7.1.2.1.1.2</t>
  </si>
  <si>
    <t>APP Supervision cable</t>
  </si>
  <si>
    <t>1.7.1.2.1.1.3</t>
  </si>
  <si>
    <t>APP to PC Cable</t>
  </si>
  <si>
    <t>1.7.1.2.1.1.4</t>
  </si>
  <si>
    <t>Extra Connectivity Kit</t>
  </si>
  <si>
    <t>1.7.1.2.1.1.5</t>
  </si>
  <si>
    <t>RNC O&amp;M Cables</t>
  </si>
  <si>
    <t>1.7.1.2.1.1.6</t>
  </si>
  <si>
    <t>Upgrade to SCB-TF  Board</t>
  </si>
  <si>
    <t>1.7.1.3</t>
  </si>
  <si>
    <t>RNC_OLP R2 HW</t>
  </si>
  <si>
    <t>1.7.1.3.1</t>
  </si>
  <si>
    <t>RNC3820_OLP_HW upgrade</t>
  </si>
  <si>
    <t>1.7.1.3.1.1</t>
  </si>
  <si>
    <t>PRODUCT PACKAGE/RNC 3820 HW Release 2.0 (FAP1302275)</t>
  </si>
  <si>
    <t>1.7.1.3.1.1.1</t>
  </si>
  <si>
    <t>1.7.1.3.1.1.2</t>
  </si>
  <si>
    <t>1.7.1.3.1.1.3</t>
  </si>
  <si>
    <t>1.7.1.3.1.1.4</t>
  </si>
  <si>
    <t>1.7.1.3.1.1.5</t>
  </si>
  <si>
    <t>1.7.1.3.1.1.6</t>
  </si>
  <si>
    <t>1.7.1.4</t>
  </si>
  <si>
    <t>RNC_OLP_SPB4</t>
  </si>
  <si>
    <t>1.7.1.4.1</t>
  </si>
  <si>
    <t>RNC3820_OLP_SPB4 upgrade</t>
  </si>
  <si>
    <t>1.7.1.4.1.1</t>
  </si>
  <si>
    <t>1.7.1.4.1.1.1</t>
  </si>
  <si>
    <t>O-Pack U, User Plane Package (SPB4)</t>
  </si>
  <si>
    <t>1.7.1.5</t>
  </si>
  <si>
    <t>EVO1</t>
  </si>
  <si>
    <t>1.7.1.5.1</t>
  </si>
  <si>
    <t>EVO1_for RNC1/2/4_1.2G_56kUsers</t>
  </si>
  <si>
    <t>1.7.1.5.1.1</t>
  </si>
  <si>
    <t>1.7.1.5.1.1.1</t>
  </si>
  <si>
    <t>1.7.1.5.1.1.2</t>
  </si>
  <si>
    <t>1.7.1.5.1.1.3</t>
  </si>
  <si>
    <t>1.7.1.5.1.1.4</t>
  </si>
  <si>
    <t>EvoC 8200 - RNC configuration - 56 EPB1</t>
  </si>
  <si>
    <t>1.7.1.5.1.1.5</t>
  </si>
  <si>
    <t>1.7.1.5.1.1.6</t>
  </si>
  <si>
    <t>1.7.1.5.1.1.7</t>
  </si>
  <si>
    <t>1.7.1.6</t>
  </si>
  <si>
    <t>EVO2</t>
  </si>
  <si>
    <t>1.7.1.6.1</t>
  </si>
  <si>
    <t>EVO2_for RNC5/6_1.2G_56kUsers</t>
  </si>
  <si>
    <t>1.7.1.6.1.1</t>
  </si>
  <si>
    <t>1.7.1.6.1.1.1</t>
  </si>
  <si>
    <t>1.7.1.6.1.1.2</t>
  </si>
  <si>
    <t>1.7.1.6.1.1.3</t>
  </si>
  <si>
    <t>1.7.1.6.1.1.4</t>
  </si>
  <si>
    <t>1.7.1.6.1.1.5</t>
  </si>
  <si>
    <t>1.7.1.6.1.1.6</t>
  </si>
  <si>
    <t>1.7.1.6.1.1.7</t>
  </si>
  <si>
    <t>1.7.1.7</t>
  </si>
  <si>
    <t>RNC8/9/11/13 SPB4 upgrade</t>
  </si>
  <si>
    <t>1.7.1.7.1</t>
  </si>
  <si>
    <t>RNC3820 29SPB4 upgrade</t>
  </si>
  <si>
    <t>1.7.1.7.1.1</t>
  </si>
  <si>
    <t>1.7.1.7.1.1.1</t>
  </si>
  <si>
    <t>1.7.1.8</t>
  </si>
  <si>
    <t>RNC7/10/14/15 SPB4 upgrade</t>
  </si>
  <si>
    <t>1.7.1.8.1</t>
  </si>
  <si>
    <t>RNC3820 31SPB4 upgrade</t>
  </si>
  <si>
    <t>1.7.1.8.1.1</t>
  </si>
  <si>
    <t>1.7.1.8.1.1.1</t>
  </si>
  <si>
    <t>1.7.2</t>
  </si>
  <si>
    <t>EVO_RNC_12&amp;16_PA1</t>
  </si>
  <si>
    <t>1.7.2.1</t>
  </si>
  <si>
    <t>EVO_RNC_12&amp;16_PA1 2</t>
  </si>
  <si>
    <t>1.7.2.1.1</t>
  </si>
  <si>
    <t>1.7.2.1.1.1</t>
  </si>
  <si>
    <t>EVO_RNC12_16 Project Management</t>
  </si>
  <si>
    <t>1.7.2.1.1.2</t>
  </si>
  <si>
    <t>EVO_RNC12_16 Implementation</t>
  </si>
  <si>
    <t>1.7.2.1.1.3</t>
  </si>
  <si>
    <t>EVO_RNC12_16 Risk Mitigation</t>
  </si>
  <si>
    <t>1.7.3</t>
  </si>
  <si>
    <t>EVO_RNC_OLP_PA1</t>
  </si>
  <si>
    <t>1.7.3.1</t>
  </si>
  <si>
    <t>EVO_RNC_OLP_PA1 2</t>
  </si>
  <si>
    <t>1.7.3.1.1</t>
  </si>
  <si>
    <t>1.7.3.1.1.1</t>
  </si>
  <si>
    <t>EVO RNC OLP Project Management</t>
  </si>
  <si>
    <t>1.7.3.1.1.2</t>
  </si>
  <si>
    <t>EVO RNC OLP Implementation</t>
  </si>
  <si>
    <t>1.7.3.1.1.3</t>
  </si>
  <si>
    <t>EVO RNC OLP Risk Mitigation</t>
  </si>
  <si>
    <t>1.7.4</t>
  </si>
  <si>
    <t>SPB4_Exp_Live_PA1</t>
  </si>
  <si>
    <t>1.7.4.1</t>
  </si>
  <si>
    <t>SPB4_Exp_Live_PA1 2</t>
  </si>
  <si>
    <t>1.7.4.1.1</t>
  </si>
  <si>
    <t>1.7.4.1.1.1</t>
  </si>
  <si>
    <t>SPB4 Expansion Live Project Management</t>
  </si>
  <si>
    <t>1.7.4.1.1.2</t>
  </si>
  <si>
    <t>SPB4 Expansion Live Implementation</t>
  </si>
  <si>
    <t>1.7.4.1.1.3</t>
  </si>
  <si>
    <t>SPB4 Expansion Live Risk Mitigation</t>
  </si>
  <si>
    <t>1.7.5</t>
  </si>
  <si>
    <t>SPB4_Exp_OLP_PA1</t>
  </si>
  <si>
    <t>1.7.5.1</t>
  </si>
  <si>
    <t>SPB4_Exp_OLP_PA1 2</t>
  </si>
  <si>
    <t>1.7.5.1.1</t>
  </si>
  <si>
    <t>1.7.5.1.1.1</t>
  </si>
  <si>
    <t>SPB4 Expansion OLP Project Management</t>
  </si>
  <si>
    <t>1.7.5.1.1.2</t>
  </si>
  <si>
    <t>SPB4 Expansion OLP Implementation</t>
  </si>
  <si>
    <t>1.7.5.1.1.3</t>
  </si>
  <si>
    <t>SPB4 Expansion OLP Risk Mitigation</t>
  </si>
  <si>
    <t>1.8</t>
  </si>
  <si>
    <t>3PP HW</t>
  </si>
  <si>
    <t>1.8.1</t>
  </si>
  <si>
    <t>1.8.1.1</t>
  </si>
  <si>
    <t>Taps</t>
  </si>
  <si>
    <t>1.8.1.1.1</t>
  </si>
  <si>
    <t>Taps - FY12/13_Immediate expansion</t>
  </si>
  <si>
    <t>1.8.1.1.1.1</t>
  </si>
  <si>
    <t>NETOPTICS 10 Gigabit Slim Tap, LR-Singlemode, LC-Type, 1310nm, 8.5/125 um</t>
  </si>
  <si>
    <t>1.8.1.1.1.2</t>
  </si>
  <si>
    <t>10 Gig SFP+, Single Mode 1310, LR</t>
  </si>
  <si>
    <t>1.8.1.1.1.3</t>
  </si>
  <si>
    <t>NetOptics (8) 10/100/1000 Links to (8) SFP Monitor Ports (w/Empty SFP Ports)</t>
  </si>
  <si>
    <t>1.8.1.1.1.4</t>
  </si>
  <si>
    <t>NetOptics GCU Base SFP Transceiver w/cable</t>
  </si>
  <si>
    <t>1.8.1.1.1.5</t>
  </si>
  <si>
    <t>Director xStream, Span, 10G, 24 empty SFP+ Ports</t>
  </si>
  <si>
    <t>1.8.1.1.1.6</t>
  </si>
  <si>
    <t>Taps_Support_LTE_Year-2</t>
  </si>
  <si>
    <t>1.8.1.1.2</t>
  </si>
  <si>
    <t>NetOptics Maintenance Support for 10GE optical  tap</t>
  </si>
  <si>
    <t>1.8.1.1.2.1</t>
  </si>
  <si>
    <t>NetOptics 24x7x4 2-year support for 10GE optical tap</t>
  </si>
  <si>
    <t>1.8.1.1.3</t>
  </si>
  <si>
    <t>NetOptics Maintenance Support for 8-port tap</t>
  </si>
  <si>
    <t>1.8.1.1.3.1</t>
  </si>
  <si>
    <t>NetOptics Maintenance support for 8-port copper tap (8x5x4)</t>
  </si>
  <si>
    <t>1.8.2</t>
  </si>
  <si>
    <t>TAP_Exp_Phase1_PA1</t>
  </si>
  <si>
    <t>1.8.2.1</t>
  </si>
  <si>
    <t>1.8.2.1.1</t>
  </si>
  <si>
    <t>1.8.2.1.1.1</t>
  </si>
  <si>
    <t>TAPs expansion  Project Management</t>
  </si>
  <si>
    <t>1.8.2.1.1.2</t>
  </si>
  <si>
    <t>TAPs expansion  Implementation</t>
  </si>
  <si>
    <t>1.8.2.1.1.3</t>
  </si>
  <si>
    <t>TAPs expansion  Risk Mitigation</t>
  </si>
  <si>
    <t>1.9</t>
  </si>
  <si>
    <t>OSS SW</t>
  </si>
  <si>
    <t>1.9.1</t>
  </si>
  <si>
    <t>OSS Upgrade Expansion</t>
  </si>
  <si>
    <t>1.9.1.1</t>
  </si>
  <si>
    <t>CNOSS SW</t>
  </si>
  <si>
    <t>1.9.1.1.1</t>
  </si>
  <si>
    <t>CNOSS 12.0 Upgrade</t>
  </si>
  <si>
    <t>1.9.1.1.1.1</t>
  </si>
  <si>
    <t>PRODUCT PACKAGE/OMBS 12 (FAP1302770)</t>
  </si>
  <si>
    <t>1.9.1.1.1.1.1</t>
  </si>
  <si>
    <t>SW Upgrade OMBS 7 to OMBS 11</t>
  </si>
  <si>
    <t>1.9.1.1.1.2</t>
  </si>
  <si>
    <t>PRODUCT PACKAGE/Ericsson Network IQ 12 S (FAP1302771)</t>
  </si>
  <si>
    <t>1.9.1.1.1.2.1</t>
  </si>
  <si>
    <t>ENIQ 11 to ENIQ 12 Upgrade (SUN, Rack to Rack, Per CPU Socket)</t>
  </si>
  <si>
    <t>1.9.1.1.1.2.2</t>
  </si>
  <si>
    <t>Upgrade FAJ 121 1509, Ericsson GGSN KPI Report ( kIP-Session)</t>
  </si>
  <si>
    <t>1.9.1.1.1.2.3</t>
  </si>
  <si>
    <t>Upgrade FAJ11139, Ericsson CS Core (AXE) PM Tech Pack</t>
  </si>
  <si>
    <t>1.9.1.1.1.2.4</t>
  </si>
  <si>
    <t>Upgrade FAJ1211138, Ericsson GSM BSS PM Tech Pack</t>
  </si>
  <si>
    <t>1.9.1.1.1.2.5</t>
  </si>
  <si>
    <t>Upgrade FAJ1211140, Ericsson MGW PM Tech Pack</t>
  </si>
  <si>
    <t>1.9.1.1.1.2.6</t>
  </si>
  <si>
    <t>Upgrade FAJ1211141, SGSN-MME PM Tech Pack (per kSAU)</t>
  </si>
  <si>
    <t>1.9.1.1.1.2.7</t>
  </si>
  <si>
    <t>Upgrade FAJ1211142, Ericsson GGSN PM Tech Packe (kIP-Session)</t>
  </si>
  <si>
    <t>1.9.1.1.1.2.8</t>
  </si>
  <si>
    <t>Upgrade FAJ1211228, Ericsson SASN  PM Tech Pack (kIP-Session)</t>
  </si>
  <si>
    <t>1.9.1.1.1.2.9</t>
  </si>
  <si>
    <t>Upgrade FAJ1211229, Ericsson GSM BSS KPI Report</t>
  </si>
  <si>
    <t>1.9.1.1.1.2.10</t>
  </si>
  <si>
    <t>Upgrade FAJ1211230, Ericsson MSC KPI Report</t>
  </si>
  <si>
    <t>1.9.1.1.1.2.11</t>
  </si>
  <si>
    <t>Upgrade FAJ1211231, Ericsson MGW KPI Report</t>
  </si>
  <si>
    <t>1.9.1.1.1.2.12</t>
  </si>
  <si>
    <t>Upgrade FAJ1211232, Ericsson SGSN KPI Report (per kSAU)</t>
  </si>
  <si>
    <t>1.9.1.1.1.2.13</t>
  </si>
  <si>
    <t>Upgrade FAJ1211484, HSS PM Tech Pack (per Subscriber)</t>
  </si>
  <si>
    <t>1.9.1.1.1.3</t>
  </si>
  <si>
    <t>1.9.1.1.1.3.1</t>
  </si>
  <si>
    <t>FAJ 121 1509, Ericsson GGSN KPI Report (kIP-Session)</t>
  </si>
  <si>
    <t>1.9.1.1.1.3.2</t>
  </si>
  <si>
    <t>FAJ1211138, Ericsson GSM BSS PM Tech Pack</t>
  </si>
  <si>
    <t>1.9.1.1.1.3.3</t>
  </si>
  <si>
    <t>FAJ1211141, SGSN-MME PM Tech Pack (per KSAU)</t>
  </si>
  <si>
    <t>1.9.1.1.1.3.4</t>
  </si>
  <si>
    <t>FAJ1211142, Ericsson GGSN PM Tech Pack (kIP-Session)</t>
  </si>
  <si>
    <t>1.9.1.1.1.3.5</t>
  </si>
  <si>
    <t>FAJ1211228, Ericsson SASN  PM Tech Pack (kIP-Session)</t>
  </si>
  <si>
    <t>1.9.1.1.1.3.6</t>
  </si>
  <si>
    <t>FAJ1211229, Ericsson GSM BSS KPI Report</t>
  </si>
  <si>
    <t>1.9.1.1.1.3.7</t>
  </si>
  <si>
    <t>FAJ1211232, Ericsson SGSN KPI Report (per KSAU)</t>
  </si>
  <si>
    <t>1.9.1.1.1.3.8</t>
  </si>
  <si>
    <t>FAJ1211383, Ericsson CUDB PM Tech Pack (per kProvSub)</t>
  </si>
  <si>
    <t>1.9.1.1.1.3.9</t>
  </si>
  <si>
    <t>FAJ1211405, Ericsson UDC KPI Report(per kActiveSub)</t>
  </si>
  <si>
    <t>1.9.1.1.1.3.10</t>
  </si>
  <si>
    <t>FAJ1211464, Ericsson SAPC PM Tech Pack (kIP-Session)</t>
  </si>
  <si>
    <t>1.9.1.1.1.4</t>
  </si>
  <si>
    <t>PRODUCT PACKAGE/OSS-RC 12 SW (FAP1302769)</t>
  </si>
  <si>
    <t>1.9.1.1.1.4.1</t>
  </si>
  <si>
    <t>SW Upgrade GSM RAN, OSS-RC 11.2 to OSS-RC 12.0</t>
  </si>
  <si>
    <t>1.9.1.1.1.4.2</t>
  </si>
  <si>
    <t>SW Upgrade, Core  OSS-RC 11.2 to OSS-RC 12.0 (GSN)</t>
  </si>
  <si>
    <t>1.9.1.1.1.4.3</t>
  </si>
  <si>
    <t>SW Upgrade, Core (kIP Session)  OSS-RC 7 to 11</t>
  </si>
  <si>
    <t>1.9.1.1.1.4.4</t>
  </si>
  <si>
    <t>SW upgrade Core OSS-RC 11.2 to OSS-RC 12.0 (M-MGW)</t>
  </si>
  <si>
    <t>1.9.1.1.1.4.5</t>
  </si>
  <si>
    <t>SW upgrade Core OSS-RC 11.2 to OSS-RC 12.0 (MSC)</t>
  </si>
  <si>
    <t>1.9.1.1.1.4.6</t>
  </si>
  <si>
    <t>SW upgrade LTE RAN OSS-RC 11.2 to 12.0  (Connected Users)</t>
  </si>
  <si>
    <t>1.9.1.1.1.4.7</t>
  </si>
  <si>
    <t>SW upgrade LTE RAN OSS-RC 11.2 to 12.0 (eNodeB)</t>
  </si>
  <si>
    <t>1.9.1.1.1.4.8</t>
  </si>
  <si>
    <t>Upgrade IMS, OSS-RC 11.2 to OSS-RC 12.0</t>
  </si>
  <si>
    <t>1.9.1.1.1.5</t>
  </si>
  <si>
    <t>1.9.1.1.1.5.1</t>
  </si>
  <si>
    <t>Core Network Starter Package,  ( kIP-Session)</t>
  </si>
  <si>
    <t>1.9.1.1.1.5.2</t>
  </si>
  <si>
    <t>FAJ 121 2043, Neighbouring Cell Support</t>
  </si>
  <si>
    <t>1.9.1.1.1.5.3</t>
  </si>
  <si>
    <t>Core Network Starter Package, GSN&amp;J20 ( Per kSAU )</t>
  </si>
  <si>
    <t>1.9.1.1.1.5.4</t>
  </si>
  <si>
    <t>FAJ 121 601, RNO Db Export Interface</t>
  </si>
  <si>
    <t>1.9.1.1.1.5.5</t>
  </si>
  <si>
    <t>Core Network Starter Package, HLR ( Per kProvSub)</t>
  </si>
  <si>
    <t>1.9.1.1.1.5.6</t>
  </si>
  <si>
    <t>FAJ 122 413, Trace Tool</t>
  </si>
  <si>
    <t>1.9.1.1.1.5.7</t>
  </si>
  <si>
    <t>Core Network Starter Package, kActiveSub ( Per kActiveSub )</t>
  </si>
  <si>
    <t>1.9.1.1.1.5.8</t>
  </si>
  <si>
    <t>GSM RAN Starter</t>
  </si>
  <si>
    <t>1.9.1.1.1.5.9</t>
  </si>
  <si>
    <t>FAJ 121 1372, SGSN Pool Proxy Managment</t>
  </si>
  <si>
    <t>1.9.1.1.1.5.10</t>
  </si>
  <si>
    <t>FAJ 121 2033, Pool Load Balance</t>
  </si>
  <si>
    <t>1.9.1.1.1.5.11</t>
  </si>
  <si>
    <t>FAJ 121 713, GPRS Configuration Manager</t>
  </si>
  <si>
    <t>1.9.1.1.1.5.12</t>
  </si>
  <si>
    <t>FAJ 121 713, GPRS Configuration Manager (KSAU)</t>
  </si>
  <si>
    <t>1.9.1.1.1.5.13</t>
  </si>
  <si>
    <t>FAJ 121 853, SGSN in Pool Management (KSAU)</t>
  </si>
  <si>
    <t>1.9.1.2</t>
  </si>
  <si>
    <t>CNOSS 12.0 HW</t>
  </si>
  <si>
    <t>1.9.1.2.1</t>
  </si>
  <si>
    <t>1.9.1.2.1.1</t>
  </si>
  <si>
    <t>FAJ XXX SF4900 Cpu Memory Expansion</t>
  </si>
  <si>
    <t>1.9.2</t>
  </si>
  <si>
    <t>CNOSS_UPG_12.0_PA1</t>
  </si>
  <si>
    <t>1.9.2.1</t>
  </si>
  <si>
    <t>CNOSS_UPG_12.0_PA1 3</t>
  </si>
  <si>
    <t>1.9.2.1.1</t>
  </si>
  <si>
    <t>1.9.2.1.1.1</t>
  </si>
  <si>
    <t>CNOSS Upgrade to 12.0 Project Management</t>
  </si>
  <si>
    <t>1.9.2.1.1.2</t>
  </si>
  <si>
    <t>CNOSS Upgrade to 12.0 Implementation</t>
  </si>
  <si>
    <t>1.9.2.1.1.3</t>
  </si>
  <si>
    <t>CNOSS Upgrade to 12.0 Risk Mitigation</t>
  </si>
  <si>
    <t>1.10</t>
  </si>
  <si>
    <t>FY12/13 Phase 1 - 1st year Enh warranty</t>
  </si>
  <si>
    <t>1.10.1</t>
  </si>
  <si>
    <t>Customer Support - FY12/13 Phase 1 Enh warranty</t>
  </si>
  <si>
    <t>1.10.1.1</t>
  </si>
  <si>
    <t>1.10.1.1.1</t>
  </si>
  <si>
    <t>FY12/13  Phase 1 - 1st year Enh warranty</t>
  </si>
  <si>
    <t>1.10.1.1.1.1</t>
  </si>
  <si>
    <t>FY12_13 Core SWS (Ph 1) 1st yr Enh warranty</t>
  </si>
  <si>
    <t>1.10.1.1.1.2</t>
  </si>
  <si>
    <t>FY12_13 Core E/// R&amp;R (Ph 1) 1st yr Enh warranty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</si>
</sst>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658"/>
  <sheetViews>
    <sheetView tabSelected="1" workbookViewId="0">
      <selection activeCell="J8" sqref="J8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</cols>
  <sheetData>
    <row r="1" spans="1:14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97</v>
      </c>
    </row>
    <row r="2" spans="1:14" x14ac:dyDescent="0.25">
      <c r="A2" s="91" t="s">
        <v>73</v>
      </c>
      <c r="B2" s="91">
        <v>1</v>
      </c>
      <c r="C2" s="94" t="s">
        <v>76</v>
      </c>
      <c r="D2" s="91" t="s">
        <v>73</v>
      </c>
      <c r="E2" s="96">
        <v>1</v>
      </c>
      <c r="F2" s="96">
        <v>1314</v>
      </c>
      <c r="G2" s="101" t="s">
        <v>153</v>
      </c>
      <c r="H2" s="90" t="s">
        <v>106</v>
      </c>
      <c r="I2" s="90"/>
      <c r="J2" s="90">
        <f>SUM(K3,K110,K172,K260,K431,K459,K483,K570,K590,K653)</f>
        <v>0</v>
      </c>
      <c r="K2" s="90">
        <f>I2*J2</f>
        <v>0</v>
      </c>
      <c r="L2" s="90" t="e">
        <f>100*(1-(M2/K2))</f>
        <v>#DIV/0!</v>
      </c>
      <c r="M2" s="90">
        <f>I2*SUM(M3,M110,M172,M260,M431,M459,M483,M570,M590,M653)</f>
        <v>0</v>
      </c>
      <c r="N2">
        <v>2</v>
      </c>
    </row>
    <row r="3" spans="1:14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215</v>
      </c>
      <c r="G3" s="101" t="s">
        <v>153</v>
      </c>
      <c r="H3" s="90" t="s">
        <v>107</v>
      </c>
      <c r="J3">
        <f>SUM(K4,K10,K18,K27,K31,K39,K47,K52,K57,K64,K69,K104)</f>
        <v>0</v>
      </c>
      <c r="K3">
        <f>I3*J3</f>
        <v>0</v>
      </c>
      <c r="L3" t="e">
        <f>100*(1-(M3/K3))</f>
        <v>#DIV/0!</v>
      </c>
      <c r="M3">
        <f>I3*SUM(M4,M10,M18,M27,M31,M39,M47,M52,M57,M64,M69,M104)</f>
        <v>0</v>
      </c>
      <c r="N3">
        <v>3</v>
      </c>
    </row>
    <row r="4" spans="1:14" x14ac:dyDescent="0.25">
      <c r="A4" s="92" t="s">
        <v>77</v>
      </c>
      <c r="B4" s="91">
        <v>3</v>
      </c>
      <c r="C4" s="95" t="s">
        <v>10</v>
      </c>
      <c r="D4" s="91" t="s">
        <v>73</v>
      </c>
      <c r="E4" s="97">
        <v>3</v>
      </c>
      <c r="F4" s="97">
        <v>14</v>
      </c>
      <c r="G4" s="101" t="s">
        <v>153</v>
      </c>
      <c r="H4" s="90" t="s">
        <v>108</v>
      </c>
      <c r="J4">
        <f>SUM(K5)</f>
        <v>0</v>
      </c>
      <c r="K4">
        <f>I4*J4</f>
        <v>0</v>
      </c>
      <c r="L4" t="e">
        <f>100*(1-(M4/K4))</f>
        <v>#DIV/0!</v>
      </c>
      <c r="M4">
        <f>I4*SUM(M5)</f>
        <v>0</v>
      </c>
      <c r="N4">
        <v>4</v>
      </c>
    </row>
    <row r="5" spans="1:14" x14ac:dyDescent="0.25">
      <c r="A5" s="93" t="s">
        <v>79</v>
      </c>
      <c r="B5" s="91">
        <v>4</v>
      </c>
      <c r="C5" s="92" t="s">
        <v>77</v>
      </c>
      <c r="D5" s="91" t="s">
        <v>73</v>
      </c>
      <c r="E5" s="96">
        <v>4</v>
      </c>
      <c r="F5" s="96">
        <v>13</v>
      </c>
      <c r="G5" s="101" t="s">
        <v>153</v>
      </c>
      <c r="H5" s="90" t="s">
        <v>109</v>
      </c>
      <c r="J5">
        <f>SUM(K6)</f>
        <v>0</v>
      </c>
      <c r="K5">
        <f>I5*J5</f>
        <v>0</v>
      </c>
      <c r="L5" t="e">
        <f>100*(1-(M5/K5))</f>
        <v>#DIV/0!</v>
      </c>
      <c r="M5">
        <f>I5*SUM(M6)</f>
        <v>0</v>
      </c>
      <c r="N5">
        <v>5</v>
      </c>
    </row>
    <row r="6" spans="1:14" x14ac:dyDescent="0.25">
      <c r="A6" s="93" t="s">
        <v>81</v>
      </c>
      <c r="B6" s="91">
        <v>5</v>
      </c>
      <c r="C6" s="92" t="s">
        <v>79</v>
      </c>
      <c r="D6" s="91" t="s">
        <v>73</v>
      </c>
      <c r="E6" s="96">
        <v>5</v>
      </c>
      <c r="F6" s="96">
        <v>12</v>
      </c>
      <c r="G6" s="101" t="s">
        <v>153</v>
      </c>
      <c r="H6" s="90" t="s">
        <v>109</v>
      </c>
      <c r="J6">
        <f>SUM(K7)</f>
        <v>0</v>
      </c>
      <c r="K6">
        <f>I6*J6</f>
        <v>0</v>
      </c>
      <c r="L6" t="e">
        <f>100*(1-(M6/K6))</f>
        <v>#DIV/0!</v>
      </c>
      <c r="M6">
        <f>I6*SUM(M7)</f>
        <v>0</v>
      </c>
      <c r="N6">
        <v>6</v>
      </c>
    </row>
    <row r="7" spans="1:14" x14ac:dyDescent="0.25">
      <c r="A7" s="93" t="s">
        <v>8</v>
      </c>
      <c r="B7" s="91">
        <v>6</v>
      </c>
      <c r="C7" s="93" t="s">
        <v>81</v>
      </c>
      <c r="D7" s="91" t="s">
        <v>73</v>
      </c>
      <c r="E7" s="96">
        <v>6</v>
      </c>
      <c r="F7" s="96">
        <v>11</v>
      </c>
      <c r="G7" s="101" t="s">
        <v>153</v>
      </c>
      <c r="H7" s="90" t="s">
        <v>110</v>
      </c>
      <c r="J7">
        <f>SUM(K8,K9)</f>
        <v>0</v>
      </c>
      <c r="K7">
        <f>I7*J7</f>
        <v>0</v>
      </c>
      <c r="L7" t="e">
        <f>100*(1-(M7/K7))</f>
        <v>#DIV/0!</v>
      </c>
      <c r="M7">
        <f>I7*SUM(M8,M9)</f>
        <v>0</v>
      </c>
      <c r="N7">
        <v>7</v>
      </c>
    </row>
    <row r="8" spans="1:14" x14ac:dyDescent="0.25">
      <c r="A8" s="93" t="s">
        <v>111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112</v>
      </c>
      <c r="N8">
        <v>8</v>
      </c>
    </row>
    <row r="9" spans="1:14" x14ac:dyDescent="0.25">
      <c r="A9" s="93" t="s">
        <v>113</v>
      </c>
      <c r="B9" s="91">
        <v>7</v>
      </c>
      <c r="C9" s="93" t="s">
        <v>8</v>
      </c>
      <c r="D9" s="91" t="s">
        <v>93</v>
      </c>
      <c r="E9" s="96">
        <v>9</v>
      </c>
      <c r="F9" s="96">
        <v>10</v>
      </c>
      <c r="G9" s="101" t="s">
        <v>73</v>
      </c>
      <c r="H9" s="90" t="s">
        <v>114</v>
      </c>
      <c r="N9">
        <v>9</v>
      </c>
    </row>
    <row r="10" spans="1:14" x14ac:dyDescent="0.25">
      <c r="A10" s="93" t="s">
        <v>115</v>
      </c>
      <c r="B10" s="91">
        <v>3</v>
      </c>
      <c r="C10" s="93" t="s">
        <v>10</v>
      </c>
      <c r="D10" s="91" t="s">
        <v>93</v>
      </c>
      <c r="E10" s="96">
        <v>15</v>
      </c>
      <c r="F10" s="96">
        <v>30</v>
      </c>
      <c r="G10" s="101" t="s">
        <v>153</v>
      </c>
      <c r="H10" s="90" t="s">
        <v>116</v>
      </c>
      <c r="J10">
        <f>SUM(K11)</f>
        <v>0</v>
      </c>
      <c r="K10">
        <f>I10*J10</f>
        <v>0</v>
      </c>
      <c r="L10" t="e">
        <f>100*(1-(M10/K10))</f>
        <v>#DIV/0!</v>
      </c>
      <c r="M10">
        <f>I10*SUM(M11)</f>
        <v>0</v>
      </c>
      <c r="N10">
        <v>10</v>
      </c>
    </row>
    <row r="11" spans="1:14" x14ac:dyDescent="0.25">
      <c r="A11" s="93" t="s">
        <v>117</v>
      </c>
      <c r="B11" s="91">
        <v>4</v>
      </c>
      <c r="C11" s="93" t="s">
        <v>115</v>
      </c>
      <c r="D11" s="91" t="s">
        <v>73</v>
      </c>
      <c r="E11" s="96">
        <v>16</v>
      </c>
      <c r="F11" s="96">
        <v>29</v>
      </c>
      <c r="G11" s="101" t="s">
        <v>153</v>
      </c>
      <c r="H11" s="90" t="s">
        <v>118</v>
      </c>
      <c r="J11">
        <f>SUM(K12)</f>
        <v>0</v>
      </c>
      <c r="K11">
        <f>I11*J11</f>
        <v>0</v>
      </c>
      <c r="L11" t="e">
        <f>100*(1-(M11/K11))</f>
        <v>#DIV/0!</v>
      </c>
      <c r="M11">
        <f>I11*SUM(M12)</f>
        <v>0</v>
      </c>
      <c r="N11">
        <v>11</v>
      </c>
    </row>
    <row r="12" spans="1:14" x14ac:dyDescent="0.25">
      <c r="A12" s="93" t="s">
        <v>119</v>
      </c>
      <c r="B12" s="91">
        <v>5</v>
      </c>
      <c r="C12" s="93" t="s">
        <v>117</v>
      </c>
      <c r="D12" s="91" t="s">
        <v>73</v>
      </c>
      <c r="E12" s="96">
        <v>17</v>
      </c>
      <c r="F12" s="96">
        <v>28</v>
      </c>
      <c r="G12" s="101" t="s">
        <v>153</v>
      </c>
      <c r="H12" s="90" t="s">
        <v>120</v>
      </c>
      <c r="J12">
        <f>SUM(K13)</f>
        <v>0</v>
      </c>
      <c r="K12">
        <f>I12*J12</f>
        <v>0</v>
      </c>
      <c r="L12" t="e">
        <f>100*(1-(M12/K12))</f>
        <v>#DIV/0!</v>
      </c>
      <c r="M12">
        <f>I12*SUM(M13)</f>
        <v>0</v>
      </c>
      <c r="N12">
        <v>12</v>
      </c>
    </row>
    <row r="13" spans="1:14" x14ac:dyDescent="0.25">
      <c r="A13" s="93" t="s">
        <v>121</v>
      </c>
      <c r="B13" s="91">
        <v>6</v>
      </c>
      <c r="C13" s="93" t="s">
        <v>119</v>
      </c>
      <c r="D13" s="91" t="s">
        <v>73</v>
      </c>
      <c r="E13" s="96">
        <v>18</v>
      </c>
      <c r="F13" s="96">
        <v>27</v>
      </c>
      <c r="G13" s="101" t="s">
        <v>153</v>
      </c>
      <c r="H13" s="90" t="s">
        <v>122</v>
      </c>
      <c r="J13">
        <f>SUM(K14,K15,K16,K17)</f>
        <v>0</v>
      </c>
      <c r="K13">
        <f>I13*J13</f>
        <v>0</v>
      </c>
      <c r="L13" t="e">
        <f>100*(1-(M13/K13))</f>
        <v>#DIV/0!</v>
      </c>
      <c r="M13">
        <f>I13*SUM(M14,M15,M16,M17)</f>
        <v>0</v>
      </c>
      <c r="N13">
        <v>13</v>
      </c>
    </row>
    <row r="14" spans="1:14" x14ac:dyDescent="0.25">
      <c r="A14" s="93" t="s">
        <v>123</v>
      </c>
      <c r="B14" s="91">
        <v>7</v>
      </c>
      <c r="C14" s="93" t="s">
        <v>121</v>
      </c>
      <c r="D14" s="91" t="s">
        <v>73</v>
      </c>
      <c r="E14" s="96">
        <v>19</v>
      </c>
      <c r="F14" s="96">
        <v>20</v>
      </c>
      <c r="G14" s="101" t="s">
        <v>73</v>
      </c>
      <c r="H14" s="90" t="s">
        <v>124</v>
      </c>
      <c r="N14">
        <v>14</v>
      </c>
    </row>
    <row r="15" spans="1:14" x14ac:dyDescent="0.25">
      <c r="A15" s="93" t="s">
        <v>125</v>
      </c>
      <c r="B15" s="91">
        <v>7</v>
      </c>
      <c r="C15" s="93" t="s">
        <v>121</v>
      </c>
      <c r="D15" s="91" t="s">
        <v>93</v>
      </c>
      <c r="E15" s="96">
        <v>21</v>
      </c>
      <c r="F15" s="96">
        <v>22</v>
      </c>
      <c r="G15" s="101" t="s">
        <v>73</v>
      </c>
      <c r="H15" s="90" t="s">
        <v>126</v>
      </c>
      <c r="N15">
        <v>15</v>
      </c>
    </row>
    <row r="16" spans="1:14" x14ac:dyDescent="0.25">
      <c r="A16" s="93" t="s">
        <v>127</v>
      </c>
      <c r="B16" s="91">
        <v>7</v>
      </c>
      <c r="C16" s="93" t="s">
        <v>121</v>
      </c>
      <c r="D16" s="91" t="s">
        <v>94</v>
      </c>
      <c r="E16" s="96">
        <v>23</v>
      </c>
      <c r="F16" s="96">
        <v>24</v>
      </c>
      <c r="G16" s="101" t="s">
        <v>73</v>
      </c>
      <c r="H16" s="90" t="s">
        <v>128</v>
      </c>
      <c r="N16">
        <v>16</v>
      </c>
    </row>
    <row r="17" spans="1:14" x14ac:dyDescent="0.25">
      <c r="A17" s="93" t="s">
        <v>129</v>
      </c>
      <c r="B17" s="91">
        <v>7</v>
      </c>
      <c r="C17" s="93" t="s">
        <v>121</v>
      </c>
      <c r="D17" s="91" t="s">
        <v>95</v>
      </c>
      <c r="E17" s="96">
        <v>25</v>
      </c>
      <c r="F17" s="96">
        <v>26</v>
      </c>
      <c r="G17" s="101" t="s">
        <v>73</v>
      </c>
      <c r="H17" s="90" t="s">
        <v>130</v>
      </c>
      <c r="N17">
        <v>17</v>
      </c>
    </row>
    <row r="18" spans="1:14" x14ac:dyDescent="0.25">
      <c r="A18" s="93" t="s">
        <v>131</v>
      </c>
      <c r="B18" s="91">
        <v>3</v>
      </c>
      <c r="C18" s="93" t="s">
        <v>10</v>
      </c>
      <c r="D18" s="91" t="s">
        <v>94</v>
      </c>
      <c r="E18" s="90">
        <v>31</v>
      </c>
      <c r="F18" s="90">
        <v>48</v>
      </c>
      <c r="G18" s="101" t="s">
        <v>153</v>
      </c>
      <c r="H18" s="90" t="s">
        <v>132</v>
      </c>
      <c r="J18">
        <f>SUM(K19)</f>
        <v>0</v>
      </c>
      <c r="K18">
        <f>I18*J18</f>
        <v>0</v>
      </c>
      <c r="L18" t="e">
        <f>100*(1-(M18/K18))</f>
        <v>#DIV/0!</v>
      </c>
      <c r="M18">
        <f>I18*SUM(M19)</f>
        <v>0</v>
      </c>
      <c r="N18">
        <v>18</v>
      </c>
    </row>
    <row r="19" spans="1:14" x14ac:dyDescent="0.25">
      <c r="A19" s="98" t="s">
        <v>133</v>
      </c>
      <c r="B19" s="91">
        <v>4</v>
      </c>
      <c r="C19" s="91" t="s">
        <v>131</v>
      </c>
      <c r="D19" s="91" t="s">
        <v>73</v>
      </c>
      <c r="E19" s="90">
        <v>32</v>
      </c>
      <c r="F19" s="90">
        <v>47</v>
      </c>
      <c r="G19" s="101" t="s">
        <v>153</v>
      </c>
      <c r="H19" s="90" t="s">
        <v>134</v>
      </c>
      <c r="J19">
        <f>SUM(K20)</f>
        <v>0</v>
      </c>
      <c r="K19">
        <f>I19*J19</f>
        <v>0</v>
      </c>
      <c r="L19" t="e">
        <f>100*(1-(M19/K19))</f>
        <v>#DIV/0!</v>
      </c>
      <c r="M19">
        <f>I19*SUM(M20)</f>
        <v>0</v>
      </c>
      <c r="N19">
        <v>19</v>
      </c>
    </row>
    <row r="20" spans="1:14" x14ac:dyDescent="0.25">
      <c r="A20" s="98" t="s">
        <v>135</v>
      </c>
      <c r="B20" s="91">
        <v>5</v>
      </c>
      <c r="C20" s="91" t="s">
        <v>133</v>
      </c>
      <c r="D20" s="91" t="s">
        <v>73</v>
      </c>
      <c r="E20" s="90">
        <v>33</v>
      </c>
      <c r="F20" s="90">
        <v>46</v>
      </c>
      <c r="G20" s="101" t="s">
        <v>153</v>
      </c>
      <c r="H20" s="90" t="s">
        <v>132</v>
      </c>
      <c r="J20">
        <f>SUM(K21)</f>
        <v>0</v>
      </c>
      <c r="K20">
        <f>I20*J20</f>
        <v>0</v>
      </c>
      <c r="L20" t="e">
        <f>100*(1-(M20/K20))</f>
        <v>#DIV/0!</v>
      </c>
      <c r="M20">
        <f>I20*SUM(M21)</f>
        <v>0</v>
      </c>
      <c r="N20">
        <v>20</v>
      </c>
    </row>
    <row r="21" spans="1:14" x14ac:dyDescent="0.25">
      <c r="A21" s="98" t="s">
        <v>136</v>
      </c>
      <c r="B21" s="91">
        <v>6</v>
      </c>
      <c r="C21" s="91" t="s">
        <v>135</v>
      </c>
      <c r="D21" s="91" t="s">
        <v>73</v>
      </c>
      <c r="E21" s="90">
        <v>34</v>
      </c>
      <c r="F21" s="90">
        <v>45</v>
      </c>
      <c r="G21" s="101" t="s">
        <v>153</v>
      </c>
      <c r="H21" s="90" t="s">
        <v>137</v>
      </c>
      <c r="J21">
        <f>SUM(K22,K23,K24,K25,K26)</f>
        <v>0</v>
      </c>
      <c r="K21">
        <f>I21*J21</f>
        <v>0</v>
      </c>
      <c r="L21" t="e">
        <f>100*(1-(M21/K21))</f>
        <v>#DIV/0!</v>
      </c>
      <c r="M21">
        <f>I21*SUM(M22,M23,M24,M25,M26)</f>
        <v>0</v>
      </c>
      <c r="N21">
        <v>21</v>
      </c>
    </row>
    <row r="22" spans="1:14" x14ac:dyDescent="0.25">
      <c r="A22" s="91" t="s">
        <v>138</v>
      </c>
      <c r="B22" s="91">
        <v>7</v>
      </c>
      <c r="C22" s="91" t="s">
        <v>136</v>
      </c>
      <c r="D22" s="91" t="s">
        <v>73</v>
      </c>
      <c r="E22" s="90">
        <v>35</v>
      </c>
      <c r="F22" s="90">
        <v>36</v>
      </c>
      <c r="G22" s="101" t="s">
        <v>73</v>
      </c>
      <c r="H22" s="90" t="s">
        <v>139</v>
      </c>
      <c r="N22">
        <v>22</v>
      </c>
    </row>
    <row r="23" spans="1:14" x14ac:dyDescent="0.25">
      <c r="A23" s="99" t="s">
        <v>140</v>
      </c>
      <c r="B23" s="99">
        <v>7</v>
      </c>
      <c r="C23" s="99" t="s">
        <v>136</v>
      </c>
      <c r="D23" s="99" t="s">
        <v>93</v>
      </c>
      <c r="E23">
        <v>37</v>
      </c>
      <c r="F23">
        <v>38</v>
      </c>
      <c r="G23" s="102" t="s">
        <v>73</v>
      </c>
      <c r="H23" t="s">
        <v>141</v>
      </c>
      <c r="N23">
        <v>23</v>
      </c>
    </row>
    <row r="24" spans="1:14" x14ac:dyDescent="0.25">
      <c r="A24" s="93" t="s">
        <v>142</v>
      </c>
      <c r="B24" s="91">
        <v>7</v>
      </c>
      <c r="C24" s="100" t="s">
        <v>136</v>
      </c>
      <c r="D24" s="91" t="s">
        <v>94</v>
      </c>
      <c r="E24" s="90">
        <v>39</v>
      </c>
      <c r="F24" s="90">
        <v>40</v>
      </c>
      <c r="G24" s="101" t="s">
        <v>73</v>
      </c>
      <c r="H24" s="90" t="s">
        <v>143</v>
      </c>
      <c r="N24">
        <v>24</v>
      </c>
    </row>
    <row r="25" spans="1:14" x14ac:dyDescent="0.25">
      <c r="A25" s="98" t="s">
        <v>144</v>
      </c>
      <c r="B25" s="91">
        <v>7</v>
      </c>
      <c r="C25" s="91" t="s">
        <v>136</v>
      </c>
      <c r="D25" s="91" t="s">
        <v>95</v>
      </c>
      <c r="E25" s="90">
        <v>41</v>
      </c>
      <c r="F25" s="90">
        <v>42</v>
      </c>
      <c r="G25" s="101" t="s">
        <v>73</v>
      </c>
      <c r="H25" s="90" t="s">
        <v>145</v>
      </c>
      <c r="N25">
        <v>25</v>
      </c>
    </row>
    <row r="26" spans="1:14" x14ac:dyDescent="0.25">
      <c r="A26" s="98" t="s">
        <v>146</v>
      </c>
      <c r="B26" s="91">
        <v>7</v>
      </c>
      <c r="C26" s="91" t="s">
        <v>136</v>
      </c>
      <c r="D26" s="91" t="s">
        <v>96</v>
      </c>
      <c r="E26" s="90">
        <v>43</v>
      </c>
      <c r="F26" s="90">
        <v>44</v>
      </c>
      <c r="G26" s="101" t="s">
        <v>73</v>
      </c>
      <c r="H26" s="90" t="s">
        <v>147</v>
      </c>
      <c r="N26">
        <v>26</v>
      </c>
    </row>
    <row r="27" spans="1:14" x14ac:dyDescent="0.25">
      <c r="A27" s="98" t="s">
        <v>148</v>
      </c>
      <c r="B27" s="91">
        <v>3</v>
      </c>
      <c r="C27" s="91" t="s">
        <v>10</v>
      </c>
      <c r="D27" s="91" t="s">
        <v>95</v>
      </c>
      <c r="E27" s="90">
        <v>49</v>
      </c>
      <c r="F27" s="90">
        <v>56</v>
      </c>
      <c r="G27" s="101" t="s">
        <v>153</v>
      </c>
      <c r="H27" s="90" t="s">
        <v>149</v>
      </c>
      <c r="J27">
        <f>SUM(K28)</f>
        <v>0</v>
      </c>
      <c r="K27">
        <f>I27*J27</f>
        <v>0</v>
      </c>
      <c r="L27" t="e">
        <f>100*(1-(M27/K27))</f>
        <v>#DIV/0!</v>
      </c>
      <c r="M27">
        <f>I27*SUM(M28)</f>
        <v>0</v>
      </c>
      <c r="N27">
        <v>27</v>
      </c>
    </row>
    <row r="28" spans="1:14" x14ac:dyDescent="0.25">
      <c r="A28" s="99" t="s">
        <v>150</v>
      </c>
      <c r="B28" s="99">
        <v>4</v>
      </c>
      <c r="C28" s="99" t="s">
        <v>148</v>
      </c>
      <c r="D28" s="99" t="s">
        <v>73</v>
      </c>
      <c r="E28">
        <v>50</v>
      </c>
      <c r="F28">
        <v>55</v>
      </c>
      <c r="G28" s="102" t="s">
        <v>153</v>
      </c>
      <c r="H28" t="s">
        <v>149</v>
      </c>
      <c r="J28">
        <f>SUM(K29)</f>
        <v>0</v>
      </c>
      <c r="K28">
        <f>I28*J28</f>
        <v>0</v>
      </c>
      <c r="L28" t="e">
        <f>100*(1-(M28/K28))</f>
        <v>#DIV/0!</v>
      </c>
      <c r="M28">
        <f>I28*SUM(M29)</f>
        <v>0</v>
      </c>
      <c r="N28">
        <v>28</v>
      </c>
    </row>
    <row r="29" spans="1:14" x14ac:dyDescent="0.25">
      <c r="A29" s="99" t="s">
        <v>151</v>
      </c>
      <c r="B29" s="99">
        <v>5</v>
      </c>
      <c r="C29" s="99" t="s">
        <v>150</v>
      </c>
      <c r="D29" s="99" t="s">
        <v>73</v>
      </c>
      <c r="E29">
        <v>51</v>
      </c>
      <c r="F29">
        <v>54</v>
      </c>
      <c r="G29" s="102" t="s">
        <v>153</v>
      </c>
      <c r="H29" t="s">
        <v>149</v>
      </c>
      <c r="J29">
        <f>SUM(K30)</f>
        <v>0</v>
      </c>
      <c r="K29">
        <f>I29*J29</f>
        <v>0</v>
      </c>
      <c r="L29" t="e">
        <f>100*(1-(M29/K29))</f>
        <v>#DIV/0!</v>
      </c>
      <c r="M29">
        <f>I29*SUM(M30)</f>
        <v>0</v>
      </c>
      <c r="N29">
        <v>29</v>
      </c>
    </row>
    <row r="30" spans="1:14" x14ac:dyDescent="0.25">
      <c r="A30" s="99" t="s">
        <v>152</v>
      </c>
      <c r="B30" s="99">
        <v>6</v>
      </c>
      <c r="C30" s="99" t="s">
        <v>151</v>
      </c>
      <c r="D30" s="99" t="s">
        <v>73</v>
      </c>
      <c r="E30">
        <v>52</v>
      </c>
      <c r="F30">
        <v>53</v>
      </c>
      <c r="G30" s="102" t="s">
        <v>73</v>
      </c>
      <c r="H30" t="s">
        <v>112</v>
      </c>
      <c r="N30">
        <v>30</v>
      </c>
    </row>
    <row r="31" spans="1:14" x14ac:dyDescent="0.25">
      <c r="A31" s="99" t="s">
        <v>154</v>
      </c>
      <c r="B31" s="99">
        <v>3</v>
      </c>
      <c r="C31" s="99" t="s">
        <v>10</v>
      </c>
      <c r="D31" s="99" t="s">
        <v>96</v>
      </c>
      <c r="E31">
        <v>57</v>
      </c>
      <c r="F31">
        <v>72</v>
      </c>
      <c r="G31" s="102" t="s">
        <v>153</v>
      </c>
      <c r="H31" t="s">
        <v>155</v>
      </c>
      <c r="J31">
        <f>SUM(K32)</f>
        <v>0</v>
      </c>
      <c r="K31">
        <f>I31*J31</f>
        <v>0</v>
      </c>
      <c r="L31" t="e">
        <f>100*(1-(M31/K31))</f>
        <v>#DIV/0!</v>
      </c>
      <c r="M31">
        <f>I31*SUM(M32)</f>
        <v>0</v>
      </c>
      <c r="N31">
        <v>31</v>
      </c>
    </row>
    <row r="32" spans="1:14" x14ac:dyDescent="0.25">
      <c r="A32" s="99" t="s">
        <v>156</v>
      </c>
      <c r="B32" s="99">
        <v>4</v>
      </c>
      <c r="C32" s="99" t="s">
        <v>154</v>
      </c>
      <c r="D32" s="99" t="s">
        <v>73</v>
      </c>
      <c r="E32">
        <v>58</v>
      </c>
      <c r="F32">
        <v>71</v>
      </c>
      <c r="G32" s="102" t="s">
        <v>153</v>
      </c>
      <c r="H32" t="s">
        <v>155</v>
      </c>
      <c r="J32">
        <f>SUM(K33)</f>
        <v>0</v>
      </c>
      <c r="K32">
        <f>I32*J32</f>
        <v>0</v>
      </c>
      <c r="L32" t="e">
        <f>100*(1-(M32/K32))</f>
        <v>#DIV/0!</v>
      </c>
      <c r="M32">
        <f>I32*SUM(M33)</f>
        <v>0</v>
      </c>
      <c r="N32">
        <v>32</v>
      </c>
    </row>
    <row r="33" spans="1:14" x14ac:dyDescent="0.25">
      <c r="A33" s="99" t="s">
        <v>157</v>
      </c>
      <c r="B33" s="99">
        <v>5</v>
      </c>
      <c r="C33" s="99" t="s">
        <v>156</v>
      </c>
      <c r="D33" s="99" t="s">
        <v>73</v>
      </c>
      <c r="E33">
        <v>59</v>
      </c>
      <c r="F33">
        <v>70</v>
      </c>
      <c r="G33" s="102" t="s">
        <v>153</v>
      </c>
      <c r="H33" t="s">
        <v>155</v>
      </c>
      <c r="J33">
        <f>SUM(K34)</f>
        <v>0</v>
      </c>
      <c r="K33">
        <f>I33*J33</f>
        <v>0</v>
      </c>
      <c r="L33" t="e">
        <f>100*(1-(M33/K33))</f>
        <v>#DIV/0!</v>
      </c>
      <c r="M33">
        <f>I33*SUM(M34)</f>
        <v>0</v>
      </c>
      <c r="N33">
        <v>33</v>
      </c>
    </row>
    <row r="34" spans="1:14" x14ac:dyDescent="0.25">
      <c r="A34" s="99" t="s">
        <v>158</v>
      </c>
      <c r="B34" s="99">
        <v>6</v>
      </c>
      <c r="C34" s="99" t="s">
        <v>157</v>
      </c>
      <c r="D34" s="99" t="s">
        <v>73</v>
      </c>
      <c r="E34">
        <v>60</v>
      </c>
      <c r="F34">
        <v>69</v>
      </c>
      <c r="G34" s="102" t="s">
        <v>153</v>
      </c>
      <c r="H34" t="s">
        <v>110</v>
      </c>
      <c r="J34">
        <f>SUM(K35,K36,K37,K38)</f>
        <v>0</v>
      </c>
      <c r="K34">
        <f>I34*J34</f>
        <v>0</v>
      </c>
      <c r="L34" t="e">
        <f>100*(1-(M34/K34))</f>
        <v>#DIV/0!</v>
      </c>
      <c r="M34">
        <f>I34*SUM(M35,M36,M37,M38)</f>
        <v>0</v>
      </c>
      <c r="N34">
        <v>34</v>
      </c>
    </row>
    <row r="35" spans="1:14" x14ac:dyDescent="0.25">
      <c r="A35" s="99" t="s">
        <v>159</v>
      </c>
      <c r="B35" s="99">
        <v>7</v>
      </c>
      <c r="C35" s="99" t="s">
        <v>158</v>
      </c>
      <c r="D35" s="99" t="s">
        <v>73</v>
      </c>
      <c r="E35">
        <v>61</v>
      </c>
      <c r="F35">
        <v>62</v>
      </c>
      <c r="G35" s="102" t="s">
        <v>73</v>
      </c>
      <c r="H35" t="s">
        <v>160</v>
      </c>
      <c r="N35">
        <v>35</v>
      </c>
    </row>
    <row r="36" spans="1:14" x14ac:dyDescent="0.25">
      <c r="A36" s="99" t="s">
        <v>161</v>
      </c>
      <c r="B36" s="99">
        <v>7</v>
      </c>
      <c r="C36" s="99" t="s">
        <v>158</v>
      </c>
      <c r="D36" s="99" t="s">
        <v>93</v>
      </c>
      <c r="E36">
        <v>63</v>
      </c>
      <c r="F36">
        <v>64</v>
      </c>
      <c r="G36" s="102" t="s">
        <v>73</v>
      </c>
      <c r="H36" t="s">
        <v>162</v>
      </c>
      <c r="N36">
        <v>36</v>
      </c>
    </row>
    <row r="37" spans="1:14" x14ac:dyDescent="0.25">
      <c r="A37" s="99" t="s">
        <v>163</v>
      </c>
      <c r="B37" s="99">
        <v>7</v>
      </c>
      <c r="C37" s="99" t="s">
        <v>158</v>
      </c>
      <c r="D37" s="99" t="s">
        <v>94</v>
      </c>
      <c r="E37">
        <v>65</v>
      </c>
      <c r="F37">
        <v>66</v>
      </c>
      <c r="G37" s="102" t="s">
        <v>73</v>
      </c>
      <c r="H37" t="s">
        <v>114</v>
      </c>
      <c r="N37">
        <v>37</v>
      </c>
    </row>
    <row r="38" spans="1:14" x14ac:dyDescent="0.25">
      <c r="A38" s="99" t="s">
        <v>164</v>
      </c>
      <c r="B38" s="99">
        <v>7</v>
      </c>
      <c r="C38" s="99" t="s">
        <v>158</v>
      </c>
      <c r="D38" s="99" t="s">
        <v>95</v>
      </c>
      <c r="E38">
        <v>67</v>
      </c>
      <c r="F38">
        <v>68</v>
      </c>
      <c r="G38" s="102" t="s">
        <v>73</v>
      </c>
      <c r="H38" t="s">
        <v>165</v>
      </c>
      <c r="N38">
        <v>38</v>
      </c>
    </row>
    <row r="39" spans="1:14" x14ac:dyDescent="0.25">
      <c r="A39" s="99" t="s">
        <v>166</v>
      </c>
      <c r="B39" s="99">
        <v>3</v>
      </c>
      <c r="C39" s="99" t="s">
        <v>10</v>
      </c>
      <c r="D39" s="99" t="s">
        <v>171</v>
      </c>
      <c r="E39">
        <v>73</v>
      </c>
      <c r="F39">
        <v>88</v>
      </c>
      <c r="G39" s="102" t="s">
        <v>153</v>
      </c>
      <c r="H39" t="s">
        <v>167</v>
      </c>
      <c r="J39">
        <f>SUM(K40)</f>
        <v>0</v>
      </c>
      <c r="K39">
        <f>I39*J39</f>
        <v>0</v>
      </c>
      <c r="L39" t="e">
        <f>100*(1-(M39/K39))</f>
        <v>#DIV/0!</v>
      </c>
      <c r="M39">
        <f>I39*SUM(M40)</f>
        <v>0</v>
      </c>
      <c r="N39">
        <v>39</v>
      </c>
    </row>
    <row r="40" spans="1:14" x14ac:dyDescent="0.25">
      <c r="A40" s="99" t="s">
        <v>168</v>
      </c>
      <c r="B40" s="99">
        <v>4</v>
      </c>
      <c r="C40" s="99" t="s">
        <v>166</v>
      </c>
      <c r="D40" s="99" t="s">
        <v>73</v>
      </c>
      <c r="E40">
        <v>74</v>
      </c>
      <c r="F40">
        <v>87</v>
      </c>
      <c r="G40" s="102" t="s">
        <v>153</v>
      </c>
      <c r="H40" t="s">
        <v>167</v>
      </c>
      <c r="J40">
        <f>SUM(K41)</f>
        <v>0</v>
      </c>
      <c r="K40">
        <f>I40*J40</f>
        <v>0</v>
      </c>
      <c r="L40" t="e">
        <f>100*(1-(M40/K40))</f>
        <v>#DIV/0!</v>
      </c>
      <c r="M40">
        <f>I40*SUM(M41)</f>
        <v>0</v>
      </c>
      <c r="N40">
        <v>40</v>
      </c>
    </row>
    <row r="41" spans="1:14" x14ac:dyDescent="0.25">
      <c r="A41" s="99" t="s">
        <v>169</v>
      </c>
      <c r="B41" s="99">
        <v>5</v>
      </c>
      <c r="C41" s="99" t="s">
        <v>168</v>
      </c>
      <c r="D41" s="99" t="s">
        <v>73</v>
      </c>
      <c r="E41">
        <v>75</v>
      </c>
      <c r="F41">
        <v>86</v>
      </c>
      <c r="G41" s="102" t="s">
        <v>153</v>
      </c>
      <c r="H41" t="s">
        <v>167</v>
      </c>
      <c r="J41">
        <f>SUM(K42)</f>
        <v>0</v>
      </c>
      <c r="K41">
        <f>I41*J41</f>
        <v>0</v>
      </c>
      <c r="L41" t="e">
        <f>100*(1-(M41/K41))</f>
        <v>#DIV/0!</v>
      </c>
      <c r="M41">
        <f>I41*SUM(M42)</f>
        <v>0</v>
      </c>
      <c r="N41">
        <v>41</v>
      </c>
    </row>
    <row r="42" spans="1:14" x14ac:dyDescent="0.25">
      <c r="A42" s="99" t="s">
        <v>170</v>
      </c>
      <c r="B42" s="99">
        <v>6</v>
      </c>
      <c r="C42" s="99" t="s">
        <v>169</v>
      </c>
      <c r="D42" s="99" t="s">
        <v>73</v>
      </c>
      <c r="E42">
        <v>76</v>
      </c>
      <c r="F42">
        <v>85</v>
      </c>
      <c r="G42" s="102" t="s">
        <v>153</v>
      </c>
      <c r="H42" t="s">
        <v>122</v>
      </c>
      <c r="J42">
        <f>SUM(K43,K44,K45,K46)</f>
        <v>0</v>
      </c>
      <c r="K42">
        <f>I42*J42</f>
        <v>0</v>
      </c>
      <c r="L42" t="e">
        <f>100*(1-(M42/K42))</f>
        <v>#DIV/0!</v>
      </c>
      <c r="M42">
        <f>I42*SUM(M43,M44,M45,M46)</f>
        <v>0</v>
      </c>
      <c r="N42">
        <v>42</v>
      </c>
    </row>
    <row r="43" spans="1:14" x14ac:dyDescent="0.25">
      <c r="A43" s="99" t="s">
        <v>172</v>
      </c>
      <c r="B43" s="99">
        <v>7</v>
      </c>
      <c r="C43" s="99" t="s">
        <v>170</v>
      </c>
      <c r="D43" s="99" t="s">
        <v>73</v>
      </c>
      <c r="E43">
        <v>77</v>
      </c>
      <c r="F43">
        <v>78</v>
      </c>
      <c r="G43" s="102" t="s">
        <v>73</v>
      </c>
      <c r="H43" t="s">
        <v>124</v>
      </c>
      <c r="N43">
        <v>43</v>
      </c>
    </row>
    <row r="44" spans="1:14" x14ac:dyDescent="0.25">
      <c r="A44" s="99" t="s">
        <v>173</v>
      </c>
      <c r="B44" s="99">
        <v>7</v>
      </c>
      <c r="C44" s="99" t="s">
        <v>170</v>
      </c>
      <c r="D44" s="99" t="s">
        <v>93</v>
      </c>
      <c r="E44">
        <v>79</v>
      </c>
      <c r="F44">
        <v>80</v>
      </c>
      <c r="G44" s="102" t="s">
        <v>73</v>
      </c>
      <c r="H44" t="s">
        <v>126</v>
      </c>
      <c r="N44">
        <v>44</v>
      </c>
    </row>
    <row r="45" spans="1:14" x14ac:dyDescent="0.25">
      <c r="A45" s="99" t="s">
        <v>174</v>
      </c>
      <c r="B45" s="99">
        <v>7</v>
      </c>
      <c r="C45" s="99" t="s">
        <v>170</v>
      </c>
      <c r="D45" s="99" t="s">
        <v>94</v>
      </c>
      <c r="E45">
        <v>81</v>
      </c>
      <c r="F45">
        <v>82</v>
      </c>
      <c r="G45" s="102" t="s">
        <v>73</v>
      </c>
      <c r="H45" t="s">
        <v>128</v>
      </c>
      <c r="N45">
        <v>45</v>
      </c>
    </row>
    <row r="46" spans="1:14" x14ac:dyDescent="0.25">
      <c r="A46" s="99" t="s">
        <v>175</v>
      </c>
      <c r="B46" s="99">
        <v>7</v>
      </c>
      <c r="C46" s="99" t="s">
        <v>170</v>
      </c>
      <c r="D46" s="99" t="s">
        <v>95</v>
      </c>
      <c r="E46">
        <v>83</v>
      </c>
      <c r="F46">
        <v>84</v>
      </c>
      <c r="G46" s="102" t="s">
        <v>73</v>
      </c>
      <c r="H46" t="s">
        <v>130</v>
      </c>
      <c r="N46">
        <v>46</v>
      </c>
    </row>
    <row r="47" spans="1:14" x14ac:dyDescent="0.25">
      <c r="A47" s="99" t="s">
        <v>176</v>
      </c>
      <c r="B47" s="99">
        <v>3</v>
      </c>
      <c r="C47" s="99" t="s">
        <v>10</v>
      </c>
      <c r="D47" s="99" t="s">
        <v>212</v>
      </c>
      <c r="E47">
        <v>89</v>
      </c>
      <c r="F47">
        <v>98</v>
      </c>
      <c r="G47" s="102" t="s">
        <v>153</v>
      </c>
      <c r="H47" t="s">
        <v>177</v>
      </c>
      <c r="J47">
        <f>SUM(K48)</f>
        <v>0</v>
      </c>
      <c r="K47">
        <f>I47*J47</f>
        <v>0</v>
      </c>
      <c r="L47" t="e">
        <f>100*(1-(M47/K47))</f>
        <v>#DIV/0!</v>
      </c>
      <c r="M47">
        <f>I47*SUM(M48)</f>
        <v>0</v>
      </c>
      <c r="N47">
        <v>47</v>
      </c>
    </row>
    <row r="48" spans="1:14" x14ac:dyDescent="0.25">
      <c r="A48" s="99" t="s">
        <v>178</v>
      </c>
      <c r="B48" s="99">
        <v>4</v>
      </c>
      <c r="C48" s="99" t="s">
        <v>176</v>
      </c>
      <c r="D48" s="99" t="s">
        <v>73</v>
      </c>
      <c r="E48">
        <v>90</v>
      </c>
      <c r="F48">
        <v>97</v>
      </c>
      <c r="G48" s="102" t="s">
        <v>153</v>
      </c>
      <c r="H48" t="s">
        <v>179</v>
      </c>
      <c r="J48">
        <f>SUM(K49)</f>
        <v>0</v>
      </c>
      <c r="K48">
        <f>I48*J48</f>
        <v>0</v>
      </c>
      <c r="L48" t="e">
        <f>100*(1-(M48/K48))</f>
        <v>#DIV/0!</v>
      </c>
      <c r="M48">
        <f>I48*SUM(M49)</f>
        <v>0</v>
      </c>
      <c r="N48">
        <v>48</v>
      </c>
    </row>
    <row r="49" spans="1:14" x14ac:dyDescent="0.25">
      <c r="A49" s="99" t="s">
        <v>180</v>
      </c>
      <c r="B49" s="99">
        <v>5</v>
      </c>
      <c r="C49" s="99" t="s">
        <v>178</v>
      </c>
      <c r="D49" s="99" t="s">
        <v>73</v>
      </c>
      <c r="E49">
        <v>91</v>
      </c>
      <c r="F49">
        <v>96</v>
      </c>
      <c r="G49" s="102" t="s">
        <v>153</v>
      </c>
      <c r="H49" t="s">
        <v>177</v>
      </c>
      <c r="J49">
        <f>SUM(K50)</f>
        <v>0</v>
      </c>
      <c r="K49">
        <f>I49*J49</f>
        <v>0</v>
      </c>
      <c r="L49" t="e">
        <f>100*(1-(M49/K49))</f>
        <v>#DIV/0!</v>
      </c>
      <c r="M49">
        <f>I49*SUM(M50)</f>
        <v>0</v>
      </c>
      <c r="N49">
        <v>49</v>
      </c>
    </row>
    <row r="50" spans="1:14" x14ac:dyDescent="0.25">
      <c r="A50" s="99" t="s">
        <v>181</v>
      </c>
      <c r="B50" s="99">
        <v>6</v>
      </c>
      <c r="C50" s="99" t="s">
        <v>180</v>
      </c>
      <c r="D50" s="99" t="s">
        <v>73</v>
      </c>
      <c r="E50">
        <v>92</v>
      </c>
      <c r="F50">
        <v>95</v>
      </c>
      <c r="G50" s="102" t="s">
        <v>153</v>
      </c>
      <c r="H50" t="s">
        <v>182</v>
      </c>
      <c r="J50">
        <f>SUM(K51)</f>
        <v>0</v>
      </c>
      <c r="K50">
        <f>I50*J50</f>
        <v>0</v>
      </c>
      <c r="L50" t="e">
        <f>100*(1-(M50/K50))</f>
        <v>#DIV/0!</v>
      </c>
      <c r="M50">
        <f>I50*SUM(M51)</f>
        <v>0</v>
      </c>
      <c r="N50">
        <v>50</v>
      </c>
    </row>
    <row r="51" spans="1:14" x14ac:dyDescent="0.25">
      <c r="A51" s="99" t="s">
        <v>183</v>
      </c>
      <c r="B51" s="99">
        <v>7</v>
      </c>
      <c r="C51" s="99" t="s">
        <v>181</v>
      </c>
      <c r="D51" s="99" t="s">
        <v>73</v>
      </c>
      <c r="E51">
        <v>93</v>
      </c>
      <c r="F51">
        <v>94</v>
      </c>
      <c r="G51" s="102" t="s">
        <v>73</v>
      </c>
      <c r="H51" t="s">
        <v>184</v>
      </c>
      <c r="N51">
        <v>51</v>
      </c>
    </row>
    <row r="52" spans="1:14" x14ac:dyDescent="0.25">
      <c r="A52" s="99" t="s">
        <v>185</v>
      </c>
      <c r="B52" s="99">
        <v>3</v>
      </c>
      <c r="C52" s="99" t="s">
        <v>10</v>
      </c>
      <c r="D52" s="99" t="s">
        <v>213</v>
      </c>
      <c r="E52">
        <v>99</v>
      </c>
      <c r="F52">
        <v>108</v>
      </c>
      <c r="G52" s="102" t="s">
        <v>153</v>
      </c>
      <c r="H52" t="s">
        <v>186</v>
      </c>
      <c r="J52">
        <f>SUM(K53)</f>
        <v>0</v>
      </c>
      <c r="K52">
        <f>I52*J52</f>
        <v>0</v>
      </c>
      <c r="L52" t="e">
        <f>100*(1-(M52/K52))</f>
        <v>#DIV/0!</v>
      </c>
      <c r="M52">
        <f>I52*SUM(M53)</f>
        <v>0</v>
      </c>
      <c r="N52">
        <v>52</v>
      </c>
    </row>
    <row r="53" spans="1:14" x14ac:dyDescent="0.25">
      <c r="A53" s="99" t="s">
        <v>187</v>
      </c>
      <c r="B53" s="99">
        <v>4</v>
      </c>
      <c r="C53" s="99" t="s">
        <v>185</v>
      </c>
      <c r="D53" s="99" t="s">
        <v>73</v>
      </c>
      <c r="E53">
        <v>100</v>
      </c>
      <c r="F53">
        <v>107</v>
      </c>
      <c r="G53" s="102" t="s">
        <v>153</v>
      </c>
      <c r="H53" t="s">
        <v>186</v>
      </c>
      <c r="J53">
        <f>SUM(K54)</f>
        <v>0</v>
      </c>
      <c r="K53">
        <f>I53*J53</f>
        <v>0</v>
      </c>
      <c r="L53" t="e">
        <f>100*(1-(M53/K53))</f>
        <v>#DIV/0!</v>
      </c>
      <c r="M53">
        <f>I53*SUM(M54)</f>
        <v>0</v>
      </c>
      <c r="N53">
        <v>53</v>
      </c>
    </row>
    <row r="54" spans="1:14" x14ac:dyDescent="0.25">
      <c r="A54" s="99" t="s">
        <v>188</v>
      </c>
      <c r="B54" s="99">
        <v>5</v>
      </c>
      <c r="C54" s="99" t="s">
        <v>187</v>
      </c>
      <c r="D54" s="99" t="s">
        <v>73</v>
      </c>
      <c r="E54">
        <v>101</v>
      </c>
      <c r="F54">
        <v>106</v>
      </c>
      <c r="G54" s="102" t="s">
        <v>153</v>
      </c>
      <c r="H54" t="s">
        <v>186</v>
      </c>
      <c r="J54">
        <f>SUM(K55)</f>
        <v>0</v>
      </c>
      <c r="K54">
        <f>I54*J54</f>
        <v>0</v>
      </c>
      <c r="L54" t="e">
        <f>100*(1-(M54/K54))</f>
        <v>#DIV/0!</v>
      </c>
      <c r="M54">
        <f>I54*SUM(M55)</f>
        <v>0</v>
      </c>
      <c r="N54">
        <v>54</v>
      </c>
    </row>
    <row r="55" spans="1:14" x14ac:dyDescent="0.25">
      <c r="A55" s="99" t="s">
        <v>189</v>
      </c>
      <c r="B55" s="99">
        <v>6</v>
      </c>
      <c r="C55" s="99" t="s">
        <v>188</v>
      </c>
      <c r="D55" s="99" t="s">
        <v>73</v>
      </c>
      <c r="E55">
        <v>102</v>
      </c>
      <c r="F55">
        <v>105</v>
      </c>
      <c r="G55" s="102" t="s">
        <v>153</v>
      </c>
      <c r="H55" t="s">
        <v>190</v>
      </c>
      <c r="J55">
        <f>SUM(K56)</f>
        <v>0</v>
      </c>
      <c r="K55">
        <f>I55*J55</f>
        <v>0</v>
      </c>
      <c r="L55" t="e">
        <f>100*(1-(M55/K55))</f>
        <v>#DIV/0!</v>
      </c>
      <c r="M55">
        <f>I55*SUM(M56)</f>
        <v>0</v>
      </c>
      <c r="N55">
        <v>55</v>
      </c>
    </row>
    <row r="56" spans="1:14" x14ac:dyDescent="0.25">
      <c r="A56" s="99" t="s">
        <v>191</v>
      </c>
      <c r="B56" s="99">
        <v>7</v>
      </c>
      <c r="C56" s="99" t="s">
        <v>189</v>
      </c>
      <c r="D56" s="99" t="s">
        <v>73</v>
      </c>
      <c r="E56">
        <v>103</v>
      </c>
      <c r="F56">
        <v>104</v>
      </c>
      <c r="G56" s="102" t="s">
        <v>73</v>
      </c>
      <c r="H56" t="s">
        <v>192</v>
      </c>
      <c r="N56">
        <v>56</v>
      </c>
    </row>
    <row r="57" spans="1:14" x14ac:dyDescent="0.25">
      <c r="A57" s="99" t="s">
        <v>193</v>
      </c>
      <c r="B57" s="99">
        <v>3</v>
      </c>
      <c r="C57" s="99" t="s">
        <v>10</v>
      </c>
      <c r="D57" s="99" t="s">
        <v>214</v>
      </c>
      <c r="E57">
        <v>109</v>
      </c>
      <c r="F57">
        <v>122</v>
      </c>
      <c r="G57" s="102" t="s">
        <v>153</v>
      </c>
      <c r="H57" t="s">
        <v>194</v>
      </c>
      <c r="J57">
        <f>SUM(K58)</f>
        <v>0</v>
      </c>
      <c r="K57">
        <f>I57*J57</f>
        <v>0</v>
      </c>
      <c r="L57" t="e">
        <f>100*(1-(M57/K57))</f>
        <v>#DIV/0!</v>
      </c>
      <c r="M57">
        <f>I57*SUM(M58)</f>
        <v>0</v>
      </c>
      <c r="N57">
        <v>57</v>
      </c>
    </row>
    <row r="58" spans="1:14" x14ac:dyDescent="0.25">
      <c r="A58" s="99" t="s">
        <v>195</v>
      </c>
      <c r="B58" s="99">
        <v>4</v>
      </c>
      <c r="C58" s="99" t="s">
        <v>193</v>
      </c>
      <c r="D58" s="99" t="s">
        <v>73</v>
      </c>
      <c r="E58">
        <v>110</v>
      </c>
      <c r="F58">
        <v>121</v>
      </c>
      <c r="G58" s="102" t="s">
        <v>153</v>
      </c>
      <c r="H58" t="s">
        <v>194</v>
      </c>
      <c r="J58">
        <f>SUM(K59)</f>
        <v>0</v>
      </c>
      <c r="K58">
        <f>I58*J58</f>
        <v>0</v>
      </c>
      <c r="L58" t="e">
        <f>100*(1-(M58/K58))</f>
        <v>#DIV/0!</v>
      </c>
      <c r="M58">
        <f>I58*SUM(M59)</f>
        <v>0</v>
      </c>
      <c r="N58">
        <v>58</v>
      </c>
    </row>
    <row r="59" spans="1:14" x14ac:dyDescent="0.25">
      <c r="A59" s="99" t="s">
        <v>196</v>
      </c>
      <c r="B59" s="99">
        <v>5</v>
      </c>
      <c r="C59" s="99" t="s">
        <v>195</v>
      </c>
      <c r="D59" s="99" t="s">
        <v>73</v>
      </c>
      <c r="E59">
        <v>111</v>
      </c>
      <c r="F59">
        <v>120</v>
      </c>
      <c r="G59" s="102" t="s">
        <v>153</v>
      </c>
      <c r="H59" t="s">
        <v>194</v>
      </c>
      <c r="J59">
        <f>SUM(K60)</f>
        <v>0</v>
      </c>
      <c r="K59">
        <f>I59*J59</f>
        <v>0</v>
      </c>
      <c r="L59" t="e">
        <f>100*(1-(M59/K59))</f>
        <v>#DIV/0!</v>
      </c>
      <c r="M59">
        <f>I59*SUM(M60)</f>
        <v>0</v>
      </c>
      <c r="N59">
        <v>59</v>
      </c>
    </row>
    <row r="60" spans="1:14" x14ac:dyDescent="0.25">
      <c r="A60" s="99" t="s">
        <v>197</v>
      </c>
      <c r="B60" s="99">
        <v>6</v>
      </c>
      <c r="C60" s="99" t="s">
        <v>196</v>
      </c>
      <c r="D60" s="99" t="s">
        <v>73</v>
      </c>
      <c r="E60">
        <v>112</v>
      </c>
      <c r="F60">
        <v>119</v>
      </c>
      <c r="G60" s="102" t="s">
        <v>153</v>
      </c>
      <c r="H60" t="s">
        <v>182</v>
      </c>
      <c r="J60">
        <f>SUM(K61,K62,K63)</f>
        <v>0</v>
      </c>
      <c r="K60">
        <f>I60*J60</f>
        <v>0</v>
      </c>
      <c r="L60" t="e">
        <f>100*(1-(M60/K60))</f>
        <v>#DIV/0!</v>
      </c>
      <c r="M60">
        <f>I60*SUM(M61,M62,M63)</f>
        <v>0</v>
      </c>
      <c r="N60">
        <v>60</v>
      </c>
    </row>
    <row r="61" spans="1:14" x14ac:dyDescent="0.25">
      <c r="A61" s="99" t="s">
        <v>198</v>
      </c>
      <c r="B61" s="99">
        <v>7</v>
      </c>
      <c r="C61" s="99" t="s">
        <v>197</v>
      </c>
      <c r="D61" s="99" t="s">
        <v>73</v>
      </c>
      <c r="E61">
        <v>113</v>
      </c>
      <c r="F61">
        <v>114</v>
      </c>
      <c r="G61" s="102" t="s">
        <v>73</v>
      </c>
      <c r="H61" t="s">
        <v>199</v>
      </c>
      <c r="N61">
        <v>61</v>
      </c>
    </row>
    <row r="62" spans="1:14" x14ac:dyDescent="0.25">
      <c r="A62" s="99" t="s">
        <v>200</v>
      </c>
      <c r="B62" s="99">
        <v>7</v>
      </c>
      <c r="C62" s="99" t="s">
        <v>197</v>
      </c>
      <c r="D62" s="99" t="s">
        <v>93</v>
      </c>
      <c r="E62">
        <v>115</v>
      </c>
      <c r="F62">
        <v>116</v>
      </c>
      <c r="G62" s="102" t="s">
        <v>73</v>
      </c>
      <c r="H62" t="s">
        <v>201</v>
      </c>
      <c r="N62">
        <v>62</v>
      </c>
    </row>
    <row r="63" spans="1:14" x14ac:dyDescent="0.25">
      <c r="A63" s="99" t="s">
        <v>202</v>
      </c>
      <c r="B63" s="99">
        <v>7</v>
      </c>
      <c r="C63" s="99" t="s">
        <v>197</v>
      </c>
      <c r="D63" s="99" t="s">
        <v>94</v>
      </c>
      <c r="E63">
        <v>117</v>
      </c>
      <c r="F63">
        <v>118</v>
      </c>
      <c r="G63" s="102" t="s">
        <v>73</v>
      </c>
      <c r="H63" t="s">
        <v>203</v>
      </c>
      <c r="N63">
        <v>63</v>
      </c>
    </row>
    <row r="64" spans="1:14" x14ac:dyDescent="0.25">
      <c r="A64" s="99" t="s">
        <v>204</v>
      </c>
      <c r="B64" s="99">
        <v>3</v>
      </c>
      <c r="C64" s="99" t="s">
        <v>10</v>
      </c>
      <c r="D64" s="99" t="s">
        <v>215</v>
      </c>
      <c r="E64">
        <v>123</v>
      </c>
      <c r="F64">
        <v>132</v>
      </c>
      <c r="G64" s="102" t="s">
        <v>153</v>
      </c>
      <c r="H64" t="s">
        <v>205</v>
      </c>
      <c r="J64">
        <f>SUM(K65)</f>
        <v>0</v>
      </c>
      <c r="K64">
        <f>I64*J64</f>
        <v>0</v>
      </c>
      <c r="L64" t="e">
        <f>100*(1-(M64/K64))</f>
        <v>#DIV/0!</v>
      </c>
      <c r="M64">
        <f>I64*SUM(M65)</f>
        <v>0</v>
      </c>
      <c r="N64">
        <v>64</v>
      </c>
    </row>
    <row r="65" spans="1:14" x14ac:dyDescent="0.25">
      <c r="A65" s="99" t="s">
        <v>206</v>
      </c>
      <c r="B65" s="99">
        <v>4</v>
      </c>
      <c r="C65" s="99" t="s">
        <v>204</v>
      </c>
      <c r="D65" s="99" t="s">
        <v>73</v>
      </c>
      <c r="E65">
        <v>124</v>
      </c>
      <c r="F65">
        <v>131</v>
      </c>
      <c r="G65" s="102" t="s">
        <v>153</v>
      </c>
      <c r="H65" t="s">
        <v>205</v>
      </c>
      <c r="J65">
        <f>SUM(K66)</f>
        <v>0</v>
      </c>
      <c r="K65">
        <f>I65*J65</f>
        <v>0</v>
      </c>
      <c r="L65" t="e">
        <f>100*(1-(M65/K65))</f>
        <v>#DIV/0!</v>
      </c>
      <c r="M65">
        <f>I65*SUM(M66)</f>
        <v>0</v>
      </c>
      <c r="N65">
        <v>65</v>
      </c>
    </row>
    <row r="66" spans="1:14" x14ac:dyDescent="0.25">
      <c r="A66" s="99" t="s">
        <v>207</v>
      </c>
      <c r="B66" s="99">
        <v>5</v>
      </c>
      <c r="C66" s="99" t="s">
        <v>206</v>
      </c>
      <c r="D66" s="99" t="s">
        <v>73</v>
      </c>
      <c r="E66">
        <v>125</v>
      </c>
      <c r="F66">
        <v>130</v>
      </c>
      <c r="G66" s="102" t="s">
        <v>153</v>
      </c>
      <c r="H66" t="s">
        <v>205</v>
      </c>
      <c r="J66">
        <f>SUM(K67,K68)</f>
        <v>0</v>
      </c>
      <c r="K66">
        <f>I66*J66</f>
        <v>0</v>
      </c>
      <c r="L66" t="e">
        <f>100*(1-(M66/K66))</f>
        <v>#DIV/0!</v>
      </c>
      <c r="M66">
        <f>I66*SUM(M67,M68)</f>
        <v>0</v>
      </c>
      <c r="N66">
        <v>66</v>
      </c>
    </row>
    <row r="67" spans="1:14" x14ac:dyDescent="0.25">
      <c r="A67" s="99" t="s">
        <v>208</v>
      </c>
      <c r="B67" s="99">
        <v>6</v>
      </c>
      <c r="C67" s="99" t="s">
        <v>207</v>
      </c>
      <c r="D67" s="99" t="s">
        <v>73</v>
      </c>
      <c r="E67">
        <v>126</v>
      </c>
      <c r="F67">
        <v>127</v>
      </c>
      <c r="G67" s="102" t="s">
        <v>73</v>
      </c>
      <c r="H67" t="s">
        <v>209</v>
      </c>
      <c r="N67">
        <v>67</v>
      </c>
    </row>
    <row r="68" spans="1:14" x14ac:dyDescent="0.25">
      <c r="A68" s="99" t="s">
        <v>210</v>
      </c>
      <c r="B68" s="99">
        <v>6</v>
      </c>
      <c r="C68" s="99" t="s">
        <v>207</v>
      </c>
      <c r="D68" s="99" t="s">
        <v>93</v>
      </c>
      <c r="E68">
        <v>128</v>
      </c>
      <c r="F68">
        <v>129</v>
      </c>
      <c r="G68" s="102" t="s">
        <v>73</v>
      </c>
      <c r="H68" t="s">
        <v>211</v>
      </c>
      <c r="N68">
        <v>68</v>
      </c>
    </row>
    <row r="69" spans="1:14" x14ac:dyDescent="0.25">
      <c r="A69" s="99" t="s">
        <v>216</v>
      </c>
      <c r="B69" s="99">
        <v>3</v>
      </c>
      <c r="C69" s="99" t="s">
        <v>10</v>
      </c>
      <c r="D69" s="99" t="s">
        <v>353</v>
      </c>
      <c r="E69">
        <v>133</v>
      </c>
      <c r="F69">
        <v>202</v>
      </c>
      <c r="G69" s="102" t="s">
        <v>153</v>
      </c>
      <c r="H69" t="s">
        <v>217</v>
      </c>
      <c r="J69">
        <f>SUM(K70)</f>
        <v>0</v>
      </c>
      <c r="K69">
        <f>I69*J69</f>
        <v>0</v>
      </c>
      <c r="L69" t="e">
        <f>100*(1-(M69/K69))</f>
        <v>#DIV/0!</v>
      </c>
      <c r="M69">
        <f>I69*SUM(M70)</f>
        <v>0</v>
      </c>
      <c r="N69">
        <v>69</v>
      </c>
    </row>
    <row r="70" spans="1:14" x14ac:dyDescent="0.25">
      <c r="A70" s="99" t="s">
        <v>218</v>
      </c>
      <c r="B70" s="99">
        <v>4</v>
      </c>
      <c r="C70" s="99" t="s">
        <v>216</v>
      </c>
      <c r="D70" s="99" t="s">
        <v>73</v>
      </c>
      <c r="E70">
        <v>134</v>
      </c>
      <c r="F70">
        <v>201</v>
      </c>
      <c r="G70" s="102" t="s">
        <v>153</v>
      </c>
      <c r="H70" t="s">
        <v>217</v>
      </c>
      <c r="J70">
        <f>SUM(K71)</f>
        <v>0</v>
      </c>
      <c r="K70">
        <f>I70*J70</f>
        <v>0</v>
      </c>
      <c r="L70" t="e">
        <f>100*(1-(M70/K70))</f>
        <v>#DIV/0!</v>
      </c>
      <c r="M70">
        <f>I70*SUM(M71)</f>
        <v>0</v>
      </c>
      <c r="N70">
        <v>70</v>
      </c>
    </row>
    <row r="71" spans="1:14" x14ac:dyDescent="0.25">
      <c r="A71" s="99" t="s">
        <v>219</v>
      </c>
      <c r="B71" s="99">
        <v>5</v>
      </c>
      <c r="C71" s="99" t="s">
        <v>218</v>
      </c>
      <c r="D71" s="99" t="s">
        <v>73</v>
      </c>
      <c r="E71">
        <v>135</v>
      </c>
      <c r="F71">
        <v>200</v>
      </c>
      <c r="G71" s="102" t="s">
        <v>153</v>
      </c>
      <c r="H71" t="s">
        <v>217</v>
      </c>
      <c r="J71">
        <f>SUM(K72,K101)</f>
        <v>0</v>
      </c>
      <c r="K71">
        <f>I71*J71</f>
        <v>0</v>
      </c>
      <c r="L71" t="e">
        <f>100*(1-(M71/K71))</f>
        <v>#DIV/0!</v>
      </c>
      <c r="M71">
        <f>I71*SUM(M72,M101)</f>
        <v>0</v>
      </c>
      <c r="N71">
        <v>71</v>
      </c>
    </row>
    <row r="72" spans="1:14" x14ac:dyDescent="0.25">
      <c r="A72" s="99" t="s">
        <v>220</v>
      </c>
      <c r="B72" s="99">
        <v>6</v>
      </c>
      <c r="C72" s="99" t="s">
        <v>219</v>
      </c>
      <c r="D72" s="99" t="s">
        <v>73</v>
      </c>
      <c r="E72">
        <v>136</v>
      </c>
      <c r="F72">
        <v>193</v>
      </c>
      <c r="G72" s="102" t="s">
        <v>153</v>
      </c>
      <c r="H72" t="s">
        <v>221</v>
      </c>
      <c r="J72">
        <f>SUM(K73,K74,K75,K76,K77,K78,K79,K80,K81,K82,K83,K84,K85,K86,K87,K88,K89,K90,K91,K92,K93,K94,K95,K96,K97,K98,K99,K100)</f>
        <v>0</v>
      </c>
      <c r="K72">
        <f>I72*J72</f>
        <v>0</v>
      </c>
      <c r="L72" t="e">
        <f>100*(1-(M72/K72))</f>
        <v>#DIV/0!</v>
      </c>
      <c r="M72">
        <f>I72*SUM(M73,M74,M75,M76,M77,M78,M79,M80,M81,M82,M83,M84,M85,M86,M87,M88,M89,M90,M91,M92,M93,M94,M95,M96,M97,M98,M99,M100)</f>
        <v>0</v>
      </c>
      <c r="N72">
        <v>72</v>
      </c>
    </row>
    <row r="73" spans="1:14" x14ac:dyDescent="0.25">
      <c r="A73" s="99" t="s">
        <v>222</v>
      </c>
      <c r="B73" s="99">
        <v>7</v>
      </c>
      <c r="C73" s="99" t="s">
        <v>220</v>
      </c>
      <c r="D73" s="99" t="s">
        <v>73</v>
      </c>
      <c r="E73">
        <v>137</v>
      </c>
      <c r="F73">
        <v>138</v>
      </c>
      <c r="G73" s="102" t="s">
        <v>73</v>
      </c>
      <c r="H73" t="s">
        <v>223</v>
      </c>
      <c r="N73">
        <v>73</v>
      </c>
    </row>
    <row r="74" spans="1:14" x14ac:dyDescent="0.25">
      <c r="A74" s="99" t="s">
        <v>224</v>
      </c>
      <c r="B74" s="99">
        <v>7</v>
      </c>
      <c r="C74" s="99" t="s">
        <v>220</v>
      </c>
      <c r="D74" s="99" t="s">
        <v>93</v>
      </c>
      <c r="E74">
        <v>139</v>
      </c>
      <c r="F74">
        <v>140</v>
      </c>
      <c r="G74" s="102" t="s">
        <v>73</v>
      </c>
      <c r="H74" t="s">
        <v>225</v>
      </c>
      <c r="N74">
        <v>74</v>
      </c>
    </row>
    <row r="75" spans="1:14" x14ac:dyDescent="0.25">
      <c r="A75" s="99" t="s">
        <v>226</v>
      </c>
      <c r="B75" s="99">
        <v>7</v>
      </c>
      <c r="C75" s="99" t="s">
        <v>220</v>
      </c>
      <c r="D75" s="99" t="s">
        <v>94</v>
      </c>
      <c r="E75">
        <v>141</v>
      </c>
      <c r="F75">
        <v>142</v>
      </c>
      <c r="G75" s="102" t="s">
        <v>73</v>
      </c>
      <c r="H75" t="s">
        <v>227</v>
      </c>
      <c r="N75">
        <v>75</v>
      </c>
    </row>
    <row r="76" spans="1:14" x14ac:dyDescent="0.25">
      <c r="A76" s="99" t="s">
        <v>228</v>
      </c>
      <c r="B76" s="99">
        <v>7</v>
      </c>
      <c r="C76" s="99" t="s">
        <v>220</v>
      </c>
      <c r="D76" s="99" t="s">
        <v>95</v>
      </c>
      <c r="E76">
        <v>143</v>
      </c>
      <c r="F76">
        <v>144</v>
      </c>
      <c r="G76" s="102" t="s">
        <v>73</v>
      </c>
      <c r="H76" t="s">
        <v>229</v>
      </c>
      <c r="N76">
        <v>76</v>
      </c>
    </row>
    <row r="77" spans="1:14" x14ac:dyDescent="0.25">
      <c r="A77" s="99" t="s">
        <v>230</v>
      </c>
      <c r="B77" s="99">
        <v>7</v>
      </c>
      <c r="C77" s="99" t="s">
        <v>220</v>
      </c>
      <c r="D77" s="99" t="s">
        <v>96</v>
      </c>
      <c r="E77">
        <v>145</v>
      </c>
      <c r="F77">
        <v>146</v>
      </c>
      <c r="G77" s="102" t="s">
        <v>73</v>
      </c>
      <c r="H77" t="s">
        <v>231</v>
      </c>
      <c r="N77">
        <v>77</v>
      </c>
    </row>
    <row r="78" spans="1:14" x14ac:dyDescent="0.25">
      <c r="A78" s="99" t="s">
        <v>232</v>
      </c>
      <c r="B78" s="99">
        <v>7</v>
      </c>
      <c r="C78" s="99" t="s">
        <v>220</v>
      </c>
      <c r="D78" s="99" t="s">
        <v>171</v>
      </c>
      <c r="E78">
        <v>147</v>
      </c>
      <c r="F78">
        <v>148</v>
      </c>
      <c r="G78" s="102" t="s">
        <v>73</v>
      </c>
      <c r="H78" t="s">
        <v>233</v>
      </c>
      <c r="N78">
        <v>78</v>
      </c>
    </row>
    <row r="79" spans="1:14" x14ac:dyDescent="0.25">
      <c r="A79" s="99" t="s">
        <v>234</v>
      </c>
      <c r="B79" s="99">
        <v>7</v>
      </c>
      <c r="C79" s="99" t="s">
        <v>220</v>
      </c>
      <c r="D79" s="99" t="s">
        <v>212</v>
      </c>
      <c r="E79">
        <v>149</v>
      </c>
      <c r="F79">
        <v>150</v>
      </c>
      <c r="G79" s="102" t="s">
        <v>73</v>
      </c>
      <c r="H79" t="s">
        <v>235</v>
      </c>
      <c r="N79">
        <v>79</v>
      </c>
    </row>
    <row r="80" spans="1:14" x14ac:dyDescent="0.25">
      <c r="A80" s="99" t="s">
        <v>236</v>
      </c>
      <c r="B80" s="99">
        <v>7</v>
      </c>
      <c r="C80" s="99" t="s">
        <v>220</v>
      </c>
      <c r="D80" s="99" t="s">
        <v>213</v>
      </c>
      <c r="E80">
        <v>151</v>
      </c>
      <c r="F80">
        <v>152</v>
      </c>
      <c r="G80" s="102" t="s">
        <v>73</v>
      </c>
      <c r="H80" t="s">
        <v>237</v>
      </c>
      <c r="N80">
        <v>80</v>
      </c>
    </row>
    <row r="81" spans="1:14" x14ac:dyDescent="0.25">
      <c r="A81" s="99" t="s">
        <v>238</v>
      </c>
      <c r="B81" s="99">
        <v>7</v>
      </c>
      <c r="C81" s="99" t="s">
        <v>220</v>
      </c>
      <c r="D81" s="99" t="s">
        <v>214</v>
      </c>
      <c r="E81">
        <v>153</v>
      </c>
      <c r="F81">
        <v>154</v>
      </c>
      <c r="G81" s="102" t="s">
        <v>73</v>
      </c>
      <c r="H81" t="s">
        <v>239</v>
      </c>
      <c r="N81">
        <v>81</v>
      </c>
    </row>
    <row r="82" spans="1:14" x14ac:dyDescent="0.25">
      <c r="A82" s="99" t="s">
        <v>240</v>
      </c>
      <c r="B82" s="99">
        <v>7</v>
      </c>
      <c r="C82" s="99" t="s">
        <v>220</v>
      </c>
      <c r="D82" s="99" t="s">
        <v>215</v>
      </c>
      <c r="E82">
        <v>155</v>
      </c>
      <c r="F82">
        <v>156</v>
      </c>
      <c r="G82" s="102" t="s">
        <v>73</v>
      </c>
      <c r="H82" t="s">
        <v>241</v>
      </c>
      <c r="N82">
        <v>82</v>
      </c>
    </row>
    <row r="83" spans="1:14" x14ac:dyDescent="0.25">
      <c r="A83" s="99" t="s">
        <v>242</v>
      </c>
      <c r="B83" s="99">
        <v>7</v>
      </c>
      <c r="C83" s="99" t="s">
        <v>220</v>
      </c>
      <c r="D83" s="99" t="s">
        <v>353</v>
      </c>
      <c r="E83">
        <v>157</v>
      </c>
      <c r="F83">
        <v>158</v>
      </c>
      <c r="G83" s="102" t="s">
        <v>73</v>
      </c>
      <c r="H83" t="s">
        <v>243</v>
      </c>
      <c r="N83">
        <v>83</v>
      </c>
    </row>
    <row r="84" spans="1:14" x14ac:dyDescent="0.25">
      <c r="A84" s="99" t="s">
        <v>244</v>
      </c>
      <c r="B84" s="99">
        <v>7</v>
      </c>
      <c r="C84" s="99" t="s">
        <v>220</v>
      </c>
      <c r="D84" s="99" t="s">
        <v>354</v>
      </c>
      <c r="E84">
        <v>159</v>
      </c>
      <c r="F84">
        <v>160</v>
      </c>
      <c r="G84" s="102" t="s">
        <v>73</v>
      </c>
      <c r="H84" t="s">
        <v>245</v>
      </c>
      <c r="N84">
        <v>84</v>
      </c>
    </row>
    <row r="85" spans="1:14" x14ac:dyDescent="0.25">
      <c r="A85" s="99" t="s">
        <v>246</v>
      </c>
      <c r="B85" s="99">
        <v>7</v>
      </c>
      <c r="C85" s="99" t="s">
        <v>220</v>
      </c>
      <c r="D85" s="99" t="s">
        <v>355</v>
      </c>
      <c r="E85">
        <v>161</v>
      </c>
      <c r="F85">
        <v>162</v>
      </c>
      <c r="G85" s="102" t="s">
        <v>73</v>
      </c>
      <c r="H85" t="s">
        <v>247</v>
      </c>
      <c r="N85">
        <v>85</v>
      </c>
    </row>
    <row r="86" spans="1:14" x14ac:dyDescent="0.25">
      <c r="A86" s="99" t="s">
        <v>248</v>
      </c>
      <c r="B86" s="99">
        <v>7</v>
      </c>
      <c r="C86" s="99" t="s">
        <v>220</v>
      </c>
      <c r="D86" s="99" t="s">
        <v>356</v>
      </c>
      <c r="E86">
        <v>163</v>
      </c>
      <c r="F86">
        <v>164</v>
      </c>
      <c r="G86" s="102" t="s">
        <v>73</v>
      </c>
      <c r="H86" t="s">
        <v>249</v>
      </c>
      <c r="N86">
        <v>86</v>
      </c>
    </row>
    <row r="87" spans="1:14" x14ac:dyDescent="0.25">
      <c r="A87" s="99" t="s">
        <v>250</v>
      </c>
      <c r="B87" s="99">
        <v>7</v>
      </c>
      <c r="C87" s="99" t="s">
        <v>220</v>
      </c>
      <c r="D87" s="99" t="s">
        <v>357</v>
      </c>
      <c r="E87">
        <v>165</v>
      </c>
      <c r="F87">
        <v>166</v>
      </c>
      <c r="G87" s="102" t="s">
        <v>73</v>
      </c>
      <c r="H87" t="s">
        <v>251</v>
      </c>
      <c r="N87">
        <v>87</v>
      </c>
    </row>
    <row r="88" spans="1:14" x14ac:dyDescent="0.25">
      <c r="A88" s="99" t="s">
        <v>252</v>
      </c>
      <c r="B88" s="99">
        <v>7</v>
      </c>
      <c r="C88" s="99" t="s">
        <v>220</v>
      </c>
      <c r="D88" s="99" t="s">
        <v>358</v>
      </c>
      <c r="E88">
        <v>167</v>
      </c>
      <c r="F88">
        <v>168</v>
      </c>
      <c r="G88" s="102" t="s">
        <v>73</v>
      </c>
      <c r="H88" t="s">
        <v>253</v>
      </c>
      <c r="N88">
        <v>88</v>
      </c>
    </row>
    <row r="89" spans="1:14" x14ac:dyDescent="0.25">
      <c r="A89" s="99" t="s">
        <v>254</v>
      </c>
      <c r="B89" s="99">
        <v>7</v>
      </c>
      <c r="C89" s="99" t="s">
        <v>220</v>
      </c>
      <c r="D89" s="99" t="s">
        <v>359</v>
      </c>
      <c r="E89">
        <v>169</v>
      </c>
      <c r="F89">
        <v>170</v>
      </c>
      <c r="G89" s="102" t="s">
        <v>73</v>
      </c>
      <c r="H89" t="s">
        <v>255</v>
      </c>
      <c r="N89">
        <v>89</v>
      </c>
    </row>
    <row r="90" spans="1:14" x14ac:dyDescent="0.25">
      <c r="A90" s="99" t="s">
        <v>256</v>
      </c>
      <c r="B90" s="99">
        <v>7</v>
      </c>
      <c r="C90" s="99" t="s">
        <v>220</v>
      </c>
      <c r="D90" s="99" t="s">
        <v>360</v>
      </c>
      <c r="E90">
        <v>171</v>
      </c>
      <c r="F90">
        <v>172</v>
      </c>
      <c r="G90" s="102" t="s">
        <v>73</v>
      </c>
      <c r="H90" t="s">
        <v>257</v>
      </c>
      <c r="N90">
        <v>90</v>
      </c>
    </row>
    <row r="91" spans="1:14" x14ac:dyDescent="0.25">
      <c r="A91" s="99" t="s">
        <v>258</v>
      </c>
      <c r="B91" s="99">
        <v>7</v>
      </c>
      <c r="C91" s="99" t="s">
        <v>220</v>
      </c>
      <c r="D91" s="99" t="s">
        <v>361</v>
      </c>
      <c r="E91">
        <v>173</v>
      </c>
      <c r="F91">
        <v>174</v>
      </c>
      <c r="G91" s="102" t="s">
        <v>73</v>
      </c>
      <c r="H91" t="s">
        <v>259</v>
      </c>
      <c r="N91">
        <v>91</v>
      </c>
    </row>
    <row r="92" spans="1:14" x14ac:dyDescent="0.25">
      <c r="A92" s="99" t="s">
        <v>260</v>
      </c>
      <c r="B92" s="99">
        <v>7</v>
      </c>
      <c r="C92" s="99" t="s">
        <v>220</v>
      </c>
      <c r="D92" s="99" t="s">
        <v>362</v>
      </c>
      <c r="E92">
        <v>175</v>
      </c>
      <c r="F92">
        <v>176</v>
      </c>
      <c r="G92" s="102" t="s">
        <v>73</v>
      </c>
      <c r="H92" t="s">
        <v>261</v>
      </c>
      <c r="N92">
        <v>92</v>
      </c>
    </row>
    <row r="93" spans="1:14" x14ac:dyDescent="0.25">
      <c r="A93" s="99" t="s">
        <v>262</v>
      </c>
      <c r="B93" s="99">
        <v>7</v>
      </c>
      <c r="C93" s="99" t="s">
        <v>220</v>
      </c>
      <c r="D93" s="99" t="s">
        <v>363</v>
      </c>
      <c r="E93">
        <v>177</v>
      </c>
      <c r="F93">
        <v>178</v>
      </c>
      <c r="G93" s="102" t="s">
        <v>73</v>
      </c>
      <c r="H93" t="s">
        <v>263</v>
      </c>
      <c r="N93">
        <v>93</v>
      </c>
    </row>
    <row r="94" spans="1:14" x14ac:dyDescent="0.25">
      <c r="A94" s="99" t="s">
        <v>264</v>
      </c>
      <c r="B94" s="99">
        <v>7</v>
      </c>
      <c r="C94" s="99" t="s">
        <v>220</v>
      </c>
      <c r="D94" s="99" t="s">
        <v>364</v>
      </c>
      <c r="E94">
        <v>179</v>
      </c>
      <c r="F94">
        <v>180</v>
      </c>
      <c r="G94" s="102" t="s">
        <v>73</v>
      </c>
      <c r="H94" t="s">
        <v>265</v>
      </c>
      <c r="N94">
        <v>94</v>
      </c>
    </row>
    <row r="95" spans="1:14" x14ac:dyDescent="0.25">
      <c r="A95" s="99" t="s">
        <v>266</v>
      </c>
      <c r="B95" s="99">
        <v>7</v>
      </c>
      <c r="C95" s="99" t="s">
        <v>220</v>
      </c>
      <c r="D95" s="99" t="s">
        <v>365</v>
      </c>
      <c r="E95">
        <v>181</v>
      </c>
      <c r="F95">
        <v>182</v>
      </c>
      <c r="G95" s="102" t="s">
        <v>73</v>
      </c>
      <c r="H95" t="s">
        <v>267</v>
      </c>
      <c r="N95">
        <v>95</v>
      </c>
    </row>
    <row r="96" spans="1:14" x14ac:dyDescent="0.25">
      <c r="A96" s="99" t="s">
        <v>268</v>
      </c>
      <c r="B96" s="99">
        <v>7</v>
      </c>
      <c r="C96" s="99" t="s">
        <v>220</v>
      </c>
      <c r="D96" s="99" t="s">
        <v>366</v>
      </c>
      <c r="E96">
        <v>183</v>
      </c>
      <c r="F96">
        <v>184</v>
      </c>
      <c r="G96" s="102" t="s">
        <v>73</v>
      </c>
      <c r="H96" t="s">
        <v>269</v>
      </c>
      <c r="N96">
        <v>96</v>
      </c>
    </row>
    <row r="97" spans="1:14" x14ac:dyDescent="0.25">
      <c r="A97" s="99" t="s">
        <v>270</v>
      </c>
      <c r="B97" s="99">
        <v>7</v>
      </c>
      <c r="C97" s="99" t="s">
        <v>220</v>
      </c>
      <c r="D97" s="99" t="s">
        <v>367</v>
      </c>
      <c r="E97">
        <v>185</v>
      </c>
      <c r="F97">
        <v>186</v>
      </c>
      <c r="G97" s="102" t="s">
        <v>73</v>
      </c>
      <c r="H97" t="s">
        <v>271</v>
      </c>
      <c r="N97">
        <v>97</v>
      </c>
    </row>
    <row r="98" spans="1:14" x14ac:dyDescent="0.25">
      <c r="A98" s="99" t="s">
        <v>272</v>
      </c>
      <c r="B98" s="99">
        <v>7</v>
      </c>
      <c r="C98" s="99" t="s">
        <v>220</v>
      </c>
      <c r="D98" s="99" t="s">
        <v>368</v>
      </c>
      <c r="E98">
        <v>187</v>
      </c>
      <c r="F98">
        <v>188</v>
      </c>
      <c r="G98" s="102" t="s">
        <v>73</v>
      </c>
      <c r="H98" t="s">
        <v>273</v>
      </c>
      <c r="N98">
        <v>98</v>
      </c>
    </row>
    <row r="99" spans="1:14" x14ac:dyDescent="0.25">
      <c r="A99" s="99" t="s">
        <v>274</v>
      </c>
      <c r="B99" s="99">
        <v>7</v>
      </c>
      <c r="C99" s="99" t="s">
        <v>220</v>
      </c>
      <c r="D99" s="99" t="s">
        <v>369</v>
      </c>
      <c r="E99">
        <v>189</v>
      </c>
      <c r="F99">
        <v>190</v>
      </c>
      <c r="G99" s="102" t="s">
        <v>73</v>
      </c>
      <c r="H99" t="s">
        <v>275</v>
      </c>
      <c r="N99">
        <v>99</v>
      </c>
    </row>
    <row r="100" spans="1:14" x14ac:dyDescent="0.25">
      <c r="A100" s="99" t="s">
        <v>276</v>
      </c>
      <c r="B100" s="99">
        <v>7</v>
      </c>
      <c r="C100" s="99" t="s">
        <v>220</v>
      </c>
      <c r="D100" s="99" t="s">
        <v>370</v>
      </c>
      <c r="E100">
        <v>191</v>
      </c>
      <c r="F100">
        <v>192</v>
      </c>
      <c r="G100" s="102" t="s">
        <v>73</v>
      </c>
      <c r="H100" t="s">
        <v>277</v>
      </c>
      <c r="N100">
        <v>100</v>
      </c>
    </row>
    <row r="101" spans="1:14" x14ac:dyDescent="0.25">
      <c r="A101" s="99" t="s">
        <v>278</v>
      </c>
      <c r="B101" s="99">
        <v>6</v>
      </c>
      <c r="C101" s="99" t="s">
        <v>219</v>
      </c>
      <c r="D101" s="99" t="s">
        <v>93</v>
      </c>
      <c r="E101">
        <v>194</v>
      </c>
      <c r="F101">
        <v>199</v>
      </c>
      <c r="G101" s="102" t="s">
        <v>153</v>
      </c>
      <c r="H101" t="s">
        <v>221</v>
      </c>
      <c r="J101">
        <f>SUM(K102,K103)</f>
        <v>0</v>
      </c>
      <c r="K101">
        <f>I101*J101</f>
        <v>0</v>
      </c>
      <c r="L101" t="e">
        <f>100*(1-(M101/K101))</f>
        <v>#DIV/0!</v>
      </c>
      <c r="M101">
        <f>I101*SUM(M102,M103)</f>
        <v>0</v>
      </c>
      <c r="N101">
        <v>101</v>
      </c>
    </row>
    <row r="102" spans="1:14" x14ac:dyDescent="0.25">
      <c r="A102" s="99" t="s">
        <v>279</v>
      </c>
      <c r="B102" s="99">
        <v>7</v>
      </c>
      <c r="C102" s="99" t="s">
        <v>278</v>
      </c>
      <c r="D102" s="99" t="s">
        <v>73</v>
      </c>
      <c r="E102">
        <v>195</v>
      </c>
      <c r="F102">
        <v>196</v>
      </c>
      <c r="G102" s="102" t="s">
        <v>73</v>
      </c>
      <c r="H102" t="s">
        <v>280</v>
      </c>
      <c r="N102">
        <v>102</v>
      </c>
    </row>
    <row r="103" spans="1:14" x14ac:dyDescent="0.25">
      <c r="A103" s="99" t="s">
        <v>281</v>
      </c>
      <c r="B103" s="99">
        <v>7</v>
      </c>
      <c r="C103" s="99" t="s">
        <v>278</v>
      </c>
      <c r="D103" s="99" t="s">
        <v>93</v>
      </c>
      <c r="E103">
        <v>197</v>
      </c>
      <c r="F103">
        <v>198</v>
      </c>
      <c r="G103" s="102" t="s">
        <v>73</v>
      </c>
      <c r="H103" t="s">
        <v>282</v>
      </c>
      <c r="N103">
        <v>103</v>
      </c>
    </row>
    <row r="104" spans="1:14" x14ac:dyDescent="0.25">
      <c r="A104" s="99" t="s">
        <v>283</v>
      </c>
      <c r="B104" s="99">
        <v>3</v>
      </c>
      <c r="C104" s="99" t="s">
        <v>10</v>
      </c>
      <c r="D104" s="99" t="s">
        <v>354</v>
      </c>
      <c r="E104">
        <v>203</v>
      </c>
      <c r="F104">
        <v>214</v>
      </c>
      <c r="G104" s="102" t="s">
        <v>153</v>
      </c>
      <c r="H104" t="s">
        <v>284</v>
      </c>
      <c r="J104">
        <f>SUM(K105)</f>
        <v>0</v>
      </c>
      <c r="K104">
        <f>I104*J104</f>
        <v>0</v>
      </c>
      <c r="L104" t="e">
        <f>100*(1-(M104/K104))</f>
        <v>#DIV/0!</v>
      </c>
      <c r="M104">
        <f>I104*SUM(M105)</f>
        <v>0</v>
      </c>
      <c r="N104">
        <v>104</v>
      </c>
    </row>
    <row r="105" spans="1:14" x14ac:dyDescent="0.25">
      <c r="A105" s="99" t="s">
        <v>285</v>
      </c>
      <c r="B105" s="99">
        <v>4</v>
      </c>
      <c r="C105" s="99" t="s">
        <v>283</v>
      </c>
      <c r="D105" s="99" t="s">
        <v>73</v>
      </c>
      <c r="E105">
        <v>204</v>
      </c>
      <c r="F105">
        <v>213</v>
      </c>
      <c r="G105" s="102" t="s">
        <v>153</v>
      </c>
      <c r="H105" t="s">
        <v>284</v>
      </c>
      <c r="J105">
        <f>SUM(K106)</f>
        <v>0</v>
      </c>
      <c r="K105">
        <f>I105*J105</f>
        <v>0</v>
      </c>
      <c r="L105" t="e">
        <f>100*(1-(M105/K105))</f>
        <v>#DIV/0!</v>
      </c>
      <c r="M105">
        <f>I105*SUM(M106)</f>
        <v>0</v>
      </c>
      <c r="N105">
        <v>105</v>
      </c>
    </row>
    <row r="106" spans="1:14" x14ac:dyDescent="0.25">
      <c r="A106" s="99" t="s">
        <v>286</v>
      </c>
      <c r="B106" s="99">
        <v>5</v>
      </c>
      <c r="C106" s="99" t="s">
        <v>285</v>
      </c>
      <c r="D106" s="99" t="s">
        <v>73</v>
      </c>
      <c r="E106">
        <v>205</v>
      </c>
      <c r="F106">
        <v>212</v>
      </c>
      <c r="G106" s="102" t="s">
        <v>153</v>
      </c>
      <c r="H106" t="s">
        <v>284</v>
      </c>
      <c r="J106">
        <f>SUM(K107,K108,K109)</f>
        <v>0</v>
      </c>
      <c r="K106">
        <f>I106*J106</f>
        <v>0</v>
      </c>
      <c r="L106" t="e">
        <f>100*(1-(M106/K106))</f>
        <v>#DIV/0!</v>
      </c>
      <c r="M106">
        <f>I106*SUM(M107,M108,M109)</f>
        <v>0</v>
      </c>
      <c r="N106">
        <v>106</v>
      </c>
    </row>
    <row r="107" spans="1:14" x14ac:dyDescent="0.25">
      <c r="A107" s="99" t="s">
        <v>287</v>
      </c>
      <c r="B107" s="99">
        <v>6</v>
      </c>
      <c r="C107" s="99" t="s">
        <v>286</v>
      </c>
      <c r="D107" s="99" t="s">
        <v>73</v>
      </c>
      <c r="E107">
        <v>206</v>
      </c>
      <c r="F107">
        <v>207</v>
      </c>
      <c r="G107" s="102" t="s">
        <v>73</v>
      </c>
      <c r="H107" t="s">
        <v>288</v>
      </c>
      <c r="N107">
        <v>107</v>
      </c>
    </row>
    <row r="108" spans="1:14" x14ac:dyDescent="0.25">
      <c r="A108" s="99" t="s">
        <v>289</v>
      </c>
      <c r="B108" s="99">
        <v>6</v>
      </c>
      <c r="C108" s="99" t="s">
        <v>286</v>
      </c>
      <c r="D108" s="99" t="s">
        <v>93</v>
      </c>
      <c r="E108">
        <v>208</v>
      </c>
      <c r="F108">
        <v>209</v>
      </c>
      <c r="G108" s="102" t="s">
        <v>73</v>
      </c>
      <c r="H108" t="s">
        <v>290</v>
      </c>
      <c r="N108">
        <v>108</v>
      </c>
    </row>
    <row r="109" spans="1:14" x14ac:dyDescent="0.25">
      <c r="A109" s="99" t="s">
        <v>291</v>
      </c>
      <c r="B109" s="99">
        <v>6</v>
      </c>
      <c r="C109" s="99" t="s">
        <v>286</v>
      </c>
      <c r="D109" s="99" t="s">
        <v>94</v>
      </c>
      <c r="E109">
        <v>210</v>
      </c>
      <c r="F109">
        <v>211</v>
      </c>
      <c r="G109" s="102" t="s">
        <v>73</v>
      </c>
      <c r="H109" t="s">
        <v>292</v>
      </c>
      <c r="N109">
        <v>109</v>
      </c>
    </row>
    <row r="110" spans="1:14" x14ac:dyDescent="0.25">
      <c r="A110" s="99" t="s">
        <v>293</v>
      </c>
      <c r="B110" s="99">
        <v>2</v>
      </c>
      <c r="C110" s="99" t="s">
        <v>73</v>
      </c>
      <c r="D110" s="99" t="s">
        <v>93</v>
      </c>
      <c r="E110">
        <v>216</v>
      </c>
      <c r="F110">
        <v>339</v>
      </c>
      <c r="G110" s="102" t="s">
        <v>153</v>
      </c>
      <c r="H110" t="s">
        <v>294</v>
      </c>
      <c r="J110">
        <f>SUM(K111,K166)</f>
        <v>0</v>
      </c>
      <c r="K110">
        <f>I110*J110</f>
        <v>0</v>
      </c>
      <c r="L110" t="e">
        <f>100*(1-(M110/K110))</f>
        <v>#DIV/0!</v>
      </c>
      <c r="M110">
        <f>I110*SUM(M111,M166)</f>
        <v>0</v>
      </c>
      <c r="N110">
        <v>110</v>
      </c>
    </row>
    <row r="111" spans="1:14" x14ac:dyDescent="0.25">
      <c r="A111" s="99" t="s">
        <v>295</v>
      </c>
      <c r="B111" s="99">
        <v>3</v>
      </c>
      <c r="C111" s="99" t="s">
        <v>293</v>
      </c>
      <c r="D111" s="99" t="s">
        <v>73</v>
      </c>
      <c r="E111">
        <v>217</v>
      </c>
      <c r="F111">
        <v>326</v>
      </c>
      <c r="G111" s="102" t="s">
        <v>153</v>
      </c>
      <c r="H111" t="s">
        <v>296</v>
      </c>
      <c r="J111">
        <f>SUM(K112,K121,K130,K139,K148,K157)</f>
        <v>0</v>
      </c>
      <c r="K111">
        <f>I111*J111</f>
        <v>0</v>
      </c>
      <c r="L111" t="e">
        <f>100*(1-(M111/K111))</f>
        <v>#DIV/0!</v>
      </c>
      <c r="M111">
        <f>I111*SUM(M112,M121,M130,M139,M148,M157)</f>
        <v>0</v>
      </c>
      <c r="N111">
        <v>111</v>
      </c>
    </row>
    <row r="112" spans="1:14" x14ac:dyDescent="0.25">
      <c r="A112" s="99" t="s">
        <v>297</v>
      </c>
      <c r="B112" s="99">
        <v>4</v>
      </c>
      <c r="C112" s="99" t="s">
        <v>295</v>
      </c>
      <c r="D112" s="99" t="s">
        <v>73</v>
      </c>
      <c r="E112">
        <v>218</v>
      </c>
      <c r="F112">
        <v>235</v>
      </c>
      <c r="G112" s="102" t="s">
        <v>153</v>
      </c>
      <c r="H112" t="s">
        <v>298</v>
      </c>
      <c r="J112">
        <f>SUM(K113)</f>
        <v>0</v>
      </c>
      <c r="K112">
        <f>I112*J112</f>
        <v>0</v>
      </c>
      <c r="L112" t="e">
        <f>100*(1-(M112/K112))</f>
        <v>#DIV/0!</v>
      </c>
      <c r="M112">
        <f>I112*SUM(M113)</f>
        <v>0</v>
      </c>
      <c r="N112">
        <v>112</v>
      </c>
    </row>
    <row r="113" spans="1:14" x14ac:dyDescent="0.25">
      <c r="A113" s="99" t="s">
        <v>299</v>
      </c>
      <c r="B113" s="99">
        <v>5</v>
      </c>
      <c r="C113" s="99" t="s">
        <v>297</v>
      </c>
      <c r="D113" s="99" t="s">
        <v>73</v>
      </c>
      <c r="E113">
        <v>219</v>
      </c>
      <c r="F113">
        <v>234</v>
      </c>
      <c r="G113" s="102" t="s">
        <v>153</v>
      </c>
      <c r="H113" t="s">
        <v>300</v>
      </c>
      <c r="J113">
        <f>SUM(K114,K118)</f>
        <v>0</v>
      </c>
      <c r="K113">
        <f>I113*J113</f>
        <v>0</v>
      </c>
      <c r="L113" t="e">
        <f>100*(1-(M113/K113))</f>
        <v>#DIV/0!</v>
      </c>
      <c r="M113">
        <f>I113*SUM(M114,M118)</f>
        <v>0</v>
      </c>
      <c r="N113">
        <v>113</v>
      </c>
    </row>
    <row r="114" spans="1:14" x14ac:dyDescent="0.25">
      <c r="A114" s="99" t="s">
        <v>301</v>
      </c>
      <c r="B114" s="99">
        <v>6</v>
      </c>
      <c r="C114" s="99" t="s">
        <v>299</v>
      </c>
      <c r="D114" s="99" t="s">
        <v>73</v>
      </c>
      <c r="E114">
        <v>220</v>
      </c>
      <c r="F114">
        <v>227</v>
      </c>
      <c r="G114" s="102" t="s">
        <v>153</v>
      </c>
      <c r="H114" t="s">
        <v>302</v>
      </c>
      <c r="J114">
        <f>SUM(K115,K116,K117)</f>
        <v>0</v>
      </c>
      <c r="K114">
        <f>I114*J114</f>
        <v>0</v>
      </c>
      <c r="L114" t="e">
        <f>100*(1-(M114/K114))</f>
        <v>#DIV/0!</v>
      </c>
      <c r="M114">
        <f>I114*SUM(M115,M116,M117)</f>
        <v>0</v>
      </c>
      <c r="N114">
        <v>114</v>
      </c>
    </row>
    <row r="115" spans="1:14" x14ac:dyDescent="0.25">
      <c r="A115" s="99" t="s">
        <v>303</v>
      </c>
      <c r="B115" s="99">
        <v>7</v>
      </c>
      <c r="C115" s="99" t="s">
        <v>301</v>
      </c>
      <c r="D115" s="99" t="s">
        <v>73</v>
      </c>
      <c r="E115">
        <v>221</v>
      </c>
      <c r="F115">
        <v>222</v>
      </c>
      <c r="G115" s="102" t="s">
        <v>73</v>
      </c>
      <c r="H115" t="s">
        <v>304</v>
      </c>
      <c r="N115">
        <v>115</v>
      </c>
    </row>
    <row r="116" spans="1:14" x14ac:dyDescent="0.25">
      <c r="A116" s="99" t="s">
        <v>305</v>
      </c>
      <c r="B116" s="99">
        <v>7</v>
      </c>
      <c r="C116" s="99" t="s">
        <v>301</v>
      </c>
      <c r="D116" s="99" t="s">
        <v>93</v>
      </c>
      <c r="E116">
        <v>223</v>
      </c>
      <c r="F116">
        <v>224</v>
      </c>
      <c r="G116" s="102" t="s">
        <v>73</v>
      </c>
      <c r="H116" t="s">
        <v>306</v>
      </c>
      <c r="N116">
        <v>116</v>
      </c>
    </row>
    <row r="117" spans="1:14" x14ac:dyDescent="0.25">
      <c r="A117" s="99" t="s">
        <v>307</v>
      </c>
      <c r="B117" s="99">
        <v>7</v>
      </c>
      <c r="C117" s="99" t="s">
        <v>301</v>
      </c>
      <c r="D117" s="99" t="s">
        <v>94</v>
      </c>
      <c r="E117">
        <v>225</v>
      </c>
      <c r="F117">
        <v>226</v>
      </c>
      <c r="G117" s="102" t="s">
        <v>73</v>
      </c>
      <c r="H117" t="s">
        <v>308</v>
      </c>
      <c r="N117">
        <v>117</v>
      </c>
    </row>
    <row r="118" spans="1:14" x14ac:dyDescent="0.25">
      <c r="A118" s="99" t="s">
        <v>309</v>
      </c>
      <c r="B118" s="99">
        <v>6</v>
      </c>
      <c r="C118" s="99" t="s">
        <v>299</v>
      </c>
      <c r="D118" s="99" t="s">
        <v>93</v>
      </c>
      <c r="E118">
        <v>228</v>
      </c>
      <c r="F118">
        <v>233</v>
      </c>
      <c r="G118" s="102" t="s">
        <v>153</v>
      </c>
      <c r="H118" t="s">
        <v>302</v>
      </c>
      <c r="J118">
        <f>SUM(K119,K120)</f>
        <v>0</v>
      </c>
      <c r="K118">
        <f>I118*J118</f>
        <v>0</v>
      </c>
      <c r="L118" t="e">
        <f>100*(1-(M118/K118))</f>
        <v>#DIV/0!</v>
      </c>
      <c r="M118">
        <f>I118*SUM(M119,M120)</f>
        <v>0</v>
      </c>
      <c r="N118">
        <v>118</v>
      </c>
    </row>
    <row r="119" spans="1:14" x14ac:dyDescent="0.25">
      <c r="A119" s="99" t="s">
        <v>310</v>
      </c>
      <c r="B119" s="99">
        <v>7</v>
      </c>
      <c r="C119" s="99" t="s">
        <v>309</v>
      </c>
      <c r="D119" s="99" t="s">
        <v>73</v>
      </c>
      <c r="E119">
        <v>229</v>
      </c>
      <c r="F119">
        <v>230</v>
      </c>
      <c r="G119" s="102" t="s">
        <v>73</v>
      </c>
      <c r="H119" t="s">
        <v>311</v>
      </c>
      <c r="N119">
        <v>119</v>
      </c>
    </row>
    <row r="120" spans="1:14" x14ac:dyDescent="0.25">
      <c r="A120" s="99" t="s">
        <v>312</v>
      </c>
      <c r="B120" s="99">
        <v>7</v>
      </c>
      <c r="C120" s="99" t="s">
        <v>309</v>
      </c>
      <c r="D120" s="99" t="s">
        <v>93</v>
      </c>
      <c r="E120">
        <v>231</v>
      </c>
      <c r="F120">
        <v>232</v>
      </c>
      <c r="G120" s="102" t="s">
        <v>73</v>
      </c>
      <c r="H120" t="s">
        <v>313</v>
      </c>
      <c r="N120">
        <v>120</v>
      </c>
    </row>
    <row r="121" spans="1:14" x14ac:dyDescent="0.25">
      <c r="A121" s="99" t="s">
        <v>314</v>
      </c>
      <c r="B121" s="99">
        <v>4</v>
      </c>
      <c r="C121" s="99" t="s">
        <v>295</v>
      </c>
      <c r="D121" s="99" t="s">
        <v>93</v>
      </c>
      <c r="E121">
        <v>236</v>
      </c>
      <c r="F121">
        <v>253</v>
      </c>
      <c r="G121" s="102" t="s">
        <v>153</v>
      </c>
      <c r="H121" t="s">
        <v>315</v>
      </c>
      <c r="J121">
        <f>SUM(K122)</f>
        <v>0</v>
      </c>
      <c r="K121">
        <f>I121*J121</f>
        <v>0</v>
      </c>
      <c r="L121" t="e">
        <f>100*(1-(M121/K121))</f>
        <v>#DIV/0!</v>
      </c>
      <c r="M121">
        <f>I121*SUM(M122)</f>
        <v>0</v>
      </c>
      <c r="N121">
        <v>121</v>
      </c>
    </row>
    <row r="122" spans="1:14" x14ac:dyDescent="0.25">
      <c r="A122" s="99" t="s">
        <v>316</v>
      </c>
      <c r="B122" s="99">
        <v>5</v>
      </c>
      <c r="C122" s="99" t="s">
        <v>314</v>
      </c>
      <c r="D122" s="99" t="s">
        <v>73</v>
      </c>
      <c r="E122">
        <v>237</v>
      </c>
      <c r="F122">
        <v>252</v>
      </c>
      <c r="G122" s="102" t="s">
        <v>153</v>
      </c>
      <c r="H122" t="s">
        <v>317</v>
      </c>
      <c r="J122">
        <f>SUM(K123,K127)</f>
        <v>0</v>
      </c>
      <c r="K122">
        <f>I122*J122</f>
        <v>0</v>
      </c>
      <c r="L122" t="e">
        <f>100*(1-(M122/K122))</f>
        <v>#DIV/0!</v>
      </c>
      <c r="M122">
        <f>I122*SUM(M123,M127)</f>
        <v>0</v>
      </c>
      <c r="N122">
        <v>122</v>
      </c>
    </row>
    <row r="123" spans="1:14" x14ac:dyDescent="0.25">
      <c r="A123" s="99" t="s">
        <v>318</v>
      </c>
      <c r="B123" s="99">
        <v>6</v>
      </c>
      <c r="C123" s="99" t="s">
        <v>316</v>
      </c>
      <c r="D123" s="99" t="s">
        <v>73</v>
      </c>
      <c r="E123">
        <v>238</v>
      </c>
      <c r="F123">
        <v>245</v>
      </c>
      <c r="G123" s="102" t="s">
        <v>153</v>
      </c>
      <c r="H123" t="s">
        <v>302</v>
      </c>
      <c r="J123">
        <f>SUM(K124,K125,K126)</f>
        <v>0</v>
      </c>
      <c r="K123">
        <f>I123*J123</f>
        <v>0</v>
      </c>
      <c r="L123" t="e">
        <f>100*(1-(M123/K123))</f>
        <v>#DIV/0!</v>
      </c>
      <c r="M123">
        <f>I123*SUM(M124,M125,M126)</f>
        <v>0</v>
      </c>
      <c r="N123">
        <v>123</v>
      </c>
    </row>
    <row r="124" spans="1:14" x14ac:dyDescent="0.25">
      <c r="A124" s="99" t="s">
        <v>319</v>
      </c>
      <c r="B124" s="99">
        <v>7</v>
      </c>
      <c r="C124" s="99" t="s">
        <v>318</v>
      </c>
      <c r="D124" s="99" t="s">
        <v>73</v>
      </c>
      <c r="E124">
        <v>239</v>
      </c>
      <c r="F124">
        <v>240</v>
      </c>
      <c r="G124" s="102" t="s">
        <v>73</v>
      </c>
      <c r="H124" t="s">
        <v>304</v>
      </c>
      <c r="N124">
        <v>124</v>
      </c>
    </row>
    <row r="125" spans="1:14" x14ac:dyDescent="0.25">
      <c r="A125" s="99" t="s">
        <v>320</v>
      </c>
      <c r="B125" s="99">
        <v>7</v>
      </c>
      <c r="C125" s="99" t="s">
        <v>318</v>
      </c>
      <c r="D125" s="99" t="s">
        <v>93</v>
      </c>
      <c r="E125">
        <v>241</v>
      </c>
      <c r="F125">
        <v>242</v>
      </c>
      <c r="G125" s="102" t="s">
        <v>73</v>
      </c>
      <c r="H125" t="s">
        <v>306</v>
      </c>
      <c r="N125">
        <v>125</v>
      </c>
    </row>
    <row r="126" spans="1:14" x14ac:dyDescent="0.25">
      <c r="A126" s="99" t="s">
        <v>321</v>
      </c>
      <c r="B126" s="99">
        <v>7</v>
      </c>
      <c r="C126" s="99" t="s">
        <v>318</v>
      </c>
      <c r="D126" s="99" t="s">
        <v>94</v>
      </c>
      <c r="E126">
        <v>243</v>
      </c>
      <c r="F126">
        <v>244</v>
      </c>
      <c r="G126" s="102" t="s">
        <v>73</v>
      </c>
      <c r="H126" t="s">
        <v>308</v>
      </c>
      <c r="N126">
        <v>126</v>
      </c>
    </row>
    <row r="127" spans="1:14" x14ac:dyDescent="0.25">
      <c r="A127" s="99" t="s">
        <v>322</v>
      </c>
      <c r="B127" s="99">
        <v>6</v>
      </c>
      <c r="C127" s="99" t="s">
        <v>316</v>
      </c>
      <c r="D127" s="99" t="s">
        <v>93</v>
      </c>
      <c r="E127">
        <v>246</v>
      </c>
      <c r="F127">
        <v>251</v>
      </c>
      <c r="G127" s="102" t="s">
        <v>153</v>
      </c>
      <c r="H127" t="s">
        <v>302</v>
      </c>
      <c r="J127">
        <f>SUM(K128,K129)</f>
        <v>0</v>
      </c>
      <c r="K127">
        <f>I127*J127</f>
        <v>0</v>
      </c>
      <c r="L127" t="e">
        <f>100*(1-(M127/K127))</f>
        <v>#DIV/0!</v>
      </c>
      <c r="M127">
        <f>I127*SUM(M128,M129)</f>
        <v>0</v>
      </c>
      <c r="N127">
        <v>127</v>
      </c>
    </row>
    <row r="128" spans="1:14" x14ac:dyDescent="0.25">
      <c r="A128" s="99" t="s">
        <v>323</v>
      </c>
      <c r="B128" s="99">
        <v>7</v>
      </c>
      <c r="C128" s="99" t="s">
        <v>322</v>
      </c>
      <c r="D128" s="99" t="s">
        <v>73</v>
      </c>
      <c r="E128">
        <v>247</v>
      </c>
      <c r="F128">
        <v>248</v>
      </c>
      <c r="G128" s="102" t="s">
        <v>73</v>
      </c>
      <c r="H128" t="s">
        <v>311</v>
      </c>
      <c r="N128">
        <v>128</v>
      </c>
    </row>
    <row r="129" spans="1:14" x14ac:dyDescent="0.25">
      <c r="A129" s="99" t="s">
        <v>324</v>
      </c>
      <c r="B129" s="99">
        <v>7</v>
      </c>
      <c r="C129" s="99" t="s">
        <v>322</v>
      </c>
      <c r="D129" s="99" t="s">
        <v>93</v>
      </c>
      <c r="E129">
        <v>249</v>
      </c>
      <c r="F129">
        <v>250</v>
      </c>
      <c r="G129" s="102" t="s">
        <v>73</v>
      </c>
      <c r="H129" t="s">
        <v>313</v>
      </c>
      <c r="N129">
        <v>129</v>
      </c>
    </row>
    <row r="130" spans="1:14" x14ac:dyDescent="0.25">
      <c r="A130" s="99" t="s">
        <v>325</v>
      </c>
      <c r="B130" s="99">
        <v>4</v>
      </c>
      <c r="C130" s="99" t="s">
        <v>295</v>
      </c>
      <c r="D130" s="99" t="s">
        <v>94</v>
      </c>
      <c r="E130">
        <v>254</v>
      </c>
      <c r="F130">
        <v>271</v>
      </c>
      <c r="G130" s="102" t="s">
        <v>153</v>
      </c>
      <c r="H130" t="s">
        <v>326</v>
      </c>
      <c r="J130">
        <f>SUM(K131)</f>
        <v>0</v>
      </c>
      <c r="K130">
        <f>I130*J130</f>
        <v>0</v>
      </c>
      <c r="L130" t="e">
        <f>100*(1-(M130/K130))</f>
        <v>#DIV/0!</v>
      </c>
      <c r="M130">
        <f>I130*SUM(M131)</f>
        <v>0</v>
      </c>
      <c r="N130">
        <v>130</v>
      </c>
    </row>
    <row r="131" spans="1:14" x14ac:dyDescent="0.25">
      <c r="A131" s="99" t="s">
        <v>327</v>
      </c>
      <c r="B131" s="99">
        <v>5</v>
      </c>
      <c r="C131" s="99" t="s">
        <v>325</v>
      </c>
      <c r="D131" s="99" t="s">
        <v>73</v>
      </c>
      <c r="E131">
        <v>255</v>
      </c>
      <c r="F131">
        <v>270</v>
      </c>
      <c r="G131" s="102" t="s">
        <v>153</v>
      </c>
      <c r="H131" t="s">
        <v>328</v>
      </c>
      <c r="J131">
        <f>SUM(K132,K136)</f>
        <v>0</v>
      </c>
      <c r="K131">
        <f>I131*J131</f>
        <v>0</v>
      </c>
      <c r="L131" t="e">
        <f>100*(1-(M131/K131))</f>
        <v>#DIV/0!</v>
      </c>
      <c r="M131">
        <f>I131*SUM(M132,M136)</f>
        <v>0</v>
      </c>
      <c r="N131">
        <v>131</v>
      </c>
    </row>
    <row r="132" spans="1:14" x14ac:dyDescent="0.25">
      <c r="A132" s="99" t="s">
        <v>329</v>
      </c>
      <c r="B132" s="99">
        <v>6</v>
      </c>
      <c r="C132" s="99" t="s">
        <v>327</v>
      </c>
      <c r="D132" s="99" t="s">
        <v>73</v>
      </c>
      <c r="E132">
        <v>256</v>
      </c>
      <c r="F132">
        <v>263</v>
      </c>
      <c r="G132" s="102" t="s">
        <v>153</v>
      </c>
      <c r="H132" t="s">
        <v>302</v>
      </c>
      <c r="J132">
        <f>SUM(K133,K134,K135)</f>
        <v>0</v>
      </c>
      <c r="K132">
        <f>I132*J132</f>
        <v>0</v>
      </c>
      <c r="L132" t="e">
        <f>100*(1-(M132/K132))</f>
        <v>#DIV/0!</v>
      </c>
      <c r="M132">
        <f>I132*SUM(M133,M134,M135)</f>
        <v>0</v>
      </c>
      <c r="N132">
        <v>132</v>
      </c>
    </row>
    <row r="133" spans="1:14" x14ac:dyDescent="0.25">
      <c r="A133" s="99" t="s">
        <v>330</v>
      </c>
      <c r="B133" s="99">
        <v>7</v>
      </c>
      <c r="C133" s="99" t="s">
        <v>329</v>
      </c>
      <c r="D133" s="99" t="s">
        <v>73</v>
      </c>
      <c r="E133">
        <v>257</v>
      </c>
      <c r="F133">
        <v>258</v>
      </c>
      <c r="G133" s="102" t="s">
        <v>73</v>
      </c>
      <c r="H133" t="s">
        <v>304</v>
      </c>
      <c r="N133">
        <v>133</v>
      </c>
    </row>
    <row r="134" spans="1:14" x14ac:dyDescent="0.25">
      <c r="A134" s="99" t="s">
        <v>331</v>
      </c>
      <c r="B134" s="99">
        <v>7</v>
      </c>
      <c r="C134" s="99" t="s">
        <v>329</v>
      </c>
      <c r="D134" s="99" t="s">
        <v>93</v>
      </c>
      <c r="E134">
        <v>259</v>
      </c>
      <c r="F134">
        <v>260</v>
      </c>
      <c r="G134" s="102" t="s">
        <v>73</v>
      </c>
      <c r="H134" t="s">
        <v>306</v>
      </c>
      <c r="N134">
        <v>134</v>
      </c>
    </row>
    <row r="135" spans="1:14" x14ac:dyDescent="0.25">
      <c r="A135" s="99" t="s">
        <v>332</v>
      </c>
      <c r="B135" s="99">
        <v>7</v>
      </c>
      <c r="C135" s="99" t="s">
        <v>329</v>
      </c>
      <c r="D135" s="99" t="s">
        <v>94</v>
      </c>
      <c r="E135">
        <v>261</v>
      </c>
      <c r="F135">
        <v>262</v>
      </c>
      <c r="G135" s="102" t="s">
        <v>73</v>
      </c>
      <c r="H135" t="s">
        <v>308</v>
      </c>
      <c r="N135">
        <v>135</v>
      </c>
    </row>
    <row r="136" spans="1:14" x14ac:dyDescent="0.25">
      <c r="A136" s="99" t="s">
        <v>333</v>
      </c>
      <c r="B136" s="99">
        <v>6</v>
      </c>
      <c r="C136" s="99" t="s">
        <v>327</v>
      </c>
      <c r="D136" s="99" t="s">
        <v>93</v>
      </c>
      <c r="E136">
        <v>264</v>
      </c>
      <c r="F136">
        <v>269</v>
      </c>
      <c r="G136" s="102" t="s">
        <v>153</v>
      </c>
      <c r="H136" t="s">
        <v>302</v>
      </c>
      <c r="J136">
        <f>SUM(K137,K138)</f>
        <v>0</v>
      </c>
      <c r="K136">
        <f>I136*J136</f>
        <v>0</v>
      </c>
      <c r="L136" t="e">
        <f>100*(1-(M136/K136))</f>
        <v>#DIV/0!</v>
      </c>
      <c r="M136">
        <f>I136*SUM(M137,M138)</f>
        <v>0</v>
      </c>
      <c r="N136">
        <v>136</v>
      </c>
    </row>
    <row r="137" spans="1:14" x14ac:dyDescent="0.25">
      <c r="A137" s="99" t="s">
        <v>334</v>
      </c>
      <c r="B137" s="99">
        <v>7</v>
      </c>
      <c r="C137" s="99" t="s">
        <v>333</v>
      </c>
      <c r="D137" s="99" t="s">
        <v>73</v>
      </c>
      <c r="E137">
        <v>265</v>
      </c>
      <c r="F137">
        <v>266</v>
      </c>
      <c r="G137" s="102" t="s">
        <v>73</v>
      </c>
      <c r="H137" t="s">
        <v>311</v>
      </c>
      <c r="N137">
        <v>137</v>
      </c>
    </row>
    <row r="138" spans="1:14" x14ac:dyDescent="0.25">
      <c r="A138" s="99" t="s">
        <v>335</v>
      </c>
      <c r="B138" s="99">
        <v>7</v>
      </c>
      <c r="C138" s="99" t="s">
        <v>333</v>
      </c>
      <c r="D138" s="99" t="s">
        <v>93</v>
      </c>
      <c r="E138">
        <v>267</v>
      </c>
      <c r="F138">
        <v>268</v>
      </c>
      <c r="G138" s="102" t="s">
        <v>73</v>
      </c>
      <c r="H138" t="s">
        <v>313</v>
      </c>
      <c r="N138">
        <v>138</v>
      </c>
    </row>
    <row r="139" spans="1:14" x14ac:dyDescent="0.25">
      <c r="A139" s="99" t="s">
        <v>336</v>
      </c>
      <c r="B139" s="99">
        <v>4</v>
      </c>
      <c r="C139" s="99" t="s">
        <v>295</v>
      </c>
      <c r="D139" s="99" t="s">
        <v>95</v>
      </c>
      <c r="E139">
        <v>272</v>
      </c>
      <c r="F139">
        <v>289</v>
      </c>
      <c r="G139" s="102" t="s">
        <v>153</v>
      </c>
      <c r="H139" t="s">
        <v>337</v>
      </c>
      <c r="J139">
        <f>SUM(K140)</f>
        <v>0</v>
      </c>
      <c r="K139">
        <f>I139*J139</f>
        <v>0</v>
      </c>
      <c r="L139" t="e">
        <f>100*(1-(M139/K139))</f>
        <v>#DIV/0!</v>
      </c>
      <c r="M139">
        <f>I139*SUM(M140)</f>
        <v>0</v>
      </c>
      <c r="N139">
        <v>139</v>
      </c>
    </row>
    <row r="140" spans="1:14" x14ac:dyDescent="0.25">
      <c r="A140" s="99" t="s">
        <v>338</v>
      </c>
      <c r="B140" s="99">
        <v>5</v>
      </c>
      <c r="C140" s="99" t="s">
        <v>336</v>
      </c>
      <c r="D140" s="99" t="s">
        <v>73</v>
      </c>
      <c r="E140">
        <v>273</v>
      </c>
      <c r="F140">
        <v>288</v>
      </c>
      <c r="G140" s="102" t="s">
        <v>153</v>
      </c>
      <c r="H140" t="s">
        <v>339</v>
      </c>
      <c r="J140">
        <f>SUM(K141,K145)</f>
        <v>0</v>
      </c>
      <c r="K140">
        <f>I140*J140</f>
        <v>0</v>
      </c>
      <c r="L140" t="e">
        <f>100*(1-(M140/K140))</f>
        <v>#DIV/0!</v>
      </c>
      <c r="M140">
        <f>I140*SUM(M141,M145)</f>
        <v>0</v>
      </c>
      <c r="N140">
        <v>140</v>
      </c>
    </row>
    <row r="141" spans="1:14" x14ac:dyDescent="0.25">
      <c r="A141" s="99" t="s">
        <v>340</v>
      </c>
      <c r="B141" s="99">
        <v>6</v>
      </c>
      <c r="C141" s="99" t="s">
        <v>338</v>
      </c>
      <c r="D141" s="99" t="s">
        <v>73</v>
      </c>
      <c r="E141">
        <v>274</v>
      </c>
      <c r="F141">
        <v>281</v>
      </c>
      <c r="G141" s="102" t="s">
        <v>153</v>
      </c>
      <c r="H141" t="s">
        <v>302</v>
      </c>
      <c r="J141">
        <f>SUM(K142,K143,K144)</f>
        <v>0</v>
      </c>
      <c r="K141">
        <f>I141*J141</f>
        <v>0</v>
      </c>
      <c r="L141" t="e">
        <f>100*(1-(M141/K141))</f>
        <v>#DIV/0!</v>
      </c>
      <c r="M141">
        <f>I141*SUM(M142,M143,M144)</f>
        <v>0</v>
      </c>
      <c r="N141">
        <v>141</v>
      </c>
    </row>
    <row r="142" spans="1:14" x14ac:dyDescent="0.25">
      <c r="A142" s="99" t="s">
        <v>341</v>
      </c>
      <c r="B142" s="99">
        <v>7</v>
      </c>
      <c r="C142" s="99" t="s">
        <v>340</v>
      </c>
      <c r="D142" s="99" t="s">
        <v>73</v>
      </c>
      <c r="E142">
        <v>275</v>
      </c>
      <c r="F142">
        <v>276</v>
      </c>
      <c r="G142" s="102" t="s">
        <v>73</v>
      </c>
      <c r="H142" t="s">
        <v>304</v>
      </c>
      <c r="N142">
        <v>142</v>
      </c>
    </row>
    <row r="143" spans="1:14" x14ac:dyDescent="0.25">
      <c r="A143" s="99" t="s">
        <v>342</v>
      </c>
      <c r="B143" s="99">
        <v>7</v>
      </c>
      <c r="C143" s="99" t="s">
        <v>340</v>
      </c>
      <c r="D143" s="99" t="s">
        <v>93</v>
      </c>
      <c r="E143">
        <v>277</v>
      </c>
      <c r="F143">
        <v>278</v>
      </c>
      <c r="G143" s="102" t="s">
        <v>73</v>
      </c>
      <c r="H143" t="s">
        <v>306</v>
      </c>
      <c r="N143">
        <v>143</v>
      </c>
    </row>
    <row r="144" spans="1:14" x14ac:dyDescent="0.25">
      <c r="A144" s="99" t="s">
        <v>343</v>
      </c>
      <c r="B144" s="99">
        <v>7</v>
      </c>
      <c r="C144" s="99" t="s">
        <v>340</v>
      </c>
      <c r="D144" s="99" t="s">
        <v>94</v>
      </c>
      <c r="E144">
        <v>279</v>
      </c>
      <c r="F144">
        <v>280</v>
      </c>
      <c r="G144" s="102" t="s">
        <v>73</v>
      </c>
      <c r="H144" t="s">
        <v>308</v>
      </c>
      <c r="N144">
        <v>144</v>
      </c>
    </row>
    <row r="145" spans="1:14" x14ac:dyDescent="0.25">
      <c r="A145" s="99" t="s">
        <v>344</v>
      </c>
      <c r="B145" s="99">
        <v>6</v>
      </c>
      <c r="C145" s="99" t="s">
        <v>338</v>
      </c>
      <c r="D145" s="99" t="s">
        <v>93</v>
      </c>
      <c r="E145">
        <v>282</v>
      </c>
      <c r="F145">
        <v>287</v>
      </c>
      <c r="G145" s="102" t="s">
        <v>153</v>
      </c>
      <c r="H145" t="s">
        <v>302</v>
      </c>
      <c r="J145">
        <f>SUM(K146,K147)</f>
        <v>0</v>
      </c>
      <c r="K145">
        <f>I145*J145</f>
        <v>0</v>
      </c>
      <c r="L145" t="e">
        <f>100*(1-(M145/K145))</f>
        <v>#DIV/0!</v>
      </c>
      <c r="M145">
        <f>I145*SUM(M146,M147)</f>
        <v>0</v>
      </c>
      <c r="N145">
        <v>145</v>
      </c>
    </row>
    <row r="146" spans="1:14" x14ac:dyDescent="0.25">
      <c r="A146" s="99" t="s">
        <v>345</v>
      </c>
      <c r="B146" s="99">
        <v>7</v>
      </c>
      <c r="C146" s="99" t="s">
        <v>344</v>
      </c>
      <c r="D146" s="99" t="s">
        <v>73</v>
      </c>
      <c r="E146">
        <v>283</v>
      </c>
      <c r="F146">
        <v>284</v>
      </c>
      <c r="G146" s="102" t="s">
        <v>73</v>
      </c>
      <c r="H146" t="s">
        <v>311</v>
      </c>
      <c r="N146">
        <v>146</v>
      </c>
    </row>
    <row r="147" spans="1:14" x14ac:dyDescent="0.25">
      <c r="A147" s="99" t="s">
        <v>346</v>
      </c>
      <c r="B147" s="99">
        <v>7</v>
      </c>
      <c r="C147" s="99" t="s">
        <v>344</v>
      </c>
      <c r="D147" s="99" t="s">
        <v>93</v>
      </c>
      <c r="E147">
        <v>285</v>
      </c>
      <c r="F147">
        <v>286</v>
      </c>
      <c r="G147" s="102" t="s">
        <v>73</v>
      </c>
      <c r="H147" t="s">
        <v>313</v>
      </c>
      <c r="N147">
        <v>147</v>
      </c>
    </row>
    <row r="148" spans="1:14" x14ac:dyDescent="0.25">
      <c r="A148" s="99" t="s">
        <v>347</v>
      </c>
      <c r="B148" s="99">
        <v>4</v>
      </c>
      <c r="C148" s="99" t="s">
        <v>295</v>
      </c>
      <c r="D148" s="99" t="s">
        <v>96</v>
      </c>
      <c r="E148">
        <v>290</v>
      </c>
      <c r="F148">
        <v>307</v>
      </c>
      <c r="G148" s="102" t="s">
        <v>153</v>
      </c>
      <c r="H148" t="s">
        <v>348</v>
      </c>
      <c r="J148">
        <f>SUM(K149)</f>
        <v>0</v>
      </c>
      <c r="K148">
        <f>I148*J148</f>
        <v>0</v>
      </c>
      <c r="L148" t="e">
        <f>100*(1-(M148/K148))</f>
        <v>#DIV/0!</v>
      </c>
      <c r="M148">
        <f>I148*SUM(M149)</f>
        <v>0</v>
      </c>
      <c r="N148">
        <v>148</v>
      </c>
    </row>
    <row r="149" spans="1:14" x14ac:dyDescent="0.25">
      <c r="A149" s="99" t="s">
        <v>349</v>
      </c>
      <c r="B149" s="99">
        <v>5</v>
      </c>
      <c r="C149" s="99" t="s">
        <v>347</v>
      </c>
      <c r="D149" s="99" t="s">
        <v>73</v>
      </c>
      <c r="E149">
        <v>291</v>
      </c>
      <c r="F149">
        <v>306</v>
      </c>
      <c r="G149" s="102" t="s">
        <v>153</v>
      </c>
      <c r="H149" t="s">
        <v>350</v>
      </c>
      <c r="J149">
        <f>SUM(K150,K154)</f>
        <v>0</v>
      </c>
      <c r="K149">
        <f>I149*J149</f>
        <v>0</v>
      </c>
      <c r="L149" t="e">
        <f>100*(1-(M149/K149))</f>
        <v>#DIV/0!</v>
      </c>
      <c r="M149">
        <f>I149*SUM(M150,M154)</f>
        <v>0</v>
      </c>
      <c r="N149">
        <v>149</v>
      </c>
    </row>
    <row r="150" spans="1:14" x14ac:dyDescent="0.25">
      <c r="A150" s="99" t="s">
        <v>351</v>
      </c>
      <c r="B150" s="99">
        <v>6</v>
      </c>
      <c r="C150" s="99" t="s">
        <v>349</v>
      </c>
      <c r="D150" s="99" t="s">
        <v>73</v>
      </c>
      <c r="E150">
        <v>292</v>
      </c>
      <c r="F150">
        <v>299</v>
      </c>
      <c r="G150" s="102" t="s">
        <v>153</v>
      </c>
      <c r="H150" t="s">
        <v>302</v>
      </c>
      <c r="J150">
        <f>SUM(K151,K152,K153)</f>
        <v>0</v>
      </c>
      <c r="K150">
        <f>I150*J150</f>
        <v>0</v>
      </c>
      <c r="L150" t="e">
        <f>100*(1-(M150/K150))</f>
        <v>#DIV/0!</v>
      </c>
      <c r="M150">
        <f>I150*SUM(M151,M152,M153)</f>
        <v>0</v>
      </c>
      <c r="N150">
        <v>150</v>
      </c>
    </row>
    <row r="151" spans="1:14" x14ac:dyDescent="0.25">
      <c r="A151" s="99" t="s">
        <v>352</v>
      </c>
      <c r="B151" s="99">
        <v>7</v>
      </c>
      <c r="C151" s="99" t="s">
        <v>351</v>
      </c>
      <c r="D151" s="99" t="s">
        <v>73</v>
      </c>
      <c r="E151">
        <v>293</v>
      </c>
      <c r="F151">
        <v>294</v>
      </c>
      <c r="G151" s="102" t="s">
        <v>73</v>
      </c>
      <c r="H151" t="s">
        <v>304</v>
      </c>
      <c r="N151">
        <v>151</v>
      </c>
    </row>
    <row r="152" spans="1:14" x14ac:dyDescent="0.25">
      <c r="A152" s="99" t="s">
        <v>371</v>
      </c>
      <c r="B152" s="99">
        <v>7</v>
      </c>
      <c r="C152" s="99" t="s">
        <v>351</v>
      </c>
      <c r="D152" s="99" t="s">
        <v>93</v>
      </c>
      <c r="E152">
        <v>295</v>
      </c>
      <c r="F152">
        <v>296</v>
      </c>
      <c r="G152" s="102" t="s">
        <v>73</v>
      </c>
      <c r="H152" t="s">
        <v>306</v>
      </c>
      <c r="N152">
        <v>152</v>
      </c>
    </row>
    <row r="153" spans="1:14" x14ac:dyDescent="0.25">
      <c r="A153" s="99" t="s">
        <v>372</v>
      </c>
      <c r="B153" s="99">
        <v>7</v>
      </c>
      <c r="C153" s="99" t="s">
        <v>351</v>
      </c>
      <c r="D153" s="99" t="s">
        <v>94</v>
      </c>
      <c r="E153">
        <v>297</v>
      </c>
      <c r="F153">
        <v>298</v>
      </c>
      <c r="G153" s="102" t="s">
        <v>73</v>
      </c>
      <c r="H153" t="s">
        <v>308</v>
      </c>
      <c r="N153">
        <v>153</v>
      </c>
    </row>
    <row r="154" spans="1:14" x14ac:dyDescent="0.25">
      <c r="A154" s="99" t="s">
        <v>373</v>
      </c>
      <c r="B154" s="99">
        <v>6</v>
      </c>
      <c r="C154" s="99" t="s">
        <v>349</v>
      </c>
      <c r="D154" s="99" t="s">
        <v>93</v>
      </c>
      <c r="E154">
        <v>300</v>
      </c>
      <c r="F154">
        <v>305</v>
      </c>
      <c r="G154" s="102" t="s">
        <v>153</v>
      </c>
      <c r="H154" t="s">
        <v>302</v>
      </c>
      <c r="J154">
        <f>SUM(K155,K156)</f>
        <v>0</v>
      </c>
      <c r="K154">
        <f>I154*J154</f>
        <v>0</v>
      </c>
      <c r="L154" t="e">
        <f>100*(1-(M154/K154))</f>
        <v>#DIV/0!</v>
      </c>
      <c r="M154">
        <f>I154*SUM(M155,M156)</f>
        <v>0</v>
      </c>
      <c r="N154">
        <v>154</v>
      </c>
    </row>
    <row r="155" spans="1:14" x14ac:dyDescent="0.25">
      <c r="A155" s="99" t="s">
        <v>374</v>
      </c>
      <c r="B155" s="99">
        <v>7</v>
      </c>
      <c r="C155" s="99" t="s">
        <v>373</v>
      </c>
      <c r="D155" s="99" t="s">
        <v>73</v>
      </c>
      <c r="E155">
        <v>301</v>
      </c>
      <c r="F155">
        <v>302</v>
      </c>
      <c r="G155" s="102" t="s">
        <v>73</v>
      </c>
      <c r="H155" t="s">
        <v>311</v>
      </c>
      <c r="N155">
        <v>155</v>
      </c>
    </row>
    <row r="156" spans="1:14" x14ac:dyDescent="0.25">
      <c r="A156" s="99" t="s">
        <v>375</v>
      </c>
      <c r="B156" s="99">
        <v>7</v>
      </c>
      <c r="C156" s="99" t="s">
        <v>373</v>
      </c>
      <c r="D156" s="99" t="s">
        <v>93</v>
      </c>
      <c r="E156">
        <v>303</v>
      </c>
      <c r="F156">
        <v>304</v>
      </c>
      <c r="G156" s="102" t="s">
        <v>73</v>
      </c>
      <c r="H156" t="s">
        <v>313</v>
      </c>
      <c r="N156">
        <v>156</v>
      </c>
    </row>
    <row r="157" spans="1:14" x14ac:dyDescent="0.25">
      <c r="A157" s="99" t="s">
        <v>376</v>
      </c>
      <c r="B157" s="99">
        <v>4</v>
      </c>
      <c r="C157" s="99" t="s">
        <v>295</v>
      </c>
      <c r="D157" s="99" t="s">
        <v>171</v>
      </c>
      <c r="E157">
        <v>308</v>
      </c>
      <c r="F157">
        <v>325</v>
      </c>
      <c r="G157" s="102" t="s">
        <v>153</v>
      </c>
      <c r="H157" t="s">
        <v>377</v>
      </c>
      <c r="J157">
        <f>SUM(K158)</f>
        <v>0</v>
      </c>
      <c r="K157">
        <f>I157*J157</f>
        <v>0</v>
      </c>
      <c r="L157" t="e">
        <f>100*(1-(M157/K157))</f>
        <v>#DIV/0!</v>
      </c>
      <c r="M157">
        <f>I157*SUM(M158)</f>
        <v>0</v>
      </c>
      <c r="N157">
        <v>157</v>
      </c>
    </row>
    <row r="158" spans="1:14" x14ac:dyDescent="0.25">
      <c r="A158" s="99" t="s">
        <v>378</v>
      </c>
      <c r="B158" s="99">
        <v>5</v>
      </c>
      <c r="C158" s="99" t="s">
        <v>376</v>
      </c>
      <c r="D158" s="99" t="s">
        <v>73</v>
      </c>
      <c r="E158">
        <v>309</v>
      </c>
      <c r="F158">
        <v>324</v>
      </c>
      <c r="G158" s="102" t="s">
        <v>153</v>
      </c>
      <c r="H158" t="s">
        <v>379</v>
      </c>
      <c r="J158">
        <f>SUM(K159,K163)</f>
        <v>0</v>
      </c>
      <c r="K158">
        <f>I158*J158</f>
        <v>0</v>
      </c>
      <c r="L158" t="e">
        <f>100*(1-(M158/K158))</f>
        <v>#DIV/0!</v>
      </c>
      <c r="M158">
        <f>I158*SUM(M159,M163)</f>
        <v>0</v>
      </c>
      <c r="N158">
        <v>158</v>
      </c>
    </row>
    <row r="159" spans="1:14" x14ac:dyDescent="0.25">
      <c r="A159" s="99" t="s">
        <v>380</v>
      </c>
      <c r="B159" s="99">
        <v>6</v>
      </c>
      <c r="C159" s="99" t="s">
        <v>378</v>
      </c>
      <c r="D159" s="99" t="s">
        <v>73</v>
      </c>
      <c r="E159">
        <v>310</v>
      </c>
      <c r="F159">
        <v>317</v>
      </c>
      <c r="G159" s="102" t="s">
        <v>153</v>
      </c>
      <c r="H159" t="s">
        <v>302</v>
      </c>
      <c r="J159">
        <f>SUM(K160,K161,K162)</f>
        <v>0</v>
      </c>
      <c r="K159">
        <f>I159*J159</f>
        <v>0</v>
      </c>
      <c r="L159" t="e">
        <f>100*(1-(M159/K159))</f>
        <v>#DIV/0!</v>
      </c>
      <c r="M159">
        <f>I159*SUM(M160,M161,M162)</f>
        <v>0</v>
      </c>
      <c r="N159">
        <v>159</v>
      </c>
    </row>
    <row r="160" spans="1:14" x14ac:dyDescent="0.25">
      <c r="A160" s="99" t="s">
        <v>381</v>
      </c>
      <c r="B160" s="99">
        <v>7</v>
      </c>
      <c r="C160" s="99" t="s">
        <v>380</v>
      </c>
      <c r="D160" s="99" t="s">
        <v>73</v>
      </c>
      <c r="E160">
        <v>311</v>
      </c>
      <c r="F160">
        <v>312</v>
      </c>
      <c r="G160" s="102" t="s">
        <v>73</v>
      </c>
      <c r="H160" t="s">
        <v>304</v>
      </c>
      <c r="N160">
        <v>160</v>
      </c>
    </row>
    <row r="161" spans="1:14" x14ac:dyDescent="0.25">
      <c r="A161" s="99" t="s">
        <v>382</v>
      </c>
      <c r="B161" s="99">
        <v>7</v>
      </c>
      <c r="C161" s="99" t="s">
        <v>380</v>
      </c>
      <c r="D161" s="99" t="s">
        <v>93</v>
      </c>
      <c r="E161">
        <v>313</v>
      </c>
      <c r="F161">
        <v>314</v>
      </c>
      <c r="G161" s="102" t="s">
        <v>73</v>
      </c>
      <c r="H161" t="s">
        <v>306</v>
      </c>
      <c r="N161">
        <v>161</v>
      </c>
    </row>
    <row r="162" spans="1:14" x14ac:dyDescent="0.25">
      <c r="A162" s="99" t="s">
        <v>383</v>
      </c>
      <c r="B162" s="99">
        <v>7</v>
      </c>
      <c r="C162" s="99" t="s">
        <v>380</v>
      </c>
      <c r="D162" s="99" t="s">
        <v>94</v>
      </c>
      <c r="E162">
        <v>315</v>
      </c>
      <c r="F162">
        <v>316</v>
      </c>
      <c r="G162" s="102" t="s">
        <v>73</v>
      </c>
      <c r="H162" t="s">
        <v>308</v>
      </c>
      <c r="N162">
        <v>162</v>
      </c>
    </row>
    <row r="163" spans="1:14" x14ac:dyDescent="0.25">
      <c r="A163" s="99" t="s">
        <v>384</v>
      </c>
      <c r="B163" s="99">
        <v>6</v>
      </c>
      <c r="C163" s="99" t="s">
        <v>378</v>
      </c>
      <c r="D163" s="99" t="s">
        <v>93</v>
      </c>
      <c r="E163">
        <v>318</v>
      </c>
      <c r="F163">
        <v>323</v>
      </c>
      <c r="G163" s="102" t="s">
        <v>153</v>
      </c>
      <c r="H163" t="s">
        <v>302</v>
      </c>
      <c r="J163">
        <f>SUM(K164,K165)</f>
        <v>0</v>
      </c>
      <c r="K163">
        <f>I163*J163</f>
        <v>0</v>
      </c>
      <c r="L163" t="e">
        <f>100*(1-(M163/K163))</f>
        <v>#DIV/0!</v>
      </c>
      <c r="M163">
        <f>I163*SUM(M164,M165)</f>
        <v>0</v>
      </c>
      <c r="N163">
        <v>163</v>
      </c>
    </row>
    <row r="164" spans="1:14" x14ac:dyDescent="0.25">
      <c r="A164" s="99" t="s">
        <v>385</v>
      </c>
      <c r="B164" s="99">
        <v>7</v>
      </c>
      <c r="C164" s="99" t="s">
        <v>384</v>
      </c>
      <c r="D164" s="99" t="s">
        <v>73</v>
      </c>
      <c r="E164">
        <v>319</v>
      </c>
      <c r="F164">
        <v>320</v>
      </c>
      <c r="G164" s="102" t="s">
        <v>73</v>
      </c>
      <c r="H164" t="s">
        <v>311</v>
      </c>
      <c r="N164">
        <v>164</v>
      </c>
    </row>
    <row r="165" spans="1:14" x14ac:dyDescent="0.25">
      <c r="A165" s="99" t="s">
        <v>386</v>
      </c>
      <c r="B165" s="99">
        <v>7</v>
      </c>
      <c r="C165" s="99" t="s">
        <v>384</v>
      </c>
      <c r="D165" s="99" t="s">
        <v>93</v>
      </c>
      <c r="E165">
        <v>321</v>
      </c>
      <c r="F165">
        <v>322</v>
      </c>
      <c r="G165" s="102" t="s">
        <v>73</v>
      </c>
      <c r="H165" t="s">
        <v>313</v>
      </c>
      <c r="N165">
        <v>165</v>
      </c>
    </row>
    <row r="166" spans="1:14" x14ac:dyDescent="0.25">
      <c r="A166" s="99" t="s">
        <v>387</v>
      </c>
      <c r="B166" s="99">
        <v>3</v>
      </c>
      <c r="C166" s="99" t="s">
        <v>293</v>
      </c>
      <c r="D166" s="99" t="s">
        <v>93</v>
      </c>
      <c r="E166">
        <v>327</v>
      </c>
      <c r="F166">
        <v>338</v>
      </c>
      <c r="G166" s="102" t="s">
        <v>153</v>
      </c>
      <c r="H166" t="s">
        <v>388</v>
      </c>
      <c r="J166">
        <f>SUM(K167)</f>
        <v>0</v>
      </c>
      <c r="K166">
        <f>I166*J166</f>
        <v>0</v>
      </c>
      <c r="L166" t="e">
        <f>100*(1-(M166/K166))</f>
        <v>#DIV/0!</v>
      </c>
      <c r="M166">
        <f>I166*SUM(M167)</f>
        <v>0</v>
      </c>
      <c r="N166">
        <v>166</v>
      </c>
    </row>
    <row r="167" spans="1:14" x14ac:dyDescent="0.25">
      <c r="A167" s="99" t="s">
        <v>389</v>
      </c>
      <c r="B167" s="99">
        <v>4</v>
      </c>
      <c r="C167" s="99" t="s">
        <v>387</v>
      </c>
      <c r="D167" s="99" t="s">
        <v>73</v>
      </c>
      <c r="E167">
        <v>328</v>
      </c>
      <c r="F167">
        <v>337</v>
      </c>
      <c r="G167" s="102" t="s">
        <v>153</v>
      </c>
      <c r="H167" t="s">
        <v>388</v>
      </c>
      <c r="J167">
        <f>SUM(K168)</f>
        <v>0</v>
      </c>
      <c r="K167">
        <f>I167*J167</f>
        <v>0</v>
      </c>
      <c r="L167" t="e">
        <f>100*(1-(M167/K167))</f>
        <v>#DIV/0!</v>
      </c>
      <c r="M167">
        <f>I167*SUM(M168)</f>
        <v>0</v>
      </c>
      <c r="N167">
        <v>167</v>
      </c>
    </row>
    <row r="168" spans="1:14" x14ac:dyDescent="0.25">
      <c r="A168" s="99" t="s">
        <v>390</v>
      </c>
      <c r="B168" s="99">
        <v>5</v>
      </c>
      <c r="C168" s="99" t="s">
        <v>389</v>
      </c>
      <c r="D168" s="99" t="s">
        <v>73</v>
      </c>
      <c r="E168">
        <v>329</v>
      </c>
      <c r="F168">
        <v>336</v>
      </c>
      <c r="G168" s="102" t="s">
        <v>153</v>
      </c>
      <c r="H168" t="s">
        <v>388</v>
      </c>
      <c r="J168">
        <f>SUM(K169,K170,K171)</f>
        <v>0</v>
      </c>
      <c r="K168">
        <f>I168*J168</f>
        <v>0</v>
      </c>
      <c r="L168" t="e">
        <f>100*(1-(M168/K168))</f>
        <v>#DIV/0!</v>
      </c>
      <c r="M168">
        <f>I168*SUM(M169,M170,M171)</f>
        <v>0</v>
      </c>
      <c r="N168">
        <v>168</v>
      </c>
    </row>
    <row r="169" spans="1:14" x14ac:dyDescent="0.25">
      <c r="A169" s="99" t="s">
        <v>391</v>
      </c>
      <c r="B169" s="99">
        <v>6</v>
      </c>
      <c r="C169" s="99" t="s">
        <v>390</v>
      </c>
      <c r="D169" s="99" t="s">
        <v>73</v>
      </c>
      <c r="E169">
        <v>330</v>
      </c>
      <c r="F169">
        <v>331</v>
      </c>
      <c r="G169" s="102" t="s">
        <v>73</v>
      </c>
      <c r="H169" t="s">
        <v>392</v>
      </c>
      <c r="N169">
        <v>169</v>
      </c>
    </row>
    <row r="170" spans="1:14" x14ac:dyDescent="0.25">
      <c r="A170" s="99" t="s">
        <v>393</v>
      </c>
      <c r="B170" s="99">
        <v>6</v>
      </c>
      <c r="C170" s="99" t="s">
        <v>390</v>
      </c>
      <c r="D170" s="99" t="s">
        <v>93</v>
      </c>
      <c r="E170">
        <v>332</v>
      </c>
      <c r="F170">
        <v>333</v>
      </c>
      <c r="G170" s="102" t="s">
        <v>73</v>
      </c>
      <c r="H170" t="s">
        <v>394</v>
      </c>
      <c r="N170">
        <v>170</v>
      </c>
    </row>
    <row r="171" spans="1:14" x14ac:dyDescent="0.25">
      <c r="A171" s="99" t="s">
        <v>395</v>
      </c>
      <c r="B171" s="99">
        <v>6</v>
      </c>
      <c r="C171" s="99" t="s">
        <v>390</v>
      </c>
      <c r="D171" s="99" t="s">
        <v>94</v>
      </c>
      <c r="E171">
        <v>334</v>
      </c>
      <c r="F171">
        <v>335</v>
      </c>
      <c r="G171" s="102" t="s">
        <v>73</v>
      </c>
      <c r="H171" t="s">
        <v>396</v>
      </c>
      <c r="N171">
        <v>171</v>
      </c>
    </row>
    <row r="172" spans="1:14" x14ac:dyDescent="0.25">
      <c r="A172" s="99" t="s">
        <v>397</v>
      </c>
      <c r="B172" s="99">
        <v>2</v>
      </c>
      <c r="C172" s="99" t="s">
        <v>73</v>
      </c>
      <c r="D172" s="99" t="s">
        <v>94</v>
      </c>
      <c r="E172">
        <v>340</v>
      </c>
      <c r="F172">
        <v>515</v>
      </c>
      <c r="G172" s="102" t="s">
        <v>153</v>
      </c>
      <c r="H172" t="s">
        <v>398</v>
      </c>
      <c r="J172">
        <f>SUM(K173,K202,K229,K233,K242,K248,K254)</f>
        <v>0</v>
      </c>
      <c r="K172">
        <f>I172*J172</f>
        <v>0</v>
      </c>
      <c r="L172" t="e">
        <f>100*(1-(M172/K172))</f>
        <v>#DIV/0!</v>
      </c>
      <c r="M172">
        <f>I172*SUM(M173,M202,M229,M233,M242,M248,M254)</f>
        <v>0</v>
      </c>
      <c r="N172">
        <v>172</v>
      </c>
    </row>
    <row r="173" spans="1:14" x14ac:dyDescent="0.25">
      <c r="A173" s="99" t="s">
        <v>399</v>
      </c>
      <c r="B173" s="99">
        <v>3</v>
      </c>
      <c r="C173" s="99" t="s">
        <v>397</v>
      </c>
      <c r="D173" s="99" t="s">
        <v>73</v>
      </c>
      <c r="E173">
        <v>341</v>
      </c>
      <c r="F173">
        <v>398</v>
      </c>
      <c r="G173" s="102" t="s">
        <v>153</v>
      </c>
      <c r="H173" t="s">
        <v>400</v>
      </c>
      <c r="J173">
        <f>SUM(K174)</f>
        <v>0</v>
      </c>
      <c r="K173">
        <f>I173*J173</f>
        <v>0</v>
      </c>
      <c r="L173" t="e">
        <f>100*(1-(M173/K173))</f>
        <v>#DIV/0!</v>
      </c>
      <c r="M173">
        <f>I173*SUM(M174)</f>
        <v>0</v>
      </c>
      <c r="N173">
        <v>173</v>
      </c>
    </row>
    <row r="174" spans="1:14" x14ac:dyDescent="0.25">
      <c r="A174" s="99" t="s">
        <v>401</v>
      </c>
      <c r="B174" s="99">
        <v>4</v>
      </c>
      <c r="C174" s="99" t="s">
        <v>399</v>
      </c>
      <c r="D174" s="99" t="s">
        <v>73</v>
      </c>
      <c r="E174">
        <v>342</v>
      </c>
      <c r="F174">
        <v>397</v>
      </c>
      <c r="G174" s="102" t="s">
        <v>153</v>
      </c>
      <c r="H174" t="s">
        <v>402</v>
      </c>
      <c r="J174">
        <f>SUM(K175,K182,K186)</f>
        <v>0</v>
      </c>
      <c r="K174">
        <f>I174*J174</f>
        <v>0</v>
      </c>
      <c r="L174" t="e">
        <f>100*(1-(M174/K174))</f>
        <v>#DIV/0!</v>
      </c>
      <c r="M174">
        <f>I174*SUM(M175,M182,M186)</f>
        <v>0</v>
      </c>
      <c r="N174">
        <v>174</v>
      </c>
    </row>
    <row r="175" spans="1:14" x14ac:dyDescent="0.25">
      <c r="A175" s="99" t="s">
        <v>403</v>
      </c>
      <c r="B175" s="99">
        <v>5</v>
      </c>
      <c r="C175" s="99" t="s">
        <v>401</v>
      </c>
      <c r="D175" s="99" t="s">
        <v>73</v>
      </c>
      <c r="E175">
        <v>343</v>
      </c>
      <c r="F175">
        <v>356</v>
      </c>
      <c r="G175" s="102" t="s">
        <v>153</v>
      </c>
      <c r="H175" t="s">
        <v>404</v>
      </c>
      <c r="J175">
        <f>SUM(K176)</f>
        <v>0</v>
      </c>
      <c r="K175">
        <f>I175*J175</f>
        <v>0</v>
      </c>
      <c r="L175" t="e">
        <f>100*(1-(M175/K175))</f>
        <v>#DIV/0!</v>
      </c>
      <c r="M175">
        <f>I175*SUM(M176)</f>
        <v>0</v>
      </c>
      <c r="N175">
        <v>175</v>
      </c>
    </row>
    <row r="176" spans="1:14" x14ac:dyDescent="0.25">
      <c r="A176" s="99" t="s">
        <v>405</v>
      </c>
      <c r="B176" s="99">
        <v>6</v>
      </c>
      <c r="C176" s="99" t="s">
        <v>403</v>
      </c>
      <c r="D176" s="99" t="s">
        <v>73</v>
      </c>
      <c r="E176">
        <v>344</v>
      </c>
      <c r="F176">
        <v>355</v>
      </c>
      <c r="G176" s="102" t="s">
        <v>153</v>
      </c>
      <c r="H176" t="s">
        <v>406</v>
      </c>
      <c r="J176">
        <f>SUM(K177,K178,K179,K180,K181)</f>
        <v>0</v>
      </c>
      <c r="K176">
        <f>I176*J176</f>
        <v>0</v>
      </c>
      <c r="L176" t="e">
        <f>100*(1-(M176/K176))</f>
        <v>#DIV/0!</v>
      </c>
      <c r="M176">
        <f>I176*SUM(M177,M178,M179,M180,M181)</f>
        <v>0</v>
      </c>
      <c r="N176">
        <v>176</v>
      </c>
    </row>
    <row r="177" spans="1:14" x14ac:dyDescent="0.25">
      <c r="A177" s="99" t="s">
        <v>407</v>
      </c>
      <c r="B177" s="99">
        <v>7</v>
      </c>
      <c r="C177" s="99" t="s">
        <v>405</v>
      </c>
      <c r="D177" s="99" t="s">
        <v>73</v>
      </c>
      <c r="E177">
        <v>345</v>
      </c>
      <c r="F177">
        <v>346</v>
      </c>
      <c r="G177" s="102" t="s">
        <v>73</v>
      </c>
      <c r="H177" t="s">
        <v>408</v>
      </c>
      <c r="N177">
        <v>177</v>
      </c>
    </row>
    <row r="178" spans="1:14" x14ac:dyDescent="0.25">
      <c r="A178" s="99" t="s">
        <v>409</v>
      </c>
      <c r="B178" s="99">
        <v>7</v>
      </c>
      <c r="C178" s="99" t="s">
        <v>405</v>
      </c>
      <c r="D178" s="99" t="s">
        <v>93</v>
      </c>
      <c r="E178">
        <v>347</v>
      </c>
      <c r="F178">
        <v>348</v>
      </c>
      <c r="G178" s="102" t="s">
        <v>73</v>
      </c>
      <c r="H178" t="s">
        <v>410</v>
      </c>
      <c r="N178">
        <v>178</v>
      </c>
    </row>
    <row r="179" spans="1:14" x14ac:dyDescent="0.25">
      <c r="A179" s="99" t="s">
        <v>411</v>
      </c>
      <c r="B179" s="99">
        <v>7</v>
      </c>
      <c r="C179" s="99" t="s">
        <v>405</v>
      </c>
      <c r="D179" s="99" t="s">
        <v>94</v>
      </c>
      <c r="E179">
        <v>349</v>
      </c>
      <c r="F179">
        <v>350</v>
      </c>
      <c r="G179" s="102" t="s">
        <v>73</v>
      </c>
      <c r="H179" t="s">
        <v>412</v>
      </c>
      <c r="N179">
        <v>179</v>
      </c>
    </row>
    <row r="180" spans="1:14" x14ac:dyDescent="0.25">
      <c r="A180" s="99" t="s">
        <v>413</v>
      </c>
      <c r="B180" s="99">
        <v>7</v>
      </c>
      <c r="C180" s="99" t="s">
        <v>405</v>
      </c>
      <c r="D180" s="99" t="s">
        <v>95</v>
      </c>
      <c r="E180">
        <v>351</v>
      </c>
      <c r="F180">
        <v>352</v>
      </c>
      <c r="G180" s="102" t="s">
        <v>73</v>
      </c>
      <c r="H180" t="s">
        <v>414</v>
      </c>
      <c r="N180">
        <v>180</v>
      </c>
    </row>
    <row r="181" spans="1:14" x14ac:dyDescent="0.25">
      <c r="A181" s="99" t="s">
        <v>415</v>
      </c>
      <c r="B181" s="99">
        <v>7</v>
      </c>
      <c r="C181" s="99" t="s">
        <v>405</v>
      </c>
      <c r="D181" s="99" t="s">
        <v>96</v>
      </c>
      <c r="E181">
        <v>353</v>
      </c>
      <c r="F181">
        <v>354</v>
      </c>
      <c r="G181" s="102" t="s">
        <v>73</v>
      </c>
      <c r="H181" t="s">
        <v>416</v>
      </c>
      <c r="N181">
        <v>181</v>
      </c>
    </row>
    <row r="182" spans="1:14" x14ac:dyDescent="0.25">
      <c r="A182" s="99" t="s">
        <v>417</v>
      </c>
      <c r="B182" s="99">
        <v>5</v>
      </c>
      <c r="C182" s="99" t="s">
        <v>401</v>
      </c>
      <c r="D182" s="99" t="s">
        <v>93</v>
      </c>
      <c r="E182">
        <v>357</v>
      </c>
      <c r="F182">
        <v>364</v>
      </c>
      <c r="G182" s="102" t="s">
        <v>153</v>
      </c>
      <c r="H182" t="s">
        <v>418</v>
      </c>
      <c r="J182">
        <f>SUM(K183)</f>
        <v>0</v>
      </c>
      <c r="K182">
        <f>I182*J182</f>
        <v>0</v>
      </c>
      <c r="L182" t="e">
        <f>100*(1-(M182/K182))</f>
        <v>#DIV/0!</v>
      </c>
      <c r="M182">
        <f>I182*SUM(M183)</f>
        <v>0</v>
      </c>
      <c r="N182">
        <v>182</v>
      </c>
    </row>
    <row r="183" spans="1:14" x14ac:dyDescent="0.25">
      <c r="A183" s="99" t="s">
        <v>419</v>
      </c>
      <c r="B183" s="99">
        <v>6</v>
      </c>
      <c r="C183" s="99" t="s">
        <v>417</v>
      </c>
      <c r="D183" s="99" t="s">
        <v>73</v>
      </c>
      <c r="E183">
        <v>358</v>
      </c>
      <c r="F183">
        <v>363</v>
      </c>
      <c r="G183" s="102" t="s">
        <v>153</v>
      </c>
      <c r="H183" t="s">
        <v>420</v>
      </c>
      <c r="J183">
        <f>SUM(K184,K185)</f>
        <v>0</v>
      </c>
      <c r="K183">
        <f>I183*J183</f>
        <v>0</v>
      </c>
      <c r="L183" t="e">
        <f>100*(1-(M183/K183))</f>
        <v>#DIV/0!</v>
      </c>
      <c r="M183">
        <f>I183*SUM(M184,M185)</f>
        <v>0</v>
      </c>
      <c r="N183">
        <v>183</v>
      </c>
    </row>
    <row r="184" spans="1:14" x14ac:dyDescent="0.25">
      <c r="A184" s="99" t="s">
        <v>421</v>
      </c>
      <c r="B184" s="99">
        <v>7</v>
      </c>
      <c r="C184" s="99" t="s">
        <v>419</v>
      </c>
      <c r="D184" s="99" t="s">
        <v>73</v>
      </c>
      <c r="E184">
        <v>359</v>
      </c>
      <c r="F184">
        <v>360</v>
      </c>
      <c r="G184" s="102" t="s">
        <v>73</v>
      </c>
      <c r="H184" t="s">
        <v>408</v>
      </c>
      <c r="N184">
        <v>184</v>
      </c>
    </row>
    <row r="185" spans="1:14" x14ac:dyDescent="0.25">
      <c r="A185" s="99" t="s">
        <v>422</v>
      </c>
      <c r="B185" s="99">
        <v>7</v>
      </c>
      <c r="C185" s="99" t="s">
        <v>419</v>
      </c>
      <c r="D185" s="99" t="s">
        <v>93</v>
      </c>
      <c r="E185">
        <v>361</v>
      </c>
      <c r="F185">
        <v>362</v>
      </c>
      <c r="G185" s="102" t="s">
        <v>73</v>
      </c>
      <c r="H185" t="s">
        <v>416</v>
      </c>
      <c r="N185">
        <v>185</v>
      </c>
    </row>
    <row r="186" spans="1:14" x14ac:dyDescent="0.25">
      <c r="A186" s="99" t="s">
        <v>423</v>
      </c>
      <c r="B186" s="99">
        <v>5</v>
      </c>
      <c r="C186" s="99" t="s">
        <v>401</v>
      </c>
      <c r="D186" s="99" t="s">
        <v>94</v>
      </c>
      <c r="E186">
        <v>365</v>
      </c>
      <c r="F186">
        <v>396</v>
      </c>
      <c r="G186" s="102" t="s">
        <v>153</v>
      </c>
      <c r="H186" t="s">
        <v>424</v>
      </c>
      <c r="J186">
        <f>SUM(K187)</f>
        <v>0</v>
      </c>
      <c r="K186">
        <f>I186*J186</f>
        <v>0</v>
      </c>
      <c r="L186" t="e">
        <f>100*(1-(M186/K186))</f>
        <v>#DIV/0!</v>
      </c>
      <c r="M186">
        <f>I186*SUM(M187)</f>
        <v>0</v>
      </c>
      <c r="N186">
        <v>186</v>
      </c>
    </row>
    <row r="187" spans="1:14" x14ac:dyDescent="0.25">
      <c r="A187" s="99" t="s">
        <v>425</v>
      </c>
      <c r="B187" s="99">
        <v>6</v>
      </c>
      <c r="C187" s="99" t="s">
        <v>423</v>
      </c>
      <c r="D187" s="99" t="s">
        <v>73</v>
      </c>
      <c r="E187">
        <v>366</v>
      </c>
      <c r="F187">
        <v>395</v>
      </c>
      <c r="G187" s="102" t="s">
        <v>153</v>
      </c>
      <c r="H187" t="s">
        <v>426</v>
      </c>
      <c r="J187">
        <f>SUM(K188,K189,K190,K191,K192,K193,K194,K195,K196,K197,K198,K199,K200,K201)</f>
        <v>0</v>
      </c>
      <c r="K187">
        <f>I187*J187</f>
        <v>0</v>
      </c>
      <c r="L187" t="e">
        <f>100*(1-(M187/K187))</f>
        <v>#DIV/0!</v>
      </c>
      <c r="M187">
        <f>I187*SUM(M188,M189,M190,M191,M192,M193,M194,M195,M196,M197,M198,M199,M200,M201)</f>
        <v>0</v>
      </c>
      <c r="N187">
        <v>187</v>
      </c>
    </row>
    <row r="188" spans="1:14" x14ac:dyDescent="0.25">
      <c r="A188" s="99" t="s">
        <v>427</v>
      </c>
      <c r="B188" s="99">
        <v>7</v>
      </c>
      <c r="C188" s="99" t="s">
        <v>425</v>
      </c>
      <c r="D188" s="99" t="s">
        <v>73</v>
      </c>
      <c r="E188">
        <v>367</v>
      </c>
      <c r="F188">
        <v>368</v>
      </c>
      <c r="G188" s="102" t="s">
        <v>73</v>
      </c>
      <c r="H188" t="s">
        <v>428</v>
      </c>
      <c r="N188">
        <v>188</v>
      </c>
    </row>
    <row r="189" spans="1:14" x14ac:dyDescent="0.25">
      <c r="A189" s="99" t="s">
        <v>429</v>
      </c>
      <c r="B189" s="99">
        <v>7</v>
      </c>
      <c r="C189" s="99" t="s">
        <v>425</v>
      </c>
      <c r="D189" s="99" t="s">
        <v>93</v>
      </c>
      <c r="E189">
        <v>369</v>
      </c>
      <c r="F189">
        <v>370</v>
      </c>
      <c r="G189" s="102" t="s">
        <v>73</v>
      </c>
      <c r="H189" t="s">
        <v>430</v>
      </c>
      <c r="N189">
        <v>189</v>
      </c>
    </row>
    <row r="190" spans="1:14" x14ac:dyDescent="0.25">
      <c r="A190" s="99" t="s">
        <v>431</v>
      </c>
      <c r="B190" s="99">
        <v>7</v>
      </c>
      <c r="C190" s="99" t="s">
        <v>425</v>
      </c>
      <c r="D190" s="99" t="s">
        <v>94</v>
      </c>
      <c r="E190">
        <v>371</v>
      </c>
      <c r="F190">
        <v>372</v>
      </c>
      <c r="G190" s="102" t="s">
        <v>73</v>
      </c>
      <c r="H190" t="s">
        <v>139</v>
      </c>
      <c r="N190">
        <v>190</v>
      </c>
    </row>
    <row r="191" spans="1:14" x14ac:dyDescent="0.25">
      <c r="A191" s="99" t="s">
        <v>432</v>
      </c>
      <c r="B191" s="99">
        <v>7</v>
      </c>
      <c r="C191" s="99" t="s">
        <v>425</v>
      </c>
      <c r="D191" s="99" t="s">
        <v>95</v>
      </c>
      <c r="E191">
        <v>373</v>
      </c>
      <c r="F191">
        <v>374</v>
      </c>
      <c r="G191" s="102" t="s">
        <v>73</v>
      </c>
      <c r="H191" t="s">
        <v>433</v>
      </c>
      <c r="N191">
        <v>191</v>
      </c>
    </row>
    <row r="192" spans="1:14" x14ac:dyDescent="0.25">
      <c r="A192" s="99" t="s">
        <v>434</v>
      </c>
      <c r="B192" s="99">
        <v>7</v>
      </c>
      <c r="C192" s="99" t="s">
        <v>425</v>
      </c>
      <c r="D192" s="99" t="s">
        <v>96</v>
      </c>
      <c r="E192">
        <v>375</v>
      </c>
      <c r="F192">
        <v>376</v>
      </c>
      <c r="G192" s="102" t="s">
        <v>73</v>
      </c>
      <c r="H192" t="s">
        <v>435</v>
      </c>
      <c r="N192">
        <v>192</v>
      </c>
    </row>
    <row r="193" spans="1:14" x14ac:dyDescent="0.25">
      <c r="A193" s="99" t="s">
        <v>436</v>
      </c>
      <c r="B193" s="99">
        <v>7</v>
      </c>
      <c r="C193" s="99" t="s">
        <v>425</v>
      </c>
      <c r="D193" s="99" t="s">
        <v>171</v>
      </c>
      <c r="E193">
        <v>377</v>
      </c>
      <c r="F193">
        <v>378</v>
      </c>
      <c r="G193" s="102" t="s">
        <v>73</v>
      </c>
      <c r="H193" t="s">
        <v>143</v>
      </c>
      <c r="N193">
        <v>193</v>
      </c>
    </row>
    <row r="194" spans="1:14" x14ac:dyDescent="0.25">
      <c r="A194" s="99" t="s">
        <v>437</v>
      </c>
      <c r="B194" s="99">
        <v>7</v>
      </c>
      <c r="C194" s="99" t="s">
        <v>425</v>
      </c>
      <c r="D194" s="99" t="s">
        <v>212</v>
      </c>
      <c r="E194">
        <v>379</v>
      </c>
      <c r="F194">
        <v>380</v>
      </c>
      <c r="G194" s="102" t="s">
        <v>73</v>
      </c>
      <c r="H194" t="s">
        <v>438</v>
      </c>
      <c r="N194">
        <v>194</v>
      </c>
    </row>
    <row r="195" spans="1:14" x14ac:dyDescent="0.25">
      <c r="A195" s="99" t="s">
        <v>439</v>
      </c>
      <c r="B195" s="99">
        <v>7</v>
      </c>
      <c r="C195" s="99" t="s">
        <v>425</v>
      </c>
      <c r="D195" s="99" t="s">
        <v>213</v>
      </c>
      <c r="E195">
        <v>381</v>
      </c>
      <c r="F195">
        <v>382</v>
      </c>
      <c r="G195" s="102" t="s">
        <v>73</v>
      </c>
      <c r="H195" t="s">
        <v>145</v>
      </c>
      <c r="N195">
        <v>195</v>
      </c>
    </row>
    <row r="196" spans="1:14" x14ac:dyDescent="0.25">
      <c r="A196" s="99" t="s">
        <v>440</v>
      </c>
      <c r="B196" s="99">
        <v>7</v>
      </c>
      <c r="C196" s="99" t="s">
        <v>425</v>
      </c>
      <c r="D196" s="99" t="s">
        <v>214</v>
      </c>
      <c r="E196">
        <v>383</v>
      </c>
      <c r="F196">
        <v>384</v>
      </c>
      <c r="G196" s="102" t="s">
        <v>73</v>
      </c>
      <c r="H196" t="s">
        <v>441</v>
      </c>
      <c r="N196">
        <v>196</v>
      </c>
    </row>
    <row r="197" spans="1:14" x14ac:dyDescent="0.25">
      <c r="A197" s="99" t="s">
        <v>442</v>
      </c>
      <c r="B197" s="99">
        <v>7</v>
      </c>
      <c r="C197" s="99" t="s">
        <v>425</v>
      </c>
      <c r="D197" s="99" t="s">
        <v>215</v>
      </c>
      <c r="E197">
        <v>385</v>
      </c>
      <c r="F197">
        <v>386</v>
      </c>
      <c r="G197" s="102" t="s">
        <v>73</v>
      </c>
      <c r="H197" t="s">
        <v>147</v>
      </c>
      <c r="N197">
        <v>197</v>
      </c>
    </row>
    <row r="198" spans="1:14" x14ac:dyDescent="0.25">
      <c r="A198" s="99" t="s">
        <v>443</v>
      </c>
      <c r="B198" s="99">
        <v>7</v>
      </c>
      <c r="C198" s="99" t="s">
        <v>425</v>
      </c>
      <c r="D198" s="99" t="s">
        <v>353</v>
      </c>
      <c r="E198">
        <v>387</v>
      </c>
      <c r="F198">
        <v>388</v>
      </c>
      <c r="G198" s="102" t="s">
        <v>73</v>
      </c>
      <c r="H198" t="s">
        <v>444</v>
      </c>
      <c r="N198">
        <v>198</v>
      </c>
    </row>
    <row r="199" spans="1:14" x14ac:dyDescent="0.25">
      <c r="A199" s="99" t="s">
        <v>445</v>
      </c>
      <c r="B199" s="99">
        <v>7</v>
      </c>
      <c r="C199" s="99" t="s">
        <v>425</v>
      </c>
      <c r="D199" s="99" t="s">
        <v>354</v>
      </c>
      <c r="E199">
        <v>389</v>
      </c>
      <c r="F199">
        <v>390</v>
      </c>
      <c r="G199" s="102" t="s">
        <v>73</v>
      </c>
      <c r="H199" t="s">
        <v>446</v>
      </c>
      <c r="N199">
        <v>199</v>
      </c>
    </row>
    <row r="200" spans="1:14" x14ac:dyDescent="0.25">
      <c r="A200" s="99" t="s">
        <v>447</v>
      </c>
      <c r="B200" s="99">
        <v>7</v>
      </c>
      <c r="C200" s="99" t="s">
        <v>425</v>
      </c>
      <c r="D200" s="99" t="s">
        <v>355</v>
      </c>
      <c r="E200">
        <v>391</v>
      </c>
      <c r="F200">
        <v>392</v>
      </c>
      <c r="G200" s="102" t="s">
        <v>73</v>
      </c>
      <c r="H200" t="s">
        <v>448</v>
      </c>
      <c r="N200">
        <v>200</v>
      </c>
    </row>
    <row r="201" spans="1:14" x14ac:dyDescent="0.25">
      <c r="A201" s="99" t="s">
        <v>449</v>
      </c>
      <c r="B201" s="99">
        <v>7</v>
      </c>
      <c r="C201" s="99" t="s">
        <v>425</v>
      </c>
      <c r="D201" s="99" t="s">
        <v>356</v>
      </c>
      <c r="E201">
        <v>393</v>
      </c>
      <c r="F201">
        <v>394</v>
      </c>
      <c r="G201" s="102" t="s">
        <v>73</v>
      </c>
      <c r="H201" t="s">
        <v>450</v>
      </c>
      <c r="N201">
        <v>201</v>
      </c>
    </row>
    <row r="202" spans="1:14" x14ac:dyDescent="0.25">
      <c r="A202" s="99" t="s">
        <v>451</v>
      </c>
      <c r="B202" s="99">
        <v>3</v>
      </c>
      <c r="C202" s="99" t="s">
        <v>397</v>
      </c>
      <c r="D202" s="99" t="s">
        <v>93</v>
      </c>
      <c r="E202">
        <v>399</v>
      </c>
      <c r="F202">
        <v>452</v>
      </c>
      <c r="G202" s="102" t="s">
        <v>153</v>
      </c>
      <c r="H202" t="s">
        <v>452</v>
      </c>
      <c r="J202">
        <f>SUM(K203,K223)</f>
        <v>0</v>
      </c>
      <c r="K202">
        <f>I202*J202</f>
        <v>0</v>
      </c>
      <c r="L202" t="e">
        <f>100*(1-(M202/K202))</f>
        <v>#DIV/0!</v>
      </c>
      <c r="M202">
        <f>I202*SUM(M203,M223)</f>
        <v>0</v>
      </c>
      <c r="N202">
        <v>202</v>
      </c>
    </row>
    <row r="203" spans="1:14" x14ac:dyDescent="0.25">
      <c r="A203" s="99" t="s">
        <v>453</v>
      </c>
      <c r="B203" s="99">
        <v>4</v>
      </c>
      <c r="C203" s="99" t="s">
        <v>451</v>
      </c>
      <c r="D203" s="99" t="s">
        <v>73</v>
      </c>
      <c r="E203">
        <v>400</v>
      </c>
      <c r="F203">
        <v>439</v>
      </c>
      <c r="G203" s="102" t="s">
        <v>153</v>
      </c>
      <c r="H203" t="s">
        <v>454</v>
      </c>
      <c r="J203">
        <f>SUM(K204,K220)</f>
        <v>0</v>
      </c>
      <c r="K203">
        <f>I203*J203</f>
        <v>0</v>
      </c>
      <c r="L203" t="e">
        <f>100*(1-(M203/K203))</f>
        <v>#DIV/0!</v>
      </c>
      <c r="M203">
        <f>I203*SUM(M204,M220)</f>
        <v>0</v>
      </c>
      <c r="N203">
        <v>203</v>
      </c>
    </row>
    <row r="204" spans="1:14" x14ac:dyDescent="0.25">
      <c r="A204" s="99" t="s">
        <v>455</v>
      </c>
      <c r="B204" s="99">
        <v>5</v>
      </c>
      <c r="C204" s="99" t="s">
        <v>453</v>
      </c>
      <c r="D204" s="99" t="s">
        <v>73</v>
      </c>
      <c r="E204">
        <v>401</v>
      </c>
      <c r="F204">
        <v>432</v>
      </c>
      <c r="G204" s="102" t="s">
        <v>153</v>
      </c>
      <c r="H204" t="s">
        <v>456</v>
      </c>
      <c r="J204">
        <f>SUM(K205,K206,K207,K208,K209,K210,K211,K212,K213,K214,K215,K216,K217,K218,K219)</f>
        <v>0</v>
      </c>
      <c r="K204">
        <f>I204*J204</f>
        <v>0</v>
      </c>
      <c r="L204" t="e">
        <f>100*(1-(M204/K204))</f>
        <v>#DIV/0!</v>
      </c>
      <c r="M204">
        <f>I204*SUM(M205,M206,M207,M208,M209,M210,M211,M212,M213,M214,M215,M216,M217,M218,M219)</f>
        <v>0</v>
      </c>
      <c r="N204">
        <v>204</v>
      </c>
    </row>
    <row r="205" spans="1:14" x14ac:dyDescent="0.25">
      <c r="A205" s="99" t="s">
        <v>457</v>
      </c>
      <c r="B205" s="99">
        <v>6</v>
      </c>
      <c r="C205" s="99" t="s">
        <v>455</v>
      </c>
      <c r="D205" s="99" t="s">
        <v>73</v>
      </c>
      <c r="E205">
        <v>402</v>
      </c>
      <c r="F205">
        <v>403</v>
      </c>
      <c r="G205" s="102" t="s">
        <v>73</v>
      </c>
      <c r="H205" t="s">
        <v>458</v>
      </c>
      <c r="N205">
        <v>205</v>
      </c>
    </row>
    <row r="206" spans="1:14" x14ac:dyDescent="0.25">
      <c r="A206" s="99" t="s">
        <v>459</v>
      </c>
      <c r="B206" s="99">
        <v>6</v>
      </c>
      <c r="C206" s="99" t="s">
        <v>455</v>
      </c>
      <c r="D206" s="99" t="s">
        <v>93</v>
      </c>
      <c r="E206">
        <v>404</v>
      </c>
      <c r="F206">
        <v>405</v>
      </c>
      <c r="G206" s="102" t="s">
        <v>73</v>
      </c>
      <c r="H206" t="s">
        <v>460</v>
      </c>
      <c r="N206">
        <v>206</v>
      </c>
    </row>
    <row r="207" spans="1:14" x14ac:dyDescent="0.25">
      <c r="A207" s="99" t="s">
        <v>461</v>
      </c>
      <c r="B207" s="99">
        <v>6</v>
      </c>
      <c r="C207" s="99" t="s">
        <v>455</v>
      </c>
      <c r="D207" s="99" t="s">
        <v>94</v>
      </c>
      <c r="E207">
        <v>406</v>
      </c>
      <c r="F207">
        <v>407</v>
      </c>
      <c r="G207" s="102" t="s">
        <v>73</v>
      </c>
      <c r="H207" t="s">
        <v>462</v>
      </c>
      <c r="N207">
        <v>207</v>
      </c>
    </row>
    <row r="208" spans="1:14" x14ac:dyDescent="0.25">
      <c r="A208" s="99" t="s">
        <v>463</v>
      </c>
      <c r="B208" s="99">
        <v>6</v>
      </c>
      <c r="C208" s="99" t="s">
        <v>455</v>
      </c>
      <c r="D208" s="99" t="s">
        <v>95</v>
      </c>
      <c r="E208">
        <v>408</v>
      </c>
      <c r="F208">
        <v>409</v>
      </c>
      <c r="G208" s="102" t="s">
        <v>73</v>
      </c>
      <c r="H208" t="s">
        <v>464</v>
      </c>
      <c r="N208">
        <v>208</v>
      </c>
    </row>
    <row r="209" spans="1:14" x14ac:dyDescent="0.25">
      <c r="A209" s="99" t="s">
        <v>465</v>
      </c>
      <c r="B209" s="99">
        <v>6</v>
      </c>
      <c r="C209" s="99" t="s">
        <v>455</v>
      </c>
      <c r="D209" s="99" t="s">
        <v>96</v>
      </c>
      <c r="E209">
        <v>410</v>
      </c>
      <c r="F209">
        <v>411</v>
      </c>
      <c r="G209" s="102" t="s">
        <v>73</v>
      </c>
      <c r="H209" t="s">
        <v>466</v>
      </c>
      <c r="N209">
        <v>209</v>
      </c>
    </row>
    <row r="210" spans="1:14" x14ac:dyDescent="0.25">
      <c r="A210" s="99" t="s">
        <v>467</v>
      </c>
      <c r="B210" s="99">
        <v>6</v>
      </c>
      <c r="C210" s="99" t="s">
        <v>455</v>
      </c>
      <c r="D210" s="99" t="s">
        <v>171</v>
      </c>
      <c r="E210">
        <v>412</v>
      </c>
      <c r="F210">
        <v>413</v>
      </c>
      <c r="G210" s="102" t="s">
        <v>73</v>
      </c>
      <c r="H210" t="s">
        <v>468</v>
      </c>
      <c r="N210">
        <v>210</v>
      </c>
    </row>
    <row r="211" spans="1:14" x14ac:dyDescent="0.25">
      <c r="A211" s="99" t="s">
        <v>469</v>
      </c>
      <c r="B211" s="99">
        <v>6</v>
      </c>
      <c r="C211" s="99" t="s">
        <v>455</v>
      </c>
      <c r="D211" s="99" t="s">
        <v>212</v>
      </c>
      <c r="E211">
        <v>414</v>
      </c>
      <c r="F211">
        <v>415</v>
      </c>
      <c r="G211" s="102" t="s">
        <v>73</v>
      </c>
      <c r="H211" t="s">
        <v>470</v>
      </c>
      <c r="N211">
        <v>211</v>
      </c>
    </row>
    <row r="212" spans="1:14" x14ac:dyDescent="0.25">
      <c r="A212" s="99" t="s">
        <v>471</v>
      </c>
      <c r="B212" s="99">
        <v>6</v>
      </c>
      <c r="C212" s="99" t="s">
        <v>455</v>
      </c>
      <c r="D212" s="99" t="s">
        <v>213</v>
      </c>
      <c r="E212">
        <v>416</v>
      </c>
      <c r="F212">
        <v>417</v>
      </c>
      <c r="G212" s="102" t="s">
        <v>73</v>
      </c>
      <c r="H212" t="s">
        <v>472</v>
      </c>
      <c r="N212">
        <v>212</v>
      </c>
    </row>
    <row r="213" spans="1:14" x14ac:dyDescent="0.25">
      <c r="A213" s="99" t="s">
        <v>473</v>
      </c>
      <c r="B213" s="99">
        <v>6</v>
      </c>
      <c r="C213" s="99" t="s">
        <v>455</v>
      </c>
      <c r="D213" s="99" t="s">
        <v>214</v>
      </c>
      <c r="E213">
        <v>418</v>
      </c>
      <c r="F213">
        <v>419</v>
      </c>
      <c r="G213" s="102" t="s">
        <v>73</v>
      </c>
      <c r="H213" t="s">
        <v>474</v>
      </c>
      <c r="N213">
        <v>213</v>
      </c>
    </row>
    <row r="214" spans="1:14" x14ac:dyDescent="0.25">
      <c r="A214" s="99" t="s">
        <v>475</v>
      </c>
      <c r="B214" s="99">
        <v>6</v>
      </c>
      <c r="C214" s="99" t="s">
        <v>455</v>
      </c>
      <c r="D214" s="99" t="s">
        <v>215</v>
      </c>
      <c r="E214">
        <v>420</v>
      </c>
      <c r="F214">
        <v>421</v>
      </c>
      <c r="G214" s="102" t="s">
        <v>73</v>
      </c>
      <c r="H214" t="s">
        <v>476</v>
      </c>
      <c r="N214">
        <v>214</v>
      </c>
    </row>
    <row r="215" spans="1:14" x14ac:dyDescent="0.25">
      <c r="A215" s="99" t="s">
        <v>477</v>
      </c>
      <c r="B215" s="99">
        <v>6</v>
      </c>
      <c r="C215" s="99" t="s">
        <v>455</v>
      </c>
      <c r="D215" s="99" t="s">
        <v>353</v>
      </c>
      <c r="E215">
        <v>422</v>
      </c>
      <c r="F215">
        <v>423</v>
      </c>
      <c r="G215" s="102" t="s">
        <v>73</v>
      </c>
      <c r="H215" t="s">
        <v>478</v>
      </c>
      <c r="N215">
        <v>215</v>
      </c>
    </row>
    <row r="216" spans="1:14" x14ac:dyDescent="0.25">
      <c r="A216" s="99" t="s">
        <v>479</v>
      </c>
      <c r="B216" s="99">
        <v>6</v>
      </c>
      <c r="C216" s="99" t="s">
        <v>455</v>
      </c>
      <c r="D216" s="99" t="s">
        <v>354</v>
      </c>
      <c r="E216">
        <v>424</v>
      </c>
      <c r="F216">
        <v>425</v>
      </c>
      <c r="G216" s="102" t="s">
        <v>73</v>
      </c>
      <c r="H216" t="s">
        <v>480</v>
      </c>
      <c r="N216">
        <v>216</v>
      </c>
    </row>
    <row r="217" spans="1:14" x14ac:dyDescent="0.25">
      <c r="A217" s="99" t="s">
        <v>481</v>
      </c>
      <c r="B217" s="99">
        <v>6</v>
      </c>
      <c r="C217" s="99" t="s">
        <v>455</v>
      </c>
      <c r="D217" s="99" t="s">
        <v>355</v>
      </c>
      <c r="E217">
        <v>426</v>
      </c>
      <c r="F217">
        <v>427</v>
      </c>
      <c r="G217" s="102" t="s">
        <v>73</v>
      </c>
      <c r="H217" t="s">
        <v>482</v>
      </c>
      <c r="N217">
        <v>217</v>
      </c>
    </row>
    <row r="218" spans="1:14" x14ac:dyDescent="0.25">
      <c r="A218" s="99" t="s">
        <v>483</v>
      </c>
      <c r="B218" s="99">
        <v>6</v>
      </c>
      <c r="C218" s="99" t="s">
        <v>455</v>
      </c>
      <c r="D218" s="99" t="s">
        <v>356</v>
      </c>
      <c r="E218">
        <v>428</v>
      </c>
      <c r="F218">
        <v>429</v>
      </c>
      <c r="G218" s="102" t="s">
        <v>73</v>
      </c>
      <c r="H218" t="s">
        <v>484</v>
      </c>
      <c r="N218">
        <v>218</v>
      </c>
    </row>
    <row r="219" spans="1:14" x14ac:dyDescent="0.25">
      <c r="A219" s="99" t="s">
        <v>485</v>
      </c>
      <c r="B219" s="99">
        <v>6</v>
      </c>
      <c r="C219" s="99" t="s">
        <v>455</v>
      </c>
      <c r="D219" s="99" t="s">
        <v>357</v>
      </c>
      <c r="E219">
        <v>430</v>
      </c>
      <c r="F219">
        <v>431</v>
      </c>
      <c r="G219" s="102" t="s">
        <v>73</v>
      </c>
      <c r="H219" t="s">
        <v>486</v>
      </c>
      <c r="N219">
        <v>219</v>
      </c>
    </row>
    <row r="220" spans="1:14" x14ac:dyDescent="0.25">
      <c r="A220" s="99" t="s">
        <v>487</v>
      </c>
      <c r="B220" s="99">
        <v>5</v>
      </c>
      <c r="C220" s="99" t="s">
        <v>453</v>
      </c>
      <c r="D220" s="99" t="s">
        <v>93</v>
      </c>
      <c r="E220">
        <v>433</v>
      </c>
      <c r="F220">
        <v>438</v>
      </c>
      <c r="G220" s="102" t="s">
        <v>153</v>
      </c>
      <c r="H220" t="s">
        <v>488</v>
      </c>
      <c r="J220">
        <f>SUM(K221)</f>
        <v>0</v>
      </c>
      <c r="K220">
        <f>I220*J220</f>
        <v>0</v>
      </c>
      <c r="L220" t="e">
        <f>100*(1-(M220/K220))</f>
        <v>#DIV/0!</v>
      </c>
      <c r="M220">
        <f>I220*SUM(M221)</f>
        <v>0</v>
      </c>
      <c r="N220">
        <v>220</v>
      </c>
    </row>
    <row r="221" spans="1:14" x14ac:dyDescent="0.25">
      <c r="A221" s="99" t="s">
        <v>489</v>
      </c>
      <c r="B221" s="99">
        <v>6</v>
      </c>
      <c r="C221" s="99" t="s">
        <v>487</v>
      </c>
      <c r="D221" s="99" t="s">
        <v>73</v>
      </c>
      <c r="E221">
        <v>434</v>
      </c>
      <c r="F221">
        <v>437</v>
      </c>
      <c r="G221" s="102" t="s">
        <v>153</v>
      </c>
      <c r="H221" t="s">
        <v>490</v>
      </c>
      <c r="J221">
        <f>SUM(K222)</f>
        <v>0</v>
      </c>
      <c r="K221">
        <f>I221*J221</f>
        <v>0</v>
      </c>
      <c r="L221" t="e">
        <f>100*(1-(M221/K221))</f>
        <v>#DIV/0!</v>
      </c>
      <c r="M221">
        <f>I221*SUM(M222)</f>
        <v>0</v>
      </c>
      <c r="N221">
        <v>221</v>
      </c>
    </row>
    <row r="222" spans="1:14" x14ac:dyDescent="0.25">
      <c r="A222" s="99" t="s">
        <v>491</v>
      </c>
      <c r="B222" s="99">
        <v>7</v>
      </c>
      <c r="C222" s="99" t="s">
        <v>489</v>
      </c>
      <c r="D222" s="99" t="s">
        <v>73</v>
      </c>
      <c r="E222">
        <v>435</v>
      </c>
      <c r="F222">
        <v>436</v>
      </c>
      <c r="G222" s="102" t="s">
        <v>73</v>
      </c>
      <c r="H222" t="s">
        <v>492</v>
      </c>
      <c r="N222">
        <v>222</v>
      </c>
    </row>
    <row r="223" spans="1:14" x14ac:dyDescent="0.25">
      <c r="A223" s="99" t="s">
        <v>493</v>
      </c>
      <c r="B223" s="99">
        <v>4</v>
      </c>
      <c r="C223" s="99" t="s">
        <v>451</v>
      </c>
      <c r="D223" s="99" t="s">
        <v>93</v>
      </c>
      <c r="E223">
        <v>440</v>
      </c>
      <c r="F223">
        <v>451</v>
      </c>
      <c r="G223" s="102" t="s">
        <v>153</v>
      </c>
      <c r="H223" t="s">
        <v>494</v>
      </c>
      <c r="J223">
        <f>SUM(K224)</f>
        <v>0</v>
      </c>
      <c r="K223">
        <f>I223*J223</f>
        <v>0</v>
      </c>
      <c r="L223" t="e">
        <f>100*(1-(M223/K223))</f>
        <v>#DIV/0!</v>
      </c>
      <c r="M223">
        <f>I223*SUM(M224)</f>
        <v>0</v>
      </c>
      <c r="N223">
        <v>223</v>
      </c>
    </row>
    <row r="224" spans="1:14" x14ac:dyDescent="0.25">
      <c r="A224" s="99" t="s">
        <v>495</v>
      </c>
      <c r="B224" s="99">
        <v>5</v>
      </c>
      <c r="C224" s="99" t="s">
        <v>493</v>
      </c>
      <c r="D224" s="99" t="s">
        <v>73</v>
      </c>
      <c r="E224">
        <v>441</v>
      </c>
      <c r="F224">
        <v>450</v>
      </c>
      <c r="G224" s="102" t="s">
        <v>153</v>
      </c>
      <c r="H224" t="s">
        <v>496</v>
      </c>
      <c r="J224">
        <f>SUM(K225,K226,K227,K228)</f>
        <v>0</v>
      </c>
      <c r="K224">
        <f>I224*J224</f>
        <v>0</v>
      </c>
      <c r="L224" t="e">
        <f>100*(1-(M224/K224))</f>
        <v>#DIV/0!</v>
      </c>
      <c r="M224">
        <f>I224*SUM(M225,M226,M227,M228)</f>
        <v>0</v>
      </c>
      <c r="N224">
        <v>224</v>
      </c>
    </row>
    <row r="225" spans="1:14" x14ac:dyDescent="0.25">
      <c r="A225" s="99" t="s">
        <v>497</v>
      </c>
      <c r="B225" s="99">
        <v>6</v>
      </c>
      <c r="C225" s="99" t="s">
        <v>495</v>
      </c>
      <c r="D225" s="99" t="s">
        <v>73</v>
      </c>
      <c r="E225">
        <v>442</v>
      </c>
      <c r="F225">
        <v>443</v>
      </c>
      <c r="G225" s="102" t="s">
        <v>73</v>
      </c>
      <c r="H225" t="s">
        <v>498</v>
      </c>
      <c r="N225">
        <v>225</v>
      </c>
    </row>
    <row r="226" spans="1:14" x14ac:dyDescent="0.25">
      <c r="A226" s="99" t="s">
        <v>499</v>
      </c>
      <c r="B226" s="99">
        <v>6</v>
      </c>
      <c r="C226" s="99" t="s">
        <v>495</v>
      </c>
      <c r="D226" s="99" t="s">
        <v>93</v>
      </c>
      <c r="E226">
        <v>444</v>
      </c>
      <c r="F226">
        <v>445</v>
      </c>
      <c r="G226" s="102" t="s">
        <v>73</v>
      </c>
      <c r="H226" t="s">
        <v>500</v>
      </c>
      <c r="N226">
        <v>226</v>
      </c>
    </row>
    <row r="227" spans="1:14" x14ac:dyDescent="0.25">
      <c r="A227" s="99" t="s">
        <v>501</v>
      </c>
      <c r="B227" s="99">
        <v>6</v>
      </c>
      <c r="C227" s="99" t="s">
        <v>495</v>
      </c>
      <c r="D227" s="99" t="s">
        <v>94</v>
      </c>
      <c r="E227">
        <v>446</v>
      </c>
      <c r="F227">
        <v>447</v>
      </c>
      <c r="G227" s="102" t="s">
        <v>73</v>
      </c>
      <c r="H227" t="s">
        <v>502</v>
      </c>
      <c r="N227">
        <v>227</v>
      </c>
    </row>
    <row r="228" spans="1:14" x14ac:dyDescent="0.25">
      <c r="A228" s="99" t="s">
        <v>503</v>
      </c>
      <c r="B228" s="99">
        <v>6</v>
      </c>
      <c r="C228" s="99" t="s">
        <v>495</v>
      </c>
      <c r="D228" s="99" t="s">
        <v>95</v>
      </c>
      <c r="E228">
        <v>448</v>
      </c>
      <c r="F228">
        <v>449</v>
      </c>
      <c r="G228" s="102" t="s">
        <v>73</v>
      </c>
      <c r="H228" t="s">
        <v>504</v>
      </c>
      <c r="N228">
        <v>228</v>
      </c>
    </row>
    <row r="229" spans="1:14" x14ac:dyDescent="0.25">
      <c r="A229" s="99" t="s">
        <v>505</v>
      </c>
      <c r="B229" s="99">
        <v>3</v>
      </c>
      <c r="C229" s="99" t="s">
        <v>397</v>
      </c>
      <c r="D229" s="99" t="s">
        <v>94</v>
      </c>
      <c r="E229">
        <v>453</v>
      </c>
      <c r="F229">
        <v>460</v>
      </c>
      <c r="G229" s="102" t="s">
        <v>153</v>
      </c>
      <c r="H229" t="s">
        <v>506</v>
      </c>
      <c r="J229">
        <f>SUM(K230)</f>
        <v>0</v>
      </c>
      <c r="K229">
        <f>I229*J229</f>
        <v>0</v>
      </c>
      <c r="L229" t="e">
        <f>100*(1-(M229/K229))</f>
        <v>#DIV/0!</v>
      </c>
      <c r="M229">
        <f>I229*SUM(M230)</f>
        <v>0</v>
      </c>
      <c r="N229">
        <v>229</v>
      </c>
    </row>
    <row r="230" spans="1:14" x14ac:dyDescent="0.25">
      <c r="A230" s="99" t="s">
        <v>507</v>
      </c>
      <c r="B230" s="99">
        <v>4</v>
      </c>
      <c r="C230" s="99" t="s">
        <v>505</v>
      </c>
      <c r="D230" s="99" t="s">
        <v>73</v>
      </c>
      <c r="E230">
        <v>454</v>
      </c>
      <c r="F230">
        <v>459</v>
      </c>
      <c r="G230" s="102" t="s">
        <v>153</v>
      </c>
      <c r="H230" t="s">
        <v>506</v>
      </c>
      <c r="J230">
        <f>SUM(K231)</f>
        <v>0</v>
      </c>
      <c r="K230">
        <f>I230*J230</f>
        <v>0</v>
      </c>
      <c r="L230" t="e">
        <f>100*(1-(M230/K230))</f>
        <v>#DIV/0!</v>
      </c>
      <c r="M230">
        <f>I230*SUM(M231)</f>
        <v>0</v>
      </c>
      <c r="N230">
        <v>230</v>
      </c>
    </row>
    <row r="231" spans="1:14" x14ac:dyDescent="0.25">
      <c r="A231" s="99" t="s">
        <v>508</v>
      </c>
      <c r="B231" s="99">
        <v>5</v>
      </c>
      <c r="C231" s="99" t="s">
        <v>507</v>
      </c>
      <c r="D231" s="99" t="s">
        <v>73</v>
      </c>
      <c r="E231">
        <v>455</v>
      </c>
      <c r="F231">
        <v>458</v>
      </c>
      <c r="G231" s="102" t="s">
        <v>153</v>
      </c>
      <c r="H231" t="s">
        <v>506</v>
      </c>
      <c r="J231">
        <f>SUM(K232)</f>
        <v>0</v>
      </c>
      <c r="K231">
        <f>I231*J231</f>
        <v>0</v>
      </c>
      <c r="L231" t="e">
        <f>100*(1-(M231/K231))</f>
        <v>#DIV/0!</v>
      </c>
      <c r="M231">
        <f>I231*SUM(M232)</f>
        <v>0</v>
      </c>
      <c r="N231">
        <v>231</v>
      </c>
    </row>
    <row r="232" spans="1:14" x14ac:dyDescent="0.25">
      <c r="A232" s="99" t="s">
        <v>509</v>
      </c>
      <c r="B232" s="99">
        <v>6</v>
      </c>
      <c r="C232" s="99" t="s">
        <v>508</v>
      </c>
      <c r="D232" s="99" t="s">
        <v>73</v>
      </c>
      <c r="E232">
        <v>456</v>
      </c>
      <c r="F232">
        <v>457</v>
      </c>
      <c r="G232" s="102" t="s">
        <v>73</v>
      </c>
      <c r="H232" t="s">
        <v>506</v>
      </c>
      <c r="N232">
        <v>232</v>
      </c>
    </row>
    <row r="233" spans="1:14" x14ac:dyDescent="0.25">
      <c r="A233" s="99" t="s">
        <v>510</v>
      </c>
      <c r="B233" s="99">
        <v>3</v>
      </c>
      <c r="C233" s="99" t="s">
        <v>397</v>
      </c>
      <c r="D233" s="99" t="s">
        <v>95</v>
      </c>
      <c r="E233">
        <v>461</v>
      </c>
      <c r="F233">
        <v>478</v>
      </c>
      <c r="G233" s="102" t="s">
        <v>153</v>
      </c>
      <c r="H233" t="s">
        <v>511</v>
      </c>
      <c r="J233">
        <f>SUM(K234,K237)</f>
        <v>0</v>
      </c>
      <c r="K233">
        <f>I233*J233</f>
        <v>0</v>
      </c>
      <c r="L233" t="e">
        <f>100*(1-(M233/K233))</f>
        <v>#DIV/0!</v>
      </c>
      <c r="M233">
        <f>I233*SUM(M234,M237)</f>
        <v>0</v>
      </c>
      <c r="N233">
        <v>233</v>
      </c>
    </row>
    <row r="234" spans="1:14" x14ac:dyDescent="0.25">
      <c r="A234" s="99" t="s">
        <v>512</v>
      </c>
      <c r="B234" s="99">
        <v>4</v>
      </c>
      <c r="C234" s="99" t="s">
        <v>510</v>
      </c>
      <c r="D234" s="99" t="s">
        <v>73</v>
      </c>
      <c r="E234">
        <v>462</v>
      </c>
      <c r="F234">
        <v>467</v>
      </c>
      <c r="G234" s="102" t="s">
        <v>153</v>
      </c>
      <c r="H234" t="s">
        <v>513</v>
      </c>
      <c r="J234">
        <f>SUM(K235)</f>
        <v>0</v>
      </c>
      <c r="K234">
        <f>I234*J234</f>
        <v>0</v>
      </c>
      <c r="L234" t="e">
        <f>100*(1-(M234/K234))</f>
        <v>#DIV/0!</v>
      </c>
      <c r="M234">
        <f>I234*SUM(M235)</f>
        <v>0</v>
      </c>
      <c r="N234">
        <v>234</v>
      </c>
    </row>
    <row r="235" spans="1:14" x14ac:dyDescent="0.25">
      <c r="A235" s="99" t="s">
        <v>514</v>
      </c>
      <c r="B235" s="99">
        <v>5</v>
      </c>
      <c r="C235" s="99" t="s">
        <v>512</v>
      </c>
      <c r="D235" s="99" t="s">
        <v>73</v>
      </c>
      <c r="E235">
        <v>463</v>
      </c>
      <c r="F235">
        <v>466</v>
      </c>
      <c r="G235" s="102" t="s">
        <v>153</v>
      </c>
      <c r="H235" t="s">
        <v>515</v>
      </c>
      <c r="J235">
        <f>SUM(K236)</f>
        <v>0</v>
      </c>
      <c r="K235">
        <f>I235*J235</f>
        <v>0</v>
      </c>
      <c r="L235" t="e">
        <f>100*(1-(M235/K235))</f>
        <v>#DIV/0!</v>
      </c>
      <c r="M235">
        <f>I235*SUM(M236)</f>
        <v>0</v>
      </c>
      <c r="N235">
        <v>235</v>
      </c>
    </row>
    <row r="236" spans="1:14" x14ac:dyDescent="0.25">
      <c r="A236" s="99" t="s">
        <v>516</v>
      </c>
      <c r="B236" s="99">
        <v>6</v>
      </c>
      <c r="C236" s="99" t="s">
        <v>514</v>
      </c>
      <c r="D236" s="99" t="s">
        <v>73</v>
      </c>
      <c r="E236">
        <v>464</v>
      </c>
      <c r="F236">
        <v>465</v>
      </c>
      <c r="G236" s="102" t="s">
        <v>73</v>
      </c>
      <c r="H236" t="s">
        <v>517</v>
      </c>
      <c r="N236">
        <v>236</v>
      </c>
    </row>
    <row r="237" spans="1:14" x14ac:dyDescent="0.25">
      <c r="A237" s="99" t="s">
        <v>518</v>
      </c>
      <c r="B237" s="99">
        <v>4</v>
      </c>
      <c r="C237" s="99" t="s">
        <v>510</v>
      </c>
      <c r="D237" s="99" t="s">
        <v>93</v>
      </c>
      <c r="E237">
        <v>468</v>
      </c>
      <c r="F237">
        <v>477</v>
      </c>
      <c r="G237" s="102" t="s">
        <v>153</v>
      </c>
      <c r="H237" t="s">
        <v>519</v>
      </c>
      <c r="J237">
        <f>SUM(K238,K240)</f>
        <v>0</v>
      </c>
      <c r="K237">
        <f>I237*J237</f>
        <v>0</v>
      </c>
      <c r="L237" t="e">
        <f>100*(1-(M237/K237))</f>
        <v>#DIV/0!</v>
      </c>
      <c r="M237">
        <f>I237*SUM(M238,M240)</f>
        <v>0</v>
      </c>
      <c r="N237">
        <v>237</v>
      </c>
    </row>
    <row r="238" spans="1:14" x14ac:dyDescent="0.25">
      <c r="A238" s="99" t="s">
        <v>520</v>
      </c>
      <c r="B238" s="99">
        <v>5</v>
      </c>
      <c r="C238" s="99" t="s">
        <v>518</v>
      </c>
      <c r="D238" s="99" t="s">
        <v>73</v>
      </c>
      <c r="E238">
        <v>469</v>
      </c>
      <c r="F238">
        <v>472</v>
      </c>
      <c r="G238" s="102" t="s">
        <v>153</v>
      </c>
      <c r="H238" t="s">
        <v>521</v>
      </c>
      <c r="J238">
        <f>SUM(K239)</f>
        <v>0</v>
      </c>
      <c r="K238">
        <f>I238*J238</f>
        <v>0</v>
      </c>
      <c r="L238" t="e">
        <f>100*(1-(M238/K238))</f>
        <v>#DIV/0!</v>
      </c>
      <c r="M238">
        <f>I238*SUM(M239)</f>
        <v>0</v>
      </c>
      <c r="N238">
        <v>238</v>
      </c>
    </row>
    <row r="239" spans="1:14" x14ac:dyDescent="0.25">
      <c r="A239" s="99" t="s">
        <v>522</v>
      </c>
      <c r="B239" s="99">
        <v>6</v>
      </c>
      <c r="C239" s="99" t="s">
        <v>520</v>
      </c>
      <c r="D239" s="99" t="s">
        <v>73</v>
      </c>
      <c r="E239">
        <v>470</v>
      </c>
      <c r="F239">
        <v>471</v>
      </c>
      <c r="G239" s="102" t="s">
        <v>73</v>
      </c>
      <c r="H239" t="s">
        <v>523</v>
      </c>
      <c r="N239">
        <v>239</v>
      </c>
    </row>
    <row r="240" spans="1:14" x14ac:dyDescent="0.25">
      <c r="A240" s="99" t="s">
        <v>524</v>
      </c>
      <c r="B240" s="99">
        <v>5</v>
      </c>
      <c r="C240" s="99" t="s">
        <v>518</v>
      </c>
      <c r="D240" s="99" t="s">
        <v>93</v>
      </c>
      <c r="E240">
        <v>473</v>
      </c>
      <c r="F240">
        <v>476</v>
      </c>
      <c r="G240" s="102" t="s">
        <v>153</v>
      </c>
      <c r="H240" t="s">
        <v>525</v>
      </c>
      <c r="J240">
        <f>SUM(K241)</f>
        <v>0</v>
      </c>
      <c r="K240">
        <f>I240*J240</f>
        <v>0</v>
      </c>
      <c r="L240" t="e">
        <f>100*(1-(M240/K240))</f>
        <v>#DIV/0!</v>
      </c>
      <c r="M240">
        <f>I240*SUM(M241)</f>
        <v>0</v>
      </c>
      <c r="N240">
        <v>240</v>
      </c>
    </row>
    <row r="241" spans="1:14" x14ac:dyDescent="0.25">
      <c r="A241" s="99" t="s">
        <v>526</v>
      </c>
      <c r="B241" s="99">
        <v>6</v>
      </c>
      <c r="C241" s="99" t="s">
        <v>524</v>
      </c>
      <c r="D241" s="99" t="s">
        <v>73</v>
      </c>
      <c r="E241">
        <v>474</v>
      </c>
      <c r="F241">
        <v>475</v>
      </c>
      <c r="G241" s="102" t="s">
        <v>73</v>
      </c>
      <c r="H241" t="s">
        <v>527</v>
      </c>
      <c r="N241">
        <v>241</v>
      </c>
    </row>
    <row r="242" spans="1:14" x14ac:dyDescent="0.25">
      <c r="A242" s="99" t="s">
        <v>528</v>
      </c>
      <c r="B242" s="99">
        <v>3</v>
      </c>
      <c r="C242" s="99" t="s">
        <v>397</v>
      </c>
      <c r="D242" s="99" t="s">
        <v>96</v>
      </c>
      <c r="E242">
        <v>479</v>
      </c>
      <c r="F242">
        <v>490</v>
      </c>
      <c r="G242" s="102" t="s">
        <v>153</v>
      </c>
      <c r="H242" t="s">
        <v>529</v>
      </c>
      <c r="J242">
        <f>SUM(K243)</f>
        <v>0</v>
      </c>
      <c r="K242">
        <f>I242*J242</f>
        <v>0</v>
      </c>
      <c r="L242" t="e">
        <f>100*(1-(M242/K242))</f>
        <v>#DIV/0!</v>
      </c>
      <c r="M242">
        <f>I242*SUM(M243)</f>
        <v>0</v>
      </c>
      <c r="N242">
        <v>242</v>
      </c>
    </row>
    <row r="243" spans="1:14" x14ac:dyDescent="0.25">
      <c r="A243" s="99" t="s">
        <v>530</v>
      </c>
      <c r="B243" s="99">
        <v>4</v>
      </c>
      <c r="C243" s="99" t="s">
        <v>528</v>
      </c>
      <c r="D243" s="99" t="s">
        <v>73</v>
      </c>
      <c r="E243">
        <v>480</v>
      </c>
      <c r="F243">
        <v>489</v>
      </c>
      <c r="G243" s="102" t="s">
        <v>153</v>
      </c>
      <c r="H243" t="s">
        <v>531</v>
      </c>
      <c r="J243">
        <f>SUM(K244)</f>
        <v>0</v>
      </c>
      <c r="K243">
        <f>I243*J243</f>
        <v>0</v>
      </c>
      <c r="L243" t="e">
        <f>100*(1-(M243/K243))</f>
        <v>#DIV/0!</v>
      </c>
      <c r="M243">
        <f>I243*SUM(M244)</f>
        <v>0</v>
      </c>
      <c r="N243">
        <v>243</v>
      </c>
    </row>
    <row r="244" spans="1:14" x14ac:dyDescent="0.25">
      <c r="A244" s="99" t="s">
        <v>532</v>
      </c>
      <c r="B244" s="99">
        <v>5</v>
      </c>
      <c r="C244" s="99" t="s">
        <v>530</v>
      </c>
      <c r="D244" s="99" t="s">
        <v>73</v>
      </c>
      <c r="E244">
        <v>481</v>
      </c>
      <c r="F244">
        <v>488</v>
      </c>
      <c r="G244" s="102" t="s">
        <v>153</v>
      </c>
      <c r="H244" t="s">
        <v>529</v>
      </c>
      <c r="J244">
        <f>SUM(K245,K246,K247)</f>
        <v>0</v>
      </c>
      <c r="K244">
        <f>I244*J244</f>
        <v>0</v>
      </c>
      <c r="L244" t="e">
        <f>100*(1-(M244/K244))</f>
        <v>#DIV/0!</v>
      </c>
      <c r="M244">
        <f>I244*SUM(M245,M246,M247)</f>
        <v>0</v>
      </c>
      <c r="N244">
        <v>244</v>
      </c>
    </row>
    <row r="245" spans="1:14" x14ac:dyDescent="0.25">
      <c r="A245" s="99" t="s">
        <v>533</v>
      </c>
      <c r="B245" s="99">
        <v>6</v>
      </c>
      <c r="C245" s="99" t="s">
        <v>532</v>
      </c>
      <c r="D245" s="99" t="s">
        <v>73</v>
      </c>
      <c r="E245">
        <v>482</v>
      </c>
      <c r="F245">
        <v>483</v>
      </c>
      <c r="G245" s="102" t="s">
        <v>73</v>
      </c>
      <c r="H245" t="s">
        <v>534</v>
      </c>
      <c r="N245">
        <v>245</v>
      </c>
    </row>
    <row r="246" spans="1:14" x14ac:dyDescent="0.25">
      <c r="A246" s="99" t="s">
        <v>535</v>
      </c>
      <c r="B246" s="99">
        <v>6</v>
      </c>
      <c r="C246" s="99" t="s">
        <v>532</v>
      </c>
      <c r="D246" s="99" t="s">
        <v>93</v>
      </c>
      <c r="E246">
        <v>484</v>
      </c>
      <c r="F246">
        <v>485</v>
      </c>
      <c r="G246" s="102" t="s">
        <v>73</v>
      </c>
      <c r="H246" t="s">
        <v>536</v>
      </c>
      <c r="N246">
        <v>246</v>
      </c>
    </row>
    <row r="247" spans="1:14" x14ac:dyDescent="0.25">
      <c r="A247" s="99" t="s">
        <v>537</v>
      </c>
      <c r="B247" s="99">
        <v>6</v>
      </c>
      <c r="C247" s="99" t="s">
        <v>532</v>
      </c>
      <c r="D247" s="99" t="s">
        <v>94</v>
      </c>
      <c r="E247">
        <v>486</v>
      </c>
      <c r="F247">
        <v>487</v>
      </c>
      <c r="G247" s="102" t="s">
        <v>73</v>
      </c>
      <c r="H247" t="s">
        <v>538</v>
      </c>
      <c r="N247">
        <v>247</v>
      </c>
    </row>
    <row r="248" spans="1:14" x14ac:dyDescent="0.25">
      <c r="A248" s="99" t="s">
        <v>539</v>
      </c>
      <c r="B248" s="99">
        <v>3</v>
      </c>
      <c r="C248" s="99" t="s">
        <v>397</v>
      </c>
      <c r="D248" s="99" t="s">
        <v>171</v>
      </c>
      <c r="E248">
        <v>491</v>
      </c>
      <c r="F248">
        <v>502</v>
      </c>
      <c r="G248" s="102" t="s">
        <v>153</v>
      </c>
      <c r="H248" t="s">
        <v>540</v>
      </c>
      <c r="J248">
        <f>SUM(K249)</f>
        <v>0</v>
      </c>
      <c r="K248">
        <f>I248*J248</f>
        <v>0</v>
      </c>
      <c r="L248" t="e">
        <f>100*(1-(M248/K248))</f>
        <v>#DIV/0!</v>
      </c>
      <c r="M248">
        <f>I248*SUM(M249)</f>
        <v>0</v>
      </c>
      <c r="N248">
        <v>248</v>
      </c>
    </row>
    <row r="249" spans="1:14" x14ac:dyDescent="0.25">
      <c r="A249" s="99" t="s">
        <v>541</v>
      </c>
      <c r="B249" s="99">
        <v>4</v>
      </c>
      <c r="C249" s="99" t="s">
        <v>539</v>
      </c>
      <c r="D249" s="99" t="s">
        <v>73</v>
      </c>
      <c r="E249">
        <v>492</v>
      </c>
      <c r="F249">
        <v>501</v>
      </c>
      <c r="G249" s="102" t="s">
        <v>153</v>
      </c>
      <c r="H249" t="s">
        <v>542</v>
      </c>
      <c r="J249">
        <f>SUM(K250)</f>
        <v>0</v>
      </c>
      <c r="K249">
        <f>I249*J249</f>
        <v>0</v>
      </c>
      <c r="L249" t="e">
        <f>100*(1-(M249/K249))</f>
        <v>#DIV/0!</v>
      </c>
      <c r="M249">
        <f>I249*SUM(M250)</f>
        <v>0</v>
      </c>
      <c r="N249">
        <v>249</v>
      </c>
    </row>
    <row r="250" spans="1:14" x14ac:dyDescent="0.25">
      <c r="A250" s="99" t="s">
        <v>543</v>
      </c>
      <c r="B250" s="99">
        <v>5</v>
      </c>
      <c r="C250" s="99" t="s">
        <v>541</v>
      </c>
      <c r="D250" s="99" t="s">
        <v>73</v>
      </c>
      <c r="E250">
        <v>493</v>
      </c>
      <c r="F250">
        <v>500</v>
      </c>
      <c r="G250" s="102" t="s">
        <v>153</v>
      </c>
      <c r="H250" t="s">
        <v>540</v>
      </c>
      <c r="J250">
        <f>SUM(K251,K252,K253)</f>
        <v>0</v>
      </c>
      <c r="K250">
        <f>I250*J250</f>
        <v>0</v>
      </c>
      <c r="L250" t="e">
        <f>100*(1-(M250/K250))</f>
        <v>#DIV/0!</v>
      </c>
      <c r="M250">
        <f>I250*SUM(M251,M252,M253)</f>
        <v>0</v>
      </c>
      <c r="N250">
        <v>250</v>
      </c>
    </row>
    <row r="251" spans="1:14" x14ac:dyDescent="0.25">
      <c r="A251" s="99" t="s">
        <v>544</v>
      </c>
      <c r="B251" s="99">
        <v>6</v>
      </c>
      <c r="C251" s="99" t="s">
        <v>543</v>
      </c>
      <c r="D251" s="99" t="s">
        <v>73</v>
      </c>
      <c r="E251">
        <v>494</v>
      </c>
      <c r="F251">
        <v>495</v>
      </c>
      <c r="G251" s="102" t="s">
        <v>73</v>
      </c>
      <c r="H251" t="s">
        <v>545</v>
      </c>
      <c r="N251">
        <v>251</v>
      </c>
    </row>
    <row r="252" spans="1:14" x14ac:dyDescent="0.25">
      <c r="A252" s="99" t="s">
        <v>546</v>
      </c>
      <c r="B252" s="99">
        <v>6</v>
      </c>
      <c r="C252" s="99" t="s">
        <v>543</v>
      </c>
      <c r="D252" s="99" t="s">
        <v>93</v>
      </c>
      <c r="E252">
        <v>496</v>
      </c>
      <c r="F252">
        <v>497</v>
      </c>
      <c r="G252" s="102" t="s">
        <v>73</v>
      </c>
      <c r="H252" t="s">
        <v>547</v>
      </c>
      <c r="N252">
        <v>252</v>
      </c>
    </row>
    <row r="253" spans="1:14" x14ac:dyDescent="0.25">
      <c r="A253" s="99" t="s">
        <v>548</v>
      </c>
      <c r="B253" s="99">
        <v>6</v>
      </c>
      <c r="C253" s="99" t="s">
        <v>543</v>
      </c>
      <c r="D253" s="99" t="s">
        <v>94</v>
      </c>
      <c r="E253">
        <v>498</v>
      </c>
      <c r="F253">
        <v>499</v>
      </c>
      <c r="G253" s="102" t="s">
        <v>73</v>
      </c>
      <c r="H253" t="s">
        <v>549</v>
      </c>
      <c r="N253">
        <v>253</v>
      </c>
    </row>
    <row r="254" spans="1:14" x14ac:dyDescent="0.25">
      <c r="A254" s="99" t="s">
        <v>550</v>
      </c>
      <c r="B254" s="99">
        <v>3</v>
      </c>
      <c r="C254" s="99" t="s">
        <v>397</v>
      </c>
      <c r="D254" s="99" t="s">
        <v>212</v>
      </c>
      <c r="E254">
        <v>503</v>
      </c>
      <c r="F254">
        <v>514</v>
      </c>
      <c r="G254" s="102" t="s">
        <v>153</v>
      </c>
      <c r="H254" t="s">
        <v>551</v>
      </c>
      <c r="J254">
        <f>SUM(K255)</f>
        <v>0</v>
      </c>
      <c r="K254">
        <f>I254*J254</f>
        <v>0</v>
      </c>
      <c r="L254" t="e">
        <f>100*(1-(M254/K254))</f>
        <v>#DIV/0!</v>
      </c>
      <c r="M254">
        <f>I254*SUM(M255)</f>
        <v>0</v>
      </c>
      <c r="N254">
        <v>254</v>
      </c>
    </row>
    <row r="255" spans="1:14" x14ac:dyDescent="0.25">
      <c r="A255" s="99" t="s">
        <v>552</v>
      </c>
      <c r="B255" s="99">
        <v>4</v>
      </c>
      <c r="C255" s="99" t="s">
        <v>550</v>
      </c>
      <c r="D255" s="99" t="s">
        <v>73</v>
      </c>
      <c r="E255">
        <v>504</v>
      </c>
      <c r="F255">
        <v>513</v>
      </c>
      <c r="G255" s="102" t="s">
        <v>153</v>
      </c>
      <c r="H255" t="s">
        <v>553</v>
      </c>
      <c r="J255">
        <f>SUM(K256)</f>
        <v>0</v>
      </c>
      <c r="K255">
        <f>I255*J255</f>
        <v>0</v>
      </c>
      <c r="L255" t="e">
        <f>100*(1-(M255/K255))</f>
        <v>#DIV/0!</v>
      </c>
      <c r="M255">
        <f>I255*SUM(M256)</f>
        <v>0</v>
      </c>
      <c r="N255">
        <v>255</v>
      </c>
    </row>
    <row r="256" spans="1:14" x14ac:dyDescent="0.25">
      <c r="A256" s="99" t="s">
        <v>554</v>
      </c>
      <c r="B256" s="99">
        <v>5</v>
      </c>
      <c r="C256" s="99" t="s">
        <v>552</v>
      </c>
      <c r="D256" s="99" t="s">
        <v>73</v>
      </c>
      <c r="E256">
        <v>505</v>
      </c>
      <c r="F256">
        <v>512</v>
      </c>
      <c r="G256" s="102" t="s">
        <v>153</v>
      </c>
      <c r="H256" t="s">
        <v>551</v>
      </c>
      <c r="J256">
        <f>SUM(K257,K258,K259)</f>
        <v>0</v>
      </c>
      <c r="K256">
        <f>I256*J256</f>
        <v>0</v>
      </c>
      <c r="L256" t="e">
        <f>100*(1-(M256/K256))</f>
        <v>#DIV/0!</v>
      </c>
      <c r="M256">
        <f>I256*SUM(M257,M258,M259)</f>
        <v>0</v>
      </c>
      <c r="N256">
        <v>256</v>
      </c>
    </row>
    <row r="257" spans="1:14" x14ac:dyDescent="0.25">
      <c r="A257" s="99" t="s">
        <v>555</v>
      </c>
      <c r="B257" s="99">
        <v>6</v>
      </c>
      <c r="C257" s="99" t="s">
        <v>554</v>
      </c>
      <c r="D257" s="99" t="s">
        <v>73</v>
      </c>
      <c r="E257">
        <v>506</v>
      </c>
      <c r="F257">
        <v>507</v>
      </c>
      <c r="G257" s="102" t="s">
        <v>73</v>
      </c>
      <c r="H257" t="s">
        <v>556</v>
      </c>
      <c r="N257">
        <v>257</v>
      </c>
    </row>
    <row r="258" spans="1:14" x14ac:dyDescent="0.25">
      <c r="A258" s="99" t="s">
        <v>557</v>
      </c>
      <c r="B258" s="99">
        <v>6</v>
      </c>
      <c r="C258" s="99" t="s">
        <v>554</v>
      </c>
      <c r="D258" s="99" t="s">
        <v>93</v>
      </c>
      <c r="E258">
        <v>508</v>
      </c>
      <c r="F258">
        <v>509</v>
      </c>
      <c r="G258" s="102" t="s">
        <v>73</v>
      </c>
      <c r="H258" t="s">
        <v>558</v>
      </c>
      <c r="N258">
        <v>258</v>
      </c>
    </row>
    <row r="259" spans="1:14" x14ac:dyDescent="0.25">
      <c r="A259" s="99" t="s">
        <v>559</v>
      </c>
      <c r="B259" s="99">
        <v>6</v>
      </c>
      <c r="C259" s="99" t="s">
        <v>554</v>
      </c>
      <c r="D259" s="99" t="s">
        <v>94</v>
      </c>
      <c r="E259">
        <v>510</v>
      </c>
      <c r="F259">
        <v>511</v>
      </c>
      <c r="G259" s="102" t="s">
        <v>73</v>
      </c>
      <c r="H259" t="s">
        <v>560</v>
      </c>
      <c r="N259">
        <v>259</v>
      </c>
    </row>
    <row r="260" spans="1:14" x14ac:dyDescent="0.25">
      <c r="A260" s="99" t="s">
        <v>561</v>
      </c>
      <c r="B260" s="99">
        <v>2</v>
      </c>
      <c r="C260" s="99" t="s">
        <v>73</v>
      </c>
      <c r="D260" s="99" t="s">
        <v>95</v>
      </c>
      <c r="E260">
        <v>516</v>
      </c>
      <c r="F260">
        <v>857</v>
      </c>
      <c r="G260" s="102" t="s">
        <v>153</v>
      </c>
      <c r="H260" t="s">
        <v>562</v>
      </c>
      <c r="J260">
        <f>SUM(K261,K419,K425)</f>
        <v>0</v>
      </c>
      <c r="K260">
        <f>I260*J260</f>
        <v>0</v>
      </c>
      <c r="L260" t="e">
        <f>100*(1-(M260/K260))</f>
        <v>#DIV/0!</v>
      </c>
      <c r="M260">
        <f>I260*SUM(M261,M419,M425)</f>
        <v>0</v>
      </c>
      <c r="N260">
        <v>260</v>
      </c>
    </row>
    <row r="261" spans="1:14" x14ac:dyDescent="0.25">
      <c r="A261" s="99" t="s">
        <v>563</v>
      </c>
      <c r="B261" s="99">
        <v>3</v>
      </c>
      <c r="C261" s="99" t="s">
        <v>561</v>
      </c>
      <c r="D261" s="99" t="s">
        <v>73</v>
      </c>
      <c r="E261">
        <v>517</v>
      </c>
      <c r="F261">
        <v>832</v>
      </c>
      <c r="G261" s="102" t="s">
        <v>153</v>
      </c>
      <c r="H261" t="s">
        <v>564</v>
      </c>
      <c r="J261">
        <f>SUM(K262,K296,K326,K356,K386,K411,K415)</f>
        <v>0</v>
      </c>
      <c r="K261">
        <f>I261*J261</f>
        <v>0</v>
      </c>
      <c r="L261" t="e">
        <f>100*(1-(M261/K261))</f>
        <v>#DIV/0!</v>
      </c>
      <c r="M261">
        <f>I261*SUM(M262,M296,M326,M356,M386,M411,M415)</f>
        <v>0</v>
      </c>
      <c r="N261">
        <v>261</v>
      </c>
    </row>
    <row r="262" spans="1:14" x14ac:dyDescent="0.25">
      <c r="A262" s="99" t="s">
        <v>565</v>
      </c>
      <c r="B262" s="99">
        <v>4</v>
      </c>
      <c r="C262" s="99" t="s">
        <v>563</v>
      </c>
      <c r="D262" s="99" t="s">
        <v>73</v>
      </c>
      <c r="E262">
        <v>518</v>
      </c>
      <c r="F262">
        <v>585</v>
      </c>
      <c r="G262" s="102" t="s">
        <v>153</v>
      </c>
      <c r="H262" t="s">
        <v>566</v>
      </c>
      <c r="J262">
        <f>SUM(K263,K272)</f>
        <v>0</v>
      </c>
      <c r="K262">
        <f>I262*J262</f>
        <v>0</v>
      </c>
      <c r="L262" t="e">
        <f>100*(1-(M262/K262))</f>
        <v>#DIV/0!</v>
      </c>
      <c r="M262">
        <f>I262*SUM(M263,M272)</f>
        <v>0</v>
      </c>
      <c r="N262">
        <v>262</v>
      </c>
    </row>
    <row r="263" spans="1:14" x14ac:dyDescent="0.25">
      <c r="A263" s="99" t="s">
        <v>567</v>
      </c>
      <c r="B263" s="99">
        <v>5</v>
      </c>
      <c r="C263" s="99" t="s">
        <v>565</v>
      </c>
      <c r="D263" s="99" t="s">
        <v>73</v>
      </c>
      <c r="E263">
        <v>519</v>
      </c>
      <c r="F263">
        <v>536</v>
      </c>
      <c r="G263" s="102" t="s">
        <v>153</v>
      </c>
      <c r="H263" t="s">
        <v>568</v>
      </c>
      <c r="J263">
        <f>SUM(K264)</f>
        <v>0</v>
      </c>
      <c r="K263">
        <f>I263*J263</f>
        <v>0</v>
      </c>
      <c r="L263" t="e">
        <f>100*(1-(M263/K263))</f>
        <v>#DIV/0!</v>
      </c>
      <c r="M263">
        <f>I263*SUM(M264)</f>
        <v>0</v>
      </c>
      <c r="N263">
        <v>263</v>
      </c>
    </row>
    <row r="264" spans="1:14" x14ac:dyDescent="0.25">
      <c r="A264" s="99" t="s">
        <v>569</v>
      </c>
      <c r="B264" s="99">
        <v>6</v>
      </c>
      <c r="C264" s="99" t="s">
        <v>567</v>
      </c>
      <c r="D264" s="99" t="s">
        <v>73</v>
      </c>
      <c r="E264">
        <v>520</v>
      </c>
      <c r="F264">
        <v>535</v>
      </c>
      <c r="G264" s="102" t="s">
        <v>153</v>
      </c>
      <c r="H264" t="s">
        <v>570</v>
      </c>
      <c r="J264">
        <f>SUM(K265,K266,K267,K268,K269,K270,K271)</f>
        <v>0</v>
      </c>
      <c r="K264">
        <f>I264*J264</f>
        <v>0</v>
      </c>
      <c r="L264" t="e">
        <f>100*(1-(M264/K264))</f>
        <v>#DIV/0!</v>
      </c>
      <c r="M264">
        <f>I264*SUM(M265,M266,M267,M268,M269,M270,M271)</f>
        <v>0</v>
      </c>
      <c r="N264">
        <v>264</v>
      </c>
    </row>
    <row r="265" spans="1:14" x14ac:dyDescent="0.25">
      <c r="A265" s="99" t="s">
        <v>571</v>
      </c>
      <c r="B265" s="99">
        <v>7</v>
      </c>
      <c r="C265" s="99" t="s">
        <v>569</v>
      </c>
      <c r="D265" s="99" t="s">
        <v>73</v>
      </c>
      <c r="E265">
        <v>521</v>
      </c>
      <c r="F265">
        <v>522</v>
      </c>
      <c r="G265" s="102" t="s">
        <v>73</v>
      </c>
      <c r="H265" t="s">
        <v>572</v>
      </c>
      <c r="N265">
        <v>265</v>
      </c>
    </row>
    <row r="266" spans="1:14" x14ac:dyDescent="0.25">
      <c r="A266" s="99" t="s">
        <v>573</v>
      </c>
      <c r="B266" s="99">
        <v>7</v>
      </c>
      <c r="C266" s="99" t="s">
        <v>569</v>
      </c>
      <c r="D266" s="99" t="s">
        <v>93</v>
      </c>
      <c r="E266">
        <v>523</v>
      </c>
      <c r="F266">
        <v>524</v>
      </c>
      <c r="G266" s="102" t="s">
        <v>73</v>
      </c>
      <c r="H266" t="s">
        <v>574</v>
      </c>
      <c r="N266">
        <v>266</v>
      </c>
    </row>
    <row r="267" spans="1:14" x14ac:dyDescent="0.25">
      <c r="A267" s="99" t="s">
        <v>575</v>
      </c>
      <c r="B267" s="99">
        <v>7</v>
      </c>
      <c r="C267" s="99" t="s">
        <v>569</v>
      </c>
      <c r="D267" s="99" t="s">
        <v>94</v>
      </c>
      <c r="E267">
        <v>525</v>
      </c>
      <c r="F267">
        <v>526</v>
      </c>
      <c r="G267" s="102" t="s">
        <v>73</v>
      </c>
      <c r="H267" t="s">
        <v>576</v>
      </c>
      <c r="N267">
        <v>267</v>
      </c>
    </row>
    <row r="268" spans="1:14" x14ac:dyDescent="0.25">
      <c r="A268" s="99" t="s">
        <v>577</v>
      </c>
      <c r="B268" s="99">
        <v>7</v>
      </c>
      <c r="C268" s="99" t="s">
        <v>569</v>
      </c>
      <c r="D268" s="99" t="s">
        <v>95</v>
      </c>
      <c r="E268">
        <v>527</v>
      </c>
      <c r="F268">
        <v>528</v>
      </c>
      <c r="G268" s="102" t="s">
        <v>73</v>
      </c>
      <c r="H268" t="s">
        <v>578</v>
      </c>
      <c r="N268">
        <v>268</v>
      </c>
    </row>
    <row r="269" spans="1:14" x14ac:dyDescent="0.25">
      <c r="A269" s="99" t="s">
        <v>579</v>
      </c>
      <c r="B269" s="99">
        <v>7</v>
      </c>
      <c r="C269" s="99" t="s">
        <v>569</v>
      </c>
      <c r="D269" s="99" t="s">
        <v>96</v>
      </c>
      <c r="E269">
        <v>529</v>
      </c>
      <c r="F269">
        <v>530</v>
      </c>
      <c r="G269" s="102" t="s">
        <v>73</v>
      </c>
      <c r="H269" t="s">
        <v>580</v>
      </c>
      <c r="N269">
        <v>269</v>
      </c>
    </row>
    <row r="270" spans="1:14" x14ac:dyDescent="0.25">
      <c r="A270" s="99" t="s">
        <v>581</v>
      </c>
      <c r="B270" s="99">
        <v>7</v>
      </c>
      <c r="C270" s="99" t="s">
        <v>569</v>
      </c>
      <c r="D270" s="99" t="s">
        <v>171</v>
      </c>
      <c r="E270">
        <v>531</v>
      </c>
      <c r="F270">
        <v>532</v>
      </c>
      <c r="G270" s="102" t="s">
        <v>73</v>
      </c>
      <c r="H270" t="s">
        <v>114</v>
      </c>
      <c r="N270">
        <v>270</v>
      </c>
    </row>
    <row r="271" spans="1:14" x14ac:dyDescent="0.25">
      <c r="A271" s="99" t="s">
        <v>582</v>
      </c>
      <c r="B271" s="99">
        <v>7</v>
      </c>
      <c r="C271" s="99" t="s">
        <v>569</v>
      </c>
      <c r="D271" s="99" t="s">
        <v>212</v>
      </c>
      <c r="E271">
        <v>533</v>
      </c>
      <c r="F271">
        <v>534</v>
      </c>
      <c r="G271" s="102" t="s">
        <v>73</v>
      </c>
      <c r="H271" t="s">
        <v>583</v>
      </c>
      <c r="N271">
        <v>271</v>
      </c>
    </row>
    <row r="272" spans="1:14" x14ac:dyDescent="0.25">
      <c r="A272" s="99" t="s">
        <v>584</v>
      </c>
      <c r="B272" s="99">
        <v>5</v>
      </c>
      <c r="C272" s="99" t="s">
        <v>565</v>
      </c>
      <c r="D272" s="99" t="s">
        <v>93</v>
      </c>
      <c r="E272">
        <v>537</v>
      </c>
      <c r="F272">
        <v>584</v>
      </c>
      <c r="G272" s="102" t="s">
        <v>153</v>
      </c>
      <c r="H272" t="s">
        <v>585</v>
      </c>
      <c r="J272">
        <f>SUM(K273,K288)</f>
        <v>0</v>
      </c>
      <c r="K272">
        <f>I272*J272</f>
        <v>0</v>
      </c>
      <c r="L272" t="e">
        <f>100*(1-(M272/K272))</f>
        <v>#DIV/0!</v>
      </c>
      <c r="M272">
        <f>I272*SUM(M273,M288)</f>
        <v>0</v>
      </c>
      <c r="N272">
        <v>272</v>
      </c>
    </row>
    <row r="273" spans="1:14" x14ac:dyDescent="0.25">
      <c r="A273" s="99" t="s">
        <v>586</v>
      </c>
      <c r="B273" s="99">
        <v>6</v>
      </c>
      <c r="C273" s="99" t="s">
        <v>584</v>
      </c>
      <c r="D273" s="99" t="s">
        <v>73</v>
      </c>
      <c r="E273">
        <v>538</v>
      </c>
      <c r="F273">
        <v>567</v>
      </c>
      <c r="G273" s="102" t="s">
        <v>153</v>
      </c>
      <c r="H273" t="s">
        <v>587</v>
      </c>
      <c r="J273">
        <f>SUM(K274,K275,K276,K277,K278,K279,K280,K281,K282,K283,K284,K285,K286,K287)</f>
        <v>0</v>
      </c>
      <c r="K273">
        <f>I273*J273</f>
        <v>0</v>
      </c>
      <c r="L273" t="e">
        <f>100*(1-(M273/K273))</f>
        <v>#DIV/0!</v>
      </c>
      <c r="M273">
        <f>I273*SUM(M274,M275,M276,M277,M278,M279,M280,M281,M282,M283,M284,M285,M286,M287)</f>
        <v>0</v>
      </c>
      <c r="N273">
        <v>273</v>
      </c>
    </row>
    <row r="274" spans="1:14" x14ac:dyDescent="0.25">
      <c r="A274" s="99" t="s">
        <v>588</v>
      </c>
      <c r="B274" s="99">
        <v>7</v>
      </c>
      <c r="C274" s="99" t="s">
        <v>586</v>
      </c>
      <c r="D274" s="99" t="s">
        <v>73</v>
      </c>
      <c r="E274">
        <v>539</v>
      </c>
      <c r="F274">
        <v>540</v>
      </c>
      <c r="G274" s="102" t="s">
        <v>73</v>
      </c>
      <c r="H274" t="s">
        <v>589</v>
      </c>
      <c r="N274">
        <v>274</v>
      </c>
    </row>
    <row r="275" spans="1:14" x14ac:dyDescent="0.25">
      <c r="A275" s="99" t="s">
        <v>590</v>
      </c>
      <c r="B275" s="99">
        <v>7</v>
      </c>
      <c r="C275" s="99" t="s">
        <v>586</v>
      </c>
      <c r="D275" s="99" t="s">
        <v>93</v>
      </c>
      <c r="E275">
        <v>541</v>
      </c>
      <c r="F275">
        <v>542</v>
      </c>
      <c r="G275" s="102" t="s">
        <v>73</v>
      </c>
      <c r="H275" t="s">
        <v>591</v>
      </c>
      <c r="N275">
        <v>275</v>
      </c>
    </row>
    <row r="276" spans="1:14" x14ac:dyDescent="0.25">
      <c r="A276" s="99" t="s">
        <v>592</v>
      </c>
      <c r="B276" s="99">
        <v>7</v>
      </c>
      <c r="C276" s="99" t="s">
        <v>586</v>
      </c>
      <c r="D276" s="99" t="s">
        <v>94</v>
      </c>
      <c r="E276">
        <v>543</v>
      </c>
      <c r="F276">
        <v>544</v>
      </c>
      <c r="G276" s="102" t="s">
        <v>73</v>
      </c>
      <c r="H276" t="s">
        <v>593</v>
      </c>
      <c r="N276">
        <v>276</v>
      </c>
    </row>
    <row r="277" spans="1:14" x14ac:dyDescent="0.25">
      <c r="A277" s="99" t="s">
        <v>594</v>
      </c>
      <c r="B277" s="99">
        <v>7</v>
      </c>
      <c r="C277" s="99" t="s">
        <v>586</v>
      </c>
      <c r="D277" s="99" t="s">
        <v>95</v>
      </c>
      <c r="E277">
        <v>545</v>
      </c>
      <c r="F277">
        <v>546</v>
      </c>
      <c r="G277" s="102" t="s">
        <v>73</v>
      </c>
      <c r="H277" t="s">
        <v>595</v>
      </c>
      <c r="N277">
        <v>277</v>
      </c>
    </row>
    <row r="278" spans="1:14" x14ac:dyDescent="0.25">
      <c r="A278" s="99" t="s">
        <v>596</v>
      </c>
      <c r="B278" s="99">
        <v>7</v>
      </c>
      <c r="C278" s="99" t="s">
        <v>586</v>
      </c>
      <c r="D278" s="99" t="s">
        <v>96</v>
      </c>
      <c r="E278">
        <v>547</v>
      </c>
      <c r="F278">
        <v>548</v>
      </c>
      <c r="G278" s="102" t="s">
        <v>73</v>
      </c>
      <c r="H278" t="s">
        <v>597</v>
      </c>
      <c r="N278">
        <v>278</v>
      </c>
    </row>
    <row r="279" spans="1:14" x14ac:dyDescent="0.25">
      <c r="A279" s="99" t="s">
        <v>598</v>
      </c>
      <c r="B279" s="99">
        <v>7</v>
      </c>
      <c r="C279" s="99" t="s">
        <v>586</v>
      </c>
      <c r="D279" s="99" t="s">
        <v>171</v>
      </c>
      <c r="E279">
        <v>549</v>
      </c>
      <c r="F279">
        <v>550</v>
      </c>
      <c r="G279" s="102" t="s">
        <v>73</v>
      </c>
      <c r="H279" t="s">
        <v>599</v>
      </c>
      <c r="N279">
        <v>279</v>
      </c>
    </row>
    <row r="280" spans="1:14" x14ac:dyDescent="0.25">
      <c r="A280" s="99" t="s">
        <v>600</v>
      </c>
      <c r="B280" s="99">
        <v>7</v>
      </c>
      <c r="C280" s="99" t="s">
        <v>586</v>
      </c>
      <c r="D280" s="99" t="s">
        <v>212</v>
      </c>
      <c r="E280">
        <v>551</v>
      </c>
      <c r="F280">
        <v>552</v>
      </c>
      <c r="G280" s="102" t="s">
        <v>73</v>
      </c>
      <c r="H280" t="s">
        <v>601</v>
      </c>
      <c r="N280">
        <v>280</v>
      </c>
    </row>
    <row r="281" spans="1:14" x14ac:dyDescent="0.25">
      <c r="A281" s="99" t="s">
        <v>602</v>
      </c>
      <c r="B281" s="99">
        <v>7</v>
      </c>
      <c r="C281" s="99" t="s">
        <v>586</v>
      </c>
      <c r="D281" s="99" t="s">
        <v>213</v>
      </c>
      <c r="E281">
        <v>553</v>
      </c>
      <c r="F281">
        <v>554</v>
      </c>
      <c r="G281" s="102" t="s">
        <v>73</v>
      </c>
      <c r="H281" t="s">
        <v>603</v>
      </c>
      <c r="N281">
        <v>281</v>
      </c>
    </row>
    <row r="282" spans="1:14" x14ac:dyDescent="0.25">
      <c r="A282" s="99" t="s">
        <v>604</v>
      </c>
      <c r="B282" s="99">
        <v>7</v>
      </c>
      <c r="C282" s="99" t="s">
        <v>586</v>
      </c>
      <c r="D282" s="99" t="s">
        <v>214</v>
      </c>
      <c r="E282">
        <v>555</v>
      </c>
      <c r="F282">
        <v>556</v>
      </c>
      <c r="G282" s="102" t="s">
        <v>73</v>
      </c>
      <c r="H282" t="s">
        <v>605</v>
      </c>
      <c r="N282">
        <v>282</v>
      </c>
    </row>
    <row r="283" spans="1:14" x14ac:dyDescent="0.25">
      <c r="A283" s="99" t="s">
        <v>606</v>
      </c>
      <c r="B283" s="99">
        <v>7</v>
      </c>
      <c r="C283" s="99" t="s">
        <v>586</v>
      </c>
      <c r="D283" s="99" t="s">
        <v>215</v>
      </c>
      <c r="E283">
        <v>557</v>
      </c>
      <c r="F283">
        <v>558</v>
      </c>
      <c r="G283" s="102" t="s">
        <v>73</v>
      </c>
      <c r="H283" t="s">
        <v>607</v>
      </c>
      <c r="N283">
        <v>283</v>
      </c>
    </row>
    <row r="284" spans="1:14" x14ac:dyDescent="0.25">
      <c r="A284" s="99" t="s">
        <v>608</v>
      </c>
      <c r="B284" s="99">
        <v>7</v>
      </c>
      <c r="C284" s="99" t="s">
        <v>586</v>
      </c>
      <c r="D284" s="99" t="s">
        <v>353</v>
      </c>
      <c r="E284">
        <v>559</v>
      </c>
      <c r="F284">
        <v>560</v>
      </c>
      <c r="G284" s="102" t="s">
        <v>73</v>
      </c>
      <c r="H284" t="s">
        <v>609</v>
      </c>
      <c r="N284">
        <v>284</v>
      </c>
    </row>
    <row r="285" spans="1:14" x14ac:dyDescent="0.25">
      <c r="A285" s="99" t="s">
        <v>610</v>
      </c>
      <c r="B285" s="99">
        <v>7</v>
      </c>
      <c r="C285" s="99" t="s">
        <v>586</v>
      </c>
      <c r="D285" s="99" t="s">
        <v>354</v>
      </c>
      <c r="E285">
        <v>561</v>
      </c>
      <c r="F285">
        <v>562</v>
      </c>
      <c r="G285" s="102" t="s">
        <v>73</v>
      </c>
      <c r="H285" t="s">
        <v>611</v>
      </c>
      <c r="N285">
        <v>285</v>
      </c>
    </row>
    <row r="286" spans="1:14" x14ac:dyDescent="0.25">
      <c r="A286" s="99" t="s">
        <v>612</v>
      </c>
      <c r="B286" s="99">
        <v>7</v>
      </c>
      <c r="C286" s="99" t="s">
        <v>586</v>
      </c>
      <c r="D286" s="99" t="s">
        <v>355</v>
      </c>
      <c r="E286">
        <v>563</v>
      </c>
      <c r="F286">
        <v>564</v>
      </c>
      <c r="G286" s="102" t="s">
        <v>73</v>
      </c>
      <c r="H286" t="s">
        <v>613</v>
      </c>
      <c r="N286">
        <v>286</v>
      </c>
    </row>
    <row r="287" spans="1:14" x14ac:dyDescent="0.25">
      <c r="A287" s="99" t="s">
        <v>614</v>
      </c>
      <c r="B287" s="99">
        <v>7</v>
      </c>
      <c r="C287" s="99" t="s">
        <v>586</v>
      </c>
      <c r="D287" s="99" t="s">
        <v>356</v>
      </c>
      <c r="E287">
        <v>565</v>
      </c>
      <c r="F287">
        <v>566</v>
      </c>
      <c r="G287" s="102" t="s">
        <v>73</v>
      </c>
      <c r="H287" t="s">
        <v>615</v>
      </c>
      <c r="N287">
        <v>287</v>
      </c>
    </row>
    <row r="288" spans="1:14" x14ac:dyDescent="0.25">
      <c r="A288" s="99" t="s">
        <v>616</v>
      </c>
      <c r="B288" s="99">
        <v>6</v>
      </c>
      <c r="C288" s="99" t="s">
        <v>584</v>
      </c>
      <c r="D288" s="99" t="s">
        <v>93</v>
      </c>
      <c r="E288">
        <v>568</v>
      </c>
      <c r="F288">
        <v>583</v>
      </c>
      <c r="G288" s="102" t="s">
        <v>153</v>
      </c>
      <c r="H288" t="s">
        <v>617</v>
      </c>
      <c r="J288">
        <f>SUM(K289,K290,K291,K292,K293,K294,K295)</f>
        <v>0</v>
      </c>
      <c r="K288">
        <f>I288*J288</f>
        <v>0</v>
      </c>
      <c r="L288" t="e">
        <f>100*(1-(M288/K288))</f>
        <v>#DIV/0!</v>
      </c>
      <c r="M288">
        <f>I288*SUM(M289,M290,M291,M292,M293,M294,M295)</f>
        <v>0</v>
      </c>
      <c r="N288">
        <v>288</v>
      </c>
    </row>
    <row r="289" spans="1:14" x14ac:dyDescent="0.25">
      <c r="A289" s="99" t="s">
        <v>618</v>
      </c>
      <c r="B289" s="99">
        <v>7</v>
      </c>
      <c r="C289" s="99" t="s">
        <v>616</v>
      </c>
      <c r="D289" s="99" t="s">
        <v>73</v>
      </c>
      <c r="E289">
        <v>569</v>
      </c>
      <c r="F289">
        <v>570</v>
      </c>
      <c r="G289" s="102" t="s">
        <v>73</v>
      </c>
      <c r="H289" t="s">
        <v>619</v>
      </c>
      <c r="N289">
        <v>289</v>
      </c>
    </row>
    <row r="290" spans="1:14" x14ac:dyDescent="0.25">
      <c r="A290" s="99" t="s">
        <v>620</v>
      </c>
      <c r="B290" s="99">
        <v>7</v>
      </c>
      <c r="C290" s="99" t="s">
        <v>616</v>
      </c>
      <c r="D290" s="99" t="s">
        <v>93</v>
      </c>
      <c r="E290">
        <v>571</v>
      </c>
      <c r="F290">
        <v>572</v>
      </c>
      <c r="G290" s="102" t="s">
        <v>73</v>
      </c>
      <c r="H290" t="s">
        <v>621</v>
      </c>
      <c r="N290">
        <v>290</v>
      </c>
    </row>
    <row r="291" spans="1:14" x14ac:dyDescent="0.25">
      <c r="A291" s="99" t="s">
        <v>622</v>
      </c>
      <c r="B291" s="99">
        <v>7</v>
      </c>
      <c r="C291" s="99" t="s">
        <v>616</v>
      </c>
      <c r="D291" s="99" t="s">
        <v>94</v>
      </c>
      <c r="E291">
        <v>573</v>
      </c>
      <c r="F291">
        <v>574</v>
      </c>
      <c r="G291" s="102" t="s">
        <v>73</v>
      </c>
      <c r="H291" t="s">
        <v>623</v>
      </c>
      <c r="N291">
        <v>291</v>
      </c>
    </row>
    <row r="292" spans="1:14" x14ac:dyDescent="0.25">
      <c r="A292" s="99" t="s">
        <v>624</v>
      </c>
      <c r="B292" s="99">
        <v>7</v>
      </c>
      <c r="C292" s="99" t="s">
        <v>616</v>
      </c>
      <c r="D292" s="99" t="s">
        <v>95</v>
      </c>
      <c r="E292">
        <v>575</v>
      </c>
      <c r="F292">
        <v>576</v>
      </c>
      <c r="G292" s="102" t="s">
        <v>73</v>
      </c>
      <c r="H292" t="s">
        <v>625</v>
      </c>
      <c r="N292">
        <v>292</v>
      </c>
    </row>
    <row r="293" spans="1:14" x14ac:dyDescent="0.25">
      <c r="A293" s="99" t="s">
        <v>626</v>
      </c>
      <c r="B293" s="99">
        <v>7</v>
      </c>
      <c r="C293" s="99" t="s">
        <v>616</v>
      </c>
      <c r="D293" s="99" t="s">
        <v>96</v>
      </c>
      <c r="E293">
        <v>577</v>
      </c>
      <c r="F293">
        <v>578</v>
      </c>
      <c r="G293" s="102" t="s">
        <v>73</v>
      </c>
      <c r="H293" t="s">
        <v>627</v>
      </c>
      <c r="N293">
        <v>293</v>
      </c>
    </row>
    <row r="294" spans="1:14" x14ac:dyDescent="0.25">
      <c r="A294" s="99" t="s">
        <v>628</v>
      </c>
      <c r="B294" s="99">
        <v>7</v>
      </c>
      <c r="C294" s="99" t="s">
        <v>616</v>
      </c>
      <c r="D294" s="99" t="s">
        <v>171</v>
      </c>
      <c r="E294">
        <v>579</v>
      </c>
      <c r="F294">
        <v>580</v>
      </c>
      <c r="G294" s="102" t="s">
        <v>73</v>
      </c>
      <c r="H294" t="s">
        <v>629</v>
      </c>
      <c r="N294">
        <v>294</v>
      </c>
    </row>
    <row r="295" spans="1:14" x14ac:dyDescent="0.25">
      <c r="A295" s="99" t="s">
        <v>630</v>
      </c>
      <c r="B295" s="99">
        <v>7</v>
      </c>
      <c r="C295" s="99" t="s">
        <v>616</v>
      </c>
      <c r="D295" s="99" t="s">
        <v>212</v>
      </c>
      <c r="E295">
        <v>581</v>
      </c>
      <c r="F295">
        <v>582</v>
      </c>
      <c r="G295" s="102" t="s">
        <v>73</v>
      </c>
      <c r="H295" t="s">
        <v>114</v>
      </c>
      <c r="N295">
        <v>295</v>
      </c>
    </row>
    <row r="296" spans="1:14" x14ac:dyDescent="0.25">
      <c r="A296" s="99" t="s">
        <v>631</v>
      </c>
      <c r="B296" s="99">
        <v>4</v>
      </c>
      <c r="C296" s="99" t="s">
        <v>563</v>
      </c>
      <c r="D296" s="99" t="s">
        <v>93</v>
      </c>
      <c r="E296">
        <v>586</v>
      </c>
      <c r="F296">
        <v>645</v>
      </c>
      <c r="G296" s="102" t="s">
        <v>153</v>
      </c>
      <c r="H296" t="s">
        <v>632</v>
      </c>
      <c r="J296">
        <f>SUM(K297,K305)</f>
        <v>0</v>
      </c>
      <c r="K296">
        <f>I296*J296</f>
        <v>0</v>
      </c>
      <c r="L296" t="e">
        <f>100*(1-(M296/K296))</f>
        <v>#DIV/0!</v>
      </c>
      <c r="M296">
        <f>I296*SUM(M297,M305)</f>
        <v>0</v>
      </c>
      <c r="N296">
        <v>296</v>
      </c>
    </row>
    <row r="297" spans="1:14" x14ac:dyDescent="0.25">
      <c r="A297" s="99" t="s">
        <v>633</v>
      </c>
      <c r="B297" s="99">
        <v>5</v>
      </c>
      <c r="C297" s="99" t="s">
        <v>631</v>
      </c>
      <c r="D297" s="99" t="s">
        <v>73</v>
      </c>
      <c r="E297">
        <v>587</v>
      </c>
      <c r="F297">
        <v>602</v>
      </c>
      <c r="G297" s="102" t="s">
        <v>153</v>
      </c>
      <c r="H297" t="s">
        <v>634</v>
      </c>
      <c r="J297">
        <f>SUM(K298)</f>
        <v>0</v>
      </c>
      <c r="K297">
        <f>I297*J297</f>
        <v>0</v>
      </c>
      <c r="L297" t="e">
        <f>100*(1-(M297/K297))</f>
        <v>#DIV/0!</v>
      </c>
      <c r="M297">
        <f>I297*SUM(M298)</f>
        <v>0</v>
      </c>
      <c r="N297">
        <v>297</v>
      </c>
    </row>
    <row r="298" spans="1:14" x14ac:dyDescent="0.25">
      <c r="A298" s="99" t="s">
        <v>635</v>
      </c>
      <c r="B298" s="99">
        <v>6</v>
      </c>
      <c r="C298" s="99" t="s">
        <v>633</v>
      </c>
      <c r="D298" s="99" t="s">
        <v>73</v>
      </c>
      <c r="E298">
        <v>588</v>
      </c>
      <c r="F298">
        <v>601</v>
      </c>
      <c r="G298" s="102" t="s">
        <v>153</v>
      </c>
      <c r="H298" t="s">
        <v>570</v>
      </c>
      <c r="J298">
        <f>SUM(K299,K300,K301,K302,K303,K304)</f>
        <v>0</v>
      </c>
      <c r="K298">
        <f>I298*J298</f>
        <v>0</v>
      </c>
      <c r="L298" t="e">
        <f>100*(1-(M298/K298))</f>
        <v>#DIV/0!</v>
      </c>
      <c r="M298">
        <f>I298*SUM(M299,M300,M301,M302,M303,M304)</f>
        <v>0</v>
      </c>
      <c r="N298">
        <v>298</v>
      </c>
    </row>
    <row r="299" spans="1:14" x14ac:dyDescent="0.25">
      <c r="A299" s="99" t="s">
        <v>636</v>
      </c>
      <c r="B299" s="99">
        <v>7</v>
      </c>
      <c r="C299" s="99" t="s">
        <v>635</v>
      </c>
      <c r="D299" s="99" t="s">
        <v>73</v>
      </c>
      <c r="E299">
        <v>589</v>
      </c>
      <c r="F299">
        <v>590</v>
      </c>
      <c r="G299" s="102" t="s">
        <v>73</v>
      </c>
      <c r="H299" t="s">
        <v>572</v>
      </c>
      <c r="N299">
        <v>299</v>
      </c>
    </row>
    <row r="300" spans="1:14" x14ac:dyDescent="0.25">
      <c r="A300" s="99" t="s">
        <v>637</v>
      </c>
      <c r="B300" s="99">
        <v>7</v>
      </c>
      <c r="C300" s="99" t="s">
        <v>635</v>
      </c>
      <c r="D300" s="99" t="s">
        <v>93</v>
      </c>
      <c r="E300">
        <v>591</v>
      </c>
      <c r="F300">
        <v>592</v>
      </c>
      <c r="G300" s="102" t="s">
        <v>73</v>
      </c>
      <c r="H300" t="s">
        <v>574</v>
      </c>
      <c r="N300">
        <v>300</v>
      </c>
    </row>
    <row r="301" spans="1:14" x14ac:dyDescent="0.25">
      <c r="A301" s="99" t="s">
        <v>638</v>
      </c>
      <c r="B301" s="99">
        <v>7</v>
      </c>
      <c r="C301" s="99" t="s">
        <v>635</v>
      </c>
      <c r="D301" s="99" t="s">
        <v>94</v>
      </c>
      <c r="E301">
        <v>593</v>
      </c>
      <c r="F301">
        <v>594</v>
      </c>
      <c r="G301" s="102" t="s">
        <v>73</v>
      </c>
      <c r="H301" t="s">
        <v>578</v>
      </c>
      <c r="N301">
        <v>301</v>
      </c>
    </row>
    <row r="302" spans="1:14" x14ac:dyDescent="0.25">
      <c r="A302" s="99" t="s">
        <v>639</v>
      </c>
      <c r="B302" s="99">
        <v>7</v>
      </c>
      <c r="C302" s="99" t="s">
        <v>635</v>
      </c>
      <c r="D302" s="99" t="s">
        <v>95</v>
      </c>
      <c r="E302">
        <v>595</v>
      </c>
      <c r="F302">
        <v>596</v>
      </c>
      <c r="G302" s="102" t="s">
        <v>73</v>
      </c>
      <c r="H302" t="s">
        <v>580</v>
      </c>
      <c r="N302">
        <v>302</v>
      </c>
    </row>
    <row r="303" spans="1:14" x14ac:dyDescent="0.25">
      <c r="A303" s="99" t="s">
        <v>640</v>
      </c>
      <c r="B303" s="99">
        <v>7</v>
      </c>
      <c r="C303" s="99" t="s">
        <v>635</v>
      </c>
      <c r="D303" s="99" t="s">
        <v>96</v>
      </c>
      <c r="E303">
        <v>597</v>
      </c>
      <c r="F303">
        <v>598</v>
      </c>
      <c r="G303" s="102" t="s">
        <v>73</v>
      </c>
      <c r="H303" t="s">
        <v>114</v>
      </c>
      <c r="N303">
        <v>303</v>
      </c>
    </row>
    <row r="304" spans="1:14" x14ac:dyDescent="0.25">
      <c r="A304" s="99" t="s">
        <v>641</v>
      </c>
      <c r="B304" s="99">
        <v>7</v>
      </c>
      <c r="C304" s="99" t="s">
        <v>635</v>
      </c>
      <c r="D304" s="99" t="s">
        <v>171</v>
      </c>
      <c r="E304">
        <v>599</v>
      </c>
      <c r="F304">
        <v>600</v>
      </c>
      <c r="G304" s="102" t="s">
        <v>73</v>
      </c>
      <c r="H304" t="s">
        <v>583</v>
      </c>
      <c r="N304">
        <v>304</v>
      </c>
    </row>
    <row r="305" spans="1:14" x14ac:dyDescent="0.25">
      <c r="A305" s="99" t="s">
        <v>642</v>
      </c>
      <c r="B305" s="99">
        <v>5</v>
      </c>
      <c r="C305" s="99" t="s">
        <v>631</v>
      </c>
      <c r="D305" s="99" t="s">
        <v>93</v>
      </c>
      <c r="E305">
        <v>603</v>
      </c>
      <c r="F305">
        <v>644</v>
      </c>
      <c r="G305" s="102" t="s">
        <v>153</v>
      </c>
      <c r="H305" t="s">
        <v>643</v>
      </c>
      <c r="J305">
        <f>SUM(K306,K318)</f>
        <v>0</v>
      </c>
      <c r="K305">
        <f>I305*J305</f>
        <v>0</v>
      </c>
      <c r="L305" t="e">
        <f>100*(1-(M305/K305))</f>
        <v>#DIV/0!</v>
      </c>
      <c r="M305">
        <f>I305*SUM(M306,M318)</f>
        <v>0</v>
      </c>
      <c r="N305">
        <v>305</v>
      </c>
    </row>
    <row r="306" spans="1:14" x14ac:dyDescent="0.25">
      <c r="A306" s="99" t="s">
        <v>644</v>
      </c>
      <c r="B306" s="99">
        <v>6</v>
      </c>
      <c r="C306" s="99" t="s">
        <v>642</v>
      </c>
      <c r="D306" s="99" t="s">
        <v>73</v>
      </c>
      <c r="E306">
        <v>604</v>
      </c>
      <c r="F306">
        <v>627</v>
      </c>
      <c r="G306" s="102" t="s">
        <v>153</v>
      </c>
      <c r="H306" t="s">
        <v>587</v>
      </c>
      <c r="J306">
        <f>SUM(K307,K308,K309,K310,K311,K312,K313,K314,K315,K316,K317)</f>
        <v>0</v>
      </c>
      <c r="K306">
        <f>I306*J306</f>
        <v>0</v>
      </c>
      <c r="L306" t="e">
        <f>100*(1-(M306/K306))</f>
        <v>#DIV/0!</v>
      </c>
      <c r="M306">
        <f>I306*SUM(M307,M308,M309,M310,M311,M312,M313,M314,M315,M316,M317)</f>
        <v>0</v>
      </c>
      <c r="N306">
        <v>306</v>
      </c>
    </row>
    <row r="307" spans="1:14" x14ac:dyDescent="0.25">
      <c r="A307" s="99" t="s">
        <v>645</v>
      </c>
      <c r="B307" s="99">
        <v>7</v>
      </c>
      <c r="C307" s="99" t="s">
        <v>644</v>
      </c>
      <c r="D307" s="99" t="s">
        <v>73</v>
      </c>
      <c r="E307">
        <v>605</v>
      </c>
      <c r="F307">
        <v>606</v>
      </c>
      <c r="G307" s="102" t="s">
        <v>73</v>
      </c>
      <c r="H307" t="s">
        <v>589</v>
      </c>
      <c r="N307">
        <v>307</v>
      </c>
    </row>
    <row r="308" spans="1:14" x14ac:dyDescent="0.25">
      <c r="A308" s="99" t="s">
        <v>646</v>
      </c>
      <c r="B308" s="99">
        <v>7</v>
      </c>
      <c r="C308" s="99" t="s">
        <v>644</v>
      </c>
      <c r="D308" s="99" t="s">
        <v>93</v>
      </c>
      <c r="E308">
        <v>607</v>
      </c>
      <c r="F308">
        <v>608</v>
      </c>
      <c r="G308" s="102" t="s">
        <v>73</v>
      </c>
      <c r="H308" t="s">
        <v>591</v>
      </c>
      <c r="N308">
        <v>308</v>
      </c>
    </row>
    <row r="309" spans="1:14" x14ac:dyDescent="0.25">
      <c r="A309" s="99" t="s">
        <v>647</v>
      </c>
      <c r="B309" s="99">
        <v>7</v>
      </c>
      <c r="C309" s="99" t="s">
        <v>644</v>
      </c>
      <c r="D309" s="99" t="s">
        <v>94</v>
      </c>
      <c r="E309">
        <v>609</v>
      </c>
      <c r="F309">
        <v>610</v>
      </c>
      <c r="G309" s="102" t="s">
        <v>73</v>
      </c>
      <c r="H309" t="s">
        <v>593</v>
      </c>
      <c r="N309">
        <v>309</v>
      </c>
    </row>
    <row r="310" spans="1:14" x14ac:dyDescent="0.25">
      <c r="A310" s="99" t="s">
        <v>648</v>
      </c>
      <c r="B310" s="99">
        <v>7</v>
      </c>
      <c r="C310" s="99" t="s">
        <v>644</v>
      </c>
      <c r="D310" s="99" t="s">
        <v>95</v>
      </c>
      <c r="E310">
        <v>611</v>
      </c>
      <c r="F310">
        <v>612</v>
      </c>
      <c r="G310" s="102" t="s">
        <v>73</v>
      </c>
      <c r="H310" t="s">
        <v>597</v>
      </c>
      <c r="N310">
        <v>310</v>
      </c>
    </row>
    <row r="311" spans="1:14" x14ac:dyDescent="0.25">
      <c r="A311" s="99" t="s">
        <v>649</v>
      </c>
      <c r="B311" s="99">
        <v>7</v>
      </c>
      <c r="C311" s="99" t="s">
        <v>644</v>
      </c>
      <c r="D311" s="99" t="s">
        <v>96</v>
      </c>
      <c r="E311">
        <v>613</v>
      </c>
      <c r="F311">
        <v>614</v>
      </c>
      <c r="G311" s="102" t="s">
        <v>73</v>
      </c>
      <c r="H311" t="s">
        <v>599</v>
      </c>
      <c r="N311">
        <v>311</v>
      </c>
    </row>
    <row r="312" spans="1:14" x14ac:dyDescent="0.25">
      <c r="A312" s="99" t="s">
        <v>650</v>
      </c>
      <c r="B312" s="99">
        <v>7</v>
      </c>
      <c r="C312" s="99" t="s">
        <v>644</v>
      </c>
      <c r="D312" s="99" t="s">
        <v>171</v>
      </c>
      <c r="E312">
        <v>615</v>
      </c>
      <c r="F312">
        <v>616</v>
      </c>
      <c r="G312" s="102" t="s">
        <v>73</v>
      </c>
      <c r="H312" t="s">
        <v>601</v>
      </c>
      <c r="N312">
        <v>312</v>
      </c>
    </row>
    <row r="313" spans="1:14" x14ac:dyDescent="0.25">
      <c r="A313" s="99" t="s">
        <v>651</v>
      </c>
      <c r="B313" s="99">
        <v>7</v>
      </c>
      <c r="C313" s="99" t="s">
        <v>644</v>
      </c>
      <c r="D313" s="99" t="s">
        <v>212</v>
      </c>
      <c r="E313">
        <v>617</v>
      </c>
      <c r="F313">
        <v>618</v>
      </c>
      <c r="G313" s="102" t="s">
        <v>73</v>
      </c>
      <c r="H313" t="s">
        <v>603</v>
      </c>
      <c r="N313">
        <v>313</v>
      </c>
    </row>
    <row r="314" spans="1:14" x14ac:dyDescent="0.25">
      <c r="A314" s="99" t="s">
        <v>652</v>
      </c>
      <c r="B314" s="99">
        <v>7</v>
      </c>
      <c r="C314" s="99" t="s">
        <v>644</v>
      </c>
      <c r="D314" s="99" t="s">
        <v>213</v>
      </c>
      <c r="E314">
        <v>619</v>
      </c>
      <c r="F314">
        <v>620</v>
      </c>
      <c r="G314" s="102" t="s">
        <v>73</v>
      </c>
      <c r="H314" t="s">
        <v>605</v>
      </c>
      <c r="N314">
        <v>314</v>
      </c>
    </row>
    <row r="315" spans="1:14" x14ac:dyDescent="0.25">
      <c r="A315" s="99" t="s">
        <v>653</v>
      </c>
      <c r="B315" s="99">
        <v>7</v>
      </c>
      <c r="C315" s="99" t="s">
        <v>644</v>
      </c>
      <c r="D315" s="99" t="s">
        <v>214</v>
      </c>
      <c r="E315">
        <v>621</v>
      </c>
      <c r="F315">
        <v>622</v>
      </c>
      <c r="G315" s="102" t="s">
        <v>73</v>
      </c>
      <c r="H315" t="s">
        <v>607</v>
      </c>
      <c r="N315">
        <v>315</v>
      </c>
    </row>
    <row r="316" spans="1:14" x14ac:dyDescent="0.25">
      <c r="A316" s="99" t="s">
        <v>654</v>
      </c>
      <c r="B316" s="99">
        <v>7</v>
      </c>
      <c r="C316" s="99" t="s">
        <v>644</v>
      </c>
      <c r="D316" s="99" t="s">
        <v>215</v>
      </c>
      <c r="E316">
        <v>623</v>
      </c>
      <c r="F316">
        <v>624</v>
      </c>
      <c r="G316" s="102" t="s">
        <v>73</v>
      </c>
      <c r="H316" t="s">
        <v>611</v>
      </c>
      <c r="N316">
        <v>316</v>
      </c>
    </row>
    <row r="317" spans="1:14" x14ac:dyDescent="0.25">
      <c r="A317" s="99" t="s">
        <v>655</v>
      </c>
      <c r="B317" s="99">
        <v>7</v>
      </c>
      <c r="C317" s="99" t="s">
        <v>644</v>
      </c>
      <c r="D317" s="99" t="s">
        <v>353</v>
      </c>
      <c r="E317">
        <v>625</v>
      </c>
      <c r="F317">
        <v>626</v>
      </c>
      <c r="G317" s="102" t="s">
        <v>73</v>
      </c>
      <c r="H317" t="s">
        <v>613</v>
      </c>
      <c r="N317">
        <v>317</v>
      </c>
    </row>
    <row r="318" spans="1:14" x14ac:dyDescent="0.25">
      <c r="A318" s="99" t="s">
        <v>656</v>
      </c>
      <c r="B318" s="99">
        <v>6</v>
      </c>
      <c r="C318" s="99" t="s">
        <v>642</v>
      </c>
      <c r="D318" s="99" t="s">
        <v>93</v>
      </c>
      <c r="E318">
        <v>628</v>
      </c>
      <c r="F318">
        <v>643</v>
      </c>
      <c r="G318" s="102" t="s">
        <v>153</v>
      </c>
      <c r="H318" t="s">
        <v>617</v>
      </c>
      <c r="J318">
        <f>SUM(K319,K320,K321,K322,K323,K324,K325)</f>
        <v>0</v>
      </c>
      <c r="K318">
        <f>I318*J318</f>
        <v>0</v>
      </c>
      <c r="L318" t="e">
        <f>100*(1-(M318/K318))</f>
        <v>#DIV/0!</v>
      </c>
      <c r="M318">
        <f>I318*SUM(M319,M320,M321,M322,M323,M324,M325)</f>
        <v>0</v>
      </c>
      <c r="N318">
        <v>318</v>
      </c>
    </row>
    <row r="319" spans="1:14" x14ac:dyDescent="0.25">
      <c r="A319" s="99" t="s">
        <v>657</v>
      </c>
      <c r="B319" s="99">
        <v>7</v>
      </c>
      <c r="C319" s="99" t="s">
        <v>656</v>
      </c>
      <c r="D319" s="99" t="s">
        <v>73</v>
      </c>
      <c r="E319">
        <v>629</v>
      </c>
      <c r="F319">
        <v>630</v>
      </c>
      <c r="G319" s="102" t="s">
        <v>73</v>
      </c>
      <c r="H319" t="s">
        <v>619</v>
      </c>
      <c r="N319">
        <v>319</v>
      </c>
    </row>
    <row r="320" spans="1:14" x14ac:dyDescent="0.25">
      <c r="A320" s="99" t="s">
        <v>658</v>
      </c>
      <c r="B320" s="99">
        <v>7</v>
      </c>
      <c r="C320" s="99" t="s">
        <v>656</v>
      </c>
      <c r="D320" s="99" t="s">
        <v>93</v>
      </c>
      <c r="E320">
        <v>631</v>
      </c>
      <c r="F320">
        <v>632</v>
      </c>
      <c r="G320" s="102" t="s">
        <v>73</v>
      </c>
      <c r="H320" t="s">
        <v>621</v>
      </c>
      <c r="N320">
        <v>320</v>
      </c>
    </row>
    <row r="321" spans="1:14" x14ac:dyDescent="0.25">
      <c r="A321" s="99" t="s">
        <v>659</v>
      </c>
      <c r="B321" s="99">
        <v>7</v>
      </c>
      <c r="C321" s="99" t="s">
        <v>656</v>
      </c>
      <c r="D321" s="99" t="s">
        <v>94</v>
      </c>
      <c r="E321">
        <v>633</v>
      </c>
      <c r="F321">
        <v>634</v>
      </c>
      <c r="G321" s="102" t="s">
        <v>73</v>
      </c>
      <c r="H321" t="s">
        <v>623</v>
      </c>
      <c r="N321">
        <v>321</v>
      </c>
    </row>
    <row r="322" spans="1:14" x14ac:dyDescent="0.25">
      <c r="A322" s="99" t="s">
        <v>660</v>
      </c>
      <c r="B322" s="99">
        <v>7</v>
      </c>
      <c r="C322" s="99" t="s">
        <v>656</v>
      </c>
      <c r="D322" s="99" t="s">
        <v>95</v>
      </c>
      <c r="E322">
        <v>635</v>
      </c>
      <c r="F322">
        <v>636</v>
      </c>
      <c r="G322" s="102" t="s">
        <v>73</v>
      </c>
      <c r="H322" t="s">
        <v>625</v>
      </c>
      <c r="N322">
        <v>322</v>
      </c>
    </row>
    <row r="323" spans="1:14" x14ac:dyDescent="0.25">
      <c r="A323" s="99" t="s">
        <v>661</v>
      </c>
      <c r="B323" s="99">
        <v>7</v>
      </c>
      <c r="C323" s="99" t="s">
        <v>656</v>
      </c>
      <c r="D323" s="99" t="s">
        <v>96</v>
      </c>
      <c r="E323">
        <v>637</v>
      </c>
      <c r="F323">
        <v>638</v>
      </c>
      <c r="G323" s="102" t="s">
        <v>73</v>
      </c>
      <c r="H323" t="s">
        <v>627</v>
      </c>
      <c r="N323">
        <v>323</v>
      </c>
    </row>
    <row r="324" spans="1:14" x14ac:dyDescent="0.25">
      <c r="A324" s="99" t="s">
        <v>662</v>
      </c>
      <c r="B324" s="99">
        <v>7</v>
      </c>
      <c r="C324" s="99" t="s">
        <v>656</v>
      </c>
      <c r="D324" s="99" t="s">
        <v>171</v>
      </c>
      <c r="E324">
        <v>639</v>
      </c>
      <c r="F324">
        <v>640</v>
      </c>
      <c r="G324" s="102" t="s">
        <v>73</v>
      </c>
      <c r="H324" t="s">
        <v>629</v>
      </c>
      <c r="N324">
        <v>324</v>
      </c>
    </row>
    <row r="325" spans="1:14" x14ac:dyDescent="0.25">
      <c r="A325" s="99" t="s">
        <v>663</v>
      </c>
      <c r="B325" s="99">
        <v>7</v>
      </c>
      <c r="C325" s="99" t="s">
        <v>656</v>
      </c>
      <c r="D325" s="99" t="s">
        <v>212</v>
      </c>
      <c r="E325">
        <v>641</v>
      </c>
      <c r="F325">
        <v>642</v>
      </c>
      <c r="G325" s="102" t="s">
        <v>73</v>
      </c>
      <c r="H325" t="s">
        <v>114</v>
      </c>
      <c r="N325">
        <v>325</v>
      </c>
    </row>
    <row r="326" spans="1:14" x14ac:dyDescent="0.25">
      <c r="A326" s="99" t="s">
        <v>664</v>
      </c>
      <c r="B326" s="99">
        <v>4</v>
      </c>
      <c r="C326" s="99" t="s">
        <v>563</v>
      </c>
      <c r="D326" s="99" t="s">
        <v>94</v>
      </c>
      <c r="E326">
        <v>646</v>
      </c>
      <c r="F326">
        <v>705</v>
      </c>
      <c r="G326" s="102" t="s">
        <v>153</v>
      </c>
      <c r="H326" t="s">
        <v>665</v>
      </c>
      <c r="J326">
        <f>SUM(K327)</f>
        <v>0</v>
      </c>
      <c r="K326">
        <f>I326*J326</f>
        <v>0</v>
      </c>
      <c r="L326" t="e">
        <f>100*(1-(M326/K326))</f>
        <v>#DIV/0!</v>
      </c>
      <c r="M326">
        <f>I326*SUM(M327)</f>
        <v>0</v>
      </c>
      <c r="N326">
        <v>326</v>
      </c>
    </row>
    <row r="327" spans="1:14" x14ac:dyDescent="0.25">
      <c r="A327" s="99" t="s">
        <v>666</v>
      </c>
      <c r="B327" s="99">
        <v>5</v>
      </c>
      <c r="C327" s="99" t="s">
        <v>664</v>
      </c>
      <c r="D327" s="99" t="s">
        <v>73</v>
      </c>
      <c r="E327">
        <v>647</v>
      </c>
      <c r="F327">
        <v>704</v>
      </c>
      <c r="G327" s="102" t="s">
        <v>153</v>
      </c>
      <c r="H327" t="s">
        <v>665</v>
      </c>
      <c r="J327">
        <f>SUM(K328)</f>
        <v>0</v>
      </c>
      <c r="K327">
        <f>I327*J327</f>
        <v>0</v>
      </c>
      <c r="L327" t="e">
        <f>100*(1-(M327/K327))</f>
        <v>#DIV/0!</v>
      </c>
      <c r="M327">
        <f>I327*SUM(M328)</f>
        <v>0</v>
      </c>
      <c r="N327">
        <v>327</v>
      </c>
    </row>
    <row r="328" spans="1:14" x14ac:dyDescent="0.25">
      <c r="A328" s="99" t="s">
        <v>667</v>
      </c>
      <c r="B328" s="99">
        <v>6</v>
      </c>
      <c r="C328" s="99" t="s">
        <v>666</v>
      </c>
      <c r="D328" s="99" t="s">
        <v>73</v>
      </c>
      <c r="E328">
        <v>648</v>
      </c>
      <c r="F328">
        <v>703</v>
      </c>
      <c r="G328" s="102" t="s">
        <v>153</v>
      </c>
      <c r="H328" t="s">
        <v>668</v>
      </c>
      <c r="J328">
        <f>SUM(K329,K330,K331,K332,K333,K334,K335,K336,K337,K338,K339,K340,K341,K342,K343,K344,K345,K346,K347,K348,K349,K350,K351,K352,K353,K354,K355)</f>
        <v>0</v>
      </c>
      <c r="K328">
        <f>I328*J328</f>
        <v>0</v>
      </c>
      <c r="L328" t="e">
        <f>100*(1-(M328/K328))</f>
        <v>#DIV/0!</v>
      </c>
      <c r="M328">
        <f>I328*SUM(M329,M330,M331,M332,M333,M334,M335,M336,M337,M338,M339,M340,M341,M342,M343,M344,M345,M346,M347,M348,M349,M350,M351,M352,M353,M354,M355)</f>
        <v>0</v>
      </c>
      <c r="N328">
        <v>328</v>
      </c>
    </row>
    <row r="329" spans="1:14" x14ac:dyDescent="0.25">
      <c r="A329" s="99" t="s">
        <v>669</v>
      </c>
      <c r="B329" s="99">
        <v>7</v>
      </c>
      <c r="C329" s="99" t="s">
        <v>667</v>
      </c>
      <c r="D329" s="99" t="s">
        <v>73</v>
      </c>
      <c r="E329">
        <v>649</v>
      </c>
      <c r="F329">
        <v>650</v>
      </c>
      <c r="G329" s="102" t="s">
        <v>73</v>
      </c>
      <c r="H329" t="s">
        <v>670</v>
      </c>
      <c r="N329">
        <v>329</v>
      </c>
    </row>
    <row r="330" spans="1:14" x14ac:dyDescent="0.25">
      <c r="A330" s="99" t="s">
        <v>671</v>
      </c>
      <c r="B330" s="99">
        <v>7</v>
      </c>
      <c r="C330" s="99" t="s">
        <v>667</v>
      </c>
      <c r="D330" s="99" t="s">
        <v>93</v>
      </c>
      <c r="E330">
        <v>651</v>
      </c>
      <c r="F330">
        <v>652</v>
      </c>
      <c r="G330" s="102" t="s">
        <v>73</v>
      </c>
      <c r="H330" t="s">
        <v>672</v>
      </c>
      <c r="N330">
        <v>330</v>
      </c>
    </row>
    <row r="331" spans="1:14" x14ac:dyDescent="0.25">
      <c r="A331" s="99" t="s">
        <v>673</v>
      </c>
      <c r="B331" s="99">
        <v>7</v>
      </c>
      <c r="C331" s="99" t="s">
        <v>667</v>
      </c>
      <c r="D331" s="99" t="s">
        <v>94</v>
      </c>
      <c r="E331">
        <v>653</v>
      </c>
      <c r="F331">
        <v>654</v>
      </c>
      <c r="G331" s="102" t="s">
        <v>73</v>
      </c>
      <c r="H331" t="s">
        <v>674</v>
      </c>
      <c r="N331">
        <v>331</v>
      </c>
    </row>
    <row r="332" spans="1:14" x14ac:dyDescent="0.25">
      <c r="A332" s="99" t="s">
        <v>675</v>
      </c>
      <c r="B332" s="99">
        <v>7</v>
      </c>
      <c r="C332" s="99" t="s">
        <v>667</v>
      </c>
      <c r="D332" s="99" t="s">
        <v>95</v>
      </c>
      <c r="E332">
        <v>655</v>
      </c>
      <c r="F332">
        <v>656</v>
      </c>
      <c r="G332" s="102" t="s">
        <v>73</v>
      </c>
      <c r="H332" t="s">
        <v>676</v>
      </c>
      <c r="N332">
        <v>332</v>
      </c>
    </row>
    <row r="333" spans="1:14" x14ac:dyDescent="0.25">
      <c r="A333" s="99" t="s">
        <v>677</v>
      </c>
      <c r="B333" s="99">
        <v>7</v>
      </c>
      <c r="C333" s="99" t="s">
        <v>667</v>
      </c>
      <c r="D333" s="99" t="s">
        <v>96</v>
      </c>
      <c r="E333">
        <v>657</v>
      </c>
      <c r="F333">
        <v>658</v>
      </c>
      <c r="G333" s="102" t="s">
        <v>73</v>
      </c>
      <c r="H333" t="s">
        <v>678</v>
      </c>
      <c r="N333">
        <v>333</v>
      </c>
    </row>
    <row r="334" spans="1:14" x14ac:dyDescent="0.25">
      <c r="A334" s="99" t="s">
        <v>679</v>
      </c>
      <c r="B334" s="99">
        <v>7</v>
      </c>
      <c r="C334" s="99" t="s">
        <v>667</v>
      </c>
      <c r="D334" s="99" t="s">
        <v>171</v>
      </c>
      <c r="E334">
        <v>659</v>
      </c>
      <c r="F334">
        <v>660</v>
      </c>
      <c r="G334" s="102" t="s">
        <v>73</v>
      </c>
      <c r="H334" t="s">
        <v>680</v>
      </c>
      <c r="N334">
        <v>334</v>
      </c>
    </row>
    <row r="335" spans="1:14" x14ac:dyDescent="0.25">
      <c r="A335" s="99" t="s">
        <v>681</v>
      </c>
      <c r="B335" s="99">
        <v>7</v>
      </c>
      <c r="C335" s="99" t="s">
        <v>667</v>
      </c>
      <c r="D335" s="99" t="s">
        <v>212</v>
      </c>
      <c r="E335">
        <v>661</v>
      </c>
      <c r="F335">
        <v>662</v>
      </c>
      <c r="G335" s="102" t="s">
        <v>73</v>
      </c>
      <c r="H335" t="s">
        <v>143</v>
      </c>
      <c r="N335">
        <v>335</v>
      </c>
    </row>
    <row r="336" spans="1:14" x14ac:dyDescent="0.25">
      <c r="A336" s="99" t="s">
        <v>682</v>
      </c>
      <c r="B336" s="99">
        <v>7</v>
      </c>
      <c r="C336" s="99" t="s">
        <v>667</v>
      </c>
      <c r="D336" s="99" t="s">
        <v>213</v>
      </c>
      <c r="E336">
        <v>663</v>
      </c>
      <c r="F336">
        <v>664</v>
      </c>
      <c r="G336" s="102" t="s">
        <v>73</v>
      </c>
      <c r="H336" t="s">
        <v>683</v>
      </c>
      <c r="N336">
        <v>336</v>
      </c>
    </row>
    <row r="337" spans="1:14" x14ac:dyDescent="0.25">
      <c r="A337" s="99" t="s">
        <v>684</v>
      </c>
      <c r="B337" s="99">
        <v>7</v>
      </c>
      <c r="C337" s="99" t="s">
        <v>667</v>
      </c>
      <c r="D337" s="99" t="s">
        <v>214</v>
      </c>
      <c r="E337">
        <v>665</v>
      </c>
      <c r="F337">
        <v>666</v>
      </c>
      <c r="G337" s="102" t="s">
        <v>73</v>
      </c>
      <c r="H337" t="s">
        <v>685</v>
      </c>
      <c r="N337">
        <v>337</v>
      </c>
    </row>
    <row r="338" spans="1:14" x14ac:dyDescent="0.25">
      <c r="A338" s="99" t="s">
        <v>686</v>
      </c>
      <c r="B338" s="99">
        <v>7</v>
      </c>
      <c r="C338" s="99" t="s">
        <v>667</v>
      </c>
      <c r="D338" s="99" t="s">
        <v>215</v>
      </c>
      <c r="E338">
        <v>667</v>
      </c>
      <c r="F338">
        <v>668</v>
      </c>
      <c r="G338" s="102" t="s">
        <v>73</v>
      </c>
      <c r="H338" t="s">
        <v>687</v>
      </c>
      <c r="N338">
        <v>338</v>
      </c>
    </row>
    <row r="339" spans="1:14" x14ac:dyDescent="0.25">
      <c r="A339" s="99" t="s">
        <v>688</v>
      </c>
      <c r="B339" s="99">
        <v>7</v>
      </c>
      <c r="C339" s="99" t="s">
        <v>667</v>
      </c>
      <c r="D339" s="99" t="s">
        <v>353</v>
      </c>
      <c r="E339">
        <v>669</v>
      </c>
      <c r="F339">
        <v>670</v>
      </c>
      <c r="G339" s="102" t="s">
        <v>73</v>
      </c>
      <c r="H339" t="s">
        <v>689</v>
      </c>
      <c r="N339">
        <v>339</v>
      </c>
    </row>
    <row r="340" spans="1:14" x14ac:dyDescent="0.25">
      <c r="A340" s="99" t="s">
        <v>690</v>
      </c>
      <c r="B340" s="99">
        <v>7</v>
      </c>
      <c r="C340" s="99" t="s">
        <v>667</v>
      </c>
      <c r="D340" s="99" t="s">
        <v>354</v>
      </c>
      <c r="E340">
        <v>671</v>
      </c>
      <c r="F340">
        <v>672</v>
      </c>
      <c r="G340" s="102" t="s">
        <v>73</v>
      </c>
      <c r="H340" t="s">
        <v>691</v>
      </c>
      <c r="N340">
        <v>340</v>
      </c>
    </row>
    <row r="341" spans="1:14" x14ac:dyDescent="0.25">
      <c r="A341" s="99" t="s">
        <v>692</v>
      </c>
      <c r="B341" s="99">
        <v>7</v>
      </c>
      <c r="C341" s="99" t="s">
        <v>667</v>
      </c>
      <c r="D341" s="99" t="s">
        <v>355</v>
      </c>
      <c r="E341">
        <v>673</v>
      </c>
      <c r="F341">
        <v>674</v>
      </c>
      <c r="G341" s="102" t="s">
        <v>73</v>
      </c>
      <c r="H341" t="s">
        <v>693</v>
      </c>
      <c r="N341">
        <v>341</v>
      </c>
    </row>
    <row r="342" spans="1:14" x14ac:dyDescent="0.25">
      <c r="A342" s="99" t="s">
        <v>694</v>
      </c>
      <c r="B342" s="99">
        <v>7</v>
      </c>
      <c r="C342" s="99" t="s">
        <v>667</v>
      </c>
      <c r="D342" s="99" t="s">
        <v>356</v>
      </c>
      <c r="E342">
        <v>675</v>
      </c>
      <c r="F342">
        <v>676</v>
      </c>
      <c r="G342" s="102" t="s">
        <v>73</v>
      </c>
      <c r="H342" t="s">
        <v>695</v>
      </c>
      <c r="N342">
        <v>342</v>
      </c>
    </row>
    <row r="343" spans="1:14" x14ac:dyDescent="0.25">
      <c r="A343" s="99" t="s">
        <v>696</v>
      </c>
      <c r="B343" s="99">
        <v>7</v>
      </c>
      <c r="C343" s="99" t="s">
        <v>667</v>
      </c>
      <c r="D343" s="99" t="s">
        <v>357</v>
      </c>
      <c r="E343">
        <v>677</v>
      </c>
      <c r="F343">
        <v>678</v>
      </c>
      <c r="G343" s="102" t="s">
        <v>73</v>
      </c>
      <c r="H343" t="s">
        <v>697</v>
      </c>
      <c r="N343">
        <v>343</v>
      </c>
    </row>
    <row r="344" spans="1:14" x14ac:dyDescent="0.25">
      <c r="A344" s="99" t="s">
        <v>698</v>
      </c>
      <c r="B344" s="99">
        <v>7</v>
      </c>
      <c r="C344" s="99" t="s">
        <v>667</v>
      </c>
      <c r="D344" s="99" t="s">
        <v>358</v>
      </c>
      <c r="E344">
        <v>679</v>
      </c>
      <c r="F344">
        <v>680</v>
      </c>
      <c r="G344" s="102" t="s">
        <v>73</v>
      </c>
      <c r="H344" t="s">
        <v>699</v>
      </c>
      <c r="N344">
        <v>344</v>
      </c>
    </row>
    <row r="345" spans="1:14" x14ac:dyDescent="0.25">
      <c r="A345" s="99" t="s">
        <v>700</v>
      </c>
      <c r="B345" s="99">
        <v>7</v>
      </c>
      <c r="C345" s="99" t="s">
        <v>667</v>
      </c>
      <c r="D345" s="99" t="s">
        <v>359</v>
      </c>
      <c r="E345">
        <v>681</v>
      </c>
      <c r="F345">
        <v>682</v>
      </c>
      <c r="G345" s="102" t="s">
        <v>73</v>
      </c>
      <c r="H345" t="s">
        <v>701</v>
      </c>
      <c r="N345">
        <v>345</v>
      </c>
    </row>
    <row r="346" spans="1:14" x14ac:dyDescent="0.25">
      <c r="A346" s="99" t="s">
        <v>702</v>
      </c>
      <c r="B346" s="99">
        <v>7</v>
      </c>
      <c r="C346" s="99" t="s">
        <v>667</v>
      </c>
      <c r="D346" s="99" t="s">
        <v>360</v>
      </c>
      <c r="E346">
        <v>683</v>
      </c>
      <c r="F346">
        <v>684</v>
      </c>
      <c r="G346" s="102" t="s">
        <v>73</v>
      </c>
      <c r="H346" t="s">
        <v>703</v>
      </c>
      <c r="N346">
        <v>346</v>
      </c>
    </row>
    <row r="347" spans="1:14" x14ac:dyDescent="0.25">
      <c r="A347" s="99" t="s">
        <v>704</v>
      </c>
      <c r="B347" s="99">
        <v>7</v>
      </c>
      <c r="C347" s="99" t="s">
        <v>667</v>
      </c>
      <c r="D347" s="99" t="s">
        <v>361</v>
      </c>
      <c r="E347">
        <v>685</v>
      </c>
      <c r="F347">
        <v>686</v>
      </c>
      <c r="G347" s="102" t="s">
        <v>73</v>
      </c>
      <c r="H347" t="s">
        <v>147</v>
      </c>
      <c r="N347">
        <v>347</v>
      </c>
    </row>
    <row r="348" spans="1:14" x14ac:dyDescent="0.25">
      <c r="A348" s="99" t="s">
        <v>705</v>
      </c>
      <c r="B348" s="99">
        <v>7</v>
      </c>
      <c r="C348" s="99" t="s">
        <v>667</v>
      </c>
      <c r="D348" s="99" t="s">
        <v>362</v>
      </c>
      <c r="E348">
        <v>687</v>
      </c>
      <c r="F348">
        <v>688</v>
      </c>
      <c r="G348" s="102" t="s">
        <v>73</v>
      </c>
      <c r="H348" t="s">
        <v>706</v>
      </c>
      <c r="N348">
        <v>348</v>
      </c>
    </row>
    <row r="349" spans="1:14" x14ac:dyDescent="0.25">
      <c r="A349" s="99" t="s">
        <v>707</v>
      </c>
      <c r="B349" s="99">
        <v>7</v>
      </c>
      <c r="C349" s="99" t="s">
        <v>667</v>
      </c>
      <c r="D349" s="99" t="s">
        <v>363</v>
      </c>
      <c r="E349">
        <v>689</v>
      </c>
      <c r="F349">
        <v>690</v>
      </c>
      <c r="G349" s="102" t="s">
        <v>73</v>
      </c>
      <c r="H349" t="s">
        <v>708</v>
      </c>
      <c r="N349">
        <v>349</v>
      </c>
    </row>
    <row r="350" spans="1:14" x14ac:dyDescent="0.25">
      <c r="A350" s="99" t="s">
        <v>709</v>
      </c>
      <c r="B350" s="99">
        <v>7</v>
      </c>
      <c r="C350" s="99" t="s">
        <v>667</v>
      </c>
      <c r="D350" s="99" t="s">
        <v>364</v>
      </c>
      <c r="E350">
        <v>691</v>
      </c>
      <c r="F350">
        <v>692</v>
      </c>
      <c r="G350" s="102" t="s">
        <v>73</v>
      </c>
      <c r="H350" t="s">
        <v>710</v>
      </c>
      <c r="N350">
        <v>350</v>
      </c>
    </row>
    <row r="351" spans="1:14" x14ac:dyDescent="0.25">
      <c r="A351" s="99" t="s">
        <v>711</v>
      </c>
      <c r="B351" s="99">
        <v>7</v>
      </c>
      <c r="C351" s="99" t="s">
        <v>667</v>
      </c>
      <c r="D351" s="99" t="s">
        <v>365</v>
      </c>
      <c r="E351">
        <v>693</v>
      </c>
      <c r="F351">
        <v>694</v>
      </c>
      <c r="G351" s="102" t="s">
        <v>73</v>
      </c>
      <c r="H351" t="s">
        <v>712</v>
      </c>
      <c r="N351">
        <v>351</v>
      </c>
    </row>
    <row r="352" spans="1:14" x14ac:dyDescent="0.25">
      <c r="A352" s="99" t="s">
        <v>713</v>
      </c>
      <c r="B352" s="99">
        <v>7</v>
      </c>
      <c r="C352" s="99" t="s">
        <v>667</v>
      </c>
      <c r="D352" s="99" t="s">
        <v>366</v>
      </c>
      <c r="E352">
        <v>695</v>
      </c>
      <c r="F352">
        <v>696</v>
      </c>
      <c r="G352" s="102" t="s">
        <v>73</v>
      </c>
      <c r="H352" t="s">
        <v>714</v>
      </c>
      <c r="N352">
        <v>352</v>
      </c>
    </row>
    <row r="353" spans="1:14" x14ac:dyDescent="0.25">
      <c r="A353" s="99" t="s">
        <v>715</v>
      </c>
      <c r="B353" s="99">
        <v>7</v>
      </c>
      <c r="C353" s="99" t="s">
        <v>667</v>
      </c>
      <c r="D353" s="99" t="s">
        <v>367</v>
      </c>
      <c r="E353">
        <v>697</v>
      </c>
      <c r="F353">
        <v>698</v>
      </c>
      <c r="G353" s="102" t="s">
        <v>73</v>
      </c>
      <c r="H353" t="s">
        <v>716</v>
      </c>
      <c r="N353">
        <v>353</v>
      </c>
    </row>
    <row r="354" spans="1:14" x14ac:dyDescent="0.25">
      <c r="A354" s="99" t="s">
        <v>717</v>
      </c>
      <c r="B354" s="99">
        <v>7</v>
      </c>
      <c r="C354" s="99" t="s">
        <v>667</v>
      </c>
      <c r="D354" s="99" t="s">
        <v>368</v>
      </c>
      <c r="E354">
        <v>699</v>
      </c>
      <c r="F354">
        <v>700</v>
      </c>
      <c r="G354" s="102" t="s">
        <v>73</v>
      </c>
      <c r="H354" t="s">
        <v>718</v>
      </c>
      <c r="N354">
        <v>354</v>
      </c>
    </row>
    <row r="355" spans="1:14" x14ac:dyDescent="0.25">
      <c r="A355" s="99" t="s">
        <v>719</v>
      </c>
      <c r="B355" s="99">
        <v>7</v>
      </c>
      <c r="C355" s="99" t="s">
        <v>667</v>
      </c>
      <c r="D355" s="99" t="s">
        <v>369</v>
      </c>
      <c r="E355">
        <v>701</v>
      </c>
      <c r="F355">
        <v>702</v>
      </c>
      <c r="G355" s="102" t="s">
        <v>73</v>
      </c>
      <c r="H355" t="s">
        <v>720</v>
      </c>
      <c r="N355">
        <v>355</v>
      </c>
    </row>
    <row r="356" spans="1:14" x14ac:dyDescent="0.25">
      <c r="A356" s="99" t="s">
        <v>721</v>
      </c>
      <c r="B356" s="99">
        <v>4</v>
      </c>
      <c r="C356" s="99" t="s">
        <v>563</v>
      </c>
      <c r="D356" s="99" t="s">
        <v>95</v>
      </c>
      <c r="E356">
        <v>706</v>
      </c>
      <c r="F356">
        <v>765</v>
      </c>
      <c r="G356" s="102" t="s">
        <v>153</v>
      </c>
      <c r="H356" t="s">
        <v>722</v>
      </c>
      <c r="J356">
        <f>SUM(K357)</f>
        <v>0</v>
      </c>
      <c r="K356">
        <f>I356*J356</f>
        <v>0</v>
      </c>
      <c r="L356" t="e">
        <f>100*(1-(M356/K356))</f>
        <v>#DIV/0!</v>
      </c>
      <c r="M356">
        <f>I356*SUM(M357)</f>
        <v>0</v>
      </c>
      <c r="N356">
        <v>356</v>
      </c>
    </row>
    <row r="357" spans="1:14" x14ac:dyDescent="0.25">
      <c r="A357" s="99" t="s">
        <v>723</v>
      </c>
      <c r="B357" s="99">
        <v>5</v>
      </c>
      <c r="C357" s="99" t="s">
        <v>721</v>
      </c>
      <c r="D357" s="99" t="s">
        <v>73</v>
      </c>
      <c r="E357">
        <v>707</v>
      </c>
      <c r="F357">
        <v>764</v>
      </c>
      <c r="G357" s="102" t="s">
        <v>153</v>
      </c>
      <c r="H357" t="s">
        <v>722</v>
      </c>
      <c r="J357">
        <f>SUM(K358)</f>
        <v>0</v>
      </c>
      <c r="K357">
        <f>I357*J357</f>
        <v>0</v>
      </c>
      <c r="L357" t="e">
        <f>100*(1-(M357/K357))</f>
        <v>#DIV/0!</v>
      </c>
      <c r="M357">
        <f>I357*SUM(M358)</f>
        <v>0</v>
      </c>
      <c r="N357">
        <v>357</v>
      </c>
    </row>
    <row r="358" spans="1:14" x14ac:dyDescent="0.25">
      <c r="A358" s="99" t="s">
        <v>724</v>
      </c>
      <c r="B358" s="99">
        <v>6</v>
      </c>
      <c r="C358" s="99" t="s">
        <v>723</v>
      </c>
      <c r="D358" s="99" t="s">
        <v>73</v>
      </c>
      <c r="E358">
        <v>708</v>
      </c>
      <c r="F358">
        <v>763</v>
      </c>
      <c r="G358" s="102" t="s">
        <v>153</v>
      </c>
      <c r="H358" t="s">
        <v>725</v>
      </c>
      <c r="J358">
        <f>SUM(K359,K360,K361,K362,K363,K364,K365,K366,K367,K368,K369,K370,K371,K372,K373,K374,K375,K376,K377,K378,K379,K380,K381,K382,K383,K384,K385)</f>
        <v>0</v>
      </c>
      <c r="K358">
        <f>I358*J358</f>
        <v>0</v>
      </c>
      <c r="L358" t="e">
        <f>100*(1-(M358/K358))</f>
        <v>#DIV/0!</v>
      </c>
      <c r="M358">
        <f>I358*SUM(M359,M360,M361,M362,M363,M364,M365,M366,M367,M368,M369,M370,M371,M372,M373,M374,M375,M376,M377,M378,M379,M380,M381,M382,M383,M384,M385)</f>
        <v>0</v>
      </c>
      <c r="N358">
        <v>358</v>
      </c>
    </row>
    <row r="359" spans="1:14" x14ac:dyDescent="0.25">
      <c r="A359" s="99" t="s">
        <v>726</v>
      </c>
      <c r="B359" s="99">
        <v>7</v>
      </c>
      <c r="C359" s="99" t="s">
        <v>724</v>
      </c>
      <c r="D359" s="99" t="s">
        <v>73</v>
      </c>
      <c r="E359">
        <v>709</v>
      </c>
      <c r="F359">
        <v>710</v>
      </c>
      <c r="G359" s="102" t="s">
        <v>73</v>
      </c>
      <c r="H359" t="s">
        <v>727</v>
      </c>
      <c r="N359">
        <v>359</v>
      </c>
    </row>
    <row r="360" spans="1:14" x14ac:dyDescent="0.25">
      <c r="A360" s="99" t="s">
        <v>728</v>
      </c>
      <c r="B360" s="99">
        <v>7</v>
      </c>
      <c r="C360" s="99" t="s">
        <v>724</v>
      </c>
      <c r="D360" s="99" t="s">
        <v>93</v>
      </c>
      <c r="E360">
        <v>711</v>
      </c>
      <c r="F360">
        <v>712</v>
      </c>
      <c r="G360" s="102" t="s">
        <v>73</v>
      </c>
      <c r="H360" t="s">
        <v>672</v>
      </c>
      <c r="N360">
        <v>360</v>
      </c>
    </row>
    <row r="361" spans="1:14" x14ac:dyDescent="0.25">
      <c r="A361" s="99" t="s">
        <v>729</v>
      </c>
      <c r="B361" s="99">
        <v>7</v>
      </c>
      <c r="C361" s="99" t="s">
        <v>724</v>
      </c>
      <c r="D361" s="99" t="s">
        <v>94</v>
      </c>
      <c r="E361">
        <v>713</v>
      </c>
      <c r="F361">
        <v>714</v>
      </c>
      <c r="G361" s="102" t="s">
        <v>73</v>
      </c>
      <c r="H361" t="s">
        <v>730</v>
      </c>
      <c r="N361">
        <v>361</v>
      </c>
    </row>
    <row r="362" spans="1:14" x14ac:dyDescent="0.25">
      <c r="A362" s="99" t="s">
        <v>731</v>
      </c>
      <c r="B362" s="99">
        <v>7</v>
      </c>
      <c r="C362" s="99" t="s">
        <v>724</v>
      </c>
      <c r="D362" s="99" t="s">
        <v>95</v>
      </c>
      <c r="E362">
        <v>715</v>
      </c>
      <c r="F362">
        <v>716</v>
      </c>
      <c r="G362" s="102" t="s">
        <v>73</v>
      </c>
      <c r="H362" t="s">
        <v>732</v>
      </c>
      <c r="N362">
        <v>362</v>
      </c>
    </row>
    <row r="363" spans="1:14" x14ac:dyDescent="0.25">
      <c r="A363" s="99" t="s">
        <v>733</v>
      </c>
      <c r="B363" s="99">
        <v>7</v>
      </c>
      <c r="C363" s="99" t="s">
        <v>724</v>
      </c>
      <c r="D363" s="99" t="s">
        <v>96</v>
      </c>
      <c r="E363">
        <v>717</v>
      </c>
      <c r="F363">
        <v>718</v>
      </c>
      <c r="G363" s="102" t="s">
        <v>73</v>
      </c>
      <c r="H363" t="s">
        <v>734</v>
      </c>
      <c r="N363">
        <v>363</v>
      </c>
    </row>
    <row r="364" spans="1:14" x14ac:dyDescent="0.25">
      <c r="A364" s="99" t="s">
        <v>735</v>
      </c>
      <c r="B364" s="99">
        <v>7</v>
      </c>
      <c r="C364" s="99" t="s">
        <v>724</v>
      </c>
      <c r="D364" s="99" t="s">
        <v>171</v>
      </c>
      <c r="E364">
        <v>719</v>
      </c>
      <c r="F364">
        <v>720</v>
      </c>
      <c r="G364" s="102" t="s">
        <v>73</v>
      </c>
      <c r="H364" t="s">
        <v>736</v>
      </c>
      <c r="N364">
        <v>364</v>
      </c>
    </row>
    <row r="365" spans="1:14" x14ac:dyDescent="0.25">
      <c r="A365" s="99" t="s">
        <v>737</v>
      </c>
      <c r="B365" s="99">
        <v>7</v>
      </c>
      <c r="C365" s="99" t="s">
        <v>724</v>
      </c>
      <c r="D365" s="99" t="s">
        <v>212</v>
      </c>
      <c r="E365">
        <v>721</v>
      </c>
      <c r="F365">
        <v>722</v>
      </c>
      <c r="G365" s="102" t="s">
        <v>73</v>
      </c>
      <c r="H365" t="s">
        <v>738</v>
      </c>
      <c r="N365">
        <v>365</v>
      </c>
    </row>
    <row r="366" spans="1:14" x14ac:dyDescent="0.25">
      <c r="A366" s="99" t="s">
        <v>739</v>
      </c>
      <c r="B366" s="99">
        <v>7</v>
      </c>
      <c r="C366" s="99" t="s">
        <v>724</v>
      </c>
      <c r="D366" s="99" t="s">
        <v>213</v>
      </c>
      <c r="E366">
        <v>723</v>
      </c>
      <c r="F366">
        <v>724</v>
      </c>
      <c r="G366" s="102" t="s">
        <v>73</v>
      </c>
      <c r="H366" t="s">
        <v>740</v>
      </c>
      <c r="N366">
        <v>366</v>
      </c>
    </row>
    <row r="367" spans="1:14" x14ac:dyDescent="0.25">
      <c r="A367" s="99" t="s">
        <v>741</v>
      </c>
      <c r="B367" s="99">
        <v>7</v>
      </c>
      <c r="C367" s="99" t="s">
        <v>724</v>
      </c>
      <c r="D367" s="99" t="s">
        <v>214</v>
      </c>
      <c r="E367">
        <v>725</v>
      </c>
      <c r="F367">
        <v>726</v>
      </c>
      <c r="G367" s="102" t="s">
        <v>73</v>
      </c>
      <c r="H367" t="s">
        <v>742</v>
      </c>
      <c r="N367">
        <v>367</v>
      </c>
    </row>
    <row r="368" spans="1:14" x14ac:dyDescent="0.25">
      <c r="A368" s="99" t="s">
        <v>743</v>
      </c>
      <c r="B368" s="99">
        <v>7</v>
      </c>
      <c r="C368" s="99" t="s">
        <v>724</v>
      </c>
      <c r="D368" s="99" t="s">
        <v>215</v>
      </c>
      <c r="E368">
        <v>727</v>
      </c>
      <c r="F368">
        <v>728</v>
      </c>
      <c r="G368" s="102" t="s">
        <v>73</v>
      </c>
      <c r="H368" t="s">
        <v>744</v>
      </c>
      <c r="N368">
        <v>368</v>
      </c>
    </row>
    <row r="369" spans="1:14" x14ac:dyDescent="0.25">
      <c r="A369" s="99" t="s">
        <v>745</v>
      </c>
      <c r="B369" s="99">
        <v>7</v>
      </c>
      <c r="C369" s="99" t="s">
        <v>724</v>
      </c>
      <c r="D369" s="99" t="s">
        <v>353</v>
      </c>
      <c r="E369">
        <v>729</v>
      </c>
      <c r="F369">
        <v>730</v>
      </c>
      <c r="G369" s="102" t="s">
        <v>73</v>
      </c>
      <c r="H369" t="s">
        <v>746</v>
      </c>
      <c r="N369">
        <v>369</v>
      </c>
    </row>
    <row r="370" spans="1:14" x14ac:dyDescent="0.25">
      <c r="A370" s="99" t="s">
        <v>747</v>
      </c>
      <c r="B370" s="99">
        <v>7</v>
      </c>
      <c r="C370" s="99" t="s">
        <v>724</v>
      </c>
      <c r="D370" s="99" t="s">
        <v>354</v>
      </c>
      <c r="E370">
        <v>731</v>
      </c>
      <c r="F370">
        <v>732</v>
      </c>
      <c r="G370" s="102" t="s">
        <v>73</v>
      </c>
      <c r="H370" t="s">
        <v>748</v>
      </c>
      <c r="N370">
        <v>370</v>
      </c>
    </row>
    <row r="371" spans="1:14" x14ac:dyDescent="0.25">
      <c r="A371" s="99" t="s">
        <v>749</v>
      </c>
      <c r="B371" s="99">
        <v>7</v>
      </c>
      <c r="C371" s="99" t="s">
        <v>724</v>
      </c>
      <c r="D371" s="99" t="s">
        <v>355</v>
      </c>
      <c r="E371">
        <v>733</v>
      </c>
      <c r="F371">
        <v>734</v>
      </c>
      <c r="G371" s="102" t="s">
        <v>73</v>
      </c>
      <c r="H371" t="s">
        <v>750</v>
      </c>
      <c r="N371">
        <v>371</v>
      </c>
    </row>
    <row r="372" spans="1:14" x14ac:dyDescent="0.25">
      <c r="A372" s="99" t="s">
        <v>751</v>
      </c>
      <c r="B372" s="99">
        <v>7</v>
      </c>
      <c r="C372" s="99" t="s">
        <v>724</v>
      </c>
      <c r="D372" s="99" t="s">
        <v>356</v>
      </c>
      <c r="E372">
        <v>735</v>
      </c>
      <c r="F372">
        <v>736</v>
      </c>
      <c r="G372" s="102" t="s">
        <v>73</v>
      </c>
      <c r="H372" t="s">
        <v>752</v>
      </c>
      <c r="N372">
        <v>372</v>
      </c>
    </row>
    <row r="373" spans="1:14" x14ac:dyDescent="0.25">
      <c r="A373" s="99" t="s">
        <v>753</v>
      </c>
      <c r="B373" s="99">
        <v>7</v>
      </c>
      <c r="C373" s="99" t="s">
        <v>724</v>
      </c>
      <c r="D373" s="99" t="s">
        <v>357</v>
      </c>
      <c r="E373">
        <v>737</v>
      </c>
      <c r="F373">
        <v>738</v>
      </c>
      <c r="G373" s="102" t="s">
        <v>73</v>
      </c>
      <c r="H373" t="s">
        <v>754</v>
      </c>
      <c r="N373">
        <v>373</v>
      </c>
    </row>
    <row r="374" spans="1:14" x14ac:dyDescent="0.25">
      <c r="A374" s="99" t="s">
        <v>755</v>
      </c>
      <c r="B374" s="99">
        <v>7</v>
      </c>
      <c r="C374" s="99" t="s">
        <v>724</v>
      </c>
      <c r="D374" s="99" t="s">
        <v>358</v>
      </c>
      <c r="E374">
        <v>739</v>
      </c>
      <c r="F374">
        <v>740</v>
      </c>
      <c r="G374" s="102" t="s">
        <v>73</v>
      </c>
      <c r="H374" t="s">
        <v>756</v>
      </c>
      <c r="N374">
        <v>374</v>
      </c>
    </row>
    <row r="375" spans="1:14" x14ac:dyDescent="0.25">
      <c r="A375" s="99" t="s">
        <v>757</v>
      </c>
      <c r="B375" s="99">
        <v>7</v>
      </c>
      <c r="C375" s="99" t="s">
        <v>724</v>
      </c>
      <c r="D375" s="99" t="s">
        <v>359</v>
      </c>
      <c r="E375">
        <v>741</v>
      </c>
      <c r="F375">
        <v>742</v>
      </c>
      <c r="G375" s="102" t="s">
        <v>73</v>
      </c>
      <c r="H375" t="s">
        <v>758</v>
      </c>
      <c r="N375">
        <v>375</v>
      </c>
    </row>
    <row r="376" spans="1:14" x14ac:dyDescent="0.25">
      <c r="A376" s="99" t="s">
        <v>759</v>
      </c>
      <c r="B376" s="99">
        <v>7</v>
      </c>
      <c r="C376" s="99" t="s">
        <v>724</v>
      </c>
      <c r="D376" s="99" t="s">
        <v>360</v>
      </c>
      <c r="E376">
        <v>743</v>
      </c>
      <c r="F376">
        <v>744</v>
      </c>
      <c r="G376" s="102" t="s">
        <v>73</v>
      </c>
      <c r="H376" t="s">
        <v>760</v>
      </c>
      <c r="N376">
        <v>376</v>
      </c>
    </row>
    <row r="377" spans="1:14" x14ac:dyDescent="0.25">
      <c r="A377" s="99" t="s">
        <v>761</v>
      </c>
      <c r="B377" s="99">
        <v>7</v>
      </c>
      <c r="C377" s="99" t="s">
        <v>724</v>
      </c>
      <c r="D377" s="99" t="s">
        <v>361</v>
      </c>
      <c r="E377">
        <v>745</v>
      </c>
      <c r="F377">
        <v>746</v>
      </c>
      <c r="G377" s="102" t="s">
        <v>73</v>
      </c>
      <c r="H377" t="s">
        <v>699</v>
      </c>
      <c r="N377">
        <v>377</v>
      </c>
    </row>
    <row r="378" spans="1:14" x14ac:dyDescent="0.25">
      <c r="A378" s="99" t="s">
        <v>762</v>
      </c>
      <c r="B378" s="99">
        <v>7</v>
      </c>
      <c r="C378" s="99" t="s">
        <v>724</v>
      </c>
      <c r="D378" s="99" t="s">
        <v>362</v>
      </c>
      <c r="E378">
        <v>747</v>
      </c>
      <c r="F378">
        <v>748</v>
      </c>
      <c r="G378" s="102" t="s">
        <v>73</v>
      </c>
      <c r="H378" t="s">
        <v>703</v>
      </c>
      <c r="N378">
        <v>378</v>
      </c>
    </row>
    <row r="379" spans="1:14" x14ac:dyDescent="0.25">
      <c r="A379" s="99" t="s">
        <v>763</v>
      </c>
      <c r="B379" s="99">
        <v>7</v>
      </c>
      <c r="C379" s="99" t="s">
        <v>724</v>
      </c>
      <c r="D379" s="99" t="s">
        <v>363</v>
      </c>
      <c r="E379">
        <v>749</v>
      </c>
      <c r="F379">
        <v>750</v>
      </c>
      <c r="G379" s="102" t="s">
        <v>73</v>
      </c>
      <c r="H379" t="s">
        <v>764</v>
      </c>
      <c r="N379">
        <v>379</v>
      </c>
    </row>
    <row r="380" spans="1:14" x14ac:dyDescent="0.25">
      <c r="A380" s="99" t="s">
        <v>765</v>
      </c>
      <c r="B380" s="99">
        <v>7</v>
      </c>
      <c r="C380" s="99" t="s">
        <v>724</v>
      </c>
      <c r="D380" s="99" t="s">
        <v>364</v>
      </c>
      <c r="E380">
        <v>751</v>
      </c>
      <c r="F380">
        <v>752</v>
      </c>
      <c r="G380" s="102" t="s">
        <v>73</v>
      </c>
      <c r="H380" t="s">
        <v>766</v>
      </c>
      <c r="N380">
        <v>380</v>
      </c>
    </row>
    <row r="381" spans="1:14" x14ac:dyDescent="0.25">
      <c r="A381" s="99" t="s">
        <v>767</v>
      </c>
      <c r="B381" s="99">
        <v>7</v>
      </c>
      <c r="C381" s="99" t="s">
        <v>724</v>
      </c>
      <c r="D381" s="99" t="s">
        <v>365</v>
      </c>
      <c r="E381">
        <v>753</v>
      </c>
      <c r="F381">
        <v>754</v>
      </c>
      <c r="G381" s="102" t="s">
        <v>73</v>
      </c>
      <c r="H381" t="s">
        <v>768</v>
      </c>
      <c r="N381">
        <v>381</v>
      </c>
    </row>
    <row r="382" spans="1:14" x14ac:dyDescent="0.25">
      <c r="A382" s="99" t="s">
        <v>769</v>
      </c>
      <c r="B382" s="99">
        <v>7</v>
      </c>
      <c r="C382" s="99" t="s">
        <v>724</v>
      </c>
      <c r="D382" s="99" t="s">
        <v>366</v>
      </c>
      <c r="E382">
        <v>755</v>
      </c>
      <c r="F382">
        <v>756</v>
      </c>
      <c r="G382" s="102" t="s">
        <v>73</v>
      </c>
      <c r="H382" t="s">
        <v>446</v>
      </c>
      <c r="N382">
        <v>382</v>
      </c>
    </row>
    <row r="383" spans="1:14" x14ac:dyDescent="0.25">
      <c r="A383" s="99" t="s">
        <v>770</v>
      </c>
      <c r="B383" s="99">
        <v>7</v>
      </c>
      <c r="C383" s="99" t="s">
        <v>724</v>
      </c>
      <c r="D383" s="99" t="s">
        <v>367</v>
      </c>
      <c r="E383">
        <v>757</v>
      </c>
      <c r="F383">
        <v>758</v>
      </c>
      <c r="G383" s="102" t="s">
        <v>73</v>
      </c>
      <c r="H383" t="s">
        <v>448</v>
      </c>
      <c r="N383">
        <v>383</v>
      </c>
    </row>
    <row r="384" spans="1:14" x14ac:dyDescent="0.25">
      <c r="A384" s="99" t="s">
        <v>771</v>
      </c>
      <c r="B384" s="99">
        <v>7</v>
      </c>
      <c r="C384" s="99" t="s">
        <v>724</v>
      </c>
      <c r="D384" s="99" t="s">
        <v>368</v>
      </c>
      <c r="E384">
        <v>759</v>
      </c>
      <c r="F384">
        <v>760</v>
      </c>
      <c r="G384" s="102" t="s">
        <v>73</v>
      </c>
      <c r="H384" t="s">
        <v>450</v>
      </c>
      <c r="N384">
        <v>384</v>
      </c>
    </row>
    <row r="385" spans="1:14" x14ac:dyDescent="0.25">
      <c r="A385" s="99" t="s">
        <v>772</v>
      </c>
      <c r="B385" s="99">
        <v>7</v>
      </c>
      <c r="C385" s="99" t="s">
        <v>724</v>
      </c>
      <c r="D385" s="99" t="s">
        <v>369</v>
      </c>
      <c r="E385">
        <v>761</v>
      </c>
      <c r="F385">
        <v>762</v>
      </c>
      <c r="G385" s="102" t="s">
        <v>73</v>
      </c>
      <c r="H385" t="s">
        <v>773</v>
      </c>
      <c r="N385">
        <v>385</v>
      </c>
    </row>
    <row r="386" spans="1:14" x14ac:dyDescent="0.25">
      <c r="A386" s="99" t="s">
        <v>774</v>
      </c>
      <c r="B386" s="99">
        <v>4</v>
      </c>
      <c r="C386" s="99" t="s">
        <v>563</v>
      </c>
      <c r="D386" s="99" t="s">
        <v>96</v>
      </c>
      <c r="E386">
        <v>766</v>
      </c>
      <c r="F386">
        <v>815</v>
      </c>
      <c r="G386" s="102" t="s">
        <v>153</v>
      </c>
      <c r="H386" t="s">
        <v>775</v>
      </c>
      <c r="J386">
        <f>SUM(K387)</f>
        <v>0</v>
      </c>
      <c r="K386">
        <f>I386*J386</f>
        <v>0</v>
      </c>
      <c r="L386" t="e">
        <f>100*(1-(M386/K386))</f>
        <v>#DIV/0!</v>
      </c>
      <c r="M386">
        <f>I386*SUM(M387)</f>
        <v>0</v>
      </c>
      <c r="N386">
        <v>386</v>
      </c>
    </row>
    <row r="387" spans="1:14" x14ac:dyDescent="0.25">
      <c r="A387" s="99" t="s">
        <v>776</v>
      </c>
      <c r="B387" s="99">
        <v>5</v>
      </c>
      <c r="C387" s="99" t="s">
        <v>774</v>
      </c>
      <c r="D387" s="99" t="s">
        <v>73</v>
      </c>
      <c r="E387">
        <v>767</v>
      </c>
      <c r="F387">
        <v>814</v>
      </c>
      <c r="G387" s="102" t="s">
        <v>153</v>
      </c>
      <c r="H387" t="s">
        <v>775</v>
      </c>
      <c r="J387">
        <f>SUM(K388)</f>
        <v>0</v>
      </c>
      <c r="K387">
        <f>I387*J387</f>
        <v>0</v>
      </c>
      <c r="L387" t="e">
        <f>100*(1-(M387/K387))</f>
        <v>#DIV/0!</v>
      </c>
      <c r="M387">
        <f>I387*SUM(M388)</f>
        <v>0</v>
      </c>
      <c r="N387">
        <v>387</v>
      </c>
    </row>
    <row r="388" spans="1:14" x14ac:dyDescent="0.25">
      <c r="A388" s="99" t="s">
        <v>777</v>
      </c>
      <c r="B388" s="99">
        <v>6</v>
      </c>
      <c r="C388" s="99" t="s">
        <v>776</v>
      </c>
      <c r="D388" s="99" t="s">
        <v>73</v>
      </c>
      <c r="E388">
        <v>768</v>
      </c>
      <c r="F388">
        <v>813</v>
      </c>
      <c r="G388" s="102" t="s">
        <v>153</v>
      </c>
      <c r="H388" t="s">
        <v>778</v>
      </c>
      <c r="J388">
        <f>SUM(K389,K390,K391,K392,K393,K394,K395,K396,K397,K398,K399,K400,K401,K402,K403,K404,K405,K406,K407,K408,K409,K410)</f>
        <v>0</v>
      </c>
      <c r="K388">
        <f>I388*J388</f>
        <v>0</v>
      </c>
      <c r="L388" t="e">
        <f>100*(1-(M388/K388))</f>
        <v>#DIV/0!</v>
      </c>
      <c r="M388">
        <f>I388*SUM(M389,M390,M391,M392,M393,M394,M395,M396,M397,M398,M399,M400,M401,M402,M403,M404,M405,M406,M407,M408,M409,M410)</f>
        <v>0</v>
      </c>
      <c r="N388">
        <v>388</v>
      </c>
    </row>
    <row r="389" spans="1:14" x14ac:dyDescent="0.25">
      <c r="A389" s="99" t="s">
        <v>779</v>
      </c>
      <c r="B389" s="99">
        <v>7</v>
      </c>
      <c r="C389" s="99" t="s">
        <v>777</v>
      </c>
      <c r="D389" s="99" t="s">
        <v>73</v>
      </c>
      <c r="E389">
        <v>769</v>
      </c>
      <c r="F389">
        <v>770</v>
      </c>
      <c r="G389" s="102" t="s">
        <v>73</v>
      </c>
      <c r="H389" t="s">
        <v>780</v>
      </c>
      <c r="N389">
        <v>389</v>
      </c>
    </row>
    <row r="390" spans="1:14" x14ac:dyDescent="0.25">
      <c r="A390" s="99" t="s">
        <v>781</v>
      </c>
      <c r="B390" s="99">
        <v>7</v>
      </c>
      <c r="C390" s="99" t="s">
        <v>777</v>
      </c>
      <c r="D390" s="99" t="s">
        <v>93</v>
      </c>
      <c r="E390">
        <v>771</v>
      </c>
      <c r="F390">
        <v>772</v>
      </c>
      <c r="G390" s="102" t="s">
        <v>73</v>
      </c>
      <c r="H390" t="s">
        <v>782</v>
      </c>
      <c r="N390">
        <v>390</v>
      </c>
    </row>
    <row r="391" spans="1:14" x14ac:dyDescent="0.25">
      <c r="A391" s="99" t="s">
        <v>783</v>
      </c>
      <c r="B391" s="99">
        <v>7</v>
      </c>
      <c r="C391" s="99" t="s">
        <v>777</v>
      </c>
      <c r="D391" s="99" t="s">
        <v>94</v>
      </c>
      <c r="E391">
        <v>773</v>
      </c>
      <c r="F391">
        <v>774</v>
      </c>
      <c r="G391" s="102" t="s">
        <v>73</v>
      </c>
      <c r="H391" t="s">
        <v>784</v>
      </c>
      <c r="N391">
        <v>391</v>
      </c>
    </row>
    <row r="392" spans="1:14" x14ac:dyDescent="0.25">
      <c r="A392" s="99" t="s">
        <v>785</v>
      </c>
      <c r="B392" s="99">
        <v>7</v>
      </c>
      <c r="C392" s="99" t="s">
        <v>777</v>
      </c>
      <c r="D392" s="99" t="s">
        <v>95</v>
      </c>
      <c r="E392">
        <v>775</v>
      </c>
      <c r="F392">
        <v>776</v>
      </c>
      <c r="G392" s="102" t="s">
        <v>73</v>
      </c>
      <c r="H392" t="s">
        <v>786</v>
      </c>
      <c r="N392">
        <v>392</v>
      </c>
    </row>
    <row r="393" spans="1:14" x14ac:dyDescent="0.25">
      <c r="A393" s="99" t="s">
        <v>787</v>
      </c>
      <c r="B393" s="99">
        <v>7</v>
      </c>
      <c r="C393" s="99" t="s">
        <v>777</v>
      </c>
      <c r="D393" s="99" t="s">
        <v>96</v>
      </c>
      <c r="E393">
        <v>777</v>
      </c>
      <c r="F393">
        <v>778</v>
      </c>
      <c r="G393" s="102" t="s">
        <v>73</v>
      </c>
      <c r="H393" t="s">
        <v>788</v>
      </c>
      <c r="N393">
        <v>393</v>
      </c>
    </row>
    <row r="394" spans="1:14" x14ac:dyDescent="0.25">
      <c r="A394" s="99" t="s">
        <v>789</v>
      </c>
      <c r="B394" s="99">
        <v>7</v>
      </c>
      <c r="C394" s="99" t="s">
        <v>777</v>
      </c>
      <c r="D394" s="99" t="s">
        <v>171</v>
      </c>
      <c r="E394">
        <v>779</v>
      </c>
      <c r="F394">
        <v>780</v>
      </c>
      <c r="G394" s="102" t="s">
        <v>73</v>
      </c>
      <c r="H394" t="s">
        <v>790</v>
      </c>
      <c r="N394">
        <v>394</v>
      </c>
    </row>
    <row r="395" spans="1:14" x14ac:dyDescent="0.25">
      <c r="A395" s="99" t="s">
        <v>791</v>
      </c>
      <c r="B395" s="99">
        <v>7</v>
      </c>
      <c r="C395" s="99" t="s">
        <v>777</v>
      </c>
      <c r="D395" s="99" t="s">
        <v>212</v>
      </c>
      <c r="E395">
        <v>781</v>
      </c>
      <c r="F395">
        <v>782</v>
      </c>
      <c r="G395" s="102" t="s">
        <v>73</v>
      </c>
      <c r="H395" t="s">
        <v>792</v>
      </c>
      <c r="N395">
        <v>395</v>
      </c>
    </row>
    <row r="396" spans="1:14" x14ac:dyDescent="0.25">
      <c r="A396" s="99" t="s">
        <v>793</v>
      </c>
      <c r="B396" s="99">
        <v>7</v>
      </c>
      <c r="C396" s="99" t="s">
        <v>777</v>
      </c>
      <c r="D396" s="99" t="s">
        <v>213</v>
      </c>
      <c r="E396">
        <v>783</v>
      </c>
      <c r="F396">
        <v>784</v>
      </c>
      <c r="G396" s="102" t="s">
        <v>73</v>
      </c>
      <c r="H396" t="s">
        <v>794</v>
      </c>
      <c r="N396">
        <v>396</v>
      </c>
    </row>
    <row r="397" spans="1:14" x14ac:dyDescent="0.25">
      <c r="A397" s="99" t="s">
        <v>795</v>
      </c>
      <c r="B397" s="99">
        <v>7</v>
      </c>
      <c r="C397" s="99" t="s">
        <v>777</v>
      </c>
      <c r="D397" s="99" t="s">
        <v>214</v>
      </c>
      <c r="E397">
        <v>785</v>
      </c>
      <c r="F397">
        <v>786</v>
      </c>
      <c r="G397" s="102" t="s">
        <v>73</v>
      </c>
      <c r="H397" t="s">
        <v>796</v>
      </c>
      <c r="N397">
        <v>397</v>
      </c>
    </row>
    <row r="398" spans="1:14" x14ac:dyDescent="0.25">
      <c r="A398" s="99" t="s">
        <v>797</v>
      </c>
      <c r="B398" s="99">
        <v>7</v>
      </c>
      <c r="C398" s="99" t="s">
        <v>777</v>
      </c>
      <c r="D398" s="99" t="s">
        <v>215</v>
      </c>
      <c r="E398">
        <v>787</v>
      </c>
      <c r="F398">
        <v>788</v>
      </c>
      <c r="G398" s="102" t="s">
        <v>73</v>
      </c>
      <c r="H398" t="s">
        <v>798</v>
      </c>
      <c r="N398">
        <v>398</v>
      </c>
    </row>
    <row r="399" spans="1:14" x14ac:dyDescent="0.25">
      <c r="A399" s="99" t="s">
        <v>799</v>
      </c>
      <c r="B399" s="99">
        <v>7</v>
      </c>
      <c r="C399" s="99" t="s">
        <v>777</v>
      </c>
      <c r="D399" s="99" t="s">
        <v>353</v>
      </c>
      <c r="E399">
        <v>789</v>
      </c>
      <c r="F399">
        <v>790</v>
      </c>
      <c r="G399" s="102" t="s">
        <v>73</v>
      </c>
      <c r="H399" t="s">
        <v>800</v>
      </c>
      <c r="N399">
        <v>399</v>
      </c>
    </row>
    <row r="400" spans="1:14" x14ac:dyDescent="0.25">
      <c r="A400" s="99" t="s">
        <v>801</v>
      </c>
      <c r="B400" s="99">
        <v>7</v>
      </c>
      <c r="C400" s="99" t="s">
        <v>777</v>
      </c>
      <c r="D400" s="99" t="s">
        <v>354</v>
      </c>
      <c r="E400">
        <v>791</v>
      </c>
      <c r="F400">
        <v>792</v>
      </c>
      <c r="G400" s="102" t="s">
        <v>73</v>
      </c>
      <c r="H400" t="s">
        <v>802</v>
      </c>
      <c r="N400">
        <v>400</v>
      </c>
    </row>
    <row r="401" spans="1:14" x14ac:dyDescent="0.25">
      <c r="A401" s="99" t="s">
        <v>803</v>
      </c>
      <c r="B401" s="99">
        <v>7</v>
      </c>
      <c r="C401" s="99" t="s">
        <v>777</v>
      </c>
      <c r="D401" s="99" t="s">
        <v>355</v>
      </c>
      <c r="E401">
        <v>793</v>
      </c>
      <c r="F401">
        <v>794</v>
      </c>
      <c r="G401" s="102" t="s">
        <v>73</v>
      </c>
      <c r="H401" t="s">
        <v>804</v>
      </c>
      <c r="N401">
        <v>401</v>
      </c>
    </row>
    <row r="402" spans="1:14" x14ac:dyDescent="0.25">
      <c r="A402" s="99" t="s">
        <v>805</v>
      </c>
      <c r="B402" s="99">
        <v>7</v>
      </c>
      <c r="C402" s="99" t="s">
        <v>777</v>
      </c>
      <c r="D402" s="99" t="s">
        <v>356</v>
      </c>
      <c r="E402">
        <v>795</v>
      </c>
      <c r="F402">
        <v>796</v>
      </c>
      <c r="G402" s="102" t="s">
        <v>73</v>
      </c>
      <c r="H402" t="s">
        <v>806</v>
      </c>
      <c r="N402">
        <v>402</v>
      </c>
    </row>
    <row r="403" spans="1:14" x14ac:dyDescent="0.25">
      <c r="A403" s="99" t="s">
        <v>807</v>
      </c>
      <c r="B403" s="99">
        <v>7</v>
      </c>
      <c r="C403" s="99" t="s">
        <v>777</v>
      </c>
      <c r="D403" s="99" t="s">
        <v>357</v>
      </c>
      <c r="E403">
        <v>797</v>
      </c>
      <c r="F403">
        <v>798</v>
      </c>
      <c r="G403" s="102" t="s">
        <v>73</v>
      </c>
      <c r="H403" t="s">
        <v>263</v>
      </c>
      <c r="N403">
        <v>403</v>
      </c>
    </row>
    <row r="404" spans="1:14" x14ac:dyDescent="0.25">
      <c r="A404" s="99" t="s">
        <v>808</v>
      </c>
      <c r="B404" s="99">
        <v>7</v>
      </c>
      <c r="C404" s="99" t="s">
        <v>777</v>
      </c>
      <c r="D404" s="99" t="s">
        <v>358</v>
      </c>
      <c r="E404">
        <v>799</v>
      </c>
      <c r="F404">
        <v>800</v>
      </c>
      <c r="G404" s="102" t="s">
        <v>73</v>
      </c>
      <c r="H404" t="s">
        <v>809</v>
      </c>
      <c r="N404">
        <v>404</v>
      </c>
    </row>
    <row r="405" spans="1:14" x14ac:dyDescent="0.25">
      <c r="A405" s="99" t="s">
        <v>810</v>
      </c>
      <c r="B405" s="99">
        <v>7</v>
      </c>
      <c r="C405" s="99" t="s">
        <v>777</v>
      </c>
      <c r="D405" s="99" t="s">
        <v>359</v>
      </c>
      <c r="E405">
        <v>801</v>
      </c>
      <c r="F405">
        <v>802</v>
      </c>
      <c r="G405" s="102" t="s">
        <v>73</v>
      </c>
      <c r="H405" t="s">
        <v>811</v>
      </c>
      <c r="N405">
        <v>405</v>
      </c>
    </row>
    <row r="406" spans="1:14" x14ac:dyDescent="0.25">
      <c r="A406" s="99" t="s">
        <v>812</v>
      </c>
      <c r="B406" s="99">
        <v>7</v>
      </c>
      <c r="C406" s="99" t="s">
        <v>777</v>
      </c>
      <c r="D406" s="99" t="s">
        <v>360</v>
      </c>
      <c r="E406">
        <v>803</v>
      </c>
      <c r="F406">
        <v>804</v>
      </c>
      <c r="G406" s="102" t="s">
        <v>73</v>
      </c>
      <c r="H406" t="s">
        <v>813</v>
      </c>
      <c r="N406">
        <v>406</v>
      </c>
    </row>
    <row r="407" spans="1:14" x14ac:dyDescent="0.25">
      <c r="A407" s="99" t="s">
        <v>814</v>
      </c>
      <c r="B407" s="99">
        <v>7</v>
      </c>
      <c r="C407" s="99" t="s">
        <v>777</v>
      </c>
      <c r="D407" s="99" t="s">
        <v>361</v>
      </c>
      <c r="E407">
        <v>805</v>
      </c>
      <c r="F407">
        <v>806</v>
      </c>
      <c r="G407" s="102" t="s">
        <v>73</v>
      </c>
      <c r="H407" t="s">
        <v>815</v>
      </c>
      <c r="N407">
        <v>407</v>
      </c>
    </row>
    <row r="408" spans="1:14" x14ac:dyDescent="0.25">
      <c r="A408" s="99" t="s">
        <v>816</v>
      </c>
      <c r="B408" s="99">
        <v>7</v>
      </c>
      <c r="C408" s="99" t="s">
        <v>777</v>
      </c>
      <c r="D408" s="99" t="s">
        <v>362</v>
      </c>
      <c r="E408">
        <v>807</v>
      </c>
      <c r="F408">
        <v>808</v>
      </c>
      <c r="G408" s="102" t="s">
        <v>73</v>
      </c>
      <c r="H408" t="s">
        <v>817</v>
      </c>
      <c r="N408">
        <v>408</v>
      </c>
    </row>
    <row r="409" spans="1:14" x14ac:dyDescent="0.25">
      <c r="A409" s="99" t="s">
        <v>818</v>
      </c>
      <c r="B409" s="99">
        <v>7</v>
      </c>
      <c r="C409" s="99" t="s">
        <v>777</v>
      </c>
      <c r="D409" s="99" t="s">
        <v>363</v>
      </c>
      <c r="E409">
        <v>809</v>
      </c>
      <c r="F409">
        <v>810</v>
      </c>
      <c r="G409" s="102" t="s">
        <v>73</v>
      </c>
      <c r="H409" t="s">
        <v>819</v>
      </c>
      <c r="N409">
        <v>409</v>
      </c>
    </row>
    <row r="410" spans="1:14" x14ac:dyDescent="0.25">
      <c r="A410" s="99" t="s">
        <v>820</v>
      </c>
      <c r="B410" s="99">
        <v>7</v>
      </c>
      <c r="C410" s="99" t="s">
        <v>777</v>
      </c>
      <c r="D410" s="99" t="s">
        <v>364</v>
      </c>
      <c r="E410">
        <v>811</v>
      </c>
      <c r="F410">
        <v>812</v>
      </c>
      <c r="G410" s="102" t="s">
        <v>73</v>
      </c>
      <c r="H410" t="s">
        <v>821</v>
      </c>
      <c r="N410">
        <v>410</v>
      </c>
    </row>
    <row r="411" spans="1:14" x14ac:dyDescent="0.25">
      <c r="A411" s="99" t="s">
        <v>822</v>
      </c>
      <c r="B411" s="99">
        <v>4</v>
      </c>
      <c r="C411" s="99" t="s">
        <v>563</v>
      </c>
      <c r="D411" s="99" t="s">
        <v>171</v>
      </c>
      <c r="E411">
        <v>816</v>
      </c>
      <c r="F411">
        <v>823</v>
      </c>
      <c r="G411" s="102" t="s">
        <v>153</v>
      </c>
      <c r="H411" t="s">
        <v>823</v>
      </c>
      <c r="J411">
        <f>SUM(K412)</f>
        <v>0</v>
      </c>
      <c r="K411">
        <f>I411*J411</f>
        <v>0</v>
      </c>
      <c r="L411" t="e">
        <f>100*(1-(M411/K411))</f>
        <v>#DIV/0!</v>
      </c>
      <c r="M411">
        <f>I411*SUM(M412)</f>
        <v>0</v>
      </c>
      <c r="N411">
        <v>411</v>
      </c>
    </row>
    <row r="412" spans="1:14" x14ac:dyDescent="0.25">
      <c r="A412" s="99" t="s">
        <v>824</v>
      </c>
      <c r="B412" s="99">
        <v>5</v>
      </c>
      <c r="C412" s="99" t="s">
        <v>822</v>
      </c>
      <c r="D412" s="99" t="s">
        <v>73</v>
      </c>
      <c r="E412">
        <v>817</v>
      </c>
      <c r="F412">
        <v>822</v>
      </c>
      <c r="G412" s="102" t="s">
        <v>153</v>
      </c>
      <c r="H412" t="s">
        <v>823</v>
      </c>
      <c r="J412">
        <f>SUM(K413,K414)</f>
        <v>0</v>
      </c>
      <c r="K412">
        <f>I412*J412</f>
        <v>0</v>
      </c>
      <c r="L412" t="e">
        <f>100*(1-(M412/K412))</f>
        <v>#DIV/0!</v>
      </c>
      <c r="M412">
        <f>I412*SUM(M413,M414)</f>
        <v>0</v>
      </c>
      <c r="N412">
        <v>412</v>
      </c>
    </row>
    <row r="413" spans="1:14" x14ac:dyDescent="0.25">
      <c r="A413" s="99" t="s">
        <v>825</v>
      </c>
      <c r="B413" s="99">
        <v>6</v>
      </c>
      <c r="C413" s="99" t="s">
        <v>824</v>
      </c>
      <c r="D413" s="99" t="s">
        <v>73</v>
      </c>
      <c r="E413">
        <v>818</v>
      </c>
      <c r="F413">
        <v>819</v>
      </c>
      <c r="G413" s="102" t="s">
        <v>73</v>
      </c>
      <c r="H413" t="s">
        <v>821</v>
      </c>
      <c r="N413">
        <v>413</v>
      </c>
    </row>
    <row r="414" spans="1:14" x14ac:dyDescent="0.25">
      <c r="A414" s="99" t="s">
        <v>826</v>
      </c>
      <c r="B414" s="99">
        <v>6</v>
      </c>
      <c r="C414" s="99" t="s">
        <v>824</v>
      </c>
      <c r="D414" s="99" t="s">
        <v>93</v>
      </c>
      <c r="E414">
        <v>820</v>
      </c>
      <c r="F414">
        <v>821</v>
      </c>
      <c r="G414" s="102" t="s">
        <v>73</v>
      </c>
      <c r="H414" t="s">
        <v>815</v>
      </c>
      <c r="N414">
        <v>414</v>
      </c>
    </row>
    <row r="415" spans="1:14" x14ac:dyDescent="0.25">
      <c r="A415" s="99" t="s">
        <v>827</v>
      </c>
      <c r="B415" s="99">
        <v>4</v>
      </c>
      <c r="C415" s="99" t="s">
        <v>563</v>
      </c>
      <c r="D415" s="99" t="s">
        <v>212</v>
      </c>
      <c r="E415">
        <v>824</v>
      </c>
      <c r="F415">
        <v>831</v>
      </c>
      <c r="G415" s="102" t="s">
        <v>153</v>
      </c>
      <c r="H415" t="s">
        <v>828</v>
      </c>
      <c r="J415">
        <f>SUM(K416)</f>
        <v>0</v>
      </c>
      <c r="K415">
        <f>I415*J415</f>
        <v>0</v>
      </c>
      <c r="L415" t="e">
        <f>100*(1-(M415/K415))</f>
        <v>#DIV/0!</v>
      </c>
      <c r="M415">
        <f>I415*SUM(M416)</f>
        <v>0</v>
      </c>
      <c r="N415">
        <v>415</v>
      </c>
    </row>
    <row r="416" spans="1:14" x14ac:dyDescent="0.25">
      <c r="A416" s="99" t="s">
        <v>829</v>
      </c>
      <c r="B416" s="99">
        <v>5</v>
      </c>
      <c r="C416" s="99" t="s">
        <v>827</v>
      </c>
      <c r="D416" s="99" t="s">
        <v>73</v>
      </c>
      <c r="E416">
        <v>825</v>
      </c>
      <c r="F416">
        <v>830</v>
      </c>
      <c r="G416" s="102" t="s">
        <v>153</v>
      </c>
      <c r="H416" t="s">
        <v>828</v>
      </c>
      <c r="J416">
        <f>SUM(K417)</f>
        <v>0</v>
      </c>
      <c r="K416">
        <f>I416*J416</f>
        <v>0</v>
      </c>
      <c r="L416" t="e">
        <f>100*(1-(M416/K416))</f>
        <v>#DIV/0!</v>
      </c>
      <c r="M416">
        <f>I416*SUM(M417)</f>
        <v>0</v>
      </c>
      <c r="N416">
        <v>416</v>
      </c>
    </row>
    <row r="417" spans="1:14" x14ac:dyDescent="0.25">
      <c r="A417" s="99" t="s">
        <v>830</v>
      </c>
      <c r="B417" s="99">
        <v>6</v>
      </c>
      <c r="C417" s="99" t="s">
        <v>829</v>
      </c>
      <c r="D417" s="99" t="s">
        <v>73</v>
      </c>
      <c r="E417">
        <v>826</v>
      </c>
      <c r="F417">
        <v>829</v>
      </c>
      <c r="G417" s="102" t="s">
        <v>153</v>
      </c>
      <c r="H417" t="s">
        <v>778</v>
      </c>
      <c r="J417">
        <f>SUM(K418)</f>
        <v>0</v>
      </c>
      <c r="K417">
        <f>I417*J417</f>
        <v>0</v>
      </c>
      <c r="L417" t="e">
        <f>100*(1-(M417/K417))</f>
        <v>#DIV/0!</v>
      </c>
      <c r="M417">
        <f>I417*SUM(M418)</f>
        <v>0</v>
      </c>
      <c r="N417">
        <v>417</v>
      </c>
    </row>
    <row r="418" spans="1:14" x14ac:dyDescent="0.25">
      <c r="A418" s="99" t="s">
        <v>831</v>
      </c>
      <c r="B418" s="99">
        <v>7</v>
      </c>
      <c r="C418" s="99" t="s">
        <v>830</v>
      </c>
      <c r="D418" s="99" t="s">
        <v>73</v>
      </c>
      <c r="E418">
        <v>827</v>
      </c>
      <c r="F418">
        <v>828</v>
      </c>
      <c r="G418" s="102" t="s">
        <v>73</v>
      </c>
      <c r="H418" t="s">
        <v>832</v>
      </c>
      <c r="N418">
        <v>418</v>
      </c>
    </row>
    <row r="419" spans="1:14" x14ac:dyDescent="0.25">
      <c r="A419" s="99" t="s">
        <v>833</v>
      </c>
      <c r="B419" s="99">
        <v>3</v>
      </c>
      <c r="C419" s="99" t="s">
        <v>561</v>
      </c>
      <c r="D419" s="99" t="s">
        <v>93</v>
      </c>
      <c r="E419">
        <v>833</v>
      </c>
      <c r="F419">
        <v>844</v>
      </c>
      <c r="G419" s="102" t="s">
        <v>153</v>
      </c>
      <c r="H419" t="s">
        <v>834</v>
      </c>
      <c r="J419">
        <f>SUM(K420)</f>
        <v>0</v>
      </c>
      <c r="K419">
        <f>I419*J419</f>
        <v>0</v>
      </c>
      <c r="L419" t="e">
        <f>100*(1-(M419/K419))</f>
        <v>#DIV/0!</v>
      </c>
      <c r="M419">
        <f>I419*SUM(M420)</f>
        <v>0</v>
      </c>
      <c r="N419">
        <v>419</v>
      </c>
    </row>
    <row r="420" spans="1:14" x14ac:dyDescent="0.25">
      <c r="A420" s="99" t="s">
        <v>835</v>
      </c>
      <c r="B420" s="99">
        <v>4</v>
      </c>
      <c r="C420" s="99" t="s">
        <v>833</v>
      </c>
      <c r="D420" s="99" t="s">
        <v>73</v>
      </c>
      <c r="E420">
        <v>834</v>
      </c>
      <c r="F420">
        <v>843</v>
      </c>
      <c r="G420" s="102" t="s">
        <v>153</v>
      </c>
      <c r="H420" t="s">
        <v>836</v>
      </c>
      <c r="J420">
        <f>SUM(K421)</f>
        <v>0</v>
      </c>
      <c r="K420">
        <f>I420*J420</f>
        <v>0</v>
      </c>
      <c r="L420" t="e">
        <f>100*(1-(M420/K420))</f>
        <v>#DIV/0!</v>
      </c>
      <c r="M420">
        <f>I420*SUM(M421)</f>
        <v>0</v>
      </c>
      <c r="N420">
        <v>420</v>
      </c>
    </row>
    <row r="421" spans="1:14" x14ac:dyDescent="0.25">
      <c r="A421" s="99" t="s">
        <v>837</v>
      </c>
      <c r="B421" s="99">
        <v>5</v>
      </c>
      <c r="C421" s="99" t="s">
        <v>835</v>
      </c>
      <c r="D421" s="99" t="s">
        <v>73</v>
      </c>
      <c r="E421">
        <v>835</v>
      </c>
      <c r="F421">
        <v>842</v>
      </c>
      <c r="G421" s="102" t="s">
        <v>153</v>
      </c>
      <c r="H421" t="s">
        <v>834</v>
      </c>
      <c r="J421">
        <f>SUM(K422,K423,K424)</f>
        <v>0</v>
      </c>
      <c r="K421">
        <f>I421*J421</f>
        <v>0</v>
      </c>
      <c r="L421" t="e">
        <f>100*(1-(M421/K421))</f>
        <v>#DIV/0!</v>
      </c>
      <c r="M421">
        <f>I421*SUM(M422,M423,M424)</f>
        <v>0</v>
      </c>
      <c r="N421">
        <v>421</v>
      </c>
    </row>
    <row r="422" spans="1:14" x14ac:dyDescent="0.25">
      <c r="A422" s="99" t="s">
        <v>838</v>
      </c>
      <c r="B422" s="99">
        <v>6</v>
      </c>
      <c r="C422" s="99" t="s">
        <v>837</v>
      </c>
      <c r="D422" s="99" t="s">
        <v>73</v>
      </c>
      <c r="E422">
        <v>836</v>
      </c>
      <c r="F422">
        <v>837</v>
      </c>
      <c r="G422" s="102" t="s">
        <v>73</v>
      </c>
      <c r="H422" t="s">
        <v>839</v>
      </c>
      <c r="N422">
        <v>422</v>
      </c>
    </row>
    <row r="423" spans="1:14" x14ac:dyDescent="0.25">
      <c r="A423" s="99" t="s">
        <v>840</v>
      </c>
      <c r="B423" s="99">
        <v>6</v>
      </c>
      <c r="C423" s="99" t="s">
        <v>837</v>
      </c>
      <c r="D423" s="99" t="s">
        <v>93</v>
      </c>
      <c r="E423">
        <v>838</v>
      </c>
      <c r="F423">
        <v>839</v>
      </c>
      <c r="G423" s="102" t="s">
        <v>73</v>
      </c>
      <c r="H423" t="s">
        <v>841</v>
      </c>
      <c r="N423">
        <v>423</v>
      </c>
    </row>
    <row r="424" spans="1:14" x14ac:dyDescent="0.25">
      <c r="A424" s="99" t="s">
        <v>842</v>
      </c>
      <c r="B424" s="99">
        <v>6</v>
      </c>
      <c r="C424" s="99" t="s">
        <v>837</v>
      </c>
      <c r="D424" s="99" t="s">
        <v>94</v>
      </c>
      <c r="E424">
        <v>840</v>
      </c>
      <c r="F424">
        <v>841</v>
      </c>
      <c r="G424" s="102" t="s">
        <v>73</v>
      </c>
      <c r="H424" t="s">
        <v>843</v>
      </c>
      <c r="N424">
        <v>424</v>
      </c>
    </row>
    <row r="425" spans="1:14" x14ac:dyDescent="0.25">
      <c r="A425" s="99" t="s">
        <v>844</v>
      </c>
      <c r="B425" s="99">
        <v>3</v>
      </c>
      <c r="C425" s="99" t="s">
        <v>561</v>
      </c>
      <c r="D425" s="99" t="s">
        <v>94</v>
      </c>
      <c r="E425">
        <v>845</v>
      </c>
      <c r="F425">
        <v>856</v>
      </c>
      <c r="G425" s="102" t="s">
        <v>153</v>
      </c>
      <c r="H425" t="s">
        <v>845</v>
      </c>
      <c r="J425">
        <f>SUM(K426)</f>
        <v>0</v>
      </c>
      <c r="K425">
        <f>I425*J425</f>
        <v>0</v>
      </c>
      <c r="L425" t="e">
        <f>100*(1-(M425/K425))</f>
        <v>#DIV/0!</v>
      </c>
      <c r="M425">
        <f>I425*SUM(M426)</f>
        <v>0</v>
      </c>
      <c r="N425">
        <v>425</v>
      </c>
    </row>
    <row r="426" spans="1:14" x14ac:dyDescent="0.25">
      <c r="A426" s="99" t="s">
        <v>846</v>
      </c>
      <c r="B426" s="99">
        <v>4</v>
      </c>
      <c r="C426" s="99" t="s">
        <v>844</v>
      </c>
      <c r="D426" s="99" t="s">
        <v>73</v>
      </c>
      <c r="E426">
        <v>846</v>
      </c>
      <c r="F426">
        <v>855</v>
      </c>
      <c r="G426" s="102" t="s">
        <v>153</v>
      </c>
      <c r="H426" t="s">
        <v>847</v>
      </c>
      <c r="J426">
        <f>SUM(K427)</f>
        <v>0</v>
      </c>
      <c r="K426">
        <f>I426*J426</f>
        <v>0</v>
      </c>
      <c r="L426" t="e">
        <f>100*(1-(M426/K426))</f>
        <v>#DIV/0!</v>
      </c>
      <c r="M426">
        <f>I426*SUM(M427)</f>
        <v>0</v>
      </c>
      <c r="N426">
        <v>426</v>
      </c>
    </row>
    <row r="427" spans="1:14" x14ac:dyDescent="0.25">
      <c r="A427" s="99" t="s">
        <v>848</v>
      </c>
      <c r="B427" s="99">
        <v>5</v>
      </c>
      <c r="C427" s="99" t="s">
        <v>846</v>
      </c>
      <c r="D427" s="99" t="s">
        <v>73</v>
      </c>
      <c r="E427">
        <v>847</v>
      </c>
      <c r="F427">
        <v>854</v>
      </c>
      <c r="G427" s="102" t="s">
        <v>153</v>
      </c>
      <c r="H427" t="s">
        <v>845</v>
      </c>
      <c r="J427">
        <f>SUM(K428,K429,K430)</f>
        <v>0</v>
      </c>
      <c r="K427">
        <f>I427*J427</f>
        <v>0</v>
      </c>
      <c r="L427" t="e">
        <f>100*(1-(M427/K427))</f>
        <v>#DIV/0!</v>
      </c>
      <c r="M427">
        <f>I427*SUM(M428,M429,M430)</f>
        <v>0</v>
      </c>
      <c r="N427">
        <v>427</v>
      </c>
    </row>
    <row r="428" spans="1:14" x14ac:dyDescent="0.25">
      <c r="A428" s="99" t="s">
        <v>849</v>
      </c>
      <c r="B428" s="99">
        <v>6</v>
      </c>
      <c r="C428" s="99" t="s">
        <v>848</v>
      </c>
      <c r="D428" s="99" t="s">
        <v>73</v>
      </c>
      <c r="E428">
        <v>848</v>
      </c>
      <c r="F428">
        <v>849</v>
      </c>
      <c r="G428" s="102" t="s">
        <v>73</v>
      </c>
      <c r="H428" t="s">
        <v>850</v>
      </c>
      <c r="N428">
        <v>428</v>
      </c>
    </row>
    <row r="429" spans="1:14" x14ac:dyDescent="0.25">
      <c r="A429" s="99" t="s">
        <v>851</v>
      </c>
      <c r="B429" s="99">
        <v>6</v>
      </c>
      <c r="C429" s="99" t="s">
        <v>848</v>
      </c>
      <c r="D429" s="99" t="s">
        <v>93</v>
      </c>
      <c r="E429">
        <v>850</v>
      </c>
      <c r="F429">
        <v>851</v>
      </c>
      <c r="G429" s="102" t="s">
        <v>73</v>
      </c>
      <c r="H429" t="s">
        <v>852</v>
      </c>
      <c r="N429">
        <v>429</v>
      </c>
    </row>
    <row r="430" spans="1:14" x14ac:dyDescent="0.25">
      <c r="A430" s="99" t="s">
        <v>853</v>
      </c>
      <c r="B430" s="99">
        <v>6</v>
      </c>
      <c r="C430" s="99" t="s">
        <v>848</v>
      </c>
      <c r="D430" s="99" t="s">
        <v>94</v>
      </c>
      <c r="E430">
        <v>852</v>
      </c>
      <c r="F430">
        <v>853</v>
      </c>
      <c r="G430" s="102" t="s">
        <v>73</v>
      </c>
      <c r="H430" t="s">
        <v>854</v>
      </c>
      <c r="N430">
        <v>430</v>
      </c>
    </row>
    <row r="431" spans="1:14" x14ac:dyDescent="0.25">
      <c r="A431" s="99" t="s">
        <v>855</v>
      </c>
      <c r="B431" s="99">
        <v>2</v>
      </c>
      <c r="C431" s="99" t="s">
        <v>73</v>
      </c>
      <c r="D431" s="99" t="s">
        <v>96</v>
      </c>
      <c r="E431">
        <v>858</v>
      </c>
      <c r="F431">
        <v>913</v>
      </c>
      <c r="G431" s="102" t="s">
        <v>153</v>
      </c>
      <c r="H431" t="s">
        <v>856</v>
      </c>
      <c r="J431">
        <f>SUM(K432,K453)</f>
        <v>0</v>
      </c>
      <c r="K431">
        <f>I431*J431</f>
        <v>0</v>
      </c>
      <c r="L431" t="e">
        <f>100*(1-(M431/K431))</f>
        <v>#DIV/0!</v>
      </c>
      <c r="M431">
        <f>I431*SUM(M432,M453)</f>
        <v>0</v>
      </c>
      <c r="N431">
        <v>431</v>
      </c>
    </row>
    <row r="432" spans="1:14" x14ac:dyDescent="0.25">
      <c r="A432" s="99" t="s">
        <v>857</v>
      </c>
      <c r="B432" s="99">
        <v>3</v>
      </c>
      <c r="C432" s="99" t="s">
        <v>855</v>
      </c>
      <c r="D432" s="99" t="s">
        <v>73</v>
      </c>
      <c r="E432">
        <v>859</v>
      </c>
      <c r="F432">
        <v>900</v>
      </c>
      <c r="G432" s="102" t="s">
        <v>153</v>
      </c>
      <c r="H432" t="s">
        <v>858</v>
      </c>
      <c r="J432">
        <f>SUM(K433,K438,K443,K449)</f>
        <v>0</v>
      </c>
      <c r="K432">
        <f>I432*J432</f>
        <v>0</v>
      </c>
      <c r="L432" t="e">
        <f>100*(1-(M432/K432))</f>
        <v>#DIV/0!</v>
      </c>
      <c r="M432">
        <f>I432*SUM(M433,M438,M443,M449)</f>
        <v>0</v>
      </c>
      <c r="N432">
        <v>432</v>
      </c>
    </row>
    <row r="433" spans="1:14" x14ac:dyDescent="0.25">
      <c r="A433" s="99" t="s">
        <v>859</v>
      </c>
      <c r="B433" s="99">
        <v>4</v>
      </c>
      <c r="C433" s="99" t="s">
        <v>857</v>
      </c>
      <c r="D433" s="99" t="s">
        <v>73</v>
      </c>
      <c r="E433">
        <v>860</v>
      </c>
      <c r="F433">
        <v>869</v>
      </c>
      <c r="G433" s="102" t="s">
        <v>153</v>
      </c>
      <c r="H433" t="s">
        <v>860</v>
      </c>
      <c r="J433">
        <f>SUM(K434)</f>
        <v>0</v>
      </c>
      <c r="K433">
        <f>I433*J433</f>
        <v>0</v>
      </c>
      <c r="L433" t="e">
        <f>100*(1-(M433/K433))</f>
        <v>#DIV/0!</v>
      </c>
      <c r="M433">
        <f>I433*SUM(M434)</f>
        <v>0</v>
      </c>
      <c r="N433">
        <v>433</v>
      </c>
    </row>
    <row r="434" spans="1:14" x14ac:dyDescent="0.25">
      <c r="A434" s="99" t="s">
        <v>861</v>
      </c>
      <c r="B434" s="99">
        <v>5</v>
      </c>
      <c r="C434" s="99" t="s">
        <v>859</v>
      </c>
      <c r="D434" s="99" t="s">
        <v>73</v>
      </c>
      <c r="E434">
        <v>861</v>
      </c>
      <c r="F434">
        <v>868</v>
      </c>
      <c r="G434" s="102" t="s">
        <v>153</v>
      </c>
      <c r="H434" t="s">
        <v>862</v>
      </c>
      <c r="J434">
        <f>SUM(K435)</f>
        <v>0</v>
      </c>
      <c r="K434">
        <f>I434*J434</f>
        <v>0</v>
      </c>
      <c r="L434" t="e">
        <f>100*(1-(M434/K434))</f>
        <v>#DIV/0!</v>
      </c>
      <c r="M434">
        <f>I434*SUM(M435)</f>
        <v>0</v>
      </c>
      <c r="N434">
        <v>434</v>
      </c>
    </row>
    <row r="435" spans="1:14" x14ac:dyDescent="0.25">
      <c r="A435" s="99" t="s">
        <v>863</v>
      </c>
      <c r="B435" s="99">
        <v>6</v>
      </c>
      <c r="C435" s="99" t="s">
        <v>861</v>
      </c>
      <c r="D435" s="99" t="s">
        <v>73</v>
      </c>
      <c r="E435">
        <v>862</v>
      </c>
      <c r="F435">
        <v>867</v>
      </c>
      <c r="G435" s="102" t="s">
        <v>153</v>
      </c>
      <c r="H435" t="s">
        <v>864</v>
      </c>
      <c r="J435">
        <f>SUM(K436,K437)</f>
        <v>0</v>
      </c>
      <c r="K435">
        <f>I435*J435</f>
        <v>0</v>
      </c>
      <c r="L435" t="e">
        <f>100*(1-(M435/K435))</f>
        <v>#DIV/0!</v>
      </c>
      <c r="M435">
        <f>I435*SUM(M436,M437)</f>
        <v>0</v>
      </c>
      <c r="N435">
        <v>435</v>
      </c>
    </row>
    <row r="436" spans="1:14" x14ac:dyDescent="0.25">
      <c r="A436" s="99" t="s">
        <v>865</v>
      </c>
      <c r="B436" s="99">
        <v>7</v>
      </c>
      <c r="C436" s="99" t="s">
        <v>863</v>
      </c>
      <c r="D436" s="99" t="s">
        <v>73</v>
      </c>
      <c r="E436">
        <v>863</v>
      </c>
      <c r="F436">
        <v>864</v>
      </c>
      <c r="G436" s="102" t="s">
        <v>73</v>
      </c>
      <c r="H436" t="s">
        <v>866</v>
      </c>
      <c r="N436">
        <v>436</v>
      </c>
    </row>
    <row r="437" spans="1:14" x14ac:dyDescent="0.25">
      <c r="A437" s="99" t="s">
        <v>867</v>
      </c>
      <c r="B437" s="99">
        <v>7</v>
      </c>
      <c r="C437" s="99" t="s">
        <v>863</v>
      </c>
      <c r="D437" s="99" t="s">
        <v>93</v>
      </c>
      <c r="E437">
        <v>865</v>
      </c>
      <c r="F437">
        <v>866</v>
      </c>
      <c r="G437" s="102" t="s">
        <v>73</v>
      </c>
      <c r="H437" t="s">
        <v>114</v>
      </c>
      <c r="N437">
        <v>437</v>
      </c>
    </row>
    <row r="438" spans="1:14" x14ac:dyDescent="0.25">
      <c r="A438" s="99" t="s">
        <v>868</v>
      </c>
      <c r="B438" s="99">
        <v>4</v>
      </c>
      <c r="C438" s="99" t="s">
        <v>857</v>
      </c>
      <c r="D438" s="99" t="s">
        <v>93</v>
      </c>
      <c r="E438">
        <v>870</v>
      </c>
      <c r="F438">
        <v>879</v>
      </c>
      <c r="G438" s="102" t="s">
        <v>153</v>
      </c>
      <c r="H438" t="s">
        <v>869</v>
      </c>
      <c r="J438">
        <f>SUM(K439)</f>
        <v>0</v>
      </c>
      <c r="K438">
        <f>I438*J438</f>
        <v>0</v>
      </c>
      <c r="L438" t="e">
        <f>100*(1-(M438/K438))</f>
        <v>#DIV/0!</v>
      </c>
      <c r="M438">
        <f>I438*SUM(M439)</f>
        <v>0</v>
      </c>
      <c r="N438">
        <v>438</v>
      </c>
    </row>
    <row r="439" spans="1:14" x14ac:dyDescent="0.25">
      <c r="A439" s="99" t="s">
        <v>870</v>
      </c>
      <c r="B439" s="99">
        <v>5</v>
      </c>
      <c r="C439" s="99" t="s">
        <v>868</v>
      </c>
      <c r="D439" s="99" t="s">
        <v>73</v>
      </c>
      <c r="E439">
        <v>871</v>
      </c>
      <c r="F439">
        <v>878</v>
      </c>
      <c r="G439" s="102" t="s">
        <v>153</v>
      </c>
      <c r="H439" t="s">
        <v>871</v>
      </c>
      <c r="J439">
        <f>SUM(K440)</f>
        <v>0</v>
      </c>
      <c r="K439">
        <f>I439*J439</f>
        <v>0</v>
      </c>
      <c r="L439" t="e">
        <f>100*(1-(M439/K439))</f>
        <v>#DIV/0!</v>
      </c>
      <c r="M439">
        <f>I439*SUM(M440)</f>
        <v>0</v>
      </c>
      <c r="N439">
        <v>439</v>
      </c>
    </row>
    <row r="440" spans="1:14" x14ac:dyDescent="0.25">
      <c r="A440" s="99" t="s">
        <v>872</v>
      </c>
      <c r="B440" s="99">
        <v>6</v>
      </c>
      <c r="C440" s="99" t="s">
        <v>870</v>
      </c>
      <c r="D440" s="99" t="s">
        <v>73</v>
      </c>
      <c r="E440">
        <v>872</v>
      </c>
      <c r="F440">
        <v>877</v>
      </c>
      <c r="G440" s="102" t="s">
        <v>153</v>
      </c>
      <c r="H440" t="s">
        <v>864</v>
      </c>
      <c r="J440">
        <f>SUM(K441,K442)</f>
        <v>0</v>
      </c>
      <c r="K440">
        <f>I440*J440</f>
        <v>0</v>
      </c>
      <c r="L440" t="e">
        <f>100*(1-(M440/K440))</f>
        <v>#DIV/0!</v>
      </c>
      <c r="M440">
        <f>I440*SUM(M441,M442)</f>
        <v>0</v>
      </c>
      <c r="N440">
        <v>440</v>
      </c>
    </row>
    <row r="441" spans="1:14" x14ac:dyDescent="0.25">
      <c r="A441" s="99" t="s">
        <v>873</v>
      </c>
      <c r="B441" s="99">
        <v>7</v>
      </c>
      <c r="C441" s="99" t="s">
        <v>872</v>
      </c>
      <c r="D441" s="99" t="s">
        <v>73</v>
      </c>
      <c r="E441">
        <v>873</v>
      </c>
      <c r="F441">
        <v>874</v>
      </c>
      <c r="G441" s="102" t="s">
        <v>73</v>
      </c>
      <c r="H441" t="s">
        <v>866</v>
      </c>
      <c r="N441">
        <v>441</v>
      </c>
    </row>
    <row r="442" spans="1:14" x14ac:dyDescent="0.25">
      <c r="A442" s="99" t="s">
        <v>874</v>
      </c>
      <c r="B442" s="99">
        <v>7</v>
      </c>
      <c r="C442" s="99" t="s">
        <v>872</v>
      </c>
      <c r="D442" s="99" t="s">
        <v>93</v>
      </c>
      <c r="E442">
        <v>875</v>
      </c>
      <c r="F442">
        <v>876</v>
      </c>
      <c r="G442" s="102" t="s">
        <v>73</v>
      </c>
      <c r="H442" t="s">
        <v>114</v>
      </c>
      <c r="N442">
        <v>442</v>
      </c>
    </row>
    <row r="443" spans="1:14" x14ac:dyDescent="0.25">
      <c r="A443" s="99" t="s">
        <v>875</v>
      </c>
      <c r="B443" s="99">
        <v>4</v>
      </c>
      <c r="C443" s="99" t="s">
        <v>857</v>
      </c>
      <c r="D443" s="99" t="s">
        <v>94</v>
      </c>
      <c r="E443">
        <v>880</v>
      </c>
      <c r="F443">
        <v>891</v>
      </c>
      <c r="G443" s="102" t="s">
        <v>153</v>
      </c>
      <c r="H443" t="s">
        <v>876</v>
      </c>
      <c r="J443">
        <f>SUM(K444)</f>
        <v>0</v>
      </c>
      <c r="K443">
        <f>I443*J443</f>
        <v>0</v>
      </c>
      <c r="L443" t="e">
        <f>100*(1-(M443/K443))</f>
        <v>#DIV/0!</v>
      </c>
      <c r="M443">
        <f>I443*SUM(M444)</f>
        <v>0</v>
      </c>
      <c r="N443">
        <v>443</v>
      </c>
    </row>
    <row r="444" spans="1:14" x14ac:dyDescent="0.25">
      <c r="A444" s="99" t="s">
        <v>877</v>
      </c>
      <c r="B444" s="99">
        <v>5</v>
      </c>
      <c r="C444" s="99" t="s">
        <v>875</v>
      </c>
      <c r="D444" s="99" t="s">
        <v>73</v>
      </c>
      <c r="E444">
        <v>881</v>
      </c>
      <c r="F444">
        <v>890</v>
      </c>
      <c r="G444" s="102" t="s">
        <v>153</v>
      </c>
      <c r="H444" t="s">
        <v>878</v>
      </c>
      <c r="J444">
        <f>SUM(K445,K446,K447,K448)</f>
        <v>0</v>
      </c>
      <c r="K444">
        <f>I444*J444</f>
        <v>0</v>
      </c>
      <c r="L444" t="e">
        <f>100*(1-(M444/K444))</f>
        <v>#DIV/0!</v>
      </c>
      <c r="M444">
        <f>I444*SUM(M445,M446,M447,M448)</f>
        <v>0</v>
      </c>
      <c r="N444">
        <v>444</v>
      </c>
    </row>
    <row r="445" spans="1:14" x14ac:dyDescent="0.25">
      <c r="A445" s="99" t="s">
        <v>879</v>
      </c>
      <c r="B445" s="99">
        <v>6</v>
      </c>
      <c r="C445" s="99" t="s">
        <v>877</v>
      </c>
      <c r="D445" s="99" t="s">
        <v>73</v>
      </c>
      <c r="E445">
        <v>882</v>
      </c>
      <c r="F445">
        <v>883</v>
      </c>
      <c r="G445" s="102" t="s">
        <v>73</v>
      </c>
      <c r="H445" t="s">
        <v>880</v>
      </c>
      <c r="N445">
        <v>445</v>
      </c>
    </row>
    <row r="446" spans="1:14" x14ac:dyDescent="0.25">
      <c r="A446" s="99" t="s">
        <v>881</v>
      </c>
      <c r="B446" s="99">
        <v>6</v>
      </c>
      <c r="C446" s="99" t="s">
        <v>877</v>
      </c>
      <c r="D446" s="99" t="s">
        <v>93</v>
      </c>
      <c r="E446">
        <v>884</v>
      </c>
      <c r="F446">
        <v>885</v>
      </c>
      <c r="G446" s="102" t="s">
        <v>73</v>
      </c>
      <c r="H446" t="s">
        <v>697</v>
      </c>
      <c r="N446">
        <v>446</v>
      </c>
    </row>
    <row r="447" spans="1:14" x14ac:dyDescent="0.25">
      <c r="A447" s="99" t="s">
        <v>882</v>
      </c>
      <c r="B447" s="99">
        <v>6</v>
      </c>
      <c r="C447" s="99" t="s">
        <v>877</v>
      </c>
      <c r="D447" s="99" t="s">
        <v>94</v>
      </c>
      <c r="E447">
        <v>886</v>
      </c>
      <c r="F447">
        <v>887</v>
      </c>
      <c r="G447" s="102" t="s">
        <v>73</v>
      </c>
      <c r="H447" t="s">
        <v>712</v>
      </c>
      <c r="N447">
        <v>447</v>
      </c>
    </row>
    <row r="448" spans="1:14" x14ac:dyDescent="0.25">
      <c r="A448" s="99" t="s">
        <v>883</v>
      </c>
      <c r="B448" s="99">
        <v>6</v>
      </c>
      <c r="C448" s="99" t="s">
        <v>877</v>
      </c>
      <c r="D448" s="99" t="s">
        <v>95</v>
      </c>
      <c r="E448">
        <v>888</v>
      </c>
      <c r="F448">
        <v>889</v>
      </c>
      <c r="G448" s="102" t="s">
        <v>73</v>
      </c>
      <c r="H448" t="s">
        <v>884</v>
      </c>
      <c r="N448">
        <v>448</v>
      </c>
    </row>
    <row r="449" spans="1:14" x14ac:dyDescent="0.25">
      <c r="A449" s="99" t="s">
        <v>885</v>
      </c>
      <c r="B449" s="99">
        <v>4</v>
      </c>
      <c r="C449" s="99" t="s">
        <v>857</v>
      </c>
      <c r="D449" s="99" t="s">
        <v>95</v>
      </c>
      <c r="E449">
        <v>892</v>
      </c>
      <c r="F449">
        <v>899</v>
      </c>
      <c r="G449" s="102" t="s">
        <v>153</v>
      </c>
      <c r="H449" t="s">
        <v>886</v>
      </c>
      <c r="J449">
        <f>SUM(K450)</f>
        <v>0</v>
      </c>
      <c r="K449">
        <f>I449*J449</f>
        <v>0</v>
      </c>
      <c r="L449" t="e">
        <f>100*(1-(M449/K449))</f>
        <v>#DIV/0!</v>
      </c>
      <c r="M449">
        <f>I449*SUM(M450)</f>
        <v>0</v>
      </c>
      <c r="N449">
        <v>449</v>
      </c>
    </row>
    <row r="450" spans="1:14" x14ac:dyDescent="0.25">
      <c r="A450" s="99" t="s">
        <v>887</v>
      </c>
      <c r="B450" s="99">
        <v>5</v>
      </c>
      <c r="C450" s="99" t="s">
        <v>885</v>
      </c>
      <c r="D450" s="99" t="s">
        <v>73</v>
      </c>
      <c r="E450">
        <v>893</v>
      </c>
      <c r="F450">
        <v>898</v>
      </c>
      <c r="G450" s="102" t="s">
        <v>153</v>
      </c>
      <c r="H450" t="s">
        <v>886</v>
      </c>
      <c r="J450">
        <f>SUM(K451,K452)</f>
        <v>0</v>
      </c>
      <c r="K450">
        <f>I450*J450</f>
        <v>0</v>
      </c>
      <c r="L450" t="e">
        <f>100*(1-(M450/K450))</f>
        <v>#DIV/0!</v>
      </c>
      <c r="M450">
        <f>I450*SUM(M451,M452)</f>
        <v>0</v>
      </c>
      <c r="N450">
        <v>450</v>
      </c>
    </row>
    <row r="451" spans="1:14" x14ac:dyDescent="0.25">
      <c r="A451" s="99" t="s">
        <v>888</v>
      </c>
      <c r="B451" s="99">
        <v>6</v>
      </c>
      <c r="C451" s="99" t="s">
        <v>887</v>
      </c>
      <c r="D451" s="99" t="s">
        <v>73</v>
      </c>
      <c r="E451">
        <v>894</v>
      </c>
      <c r="F451">
        <v>895</v>
      </c>
      <c r="G451" s="102" t="s">
        <v>73</v>
      </c>
      <c r="H451" t="s">
        <v>889</v>
      </c>
      <c r="N451">
        <v>451</v>
      </c>
    </row>
    <row r="452" spans="1:14" x14ac:dyDescent="0.25">
      <c r="A452" s="99" t="s">
        <v>890</v>
      </c>
      <c r="B452" s="99">
        <v>6</v>
      </c>
      <c r="C452" s="99" t="s">
        <v>887</v>
      </c>
      <c r="D452" s="99" t="s">
        <v>93</v>
      </c>
      <c r="E452">
        <v>896</v>
      </c>
      <c r="F452">
        <v>897</v>
      </c>
      <c r="G452" s="102" t="s">
        <v>73</v>
      </c>
      <c r="H452" t="s">
        <v>891</v>
      </c>
      <c r="N452">
        <v>452</v>
      </c>
    </row>
    <row r="453" spans="1:14" x14ac:dyDescent="0.25">
      <c r="A453" s="99" t="s">
        <v>892</v>
      </c>
      <c r="B453" s="99">
        <v>3</v>
      </c>
      <c r="C453" s="99" t="s">
        <v>855</v>
      </c>
      <c r="D453" s="99" t="s">
        <v>93</v>
      </c>
      <c r="E453">
        <v>901</v>
      </c>
      <c r="F453">
        <v>912</v>
      </c>
      <c r="G453" s="102" t="s">
        <v>153</v>
      </c>
      <c r="H453" t="s">
        <v>893</v>
      </c>
      <c r="J453">
        <f>SUM(K454)</f>
        <v>0</v>
      </c>
      <c r="K453">
        <f>I453*J453</f>
        <v>0</v>
      </c>
      <c r="L453" t="e">
        <f>100*(1-(M453/K453))</f>
        <v>#DIV/0!</v>
      </c>
      <c r="M453">
        <f>I453*SUM(M454)</f>
        <v>0</v>
      </c>
      <c r="N453">
        <v>453</v>
      </c>
    </row>
    <row r="454" spans="1:14" x14ac:dyDescent="0.25">
      <c r="A454" s="99" t="s">
        <v>894</v>
      </c>
      <c r="B454" s="99">
        <v>4</v>
      </c>
      <c r="C454" s="99" t="s">
        <v>892</v>
      </c>
      <c r="D454" s="99" t="s">
        <v>73</v>
      </c>
      <c r="E454">
        <v>902</v>
      </c>
      <c r="F454">
        <v>911</v>
      </c>
      <c r="G454" s="102" t="s">
        <v>153</v>
      </c>
      <c r="H454" t="s">
        <v>895</v>
      </c>
      <c r="J454">
        <f>SUM(K455)</f>
        <v>0</v>
      </c>
      <c r="K454">
        <f>I454*J454</f>
        <v>0</v>
      </c>
      <c r="L454" t="e">
        <f>100*(1-(M454/K454))</f>
        <v>#DIV/0!</v>
      </c>
      <c r="M454">
        <f>I454*SUM(M455)</f>
        <v>0</v>
      </c>
      <c r="N454">
        <v>454</v>
      </c>
    </row>
    <row r="455" spans="1:14" x14ac:dyDescent="0.25">
      <c r="A455" s="99" t="s">
        <v>896</v>
      </c>
      <c r="B455" s="99">
        <v>5</v>
      </c>
      <c r="C455" s="99" t="s">
        <v>894</v>
      </c>
      <c r="D455" s="99" t="s">
        <v>73</v>
      </c>
      <c r="E455">
        <v>903</v>
      </c>
      <c r="F455">
        <v>910</v>
      </c>
      <c r="G455" s="102" t="s">
        <v>153</v>
      </c>
      <c r="H455" t="s">
        <v>893</v>
      </c>
      <c r="J455">
        <f>SUM(K456,K457,K458)</f>
        <v>0</v>
      </c>
      <c r="K455">
        <f>I455*J455</f>
        <v>0</v>
      </c>
      <c r="L455" t="e">
        <f>100*(1-(M455/K455))</f>
        <v>#DIV/0!</v>
      </c>
      <c r="M455">
        <f>I455*SUM(M456,M457,M458)</f>
        <v>0</v>
      </c>
      <c r="N455">
        <v>455</v>
      </c>
    </row>
    <row r="456" spans="1:14" x14ac:dyDescent="0.25">
      <c r="A456" s="99" t="s">
        <v>897</v>
      </c>
      <c r="B456" s="99">
        <v>6</v>
      </c>
      <c r="C456" s="99" t="s">
        <v>896</v>
      </c>
      <c r="D456" s="99" t="s">
        <v>73</v>
      </c>
      <c r="E456">
        <v>904</v>
      </c>
      <c r="F456">
        <v>905</v>
      </c>
      <c r="G456" s="102" t="s">
        <v>73</v>
      </c>
      <c r="H456" t="s">
        <v>898</v>
      </c>
      <c r="N456">
        <v>456</v>
      </c>
    </row>
    <row r="457" spans="1:14" x14ac:dyDescent="0.25">
      <c r="A457" s="99" t="s">
        <v>899</v>
      </c>
      <c r="B457" s="99">
        <v>6</v>
      </c>
      <c r="C457" s="99" t="s">
        <v>896</v>
      </c>
      <c r="D457" s="99" t="s">
        <v>93</v>
      </c>
      <c r="E457">
        <v>906</v>
      </c>
      <c r="F457">
        <v>907</v>
      </c>
      <c r="G457" s="102" t="s">
        <v>73</v>
      </c>
      <c r="H457" t="s">
        <v>900</v>
      </c>
      <c r="N457">
        <v>457</v>
      </c>
    </row>
    <row r="458" spans="1:14" x14ac:dyDescent="0.25">
      <c r="A458" s="99" t="s">
        <v>901</v>
      </c>
      <c r="B458" s="99">
        <v>6</v>
      </c>
      <c r="C458" s="99" t="s">
        <v>896</v>
      </c>
      <c r="D458" s="99" t="s">
        <v>94</v>
      </c>
      <c r="E458">
        <v>908</v>
      </c>
      <c r="F458">
        <v>909</v>
      </c>
      <c r="G458" s="102" t="s">
        <v>73</v>
      </c>
      <c r="H458" t="s">
        <v>902</v>
      </c>
      <c r="N458">
        <v>458</v>
      </c>
    </row>
    <row r="459" spans="1:14" x14ac:dyDescent="0.25">
      <c r="A459" s="99" t="s">
        <v>903</v>
      </c>
      <c r="B459" s="99">
        <v>2</v>
      </c>
      <c r="C459" s="99" t="s">
        <v>73</v>
      </c>
      <c r="D459" s="99" t="s">
        <v>171</v>
      </c>
      <c r="E459">
        <v>914</v>
      </c>
      <c r="F459">
        <v>961</v>
      </c>
      <c r="G459" s="102" t="s">
        <v>153</v>
      </c>
      <c r="H459" t="s">
        <v>904</v>
      </c>
      <c r="J459">
        <f>SUM(K460,K477)</f>
        <v>0</v>
      </c>
      <c r="K459">
        <f>I459*J459</f>
        <v>0</v>
      </c>
      <c r="L459" t="e">
        <f>100*(1-(M459/K459))</f>
        <v>#DIV/0!</v>
      </c>
      <c r="M459">
        <f>I459*SUM(M460,M477)</f>
        <v>0</v>
      </c>
      <c r="N459">
        <v>459</v>
      </c>
    </row>
    <row r="460" spans="1:14" x14ac:dyDescent="0.25">
      <c r="A460" s="99" t="s">
        <v>905</v>
      </c>
      <c r="B460" s="99">
        <v>3</v>
      </c>
      <c r="C460" s="99" t="s">
        <v>903</v>
      </c>
      <c r="D460" s="99" t="s">
        <v>73</v>
      </c>
      <c r="E460">
        <v>915</v>
      </c>
      <c r="F460">
        <v>948</v>
      </c>
      <c r="G460" s="102" t="s">
        <v>153</v>
      </c>
      <c r="H460" t="s">
        <v>906</v>
      </c>
      <c r="J460">
        <f>SUM(K461,K469)</f>
        <v>0</v>
      </c>
      <c r="K460">
        <f>I460*J460</f>
        <v>0</v>
      </c>
      <c r="L460" t="e">
        <f>100*(1-(M460/K460))</f>
        <v>#DIV/0!</v>
      </c>
      <c r="M460">
        <f>I460*SUM(M461,M469)</f>
        <v>0</v>
      </c>
      <c r="N460">
        <v>460</v>
      </c>
    </row>
    <row r="461" spans="1:14" x14ac:dyDescent="0.25">
      <c r="A461" s="99" t="s">
        <v>907</v>
      </c>
      <c r="B461" s="99">
        <v>4</v>
      </c>
      <c r="C461" s="99" t="s">
        <v>905</v>
      </c>
      <c r="D461" s="99" t="s">
        <v>73</v>
      </c>
      <c r="E461">
        <v>916</v>
      </c>
      <c r="F461">
        <v>931</v>
      </c>
      <c r="G461" s="102" t="s">
        <v>153</v>
      </c>
      <c r="H461" t="s">
        <v>908</v>
      </c>
      <c r="J461">
        <f>SUM(K462,K467)</f>
        <v>0</v>
      </c>
      <c r="K461">
        <f>I461*J461</f>
        <v>0</v>
      </c>
      <c r="L461" t="e">
        <f>100*(1-(M461/K461))</f>
        <v>#DIV/0!</v>
      </c>
      <c r="M461">
        <f>I461*SUM(M462,M467)</f>
        <v>0</v>
      </c>
      <c r="N461">
        <v>461</v>
      </c>
    </row>
    <row r="462" spans="1:14" x14ac:dyDescent="0.25">
      <c r="A462" s="99" t="s">
        <v>909</v>
      </c>
      <c r="B462" s="99">
        <v>5</v>
      </c>
      <c r="C462" s="99" t="s">
        <v>907</v>
      </c>
      <c r="D462" s="99" t="s">
        <v>73</v>
      </c>
      <c r="E462">
        <v>917</v>
      </c>
      <c r="F462">
        <v>926</v>
      </c>
      <c r="G462" s="102" t="s">
        <v>153</v>
      </c>
      <c r="H462" t="s">
        <v>910</v>
      </c>
      <c r="J462">
        <f>SUM(K463,K465)</f>
        <v>0</v>
      </c>
      <c r="K462">
        <f>I462*J462</f>
        <v>0</v>
      </c>
      <c r="L462" t="e">
        <f>100*(1-(M462/K462))</f>
        <v>#DIV/0!</v>
      </c>
      <c r="M462">
        <f>I462*SUM(M463,M465)</f>
        <v>0</v>
      </c>
      <c r="N462">
        <v>462</v>
      </c>
    </row>
    <row r="463" spans="1:14" x14ac:dyDescent="0.25">
      <c r="A463" s="99" t="s">
        <v>911</v>
      </c>
      <c r="B463" s="99">
        <v>6</v>
      </c>
      <c r="C463" s="99" t="s">
        <v>909</v>
      </c>
      <c r="D463" s="99" t="s">
        <v>73</v>
      </c>
      <c r="E463">
        <v>918</v>
      </c>
      <c r="F463">
        <v>921</v>
      </c>
      <c r="G463" s="102" t="s">
        <v>153</v>
      </c>
      <c r="H463" t="s">
        <v>912</v>
      </c>
      <c r="J463">
        <f>SUM(K464)</f>
        <v>0</v>
      </c>
      <c r="K463">
        <f>I463*J463</f>
        <v>0</v>
      </c>
      <c r="L463" t="e">
        <f>100*(1-(M463/K463))</f>
        <v>#DIV/0!</v>
      </c>
      <c r="M463">
        <f>I463*SUM(M464)</f>
        <v>0</v>
      </c>
      <c r="N463">
        <v>463</v>
      </c>
    </row>
    <row r="464" spans="1:14" x14ac:dyDescent="0.25">
      <c r="A464" s="99" t="s">
        <v>913</v>
      </c>
      <c r="B464" s="99">
        <v>7</v>
      </c>
      <c r="C464" s="99" t="s">
        <v>911</v>
      </c>
      <c r="D464" s="99" t="s">
        <v>73</v>
      </c>
      <c r="E464">
        <v>919</v>
      </c>
      <c r="F464">
        <v>920</v>
      </c>
      <c r="G464" s="102" t="s">
        <v>73</v>
      </c>
      <c r="H464" t="s">
        <v>914</v>
      </c>
      <c r="N464">
        <v>464</v>
      </c>
    </row>
    <row r="465" spans="1:14" x14ac:dyDescent="0.25">
      <c r="A465" s="99" t="s">
        <v>915</v>
      </c>
      <c r="B465" s="99">
        <v>6</v>
      </c>
      <c r="C465" s="99" t="s">
        <v>909</v>
      </c>
      <c r="D465" s="99" t="s">
        <v>93</v>
      </c>
      <c r="E465">
        <v>922</v>
      </c>
      <c r="F465">
        <v>925</v>
      </c>
      <c r="G465" s="102" t="s">
        <v>153</v>
      </c>
      <c r="H465" t="s">
        <v>916</v>
      </c>
      <c r="J465">
        <f>SUM(K466)</f>
        <v>0</v>
      </c>
      <c r="K465">
        <f>I465*J465</f>
        <v>0</v>
      </c>
      <c r="L465" t="e">
        <f>100*(1-(M465/K465))</f>
        <v>#DIV/0!</v>
      </c>
      <c r="M465">
        <f>I465*SUM(M466)</f>
        <v>0</v>
      </c>
      <c r="N465">
        <v>465</v>
      </c>
    </row>
    <row r="466" spans="1:14" x14ac:dyDescent="0.25">
      <c r="A466" s="99" t="s">
        <v>917</v>
      </c>
      <c r="B466" s="99">
        <v>7</v>
      </c>
      <c r="C466" s="99" t="s">
        <v>915</v>
      </c>
      <c r="D466" s="99" t="s">
        <v>73</v>
      </c>
      <c r="E466">
        <v>923</v>
      </c>
      <c r="F466">
        <v>924</v>
      </c>
      <c r="G466" s="102" t="s">
        <v>73</v>
      </c>
      <c r="H466" t="s">
        <v>918</v>
      </c>
      <c r="N466">
        <v>466</v>
      </c>
    </row>
    <row r="467" spans="1:14" x14ac:dyDescent="0.25">
      <c r="A467" s="99" t="s">
        <v>919</v>
      </c>
      <c r="B467" s="99">
        <v>5</v>
      </c>
      <c r="C467" s="99" t="s">
        <v>907</v>
      </c>
      <c r="D467" s="99" t="s">
        <v>93</v>
      </c>
      <c r="E467">
        <v>927</v>
      </c>
      <c r="F467">
        <v>930</v>
      </c>
      <c r="G467" s="102" t="s">
        <v>153</v>
      </c>
      <c r="H467" t="s">
        <v>920</v>
      </c>
      <c r="J467">
        <f>SUM(K468)</f>
        <v>0</v>
      </c>
      <c r="K467">
        <f>I467*J467</f>
        <v>0</v>
      </c>
      <c r="L467" t="e">
        <f>100*(1-(M467/K467))</f>
        <v>#DIV/0!</v>
      </c>
      <c r="M467">
        <f>I467*SUM(M468)</f>
        <v>0</v>
      </c>
      <c r="N467">
        <v>467</v>
      </c>
    </row>
    <row r="468" spans="1:14" x14ac:dyDescent="0.25">
      <c r="A468" s="99" t="s">
        <v>921</v>
      </c>
      <c r="B468" s="99">
        <v>6</v>
      </c>
      <c r="C468" s="99" t="s">
        <v>919</v>
      </c>
      <c r="D468" s="99" t="s">
        <v>73</v>
      </c>
      <c r="E468">
        <v>928</v>
      </c>
      <c r="F468">
        <v>929</v>
      </c>
      <c r="G468" s="102" t="s">
        <v>73</v>
      </c>
      <c r="H468" t="s">
        <v>922</v>
      </c>
      <c r="N468">
        <v>468</v>
      </c>
    </row>
    <row r="469" spans="1:14" x14ac:dyDescent="0.25">
      <c r="A469" s="99" t="s">
        <v>923</v>
      </c>
      <c r="B469" s="99">
        <v>4</v>
      </c>
      <c r="C469" s="99" t="s">
        <v>905</v>
      </c>
      <c r="D469" s="99" t="s">
        <v>93</v>
      </c>
      <c r="E469">
        <v>932</v>
      </c>
      <c r="F469">
        <v>947</v>
      </c>
      <c r="G469" s="102" t="s">
        <v>153</v>
      </c>
      <c r="H469" t="s">
        <v>924</v>
      </c>
      <c r="J469">
        <f>SUM(K470,K475)</f>
        <v>0</v>
      </c>
      <c r="K469">
        <f>I469*J469</f>
        <v>0</v>
      </c>
      <c r="L469" t="e">
        <f>100*(1-(M469/K469))</f>
        <v>#DIV/0!</v>
      </c>
      <c r="M469">
        <f>I469*SUM(M470,M475)</f>
        <v>0</v>
      </c>
      <c r="N469">
        <v>469</v>
      </c>
    </row>
    <row r="470" spans="1:14" x14ac:dyDescent="0.25">
      <c r="A470" s="99" t="s">
        <v>925</v>
      </c>
      <c r="B470" s="99">
        <v>5</v>
      </c>
      <c r="C470" s="99" t="s">
        <v>923</v>
      </c>
      <c r="D470" s="99" t="s">
        <v>73</v>
      </c>
      <c r="E470">
        <v>933</v>
      </c>
      <c r="F470">
        <v>942</v>
      </c>
      <c r="G470" s="102" t="s">
        <v>153</v>
      </c>
      <c r="H470" t="s">
        <v>926</v>
      </c>
      <c r="J470">
        <f>SUM(K471,K473)</f>
        <v>0</v>
      </c>
      <c r="K470">
        <f>I470*J470</f>
        <v>0</v>
      </c>
      <c r="L470" t="e">
        <f>100*(1-(M470/K470))</f>
        <v>#DIV/0!</v>
      </c>
      <c r="M470">
        <f>I470*SUM(M471,M473)</f>
        <v>0</v>
      </c>
      <c r="N470">
        <v>470</v>
      </c>
    </row>
    <row r="471" spans="1:14" x14ac:dyDescent="0.25">
      <c r="A471" s="99" t="s">
        <v>927</v>
      </c>
      <c r="B471" s="99">
        <v>6</v>
      </c>
      <c r="C471" s="99" t="s">
        <v>925</v>
      </c>
      <c r="D471" s="99" t="s">
        <v>73</v>
      </c>
      <c r="E471">
        <v>934</v>
      </c>
      <c r="F471">
        <v>937</v>
      </c>
      <c r="G471" s="102" t="s">
        <v>153</v>
      </c>
      <c r="H471" t="s">
        <v>928</v>
      </c>
      <c r="J471">
        <f>SUM(K472)</f>
        <v>0</v>
      </c>
      <c r="K471">
        <f>I471*J471</f>
        <v>0</v>
      </c>
      <c r="L471" t="e">
        <f>100*(1-(M471/K471))</f>
        <v>#DIV/0!</v>
      </c>
      <c r="M471">
        <f>I471*SUM(M472)</f>
        <v>0</v>
      </c>
      <c r="N471">
        <v>471</v>
      </c>
    </row>
    <row r="472" spans="1:14" x14ac:dyDescent="0.25">
      <c r="A472" s="99" t="s">
        <v>929</v>
      </c>
      <c r="B472" s="99">
        <v>7</v>
      </c>
      <c r="C472" s="99" t="s">
        <v>927</v>
      </c>
      <c r="D472" s="99" t="s">
        <v>73</v>
      </c>
      <c r="E472">
        <v>935</v>
      </c>
      <c r="F472">
        <v>936</v>
      </c>
      <c r="G472" s="102" t="s">
        <v>73</v>
      </c>
      <c r="H472" t="s">
        <v>914</v>
      </c>
      <c r="N472">
        <v>472</v>
      </c>
    </row>
    <row r="473" spans="1:14" x14ac:dyDescent="0.25">
      <c r="A473" s="99" t="s">
        <v>930</v>
      </c>
      <c r="B473" s="99">
        <v>6</v>
      </c>
      <c r="C473" s="99" t="s">
        <v>925</v>
      </c>
      <c r="D473" s="99" t="s">
        <v>93</v>
      </c>
      <c r="E473">
        <v>938</v>
      </c>
      <c r="F473">
        <v>941</v>
      </c>
      <c r="G473" s="102" t="s">
        <v>153</v>
      </c>
      <c r="H473" t="s">
        <v>931</v>
      </c>
      <c r="J473">
        <f>SUM(K474)</f>
        <v>0</v>
      </c>
      <c r="K473">
        <f>I473*J473</f>
        <v>0</v>
      </c>
      <c r="L473" t="e">
        <f>100*(1-(M473/K473))</f>
        <v>#DIV/0!</v>
      </c>
      <c r="M473">
        <f>I473*SUM(M474)</f>
        <v>0</v>
      </c>
      <c r="N473">
        <v>473</v>
      </c>
    </row>
    <row r="474" spans="1:14" x14ac:dyDescent="0.25">
      <c r="A474" s="99" t="s">
        <v>932</v>
      </c>
      <c r="B474" s="99">
        <v>7</v>
      </c>
      <c r="C474" s="99" t="s">
        <v>930</v>
      </c>
      <c r="D474" s="99" t="s">
        <v>73</v>
      </c>
      <c r="E474">
        <v>939</v>
      </c>
      <c r="F474">
        <v>940</v>
      </c>
      <c r="G474" s="102" t="s">
        <v>73</v>
      </c>
      <c r="H474" t="s">
        <v>918</v>
      </c>
      <c r="N474">
        <v>474</v>
      </c>
    </row>
    <row r="475" spans="1:14" x14ac:dyDescent="0.25">
      <c r="A475" s="99" t="s">
        <v>933</v>
      </c>
      <c r="B475" s="99">
        <v>5</v>
      </c>
      <c r="C475" s="99" t="s">
        <v>923</v>
      </c>
      <c r="D475" s="99" t="s">
        <v>93</v>
      </c>
      <c r="E475">
        <v>943</v>
      </c>
      <c r="F475">
        <v>946</v>
      </c>
      <c r="G475" s="102" t="s">
        <v>153</v>
      </c>
      <c r="H475" t="s">
        <v>920</v>
      </c>
      <c r="J475">
        <f>SUM(K476)</f>
        <v>0</v>
      </c>
      <c r="K475">
        <f>I475*J475</f>
        <v>0</v>
      </c>
      <c r="L475" t="e">
        <f>100*(1-(M475/K475))</f>
        <v>#DIV/0!</v>
      </c>
      <c r="M475">
        <f>I475*SUM(M476)</f>
        <v>0</v>
      </c>
      <c r="N475">
        <v>475</v>
      </c>
    </row>
    <row r="476" spans="1:14" x14ac:dyDescent="0.25">
      <c r="A476" s="99" t="s">
        <v>934</v>
      </c>
      <c r="B476" s="99">
        <v>6</v>
      </c>
      <c r="C476" s="99" t="s">
        <v>933</v>
      </c>
      <c r="D476" s="99" t="s">
        <v>73</v>
      </c>
      <c r="E476">
        <v>944</v>
      </c>
      <c r="F476">
        <v>945</v>
      </c>
      <c r="G476" s="102" t="s">
        <v>73</v>
      </c>
      <c r="H476" t="s">
        <v>922</v>
      </c>
      <c r="N476">
        <v>476</v>
      </c>
    </row>
    <row r="477" spans="1:14" x14ac:dyDescent="0.25">
      <c r="A477" s="99" t="s">
        <v>935</v>
      </c>
      <c r="B477" s="99">
        <v>3</v>
      </c>
      <c r="C477" s="99" t="s">
        <v>903</v>
      </c>
      <c r="D477" s="99" t="s">
        <v>93</v>
      </c>
      <c r="E477">
        <v>949</v>
      </c>
      <c r="F477">
        <v>960</v>
      </c>
      <c r="G477" s="102" t="s">
        <v>153</v>
      </c>
      <c r="H477" t="s">
        <v>936</v>
      </c>
      <c r="J477">
        <f>SUM(K478)</f>
        <v>0</v>
      </c>
      <c r="K477">
        <f>I477*J477</f>
        <v>0</v>
      </c>
      <c r="L477" t="e">
        <f>100*(1-(M477/K477))</f>
        <v>#DIV/0!</v>
      </c>
      <c r="M477">
        <f>I477*SUM(M478)</f>
        <v>0</v>
      </c>
      <c r="N477">
        <v>477</v>
      </c>
    </row>
    <row r="478" spans="1:14" x14ac:dyDescent="0.25">
      <c r="A478" s="99" t="s">
        <v>937</v>
      </c>
      <c r="B478" s="99">
        <v>4</v>
      </c>
      <c r="C478" s="99" t="s">
        <v>935</v>
      </c>
      <c r="D478" s="99" t="s">
        <v>73</v>
      </c>
      <c r="E478">
        <v>950</v>
      </c>
      <c r="F478">
        <v>959</v>
      </c>
      <c r="G478" s="102" t="s">
        <v>153</v>
      </c>
      <c r="H478" t="s">
        <v>936</v>
      </c>
      <c r="J478">
        <f>SUM(K479)</f>
        <v>0</v>
      </c>
      <c r="K478">
        <f>I478*J478</f>
        <v>0</v>
      </c>
      <c r="L478" t="e">
        <f>100*(1-(M478/K478))</f>
        <v>#DIV/0!</v>
      </c>
      <c r="M478">
        <f>I478*SUM(M479)</f>
        <v>0</v>
      </c>
      <c r="N478">
        <v>478</v>
      </c>
    </row>
    <row r="479" spans="1:14" x14ac:dyDescent="0.25">
      <c r="A479" s="99" t="s">
        <v>938</v>
      </c>
      <c r="B479" s="99">
        <v>5</v>
      </c>
      <c r="C479" s="99" t="s">
        <v>937</v>
      </c>
      <c r="D479" s="99" t="s">
        <v>73</v>
      </c>
      <c r="E479">
        <v>951</v>
      </c>
      <c r="F479">
        <v>958</v>
      </c>
      <c r="G479" s="102" t="s">
        <v>153</v>
      </c>
      <c r="H479" t="s">
        <v>936</v>
      </c>
      <c r="J479">
        <f>SUM(K480,K481,K482)</f>
        <v>0</v>
      </c>
      <c r="K479">
        <f>I479*J479</f>
        <v>0</v>
      </c>
      <c r="L479" t="e">
        <f>100*(1-(M479/K479))</f>
        <v>#DIV/0!</v>
      </c>
      <c r="M479">
        <f>I479*SUM(M480,M481,M482)</f>
        <v>0</v>
      </c>
      <c r="N479">
        <v>479</v>
      </c>
    </row>
    <row r="480" spans="1:14" x14ac:dyDescent="0.25">
      <c r="A480" s="99" t="s">
        <v>939</v>
      </c>
      <c r="B480" s="99">
        <v>6</v>
      </c>
      <c r="C480" s="99" t="s">
        <v>938</v>
      </c>
      <c r="D480" s="99" t="s">
        <v>73</v>
      </c>
      <c r="E480">
        <v>952</v>
      </c>
      <c r="F480">
        <v>953</v>
      </c>
      <c r="G480" s="102" t="s">
        <v>73</v>
      </c>
      <c r="H480" t="s">
        <v>940</v>
      </c>
      <c r="N480">
        <v>480</v>
      </c>
    </row>
    <row r="481" spans="1:14" x14ac:dyDescent="0.25">
      <c r="A481" s="99" t="s">
        <v>941</v>
      </c>
      <c r="B481" s="99">
        <v>6</v>
      </c>
      <c r="C481" s="99" t="s">
        <v>938</v>
      </c>
      <c r="D481" s="99" t="s">
        <v>93</v>
      </c>
      <c r="E481">
        <v>954</v>
      </c>
      <c r="F481">
        <v>955</v>
      </c>
      <c r="G481" s="102" t="s">
        <v>73</v>
      </c>
      <c r="H481" t="s">
        <v>942</v>
      </c>
      <c r="N481">
        <v>481</v>
      </c>
    </row>
    <row r="482" spans="1:14" x14ac:dyDescent="0.25">
      <c r="A482" s="99" t="s">
        <v>943</v>
      </c>
      <c r="B482" s="99">
        <v>6</v>
      </c>
      <c r="C482" s="99" t="s">
        <v>938</v>
      </c>
      <c r="D482" s="99" t="s">
        <v>94</v>
      </c>
      <c r="E482">
        <v>956</v>
      </c>
      <c r="F482">
        <v>957</v>
      </c>
      <c r="G482" s="102" t="s">
        <v>73</v>
      </c>
      <c r="H482" t="s">
        <v>944</v>
      </c>
      <c r="N482">
        <v>482</v>
      </c>
    </row>
    <row r="483" spans="1:14" x14ac:dyDescent="0.25">
      <c r="A483" s="99" t="s">
        <v>945</v>
      </c>
      <c r="B483" s="99">
        <v>2</v>
      </c>
      <c r="C483" s="99" t="s">
        <v>73</v>
      </c>
      <c r="D483" s="99" t="s">
        <v>212</v>
      </c>
      <c r="E483">
        <v>962</v>
      </c>
      <c r="F483">
        <v>1135</v>
      </c>
      <c r="G483" s="102" t="s">
        <v>153</v>
      </c>
      <c r="H483" t="s">
        <v>946</v>
      </c>
      <c r="J483">
        <f>SUM(K484,K546,K552,K558,K564)</f>
        <v>0</v>
      </c>
      <c r="K483">
        <f>I483*J483</f>
        <v>0</v>
      </c>
      <c r="L483" t="e">
        <f>100*(1-(M483/K483))</f>
        <v>#DIV/0!</v>
      </c>
      <c r="M483">
        <f>I483*SUM(M484,M546,M552,M558,M564)</f>
        <v>0</v>
      </c>
      <c r="N483">
        <v>483</v>
      </c>
    </row>
    <row r="484" spans="1:14" x14ac:dyDescent="0.25">
      <c r="A484" s="99" t="s">
        <v>947</v>
      </c>
      <c r="B484" s="99">
        <v>3</v>
      </c>
      <c r="C484" s="99" t="s">
        <v>945</v>
      </c>
      <c r="D484" s="99" t="s">
        <v>73</v>
      </c>
      <c r="E484">
        <v>963</v>
      </c>
      <c r="F484">
        <v>1086</v>
      </c>
      <c r="G484" s="102" t="s">
        <v>153</v>
      </c>
      <c r="H484" t="s">
        <v>948</v>
      </c>
      <c r="J484">
        <f>SUM(K485,K496,K505,K514,K518,K528,K538,K542)</f>
        <v>0</v>
      </c>
      <c r="K484">
        <f>I484*J484</f>
        <v>0</v>
      </c>
      <c r="L484" t="e">
        <f>100*(1-(M484/K484))</f>
        <v>#DIV/0!</v>
      </c>
      <c r="M484">
        <f>I484*SUM(M485,M496,M505,M514,M518,M528,M538,M542)</f>
        <v>0</v>
      </c>
      <c r="N484">
        <v>484</v>
      </c>
    </row>
    <row r="485" spans="1:14" x14ac:dyDescent="0.25">
      <c r="A485" s="99" t="s">
        <v>949</v>
      </c>
      <c r="B485" s="99">
        <v>4</v>
      </c>
      <c r="C485" s="99" t="s">
        <v>947</v>
      </c>
      <c r="D485" s="99" t="s">
        <v>73</v>
      </c>
      <c r="E485">
        <v>964</v>
      </c>
      <c r="F485">
        <v>985</v>
      </c>
      <c r="G485" s="102" t="s">
        <v>153</v>
      </c>
      <c r="H485" t="s">
        <v>950</v>
      </c>
      <c r="J485">
        <f>SUM(K486)</f>
        <v>0</v>
      </c>
      <c r="K485">
        <f>I485*J485</f>
        <v>0</v>
      </c>
      <c r="L485" t="e">
        <f>100*(1-(M485/K485))</f>
        <v>#DIV/0!</v>
      </c>
      <c r="M485">
        <f>I485*SUM(M486)</f>
        <v>0</v>
      </c>
      <c r="N485">
        <v>485</v>
      </c>
    </row>
    <row r="486" spans="1:14" x14ac:dyDescent="0.25">
      <c r="A486" s="99" t="s">
        <v>951</v>
      </c>
      <c r="B486" s="99">
        <v>5</v>
      </c>
      <c r="C486" s="99" t="s">
        <v>949</v>
      </c>
      <c r="D486" s="99" t="s">
        <v>73</v>
      </c>
      <c r="E486">
        <v>965</v>
      </c>
      <c r="F486">
        <v>984</v>
      </c>
      <c r="G486" s="102" t="s">
        <v>153</v>
      </c>
      <c r="H486" t="s">
        <v>952</v>
      </c>
      <c r="J486">
        <f>SUM(K487)</f>
        <v>0</v>
      </c>
      <c r="K486">
        <f>I486*J486</f>
        <v>0</v>
      </c>
      <c r="L486" t="e">
        <f>100*(1-(M486/K486))</f>
        <v>#DIV/0!</v>
      </c>
      <c r="M486">
        <f>I486*SUM(M487)</f>
        <v>0</v>
      </c>
      <c r="N486">
        <v>486</v>
      </c>
    </row>
    <row r="487" spans="1:14" x14ac:dyDescent="0.25">
      <c r="A487" s="99" t="s">
        <v>953</v>
      </c>
      <c r="B487" s="99">
        <v>6</v>
      </c>
      <c r="C487" s="99" t="s">
        <v>951</v>
      </c>
      <c r="D487" s="99" t="s">
        <v>73</v>
      </c>
      <c r="E487">
        <v>966</v>
      </c>
      <c r="F487">
        <v>983</v>
      </c>
      <c r="G487" s="102" t="s">
        <v>153</v>
      </c>
      <c r="H487" t="s">
        <v>954</v>
      </c>
      <c r="J487">
        <f>SUM(K488,K489,K490,K491,K492,K493,K494,K495)</f>
        <v>0</v>
      </c>
      <c r="K487">
        <f>I487*J487</f>
        <v>0</v>
      </c>
      <c r="L487" t="e">
        <f>100*(1-(M487/K487))</f>
        <v>#DIV/0!</v>
      </c>
      <c r="M487">
        <f>I487*SUM(M488,M489,M490,M491,M492,M493,M494,M495)</f>
        <v>0</v>
      </c>
      <c r="N487">
        <v>487</v>
      </c>
    </row>
    <row r="488" spans="1:14" x14ac:dyDescent="0.25">
      <c r="A488" s="99" t="s">
        <v>955</v>
      </c>
      <c r="B488" s="99">
        <v>7</v>
      </c>
      <c r="C488" s="99" t="s">
        <v>953</v>
      </c>
      <c r="D488" s="99" t="s">
        <v>73</v>
      </c>
      <c r="E488">
        <v>967</v>
      </c>
      <c r="F488">
        <v>968</v>
      </c>
      <c r="G488" s="102" t="s">
        <v>73</v>
      </c>
      <c r="H488" t="s">
        <v>956</v>
      </c>
      <c r="N488">
        <v>488</v>
      </c>
    </row>
    <row r="489" spans="1:14" x14ac:dyDescent="0.25">
      <c r="A489" s="99" t="s">
        <v>957</v>
      </c>
      <c r="B489" s="99">
        <v>7</v>
      </c>
      <c r="C489" s="99" t="s">
        <v>953</v>
      </c>
      <c r="D489" s="99" t="s">
        <v>93</v>
      </c>
      <c r="E489">
        <v>969</v>
      </c>
      <c r="F489">
        <v>970</v>
      </c>
      <c r="G489" s="102" t="s">
        <v>73</v>
      </c>
      <c r="H489" t="s">
        <v>958</v>
      </c>
      <c r="N489">
        <v>489</v>
      </c>
    </row>
    <row r="490" spans="1:14" x14ac:dyDescent="0.25">
      <c r="A490" s="99" t="s">
        <v>959</v>
      </c>
      <c r="B490" s="99">
        <v>7</v>
      </c>
      <c r="C490" s="99" t="s">
        <v>953</v>
      </c>
      <c r="D490" s="99" t="s">
        <v>94</v>
      </c>
      <c r="E490">
        <v>971</v>
      </c>
      <c r="F490">
        <v>972</v>
      </c>
      <c r="G490" s="102" t="s">
        <v>73</v>
      </c>
      <c r="H490" t="s">
        <v>960</v>
      </c>
      <c r="N490">
        <v>490</v>
      </c>
    </row>
    <row r="491" spans="1:14" x14ac:dyDescent="0.25">
      <c r="A491" s="99" t="s">
        <v>961</v>
      </c>
      <c r="B491" s="99">
        <v>7</v>
      </c>
      <c r="C491" s="99" t="s">
        <v>953</v>
      </c>
      <c r="D491" s="99" t="s">
        <v>95</v>
      </c>
      <c r="E491">
        <v>973</v>
      </c>
      <c r="F491">
        <v>974</v>
      </c>
      <c r="G491" s="102" t="s">
        <v>73</v>
      </c>
      <c r="H491" t="s">
        <v>962</v>
      </c>
      <c r="N491">
        <v>491</v>
      </c>
    </row>
    <row r="492" spans="1:14" x14ac:dyDescent="0.25">
      <c r="A492" s="99" t="s">
        <v>963</v>
      </c>
      <c r="B492" s="99">
        <v>7</v>
      </c>
      <c r="C492" s="99" t="s">
        <v>953</v>
      </c>
      <c r="D492" s="99" t="s">
        <v>96</v>
      </c>
      <c r="E492">
        <v>975</v>
      </c>
      <c r="F492">
        <v>976</v>
      </c>
      <c r="G492" s="102" t="s">
        <v>73</v>
      </c>
      <c r="H492" t="s">
        <v>964</v>
      </c>
      <c r="N492">
        <v>492</v>
      </c>
    </row>
    <row r="493" spans="1:14" x14ac:dyDescent="0.25">
      <c r="A493" s="99" t="s">
        <v>965</v>
      </c>
      <c r="B493" s="99">
        <v>7</v>
      </c>
      <c r="C493" s="99" t="s">
        <v>953</v>
      </c>
      <c r="D493" s="99" t="s">
        <v>171</v>
      </c>
      <c r="E493">
        <v>977</v>
      </c>
      <c r="F493">
        <v>978</v>
      </c>
      <c r="G493" s="102" t="s">
        <v>73</v>
      </c>
      <c r="H493" t="s">
        <v>966</v>
      </c>
      <c r="N493">
        <v>493</v>
      </c>
    </row>
    <row r="494" spans="1:14" x14ac:dyDescent="0.25">
      <c r="A494" s="99" t="s">
        <v>967</v>
      </c>
      <c r="B494" s="99">
        <v>7</v>
      </c>
      <c r="C494" s="99" t="s">
        <v>953</v>
      </c>
      <c r="D494" s="99" t="s">
        <v>212</v>
      </c>
      <c r="E494">
        <v>979</v>
      </c>
      <c r="F494">
        <v>980</v>
      </c>
      <c r="G494" s="102" t="s">
        <v>73</v>
      </c>
      <c r="H494" t="s">
        <v>968</v>
      </c>
      <c r="N494">
        <v>494</v>
      </c>
    </row>
    <row r="495" spans="1:14" x14ac:dyDescent="0.25">
      <c r="A495" s="99" t="s">
        <v>969</v>
      </c>
      <c r="B495" s="99">
        <v>7</v>
      </c>
      <c r="C495" s="99" t="s">
        <v>953</v>
      </c>
      <c r="D495" s="99" t="s">
        <v>213</v>
      </c>
      <c r="E495">
        <v>981</v>
      </c>
      <c r="F495">
        <v>982</v>
      </c>
      <c r="G495" s="102" t="s">
        <v>73</v>
      </c>
      <c r="H495" t="s">
        <v>970</v>
      </c>
      <c r="N495">
        <v>495</v>
      </c>
    </row>
    <row r="496" spans="1:14" x14ac:dyDescent="0.25">
      <c r="A496" s="99" t="s">
        <v>971</v>
      </c>
      <c r="B496" s="99">
        <v>4</v>
      </c>
      <c r="C496" s="99" t="s">
        <v>947</v>
      </c>
      <c r="D496" s="99" t="s">
        <v>93</v>
      </c>
      <c r="E496">
        <v>986</v>
      </c>
      <c r="F496">
        <v>1003</v>
      </c>
      <c r="G496" s="102" t="s">
        <v>153</v>
      </c>
      <c r="H496" t="s">
        <v>972</v>
      </c>
      <c r="J496">
        <f>SUM(K497)</f>
        <v>0</v>
      </c>
      <c r="K496">
        <f>I496*J496</f>
        <v>0</v>
      </c>
      <c r="L496" t="e">
        <f>100*(1-(M496/K496))</f>
        <v>#DIV/0!</v>
      </c>
      <c r="M496">
        <f>I496*SUM(M497)</f>
        <v>0</v>
      </c>
      <c r="N496">
        <v>496</v>
      </c>
    </row>
    <row r="497" spans="1:14" x14ac:dyDescent="0.25">
      <c r="A497" s="99" t="s">
        <v>973</v>
      </c>
      <c r="B497" s="99">
        <v>5</v>
      </c>
      <c r="C497" s="99" t="s">
        <v>971</v>
      </c>
      <c r="D497" s="99" t="s">
        <v>73</v>
      </c>
      <c r="E497">
        <v>987</v>
      </c>
      <c r="F497">
        <v>1002</v>
      </c>
      <c r="G497" s="102" t="s">
        <v>153</v>
      </c>
      <c r="H497" t="s">
        <v>974</v>
      </c>
      <c r="J497">
        <f>SUM(K498)</f>
        <v>0</v>
      </c>
      <c r="K497">
        <f>I497*J497</f>
        <v>0</v>
      </c>
      <c r="L497" t="e">
        <f>100*(1-(M497/K497))</f>
        <v>#DIV/0!</v>
      </c>
      <c r="M497">
        <f>I497*SUM(M498)</f>
        <v>0</v>
      </c>
      <c r="N497">
        <v>497</v>
      </c>
    </row>
    <row r="498" spans="1:14" x14ac:dyDescent="0.25">
      <c r="A498" s="99" t="s">
        <v>975</v>
      </c>
      <c r="B498" s="99">
        <v>6</v>
      </c>
      <c r="C498" s="99" t="s">
        <v>973</v>
      </c>
      <c r="D498" s="99" t="s">
        <v>73</v>
      </c>
      <c r="E498">
        <v>988</v>
      </c>
      <c r="F498">
        <v>1001</v>
      </c>
      <c r="G498" s="102" t="s">
        <v>153</v>
      </c>
      <c r="H498" t="s">
        <v>976</v>
      </c>
      <c r="J498">
        <f>SUM(K499,K500,K501,K502,K503,K504)</f>
        <v>0</v>
      </c>
      <c r="K498">
        <f>I498*J498</f>
        <v>0</v>
      </c>
      <c r="L498" t="e">
        <f>100*(1-(M498/K498))</f>
        <v>#DIV/0!</v>
      </c>
      <c r="M498">
        <f>I498*SUM(M499,M500,M501,M502,M503,M504)</f>
        <v>0</v>
      </c>
      <c r="N498">
        <v>498</v>
      </c>
    </row>
    <row r="499" spans="1:14" x14ac:dyDescent="0.25">
      <c r="A499" s="99" t="s">
        <v>977</v>
      </c>
      <c r="B499" s="99">
        <v>7</v>
      </c>
      <c r="C499" s="99" t="s">
        <v>975</v>
      </c>
      <c r="D499" s="99" t="s">
        <v>73</v>
      </c>
      <c r="E499">
        <v>989</v>
      </c>
      <c r="F499">
        <v>990</v>
      </c>
      <c r="G499" s="102" t="s">
        <v>73</v>
      </c>
      <c r="H499" t="s">
        <v>978</v>
      </c>
      <c r="N499">
        <v>499</v>
      </c>
    </row>
    <row r="500" spans="1:14" x14ac:dyDescent="0.25">
      <c r="A500" s="99" t="s">
        <v>979</v>
      </c>
      <c r="B500" s="99">
        <v>7</v>
      </c>
      <c r="C500" s="99" t="s">
        <v>975</v>
      </c>
      <c r="D500" s="99" t="s">
        <v>93</v>
      </c>
      <c r="E500">
        <v>991</v>
      </c>
      <c r="F500">
        <v>992</v>
      </c>
      <c r="G500" s="102" t="s">
        <v>73</v>
      </c>
      <c r="H500" t="s">
        <v>980</v>
      </c>
      <c r="N500">
        <v>500</v>
      </c>
    </row>
    <row r="501" spans="1:14" x14ac:dyDescent="0.25">
      <c r="A501" s="99" t="s">
        <v>981</v>
      </c>
      <c r="B501" s="99">
        <v>7</v>
      </c>
      <c r="C501" s="99" t="s">
        <v>975</v>
      </c>
      <c r="D501" s="99" t="s">
        <v>94</v>
      </c>
      <c r="E501">
        <v>993</v>
      </c>
      <c r="F501">
        <v>994</v>
      </c>
      <c r="G501" s="102" t="s">
        <v>73</v>
      </c>
      <c r="H501" t="s">
        <v>982</v>
      </c>
      <c r="N501">
        <v>501</v>
      </c>
    </row>
    <row r="502" spans="1:14" x14ac:dyDescent="0.25">
      <c r="A502" s="99" t="s">
        <v>983</v>
      </c>
      <c r="B502" s="99">
        <v>7</v>
      </c>
      <c r="C502" s="99" t="s">
        <v>975</v>
      </c>
      <c r="D502" s="99" t="s">
        <v>95</v>
      </c>
      <c r="E502">
        <v>995</v>
      </c>
      <c r="F502">
        <v>996</v>
      </c>
      <c r="G502" s="102" t="s">
        <v>73</v>
      </c>
      <c r="H502" t="s">
        <v>984</v>
      </c>
      <c r="N502">
        <v>502</v>
      </c>
    </row>
    <row r="503" spans="1:14" x14ac:dyDescent="0.25">
      <c r="A503" s="99" t="s">
        <v>985</v>
      </c>
      <c r="B503" s="99">
        <v>7</v>
      </c>
      <c r="C503" s="99" t="s">
        <v>975</v>
      </c>
      <c r="D503" s="99" t="s">
        <v>96</v>
      </c>
      <c r="E503">
        <v>997</v>
      </c>
      <c r="F503">
        <v>998</v>
      </c>
      <c r="G503" s="102" t="s">
        <v>73</v>
      </c>
      <c r="H503" t="s">
        <v>986</v>
      </c>
      <c r="N503">
        <v>503</v>
      </c>
    </row>
    <row r="504" spans="1:14" x14ac:dyDescent="0.25">
      <c r="A504" s="99" t="s">
        <v>987</v>
      </c>
      <c r="B504" s="99">
        <v>7</v>
      </c>
      <c r="C504" s="99" t="s">
        <v>975</v>
      </c>
      <c r="D504" s="99" t="s">
        <v>171</v>
      </c>
      <c r="E504">
        <v>999</v>
      </c>
      <c r="F504">
        <v>1000</v>
      </c>
      <c r="G504" s="102" t="s">
        <v>73</v>
      </c>
      <c r="H504" t="s">
        <v>988</v>
      </c>
      <c r="N504">
        <v>504</v>
      </c>
    </row>
    <row r="505" spans="1:14" x14ac:dyDescent="0.25">
      <c r="A505" s="99" t="s">
        <v>989</v>
      </c>
      <c r="B505" s="99">
        <v>4</v>
      </c>
      <c r="C505" s="99" t="s">
        <v>947</v>
      </c>
      <c r="D505" s="99" t="s">
        <v>94</v>
      </c>
      <c r="E505">
        <v>1004</v>
      </c>
      <c r="F505">
        <v>1021</v>
      </c>
      <c r="G505" s="102" t="s">
        <v>153</v>
      </c>
      <c r="H505" t="s">
        <v>990</v>
      </c>
      <c r="J505">
        <f>SUM(K506)</f>
        <v>0</v>
      </c>
      <c r="K505">
        <f>I505*J505</f>
        <v>0</v>
      </c>
      <c r="L505" t="e">
        <f>100*(1-(M505/K505))</f>
        <v>#DIV/0!</v>
      </c>
      <c r="M505">
        <f>I505*SUM(M506)</f>
        <v>0</v>
      </c>
      <c r="N505">
        <v>505</v>
      </c>
    </row>
    <row r="506" spans="1:14" x14ac:dyDescent="0.25">
      <c r="A506" s="99" t="s">
        <v>991</v>
      </c>
      <c r="B506" s="99">
        <v>5</v>
      </c>
      <c r="C506" s="99" t="s">
        <v>989</v>
      </c>
      <c r="D506" s="99" t="s">
        <v>73</v>
      </c>
      <c r="E506">
        <v>1005</v>
      </c>
      <c r="F506">
        <v>1020</v>
      </c>
      <c r="G506" s="102" t="s">
        <v>153</v>
      </c>
      <c r="H506" t="s">
        <v>992</v>
      </c>
      <c r="J506">
        <f>SUM(K507)</f>
        <v>0</v>
      </c>
      <c r="K506">
        <f>I506*J506</f>
        <v>0</v>
      </c>
      <c r="L506" t="e">
        <f>100*(1-(M506/K506))</f>
        <v>#DIV/0!</v>
      </c>
      <c r="M506">
        <f>I506*SUM(M507)</f>
        <v>0</v>
      </c>
      <c r="N506">
        <v>506</v>
      </c>
    </row>
    <row r="507" spans="1:14" x14ac:dyDescent="0.25">
      <c r="A507" s="99" t="s">
        <v>993</v>
      </c>
      <c r="B507" s="99">
        <v>6</v>
      </c>
      <c r="C507" s="99" t="s">
        <v>991</v>
      </c>
      <c r="D507" s="99" t="s">
        <v>73</v>
      </c>
      <c r="E507">
        <v>1006</v>
      </c>
      <c r="F507">
        <v>1019</v>
      </c>
      <c r="G507" s="102" t="s">
        <v>153</v>
      </c>
      <c r="H507" t="s">
        <v>994</v>
      </c>
      <c r="J507">
        <f>SUM(K508,K509,K510,K511,K512,K513)</f>
        <v>0</v>
      </c>
      <c r="K507">
        <f>I507*J507</f>
        <v>0</v>
      </c>
      <c r="L507" t="e">
        <f>100*(1-(M507/K507))</f>
        <v>#DIV/0!</v>
      </c>
      <c r="M507">
        <f>I507*SUM(M508,M509,M510,M511,M512,M513)</f>
        <v>0</v>
      </c>
      <c r="N507">
        <v>507</v>
      </c>
    </row>
    <row r="508" spans="1:14" x14ac:dyDescent="0.25">
      <c r="A508" s="99" t="s">
        <v>995</v>
      </c>
      <c r="B508" s="99">
        <v>7</v>
      </c>
      <c r="C508" s="99" t="s">
        <v>993</v>
      </c>
      <c r="D508" s="99" t="s">
        <v>73</v>
      </c>
      <c r="E508">
        <v>1007</v>
      </c>
      <c r="F508">
        <v>1008</v>
      </c>
      <c r="G508" s="102" t="s">
        <v>73</v>
      </c>
      <c r="H508" t="s">
        <v>978</v>
      </c>
      <c r="N508">
        <v>508</v>
      </c>
    </row>
    <row r="509" spans="1:14" x14ac:dyDescent="0.25">
      <c r="A509" s="99" t="s">
        <v>996</v>
      </c>
      <c r="B509" s="99">
        <v>7</v>
      </c>
      <c r="C509" s="99" t="s">
        <v>993</v>
      </c>
      <c r="D509" s="99" t="s">
        <v>93</v>
      </c>
      <c r="E509">
        <v>1009</v>
      </c>
      <c r="F509">
        <v>1010</v>
      </c>
      <c r="G509" s="102" t="s">
        <v>73</v>
      </c>
      <c r="H509" t="s">
        <v>980</v>
      </c>
      <c r="N509">
        <v>509</v>
      </c>
    </row>
    <row r="510" spans="1:14" x14ac:dyDescent="0.25">
      <c r="A510" s="99" t="s">
        <v>997</v>
      </c>
      <c r="B510" s="99">
        <v>7</v>
      </c>
      <c r="C510" s="99" t="s">
        <v>993</v>
      </c>
      <c r="D510" s="99" t="s">
        <v>94</v>
      </c>
      <c r="E510">
        <v>1011</v>
      </c>
      <c r="F510">
        <v>1012</v>
      </c>
      <c r="G510" s="102" t="s">
        <v>73</v>
      </c>
      <c r="H510" t="s">
        <v>982</v>
      </c>
      <c r="N510">
        <v>510</v>
      </c>
    </row>
    <row r="511" spans="1:14" x14ac:dyDescent="0.25">
      <c r="A511" s="99" t="s">
        <v>998</v>
      </c>
      <c r="B511" s="99">
        <v>7</v>
      </c>
      <c r="C511" s="99" t="s">
        <v>993</v>
      </c>
      <c r="D511" s="99" t="s">
        <v>95</v>
      </c>
      <c r="E511">
        <v>1013</v>
      </c>
      <c r="F511">
        <v>1014</v>
      </c>
      <c r="G511" s="102" t="s">
        <v>73</v>
      </c>
      <c r="H511" t="s">
        <v>984</v>
      </c>
      <c r="N511">
        <v>511</v>
      </c>
    </row>
    <row r="512" spans="1:14" x14ac:dyDescent="0.25">
      <c r="A512" s="99" t="s">
        <v>999</v>
      </c>
      <c r="B512" s="99">
        <v>7</v>
      </c>
      <c r="C512" s="99" t="s">
        <v>993</v>
      </c>
      <c r="D512" s="99" t="s">
        <v>96</v>
      </c>
      <c r="E512">
        <v>1015</v>
      </c>
      <c r="F512">
        <v>1016</v>
      </c>
      <c r="G512" s="102" t="s">
        <v>73</v>
      </c>
      <c r="H512" t="s">
        <v>986</v>
      </c>
      <c r="N512">
        <v>512</v>
      </c>
    </row>
    <row r="513" spans="1:14" x14ac:dyDescent="0.25">
      <c r="A513" s="99" t="s">
        <v>1000</v>
      </c>
      <c r="B513" s="99">
        <v>7</v>
      </c>
      <c r="C513" s="99" t="s">
        <v>993</v>
      </c>
      <c r="D513" s="99" t="s">
        <v>171</v>
      </c>
      <c r="E513">
        <v>1017</v>
      </c>
      <c r="F513">
        <v>1018</v>
      </c>
      <c r="G513" s="102" t="s">
        <v>73</v>
      </c>
      <c r="H513" t="s">
        <v>988</v>
      </c>
      <c r="N513">
        <v>513</v>
      </c>
    </row>
    <row r="514" spans="1:14" x14ac:dyDescent="0.25">
      <c r="A514" s="99" t="s">
        <v>1001</v>
      </c>
      <c r="B514" s="99">
        <v>4</v>
      </c>
      <c r="C514" s="99" t="s">
        <v>947</v>
      </c>
      <c r="D514" s="99" t="s">
        <v>95</v>
      </c>
      <c r="E514">
        <v>1022</v>
      </c>
      <c r="F514">
        <v>1029</v>
      </c>
      <c r="G514" s="102" t="s">
        <v>153</v>
      </c>
      <c r="H514" t="s">
        <v>1002</v>
      </c>
      <c r="J514">
        <f>SUM(K515)</f>
        <v>0</v>
      </c>
      <c r="K514">
        <f>I514*J514</f>
        <v>0</v>
      </c>
      <c r="L514" t="e">
        <f>100*(1-(M514/K514))</f>
        <v>#DIV/0!</v>
      </c>
      <c r="M514">
        <f>I514*SUM(M515)</f>
        <v>0</v>
      </c>
      <c r="N514">
        <v>514</v>
      </c>
    </row>
    <row r="515" spans="1:14" x14ac:dyDescent="0.25">
      <c r="A515" s="99" t="s">
        <v>1003</v>
      </c>
      <c r="B515" s="99">
        <v>5</v>
      </c>
      <c r="C515" s="99" t="s">
        <v>1001</v>
      </c>
      <c r="D515" s="99" t="s">
        <v>73</v>
      </c>
      <c r="E515">
        <v>1023</v>
      </c>
      <c r="F515">
        <v>1028</v>
      </c>
      <c r="G515" s="102" t="s">
        <v>153</v>
      </c>
      <c r="H515" t="s">
        <v>1004</v>
      </c>
      <c r="J515">
        <f>SUM(K516)</f>
        <v>0</v>
      </c>
      <c r="K515">
        <f>I515*J515</f>
        <v>0</v>
      </c>
      <c r="L515" t="e">
        <f>100*(1-(M515/K515))</f>
        <v>#DIV/0!</v>
      </c>
      <c r="M515">
        <f>I515*SUM(M516)</f>
        <v>0</v>
      </c>
      <c r="N515">
        <v>515</v>
      </c>
    </row>
    <row r="516" spans="1:14" x14ac:dyDescent="0.25">
      <c r="A516" s="99" t="s">
        <v>1005</v>
      </c>
      <c r="B516" s="99">
        <v>6</v>
      </c>
      <c r="C516" s="99" t="s">
        <v>1003</v>
      </c>
      <c r="D516" s="99" t="s">
        <v>73</v>
      </c>
      <c r="E516">
        <v>1024</v>
      </c>
      <c r="F516">
        <v>1027</v>
      </c>
      <c r="G516" s="102" t="s">
        <v>153</v>
      </c>
      <c r="H516" t="s">
        <v>994</v>
      </c>
      <c r="J516">
        <f>SUM(K517)</f>
        <v>0</v>
      </c>
      <c r="K516">
        <f>I516*J516</f>
        <v>0</v>
      </c>
      <c r="L516" t="e">
        <f>100*(1-(M516/K516))</f>
        <v>#DIV/0!</v>
      </c>
      <c r="M516">
        <f>I516*SUM(M517)</f>
        <v>0</v>
      </c>
      <c r="N516">
        <v>516</v>
      </c>
    </row>
    <row r="517" spans="1:14" x14ac:dyDescent="0.25">
      <c r="A517" s="99" t="s">
        <v>1006</v>
      </c>
      <c r="B517" s="99">
        <v>7</v>
      </c>
      <c r="C517" s="99" t="s">
        <v>1005</v>
      </c>
      <c r="D517" s="99" t="s">
        <v>73</v>
      </c>
      <c r="E517">
        <v>1025</v>
      </c>
      <c r="F517">
        <v>1026</v>
      </c>
      <c r="G517" s="102" t="s">
        <v>73</v>
      </c>
      <c r="H517" t="s">
        <v>1007</v>
      </c>
      <c r="N517">
        <v>517</v>
      </c>
    </row>
    <row r="518" spans="1:14" x14ac:dyDescent="0.25">
      <c r="A518" s="99" t="s">
        <v>1008</v>
      </c>
      <c r="B518" s="99">
        <v>4</v>
      </c>
      <c r="C518" s="99" t="s">
        <v>947</v>
      </c>
      <c r="D518" s="99" t="s">
        <v>96</v>
      </c>
      <c r="E518">
        <v>1030</v>
      </c>
      <c r="F518">
        <v>1049</v>
      </c>
      <c r="G518" s="102" t="s">
        <v>153</v>
      </c>
      <c r="H518" t="s">
        <v>1009</v>
      </c>
      <c r="J518">
        <f>SUM(K519)</f>
        <v>0</v>
      </c>
      <c r="K518">
        <f>I518*J518</f>
        <v>0</v>
      </c>
      <c r="L518" t="e">
        <f>100*(1-(M518/K518))</f>
        <v>#DIV/0!</v>
      </c>
      <c r="M518">
        <f>I518*SUM(M519)</f>
        <v>0</v>
      </c>
      <c r="N518">
        <v>518</v>
      </c>
    </row>
    <row r="519" spans="1:14" x14ac:dyDescent="0.25">
      <c r="A519" s="99" t="s">
        <v>1010</v>
      </c>
      <c r="B519" s="99">
        <v>5</v>
      </c>
      <c r="C519" s="99" t="s">
        <v>1008</v>
      </c>
      <c r="D519" s="99" t="s">
        <v>73</v>
      </c>
      <c r="E519">
        <v>1031</v>
      </c>
      <c r="F519">
        <v>1048</v>
      </c>
      <c r="G519" s="102" t="s">
        <v>153</v>
      </c>
      <c r="H519" t="s">
        <v>1011</v>
      </c>
      <c r="J519">
        <f>SUM(K520)</f>
        <v>0</v>
      </c>
      <c r="K519">
        <f>I519*J519</f>
        <v>0</v>
      </c>
      <c r="L519" t="e">
        <f>100*(1-(M519/K519))</f>
        <v>#DIV/0!</v>
      </c>
      <c r="M519">
        <f>I519*SUM(M520)</f>
        <v>0</v>
      </c>
      <c r="N519">
        <v>519</v>
      </c>
    </row>
    <row r="520" spans="1:14" x14ac:dyDescent="0.25">
      <c r="A520" s="99" t="s">
        <v>1012</v>
      </c>
      <c r="B520" s="99">
        <v>6</v>
      </c>
      <c r="C520" s="99" t="s">
        <v>1010</v>
      </c>
      <c r="D520" s="99" t="s">
        <v>73</v>
      </c>
      <c r="E520">
        <v>1032</v>
      </c>
      <c r="F520">
        <v>1047</v>
      </c>
      <c r="G520" s="102" t="s">
        <v>153</v>
      </c>
      <c r="H520" t="s">
        <v>954</v>
      </c>
      <c r="J520">
        <f>SUM(K521,K522,K523,K524,K525,K526,K527)</f>
        <v>0</v>
      </c>
      <c r="K520">
        <f>I520*J520</f>
        <v>0</v>
      </c>
      <c r="L520" t="e">
        <f>100*(1-(M520/K520))</f>
        <v>#DIV/0!</v>
      </c>
      <c r="M520">
        <f>I520*SUM(M521,M522,M523,M524,M525,M526,M527)</f>
        <v>0</v>
      </c>
      <c r="N520">
        <v>520</v>
      </c>
    </row>
    <row r="521" spans="1:14" x14ac:dyDescent="0.25">
      <c r="A521" s="99" t="s">
        <v>1013</v>
      </c>
      <c r="B521" s="99">
        <v>7</v>
      </c>
      <c r="C521" s="99" t="s">
        <v>1012</v>
      </c>
      <c r="D521" s="99" t="s">
        <v>73</v>
      </c>
      <c r="E521">
        <v>1033</v>
      </c>
      <c r="F521">
        <v>1034</v>
      </c>
      <c r="G521" s="102" t="s">
        <v>73</v>
      </c>
      <c r="H521" t="s">
        <v>958</v>
      </c>
      <c r="N521">
        <v>521</v>
      </c>
    </row>
    <row r="522" spans="1:14" x14ac:dyDescent="0.25">
      <c r="A522" s="99" t="s">
        <v>1014</v>
      </c>
      <c r="B522" s="99">
        <v>7</v>
      </c>
      <c r="C522" s="99" t="s">
        <v>1012</v>
      </c>
      <c r="D522" s="99" t="s">
        <v>93</v>
      </c>
      <c r="E522">
        <v>1035</v>
      </c>
      <c r="F522">
        <v>1036</v>
      </c>
      <c r="G522" s="102" t="s">
        <v>73</v>
      </c>
      <c r="H522" t="s">
        <v>960</v>
      </c>
      <c r="N522">
        <v>522</v>
      </c>
    </row>
    <row r="523" spans="1:14" x14ac:dyDescent="0.25">
      <c r="A523" s="99" t="s">
        <v>1015</v>
      </c>
      <c r="B523" s="99">
        <v>7</v>
      </c>
      <c r="C523" s="99" t="s">
        <v>1012</v>
      </c>
      <c r="D523" s="99" t="s">
        <v>94</v>
      </c>
      <c r="E523">
        <v>1037</v>
      </c>
      <c r="F523">
        <v>1038</v>
      </c>
      <c r="G523" s="102" t="s">
        <v>73</v>
      </c>
      <c r="H523" t="s">
        <v>964</v>
      </c>
      <c r="N523">
        <v>523</v>
      </c>
    </row>
    <row r="524" spans="1:14" x14ac:dyDescent="0.25">
      <c r="A524" s="99" t="s">
        <v>1016</v>
      </c>
      <c r="B524" s="99">
        <v>7</v>
      </c>
      <c r="C524" s="99" t="s">
        <v>1012</v>
      </c>
      <c r="D524" s="99" t="s">
        <v>95</v>
      </c>
      <c r="E524">
        <v>1039</v>
      </c>
      <c r="F524">
        <v>1040</v>
      </c>
      <c r="G524" s="102" t="s">
        <v>73</v>
      </c>
      <c r="H524" t="s">
        <v>1017</v>
      </c>
      <c r="N524">
        <v>524</v>
      </c>
    </row>
    <row r="525" spans="1:14" x14ac:dyDescent="0.25">
      <c r="A525" s="99" t="s">
        <v>1018</v>
      </c>
      <c r="B525" s="99">
        <v>7</v>
      </c>
      <c r="C525" s="99" t="s">
        <v>1012</v>
      </c>
      <c r="D525" s="99" t="s">
        <v>96</v>
      </c>
      <c r="E525">
        <v>1041</v>
      </c>
      <c r="F525">
        <v>1042</v>
      </c>
      <c r="G525" s="102" t="s">
        <v>73</v>
      </c>
      <c r="H525" t="s">
        <v>966</v>
      </c>
      <c r="N525">
        <v>525</v>
      </c>
    </row>
    <row r="526" spans="1:14" x14ac:dyDescent="0.25">
      <c r="A526" s="99" t="s">
        <v>1019</v>
      </c>
      <c r="B526" s="99">
        <v>7</v>
      </c>
      <c r="C526" s="99" t="s">
        <v>1012</v>
      </c>
      <c r="D526" s="99" t="s">
        <v>171</v>
      </c>
      <c r="E526">
        <v>1043</v>
      </c>
      <c r="F526">
        <v>1044</v>
      </c>
      <c r="G526" s="102" t="s">
        <v>73</v>
      </c>
      <c r="H526" t="s">
        <v>956</v>
      </c>
      <c r="N526">
        <v>526</v>
      </c>
    </row>
    <row r="527" spans="1:14" x14ac:dyDescent="0.25">
      <c r="A527" s="99" t="s">
        <v>1020</v>
      </c>
      <c r="B527" s="99">
        <v>7</v>
      </c>
      <c r="C527" s="99" t="s">
        <v>1012</v>
      </c>
      <c r="D527" s="99" t="s">
        <v>212</v>
      </c>
      <c r="E527">
        <v>1045</v>
      </c>
      <c r="F527">
        <v>1046</v>
      </c>
      <c r="G527" s="102" t="s">
        <v>73</v>
      </c>
      <c r="H527" t="s">
        <v>968</v>
      </c>
      <c r="N527">
        <v>527</v>
      </c>
    </row>
    <row r="528" spans="1:14" x14ac:dyDescent="0.25">
      <c r="A528" s="99" t="s">
        <v>1021</v>
      </c>
      <c r="B528" s="99">
        <v>4</v>
      </c>
      <c r="C528" s="99" t="s">
        <v>947</v>
      </c>
      <c r="D528" s="99" t="s">
        <v>171</v>
      </c>
      <c r="E528">
        <v>1050</v>
      </c>
      <c r="F528">
        <v>1069</v>
      </c>
      <c r="G528" s="102" t="s">
        <v>153</v>
      </c>
      <c r="H528" t="s">
        <v>1022</v>
      </c>
      <c r="J528">
        <f>SUM(K529)</f>
        <v>0</v>
      </c>
      <c r="K528">
        <f>I528*J528</f>
        <v>0</v>
      </c>
      <c r="L528" t="e">
        <f>100*(1-(M528/K528))</f>
        <v>#DIV/0!</v>
      </c>
      <c r="M528">
        <f>I528*SUM(M529)</f>
        <v>0</v>
      </c>
      <c r="N528">
        <v>528</v>
      </c>
    </row>
    <row r="529" spans="1:14" x14ac:dyDescent="0.25">
      <c r="A529" s="99" t="s">
        <v>1023</v>
      </c>
      <c r="B529" s="99">
        <v>5</v>
      </c>
      <c r="C529" s="99" t="s">
        <v>1021</v>
      </c>
      <c r="D529" s="99" t="s">
        <v>73</v>
      </c>
      <c r="E529">
        <v>1051</v>
      </c>
      <c r="F529">
        <v>1068</v>
      </c>
      <c r="G529" s="102" t="s">
        <v>153</v>
      </c>
      <c r="H529" t="s">
        <v>1024</v>
      </c>
      <c r="J529">
        <f>SUM(K530)</f>
        <v>0</v>
      </c>
      <c r="K529">
        <f>I529*J529</f>
        <v>0</v>
      </c>
      <c r="L529" t="e">
        <f>100*(1-(M529/K529))</f>
        <v>#DIV/0!</v>
      </c>
      <c r="M529">
        <f>I529*SUM(M530)</f>
        <v>0</v>
      </c>
      <c r="N529">
        <v>529</v>
      </c>
    </row>
    <row r="530" spans="1:14" x14ac:dyDescent="0.25">
      <c r="A530" s="99" t="s">
        <v>1025</v>
      </c>
      <c r="B530" s="99">
        <v>6</v>
      </c>
      <c r="C530" s="99" t="s">
        <v>1023</v>
      </c>
      <c r="D530" s="99" t="s">
        <v>73</v>
      </c>
      <c r="E530">
        <v>1052</v>
      </c>
      <c r="F530">
        <v>1067</v>
      </c>
      <c r="G530" s="102" t="s">
        <v>153</v>
      </c>
      <c r="H530" t="s">
        <v>954</v>
      </c>
      <c r="J530">
        <f>SUM(K531,K532,K533,K534,K535,K536,K537)</f>
        <v>0</v>
      </c>
      <c r="K530">
        <f>I530*J530</f>
        <v>0</v>
      </c>
      <c r="L530" t="e">
        <f>100*(1-(M530/K530))</f>
        <v>#DIV/0!</v>
      </c>
      <c r="M530">
        <f>I530*SUM(M531,M532,M533,M534,M535,M536,M537)</f>
        <v>0</v>
      </c>
      <c r="N530">
        <v>530</v>
      </c>
    </row>
    <row r="531" spans="1:14" x14ac:dyDescent="0.25">
      <c r="A531" s="99" t="s">
        <v>1026</v>
      </c>
      <c r="B531" s="99">
        <v>7</v>
      </c>
      <c r="C531" s="99" t="s">
        <v>1025</v>
      </c>
      <c r="D531" s="99" t="s">
        <v>73</v>
      </c>
      <c r="E531">
        <v>1053</v>
      </c>
      <c r="F531">
        <v>1054</v>
      </c>
      <c r="G531" s="102" t="s">
        <v>73</v>
      </c>
      <c r="H531" t="s">
        <v>958</v>
      </c>
      <c r="N531">
        <v>531</v>
      </c>
    </row>
    <row r="532" spans="1:14" x14ac:dyDescent="0.25">
      <c r="A532" s="99" t="s">
        <v>1027</v>
      </c>
      <c r="B532" s="99">
        <v>7</v>
      </c>
      <c r="C532" s="99" t="s">
        <v>1025</v>
      </c>
      <c r="D532" s="99" t="s">
        <v>93</v>
      </c>
      <c r="E532">
        <v>1055</v>
      </c>
      <c r="F532">
        <v>1056</v>
      </c>
      <c r="G532" s="102" t="s">
        <v>73</v>
      </c>
      <c r="H532" t="s">
        <v>960</v>
      </c>
      <c r="N532">
        <v>532</v>
      </c>
    </row>
    <row r="533" spans="1:14" x14ac:dyDescent="0.25">
      <c r="A533" s="99" t="s">
        <v>1028</v>
      </c>
      <c r="B533" s="99">
        <v>7</v>
      </c>
      <c r="C533" s="99" t="s">
        <v>1025</v>
      </c>
      <c r="D533" s="99" t="s">
        <v>94</v>
      </c>
      <c r="E533">
        <v>1057</v>
      </c>
      <c r="F533">
        <v>1058</v>
      </c>
      <c r="G533" s="102" t="s">
        <v>73</v>
      </c>
      <c r="H533" t="s">
        <v>1017</v>
      </c>
      <c r="N533">
        <v>533</v>
      </c>
    </row>
    <row r="534" spans="1:14" x14ac:dyDescent="0.25">
      <c r="A534" s="99" t="s">
        <v>1029</v>
      </c>
      <c r="B534" s="99">
        <v>7</v>
      </c>
      <c r="C534" s="99" t="s">
        <v>1025</v>
      </c>
      <c r="D534" s="99" t="s">
        <v>95</v>
      </c>
      <c r="E534">
        <v>1059</v>
      </c>
      <c r="F534">
        <v>1060</v>
      </c>
      <c r="G534" s="102" t="s">
        <v>73</v>
      </c>
      <c r="H534" t="s">
        <v>964</v>
      </c>
      <c r="N534">
        <v>534</v>
      </c>
    </row>
    <row r="535" spans="1:14" x14ac:dyDescent="0.25">
      <c r="A535" s="99" t="s">
        <v>1030</v>
      </c>
      <c r="B535" s="99">
        <v>7</v>
      </c>
      <c r="C535" s="99" t="s">
        <v>1025</v>
      </c>
      <c r="D535" s="99" t="s">
        <v>96</v>
      </c>
      <c r="E535">
        <v>1061</v>
      </c>
      <c r="F535">
        <v>1062</v>
      </c>
      <c r="G535" s="102" t="s">
        <v>73</v>
      </c>
      <c r="H535" t="s">
        <v>966</v>
      </c>
      <c r="N535">
        <v>535</v>
      </c>
    </row>
    <row r="536" spans="1:14" x14ac:dyDescent="0.25">
      <c r="A536" s="99" t="s">
        <v>1031</v>
      </c>
      <c r="B536" s="99">
        <v>7</v>
      </c>
      <c r="C536" s="99" t="s">
        <v>1025</v>
      </c>
      <c r="D536" s="99" t="s">
        <v>171</v>
      </c>
      <c r="E536">
        <v>1063</v>
      </c>
      <c r="F536">
        <v>1064</v>
      </c>
      <c r="G536" s="102" t="s">
        <v>73</v>
      </c>
      <c r="H536" t="s">
        <v>968</v>
      </c>
      <c r="N536">
        <v>536</v>
      </c>
    </row>
    <row r="537" spans="1:14" x14ac:dyDescent="0.25">
      <c r="A537" s="99" t="s">
        <v>1032</v>
      </c>
      <c r="B537" s="99">
        <v>7</v>
      </c>
      <c r="C537" s="99" t="s">
        <v>1025</v>
      </c>
      <c r="D537" s="99" t="s">
        <v>212</v>
      </c>
      <c r="E537">
        <v>1065</v>
      </c>
      <c r="F537">
        <v>1066</v>
      </c>
      <c r="G537" s="102" t="s">
        <v>73</v>
      </c>
      <c r="H537" t="s">
        <v>956</v>
      </c>
      <c r="N537">
        <v>537</v>
      </c>
    </row>
    <row r="538" spans="1:14" x14ac:dyDescent="0.25">
      <c r="A538" s="99" t="s">
        <v>1033</v>
      </c>
      <c r="B538" s="99">
        <v>4</v>
      </c>
      <c r="C538" s="99" t="s">
        <v>947</v>
      </c>
      <c r="D538" s="99" t="s">
        <v>212</v>
      </c>
      <c r="E538">
        <v>1070</v>
      </c>
      <c r="F538">
        <v>1077</v>
      </c>
      <c r="G538" s="102" t="s">
        <v>153</v>
      </c>
      <c r="H538" t="s">
        <v>1034</v>
      </c>
      <c r="J538">
        <f>SUM(K539)</f>
        <v>0</v>
      </c>
      <c r="K538">
        <f>I538*J538</f>
        <v>0</v>
      </c>
      <c r="L538" t="e">
        <f>100*(1-(M538/K538))</f>
        <v>#DIV/0!</v>
      </c>
      <c r="M538">
        <f>I538*SUM(M539)</f>
        <v>0</v>
      </c>
      <c r="N538">
        <v>538</v>
      </c>
    </row>
    <row r="539" spans="1:14" x14ac:dyDescent="0.25">
      <c r="A539" s="99" t="s">
        <v>1035</v>
      </c>
      <c r="B539" s="99">
        <v>5</v>
      </c>
      <c r="C539" s="99" t="s">
        <v>1033</v>
      </c>
      <c r="D539" s="99" t="s">
        <v>73</v>
      </c>
      <c r="E539">
        <v>1071</v>
      </c>
      <c r="F539">
        <v>1076</v>
      </c>
      <c r="G539" s="102" t="s">
        <v>153</v>
      </c>
      <c r="H539" t="s">
        <v>1036</v>
      </c>
      <c r="J539">
        <f>SUM(K540)</f>
        <v>0</v>
      </c>
      <c r="K539">
        <f>I539*J539</f>
        <v>0</v>
      </c>
      <c r="L539" t="e">
        <f>100*(1-(M539/K539))</f>
        <v>#DIV/0!</v>
      </c>
      <c r="M539">
        <f>I539*SUM(M540)</f>
        <v>0</v>
      </c>
      <c r="N539">
        <v>539</v>
      </c>
    </row>
    <row r="540" spans="1:14" x14ac:dyDescent="0.25">
      <c r="A540" s="99" t="s">
        <v>1037</v>
      </c>
      <c r="B540" s="99">
        <v>6</v>
      </c>
      <c r="C540" s="99" t="s">
        <v>1035</v>
      </c>
      <c r="D540" s="99" t="s">
        <v>73</v>
      </c>
      <c r="E540">
        <v>1072</v>
      </c>
      <c r="F540">
        <v>1075</v>
      </c>
      <c r="G540" s="102" t="s">
        <v>153</v>
      </c>
      <c r="H540" t="s">
        <v>976</v>
      </c>
      <c r="J540">
        <f>SUM(K541)</f>
        <v>0</v>
      </c>
      <c r="K540">
        <f>I540*J540</f>
        <v>0</v>
      </c>
      <c r="L540" t="e">
        <f>100*(1-(M540/K540))</f>
        <v>#DIV/0!</v>
      </c>
      <c r="M540">
        <f>I540*SUM(M541)</f>
        <v>0</v>
      </c>
      <c r="N540">
        <v>540</v>
      </c>
    </row>
    <row r="541" spans="1:14" x14ac:dyDescent="0.25">
      <c r="A541" s="99" t="s">
        <v>1038</v>
      </c>
      <c r="B541" s="99">
        <v>7</v>
      </c>
      <c r="C541" s="99" t="s">
        <v>1037</v>
      </c>
      <c r="D541" s="99" t="s">
        <v>73</v>
      </c>
      <c r="E541">
        <v>1073</v>
      </c>
      <c r="F541">
        <v>1074</v>
      </c>
      <c r="G541" s="102" t="s">
        <v>73</v>
      </c>
      <c r="H541" t="s">
        <v>1007</v>
      </c>
      <c r="N541">
        <v>541</v>
      </c>
    </row>
    <row r="542" spans="1:14" x14ac:dyDescent="0.25">
      <c r="A542" s="99" t="s">
        <v>1039</v>
      </c>
      <c r="B542" s="99">
        <v>4</v>
      </c>
      <c r="C542" s="99" t="s">
        <v>947</v>
      </c>
      <c r="D542" s="99" t="s">
        <v>213</v>
      </c>
      <c r="E542">
        <v>1078</v>
      </c>
      <c r="F542">
        <v>1085</v>
      </c>
      <c r="G542" s="102" t="s">
        <v>153</v>
      </c>
      <c r="H542" t="s">
        <v>1040</v>
      </c>
      <c r="J542">
        <f>SUM(K543)</f>
        <v>0</v>
      </c>
      <c r="K542">
        <f>I542*J542</f>
        <v>0</v>
      </c>
      <c r="L542" t="e">
        <f>100*(1-(M542/K542))</f>
        <v>#DIV/0!</v>
      </c>
      <c r="M542">
        <f>I542*SUM(M543)</f>
        <v>0</v>
      </c>
      <c r="N542">
        <v>542</v>
      </c>
    </row>
    <row r="543" spans="1:14" x14ac:dyDescent="0.25">
      <c r="A543" s="99" t="s">
        <v>1041</v>
      </c>
      <c r="B543" s="99">
        <v>5</v>
      </c>
      <c r="C543" s="99" t="s">
        <v>1039</v>
      </c>
      <c r="D543" s="99" t="s">
        <v>73</v>
      </c>
      <c r="E543">
        <v>1079</v>
      </c>
      <c r="F543">
        <v>1084</v>
      </c>
      <c r="G543" s="102" t="s">
        <v>153</v>
      </c>
      <c r="H543" t="s">
        <v>1042</v>
      </c>
      <c r="J543">
        <f>SUM(K544)</f>
        <v>0</v>
      </c>
      <c r="K543">
        <f>I543*J543</f>
        <v>0</v>
      </c>
      <c r="L543" t="e">
        <f>100*(1-(M543/K543))</f>
        <v>#DIV/0!</v>
      </c>
      <c r="M543">
        <f>I543*SUM(M544)</f>
        <v>0</v>
      </c>
      <c r="N543">
        <v>543</v>
      </c>
    </row>
    <row r="544" spans="1:14" x14ac:dyDescent="0.25">
      <c r="A544" s="99" t="s">
        <v>1043</v>
      </c>
      <c r="B544" s="99">
        <v>6</v>
      </c>
      <c r="C544" s="99" t="s">
        <v>1041</v>
      </c>
      <c r="D544" s="99" t="s">
        <v>73</v>
      </c>
      <c r="E544">
        <v>1080</v>
      </c>
      <c r="F544">
        <v>1083</v>
      </c>
      <c r="G544" s="102" t="s">
        <v>153</v>
      </c>
      <c r="H544" t="s">
        <v>976</v>
      </c>
      <c r="J544">
        <f>SUM(K545)</f>
        <v>0</v>
      </c>
      <c r="K544">
        <f>I544*J544</f>
        <v>0</v>
      </c>
      <c r="L544" t="e">
        <f>100*(1-(M544/K544))</f>
        <v>#DIV/0!</v>
      </c>
      <c r="M544">
        <f>I544*SUM(M545)</f>
        <v>0</v>
      </c>
      <c r="N544">
        <v>544</v>
      </c>
    </row>
    <row r="545" spans="1:14" x14ac:dyDescent="0.25">
      <c r="A545" s="99" t="s">
        <v>1044</v>
      </c>
      <c r="B545" s="99">
        <v>7</v>
      </c>
      <c r="C545" s="99" t="s">
        <v>1043</v>
      </c>
      <c r="D545" s="99" t="s">
        <v>73</v>
      </c>
      <c r="E545">
        <v>1081</v>
      </c>
      <c r="F545">
        <v>1082</v>
      </c>
      <c r="G545" s="102" t="s">
        <v>73</v>
      </c>
      <c r="H545" t="s">
        <v>1007</v>
      </c>
      <c r="N545">
        <v>545</v>
      </c>
    </row>
    <row r="546" spans="1:14" x14ac:dyDescent="0.25">
      <c r="A546" s="99" t="s">
        <v>1045</v>
      </c>
      <c r="B546" s="99">
        <v>3</v>
      </c>
      <c r="C546" s="99" t="s">
        <v>945</v>
      </c>
      <c r="D546" s="99" t="s">
        <v>93</v>
      </c>
      <c r="E546">
        <v>1087</v>
      </c>
      <c r="F546">
        <v>1098</v>
      </c>
      <c r="G546" s="102" t="s">
        <v>153</v>
      </c>
      <c r="H546" t="s">
        <v>1046</v>
      </c>
      <c r="J546">
        <f>SUM(K547)</f>
        <v>0</v>
      </c>
      <c r="K546">
        <f>I546*J546</f>
        <v>0</v>
      </c>
      <c r="L546" t="e">
        <f>100*(1-(M546/K546))</f>
        <v>#DIV/0!</v>
      </c>
      <c r="M546">
        <f>I546*SUM(M547)</f>
        <v>0</v>
      </c>
      <c r="N546">
        <v>546</v>
      </c>
    </row>
    <row r="547" spans="1:14" x14ac:dyDescent="0.25">
      <c r="A547" s="99" t="s">
        <v>1047</v>
      </c>
      <c r="B547" s="99">
        <v>4</v>
      </c>
      <c r="C547" s="99" t="s">
        <v>1045</v>
      </c>
      <c r="D547" s="99" t="s">
        <v>73</v>
      </c>
      <c r="E547">
        <v>1088</v>
      </c>
      <c r="F547">
        <v>1097</v>
      </c>
      <c r="G547" s="102" t="s">
        <v>153</v>
      </c>
      <c r="H547" t="s">
        <v>1048</v>
      </c>
      <c r="J547">
        <f>SUM(K548)</f>
        <v>0</v>
      </c>
      <c r="K547">
        <f>I547*J547</f>
        <v>0</v>
      </c>
      <c r="L547" t="e">
        <f>100*(1-(M547/K547))</f>
        <v>#DIV/0!</v>
      </c>
      <c r="M547">
        <f>I547*SUM(M548)</f>
        <v>0</v>
      </c>
      <c r="N547">
        <v>547</v>
      </c>
    </row>
    <row r="548" spans="1:14" x14ac:dyDescent="0.25">
      <c r="A548" s="99" t="s">
        <v>1049</v>
      </c>
      <c r="B548" s="99">
        <v>5</v>
      </c>
      <c r="C548" s="99" t="s">
        <v>1047</v>
      </c>
      <c r="D548" s="99" t="s">
        <v>73</v>
      </c>
      <c r="E548">
        <v>1089</v>
      </c>
      <c r="F548">
        <v>1096</v>
      </c>
      <c r="G548" s="102" t="s">
        <v>153</v>
      </c>
      <c r="H548" t="s">
        <v>1046</v>
      </c>
      <c r="J548">
        <f>SUM(K549,K550,K551)</f>
        <v>0</v>
      </c>
      <c r="K548">
        <f>I548*J548</f>
        <v>0</v>
      </c>
      <c r="L548" t="e">
        <f>100*(1-(M548/K548))</f>
        <v>#DIV/0!</v>
      </c>
      <c r="M548">
        <f>I548*SUM(M549,M550,M551)</f>
        <v>0</v>
      </c>
      <c r="N548">
        <v>548</v>
      </c>
    </row>
    <row r="549" spans="1:14" x14ac:dyDescent="0.25">
      <c r="A549" s="99" t="s">
        <v>1050</v>
      </c>
      <c r="B549" s="99">
        <v>6</v>
      </c>
      <c r="C549" s="99" t="s">
        <v>1049</v>
      </c>
      <c r="D549" s="99" t="s">
        <v>73</v>
      </c>
      <c r="E549">
        <v>1090</v>
      </c>
      <c r="F549">
        <v>1091</v>
      </c>
      <c r="G549" s="102" t="s">
        <v>73</v>
      </c>
      <c r="H549" t="s">
        <v>1051</v>
      </c>
      <c r="N549">
        <v>549</v>
      </c>
    </row>
    <row r="550" spans="1:14" x14ac:dyDescent="0.25">
      <c r="A550" s="99" t="s">
        <v>1052</v>
      </c>
      <c r="B550" s="99">
        <v>6</v>
      </c>
      <c r="C550" s="99" t="s">
        <v>1049</v>
      </c>
      <c r="D550" s="99" t="s">
        <v>93</v>
      </c>
      <c r="E550">
        <v>1092</v>
      </c>
      <c r="F550">
        <v>1093</v>
      </c>
      <c r="G550" s="102" t="s">
        <v>73</v>
      </c>
      <c r="H550" t="s">
        <v>1053</v>
      </c>
      <c r="N550">
        <v>550</v>
      </c>
    </row>
    <row r="551" spans="1:14" x14ac:dyDescent="0.25">
      <c r="A551" s="99" t="s">
        <v>1054</v>
      </c>
      <c r="B551" s="99">
        <v>6</v>
      </c>
      <c r="C551" s="99" t="s">
        <v>1049</v>
      </c>
      <c r="D551" s="99" t="s">
        <v>94</v>
      </c>
      <c r="E551">
        <v>1094</v>
      </c>
      <c r="F551">
        <v>1095</v>
      </c>
      <c r="G551" s="102" t="s">
        <v>73</v>
      </c>
      <c r="H551" t="s">
        <v>1055</v>
      </c>
      <c r="N551">
        <v>551</v>
      </c>
    </row>
    <row r="552" spans="1:14" x14ac:dyDescent="0.25">
      <c r="A552" s="99" t="s">
        <v>1056</v>
      </c>
      <c r="B552" s="99">
        <v>3</v>
      </c>
      <c r="C552" s="99" t="s">
        <v>945</v>
      </c>
      <c r="D552" s="99" t="s">
        <v>94</v>
      </c>
      <c r="E552">
        <v>1099</v>
      </c>
      <c r="F552">
        <v>1110</v>
      </c>
      <c r="G552" s="102" t="s">
        <v>153</v>
      </c>
      <c r="H552" t="s">
        <v>1057</v>
      </c>
      <c r="J552">
        <f>SUM(K553)</f>
        <v>0</v>
      </c>
      <c r="K552">
        <f>I552*J552</f>
        <v>0</v>
      </c>
      <c r="L552" t="e">
        <f>100*(1-(M552/K552))</f>
        <v>#DIV/0!</v>
      </c>
      <c r="M552">
        <f>I552*SUM(M553)</f>
        <v>0</v>
      </c>
      <c r="N552">
        <v>552</v>
      </c>
    </row>
    <row r="553" spans="1:14" x14ac:dyDescent="0.25">
      <c r="A553" s="99" t="s">
        <v>1058</v>
      </c>
      <c r="B553" s="99">
        <v>4</v>
      </c>
      <c r="C553" s="99" t="s">
        <v>1056</v>
      </c>
      <c r="D553" s="99" t="s">
        <v>73</v>
      </c>
      <c r="E553">
        <v>1100</v>
      </c>
      <c r="F553">
        <v>1109</v>
      </c>
      <c r="G553" s="102" t="s">
        <v>153</v>
      </c>
      <c r="H553" t="s">
        <v>1059</v>
      </c>
      <c r="J553">
        <f>SUM(K554)</f>
        <v>0</v>
      </c>
      <c r="K553">
        <f>I553*J553</f>
        <v>0</v>
      </c>
      <c r="L553" t="e">
        <f>100*(1-(M553/K553))</f>
        <v>#DIV/0!</v>
      </c>
      <c r="M553">
        <f>I553*SUM(M554)</f>
        <v>0</v>
      </c>
      <c r="N553">
        <v>553</v>
      </c>
    </row>
    <row r="554" spans="1:14" x14ac:dyDescent="0.25">
      <c r="A554" s="99" t="s">
        <v>1060</v>
      </c>
      <c r="B554" s="99">
        <v>5</v>
      </c>
      <c r="C554" s="99" t="s">
        <v>1058</v>
      </c>
      <c r="D554" s="99" t="s">
        <v>73</v>
      </c>
      <c r="E554">
        <v>1101</v>
      </c>
      <c r="F554">
        <v>1108</v>
      </c>
      <c r="G554" s="102" t="s">
        <v>153</v>
      </c>
      <c r="H554" t="s">
        <v>1057</v>
      </c>
      <c r="J554">
        <f>SUM(K555,K556,K557)</f>
        <v>0</v>
      </c>
      <c r="K554">
        <f>I554*J554</f>
        <v>0</v>
      </c>
      <c r="L554" t="e">
        <f>100*(1-(M554/K554))</f>
        <v>#DIV/0!</v>
      </c>
      <c r="M554">
        <f>I554*SUM(M555,M556,M557)</f>
        <v>0</v>
      </c>
      <c r="N554">
        <v>554</v>
      </c>
    </row>
    <row r="555" spans="1:14" x14ac:dyDescent="0.25">
      <c r="A555" s="99" t="s">
        <v>1061</v>
      </c>
      <c r="B555" s="99">
        <v>6</v>
      </c>
      <c r="C555" s="99" t="s">
        <v>1060</v>
      </c>
      <c r="D555" s="99" t="s">
        <v>73</v>
      </c>
      <c r="E555">
        <v>1102</v>
      </c>
      <c r="F555">
        <v>1103</v>
      </c>
      <c r="G555" s="102" t="s">
        <v>73</v>
      </c>
      <c r="H555" t="s">
        <v>1062</v>
      </c>
      <c r="N555">
        <v>555</v>
      </c>
    </row>
    <row r="556" spans="1:14" x14ac:dyDescent="0.25">
      <c r="A556" s="99" t="s">
        <v>1063</v>
      </c>
      <c r="B556" s="99">
        <v>6</v>
      </c>
      <c r="C556" s="99" t="s">
        <v>1060</v>
      </c>
      <c r="D556" s="99" t="s">
        <v>93</v>
      </c>
      <c r="E556">
        <v>1104</v>
      </c>
      <c r="F556">
        <v>1105</v>
      </c>
      <c r="G556" s="102" t="s">
        <v>73</v>
      </c>
      <c r="H556" t="s">
        <v>1064</v>
      </c>
      <c r="N556">
        <v>556</v>
      </c>
    </row>
    <row r="557" spans="1:14" x14ac:dyDescent="0.25">
      <c r="A557" s="99" t="s">
        <v>1065</v>
      </c>
      <c r="B557" s="99">
        <v>6</v>
      </c>
      <c r="C557" s="99" t="s">
        <v>1060</v>
      </c>
      <c r="D557" s="99" t="s">
        <v>94</v>
      </c>
      <c r="E557">
        <v>1106</v>
      </c>
      <c r="F557">
        <v>1107</v>
      </c>
      <c r="G557" s="102" t="s">
        <v>73</v>
      </c>
      <c r="H557" t="s">
        <v>1066</v>
      </c>
      <c r="N557">
        <v>557</v>
      </c>
    </row>
    <row r="558" spans="1:14" x14ac:dyDescent="0.25">
      <c r="A558" s="99" t="s">
        <v>1067</v>
      </c>
      <c r="B558" s="99">
        <v>3</v>
      </c>
      <c r="C558" s="99" t="s">
        <v>945</v>
      </c>
      <c r="D558" s="99" t="s">
        <v>95</v>
      </c>
      <c r="E558">
        <v>1111</v>
      </c>
      <c r="F558">
        <v>1122</v>
      </c>
      <c r="G558" s="102" t="s">
        <v>153</v>
      </c>
      <c r="H558" t="s">
        <v>1068</v>
      </c>
      <c r="J558">
        <f>SUM(K559)</f>
        <v>0</v>
      </c>
      <c r="K558">
        <f>I558*J558</f>
        <v>0</v>
      </c>
      <c r="L558" t="e">
        <f>100*(1-(M558/K558))</f>
        <v>#DIV/0!</v>
      </c>
      <c r="M558">
        <f>I558*SUM(M559)</f>
        <v>0</v>
      </c>
      <c r="N558">
        <v>558</v>
      </c>
    </row>
    <row r="559" spans="1:14" x14ac:dyDescent="0.25">
      <c r="A559" s="99" t="s">
        <v>1069</v>
      </c>
      <c r="B559" s="99">
        <v>4</v>
      </c>
      <c r="C559" s="99" t="s">
        <v>1067</v>
      </c>
      <c r="D559" s="99" t="s">
        <v>73</v>
      </c>
      <c r="E559">
        <v>1112</v>
      </c>
      <c r="F559">
        <v>1121</v>
      </c>
      <c r="G559" s="102" t="s">
        <v>153</v>
      </c>
      <c r="H559" t="s">
        <v>1070</v>
      </c>
      <c r="J559">
        <f>SUM(K560)</f>
        <v>0</v>
      </c>
      <c r="K559">
        <f>I559*J559</f>
        <v>0</v>
      </c>
      <c r="L559" t="e">
        <f>100*(1-(M559/K559))</f>
        <v>#DIV/0!</v>
      </c>
      <c r="M559">
        <f>I559*SUM(M560)</f>
        <v>0</v>
      </c>
      <c r="N559">
        <v>559</v>
      </c>
    </row>
    <row r="560" spans="1:14" x14ac:dyDescent="0.25">
      <c r="A560" s="99" t="s">
        <v>1071</v>
      </c>
      <c r="B560" s="99">
        <v>5</v>
      </c>
      <c r="C560" s="99" t="s">
        <v>1069</v>
      </c>
      <c r="D560" s="99" t="s">
        <v>73</v>
      </c>
      <c r="E560">
        <v>1113</v>
      </c>
      <c r="F560">
        <v>1120</v>
      </c>
      <c r="G560" s="102" t="s">
        <v>153</v>
      </c>
      <c r="H560" t="s">
        <v>1068</v>
      </c>
      <c r="J560">
        <f>SUM(K561,K562,K563)</f>
        <v>0</v>
      </c>
      <c r="K560">
        <f>I560*J560</f>
        <v>0</v>
      </c>
      <c r="L560" t="e">
        <f>100*(1-(M560/K560))</f>
        <v>#DIV/0!</v>
      </c>
      <c r="M560">
        <f>I560*SUM(M561,M562,M563)</f>
        <v>0</v>
      </c>
      <c r="N560">
        <v>560</v>
      </c>
    </row>
    <row r="561" spans="1:14" x14ac:dyDescent="0.25">
      <c r="A561" s="99" t="s">
        <v>1072</v>
      </c>
      <c r="B561" s="99">
        <v>6</v>
      </c>
      <c r="C561" s="99" t="s">
        <v>1071</v>
      </c>
      <c r="D561" s="99" t="s">
        <v>73</v>
      </c>
      <c r="E561">
        <v>1114</v>
      </c>
      <c r="F561">
        <v>1115</v>
      </c>
      <c r="G561" s="102" t="s">
        <v>73</v>
      </c>
      <c r="H561" t="s">
        <v>1073</v>
      </c>
      <c r="N561">
        <v>561</v>
      </c>
    </row>
    <row r="562" spans="1:14" x14ac:dyDescent="0.25">
      <c r="A562" s="99" t="s">
        <v>1074</v>
      </c>
      <c r="B562" s="99">
        <v>6</v>
      </c>
      <c r="C562" s="99" t="s">
        <v>1071</v>
      </c>
      <c r="D562" s="99" t="s">
        <v>93</v>
      </c>
      <c r="E562">
        <v>1116</v>
      </c>
      <c r="F562">
        <v>1117</v>
      </c>
      <c r="G562" s="102" t="s">
        <v>73</v>
      </c>
      <c r="H562" t="s">
        <v>1075</v>
      </c>
      <c r="N562">
        <v>562</v>
      </c>
    </row>
    <row r="563" spans="1:14" x14ac:dyDescent="0.25">
      <c r="A563" s="99" t="s">
        <v>1076</v>
      </c>
      <c r="B563" s="99">
        <v>6</v>
      </c>
      <c r="C563" s="99" t="s">
        <v>1071</v>
      </c>
      <c r="D563" s="99" t="s">
        <v>94</v>
      </c>
      <c r="E563">
        <v>1118</v>
      </c>
      <c r="F563">
        <v>1119</v>
      </c>
      <c r="G563" s="102" t="s">
        <v>73</v>
      </c>
      <c r="H563" t="s">
        <v>1077</v>
      </c>
      <c r="N563">
        <v>563</v>
      </c>
    </row>
    <row r="564" spans="1:14" x14ac:dyDescent="0.25">
      <c r="A564" s="99" t="s">
        <v>1078</v>
      </c>
      <c r="B564" s="99">
        <v>3</v>
      </c>
      <c r="C564" s="99" t="s">
        <v>945</v>
      </c>
      <c r="D564" s="99" t="s">
        <v>96</v>
      </c>
      <c r="E564">
        <v>1123</v>
      </c>
      <c r="F564">
        <v>1134</v>
      </c>
      <c r="G564" s="102" t="s">
        <v>153</v>
      </c>
      <c r="H564" t="s">
        <v>1079</v>
      </c>
      <c r="J564">
        <f>SUM(K565)</f>
        <v>0</v>
      </c>
      <c r="K564">
        <f>I564*J564</f>
        <v>0</v>
      </c>
      <c r="L564" t="e">
        <f>100*(1-(M564/K564))</f>
        <v>#DIV/0!</v>
      </c>
      <c r="M564">
        <f>I564*SUM(M565)</f>
        <v>0</v>
      </c>
      <c r="N564">
        <v>564</v>
      </c>
    </row>
    <row r="565" spans="1:14" x14ac:dyDescent="0.25">
      <c r="A565" s="99" t="s">
        <v>1080</v>
      </c>
      <c r="B565" s="99">
        <v>4</v>
      </c>
      <c r="C565" s="99" t="s">
        <v>1078</v>
      </c>
      <c r="D565" s="99" t="s">
        <v>73</v>
      </c>
      <c r="E565">
        <v>1124</v>
      </c>
      <c r="F565">
        <v>1133</v>
      </c>
      <c r="G565" s="102" t="s">
        <v>153</v>
      </c>
      <c r="H565" t="s">
        <v>1081</v>
      </c>
      <c r="J565">
        <f>SUM(K566)</f>
        <v>0</v>
      </c>
      <c r="K565">
        <f>I565*J565</f>
        <v>0</v>
      </c>
      <c r="L565" t="e">
        <f>100*(1-(M565/K565))</f>
        <v>#DIV/0!</v>
      </c>
      <c r="M565">
        <f>I565*SUM(M566)</f>
        <v>0</v>
      </c>
      <c r="N565">
        <v>565</v>
      </c>
    </row>
    <row r="566" spans="1:14" x14ac:dyDescent="0.25">
      <c r="A566" s="99" t="s">
        <v>1082</v>
      </c>
      <c r="B566" s="99">
        <v>5</v>
      </c>
      <c r="C566" s="99" t="s">
        <v>1080</v>
      </c>
      <c r="D566" s="99" t="s">
        <v>73</v>
      </c>
      <c r="E566">
        <v>1125</v>
      </c>
      <c r="F566">
        <v>1132</v>
      </c>
      <c r="G566" s="102" t="s">
        <v>153</v>
      </c>
      <c r="H566" t="s">
        <v>1079</v>
      </c>
      <c r="J566">
        <f>SUM(K567,K568,K569)</f>
        <v>0</v>
      </c>
      <c r="K566">
        <f>I566*J566</f>
        <v>0</v>
      </c>
      <c r="L566" t="e">
        <f>100*(1-(M566/K566))</f>
        <v>#DIV/0!</v>
      </c>
      <c r="M566">
        <f>I566*SUM(M567,M568,M569)</f>
        <v>0</v>
      </c>
      <c r="N566">
        <v>566</v>
      </c>
    </row>
    <row r="567" spans="1:14" x14ac:dyDescent="0.25">
      <c r="A567" s="99" t="s">
        <v>1083</v>
      </c>
      <c r="B567" s="99">
        <v>6</v>
      </c>
      <c r="C567" s="99" t="s">
        <v>1082</v>
      </c>
      <c r="D567" s="99" t="s">
        <v>73</v>
      </c>
      <c r="E567">
        <v>1126</v>
      </c>
      <c r="F567">
        <v>1127</v>
      </c>
      <c r="G567" s="102" t="s">
        <v>73</v>
      </c>
      <c r="H567" t="s">
        <v>1084</v>
      </c>
      <c r="N567">
        <v>567</v>
      </c>
    </row>
    <row r="568" spans="1:14" x14ac:dyDescent="0.25">
      <c r="A568" s="99" t="s">
        <v>1085</v>
      </c>
      <c r="B568" s="99">
        <v>6</v>
      </c>
      <c r="C568" s="99" t="s">
        <v>1082</v>
      </c>
      <c r="D568" s="99" t="s">
        <v>93</v>
      </c>
      <c r="E568">
        <v>1128</v>
      </c>
      <c r="F568">
        <v>1129</v>
      </c>
      <c r="G568" s="102" t="s">
        <v>73</v>
      </c>
      <c r="H568" t="s">
        <v>1086</v>
      </c>
      <c r="N568">
        <v>568</v>
      </c>
    </row>
    <row r="569" spans="1:14" x14ac:dyDescent="0.25">
      <c r="A569" s="99" t="s">
        <v>1087</v>
      </c>
      <c r="B569" s="99">
        <v>6</v>
      </c>
      <c r="C569" s="99" t="s">
        <v>1082</v>
      </c>
      <c r="D569" s="99" t="s">
        <v>94</v>
      </c>
      <c r="E569">
        <v>1130</v>
      </c>
      <c r="F569">
        <v>1131</v>
      </c>
      <c r="G569" s="102" t="s">
        <v>73</v>
      </c>
      <c r="H569" t="s">
        <v>1088</v>
      </c>
      <c r="N569">
        <v>569</v>
      </c>
    </row>
    <row r="570" spans="1:14" x14ac:dyDescent="0.25">
      <c r="A570" s="99" t="s">
        <v>1089</v>
      </c>
      <c r="B570" s="99">
        <v>2</v>
      </c>
      <c r="C570" s="99" t="s">
        <v>73</v>
      </c>
      <c r="D570" s="99" t="s">
        <v>213</v>
      </c>
      <c r="E570">
        <v>1136</v>
      </c>
      <c r="F570">
        <v>1175</v>
      </c>
      <c r="G570" s="102" t="s">
        <v>153</v>
      </c>
      <c r="H570" t="s">
        <v>1090</v>
      </c>
      <c r="J570">
        <f>SUM(K571,K584)</f>
        <v>0</v>
      </c>
      <c r="K570">
        <f>I570*J570</f>
        <v>0</v>
      </c>
      <c r="L570" t="e">
        <f>100*(1-(M570/K570))</f>
        <v>#DIV/0!</v>
      </c>
      <c r="M570">
        <f>I570*SUM(M571,M584)</f>
        <v>0</v>
      </c>
      <c r="N570">
        <v>570</v>
      </c>
    </row>
    <row r="571" spans="1:14" x14ac:dyDescent="0.25">
      <c r="A571" s="99" t="s">
        <v>1091</v>
      </c>
      <c r="B571" s="99">
        <v>3</v>
      </c>
      <c r="C571" s="99" t="s">
        <v>1089</v>
      </c>
      <c r="D571" s="99" t="s">
        <v>73</v>
      </c>
      <c r="E571">
        <v>1137</v>
      </c>
      <c r="F571">
        <v>1162</v>
      </c>
      <c r="G571" s="102" t="s">
        <v>153</v>
      </c>
      <c r="H571" t="s">
        <v>400</v>
      </c>
      <c r="J571">
        <f>SUM(K572)</f>
        <v>0</v>
      </c>
      <c r="K571">
        <f>I571*J571</f>
        <v>0</v>
      </c>
      <c r="L571" t="e">
        <f>100*(1-(M571/K571))</f>
        <v>#DIV/0!</v>
      </c>
      <c r="M571">
        <f>I571*SUM(M572)</f>
        <v>0</v>
      </c>
      <c r="N571">
        <v>571</v>
      </c>
    </row>
    <row r="572" spans="1:14" x14ac:dyDescent="0.25">
      <c r="A572" s="99" t="s">
        <v>1092</v>
      </c>
      <c r="B572" s="99">
        <v>4</v>
      </c>
      <c r="C572" s="99" t="s">
        <v>1091</v>
      </c>
      <c r="D572" s="99" t="s">
        <v>73</v>
      </c>
      <c r="E572">
        <v>1138</v>
      </c>
      <c r="F572">
        <v>1161</v>
      </c>
      <c r="G572" s="102" t="s">
        <v>153</v>
      </c>
      <c r="H572" t="s">
        <v>1093</v>
      </c>
      <c r="J572">
        <f>SUM(K573,K580,K582)</f>
        <v>0</v>
      </c>
      <c r="K572">
        <f>I572*J572</f>
        <v>0</v>
      </c>
      <c r="L572" t="e">
        <f>100*(1-(M572/K572))</f>
        <v>#DIV/0!</v>
      </c>
      <c r="M572">
        <f>I572*SUM(M573,M580,M582)</f>
        <v>0</v>
      </c>
      <c r="N572">
        <v>572</v>
      </c>
    </row>
    <row r="573" spans="1:14" x14ac:dyDescent="0.25">
      <c r="A573" s="99" t="s">
        <v>1094</v>
      </c>
      <c r="B573" s="99">
        <v>5</v>
      </c>
      <c r="C573" s="99" t="s">
        <v>1092</v>
      </c>
      <c r="D573" s="99" t="s">
        <v>73</v>
      </c>
      <c r="E573">
        <v>1139</v>
      </c>
      <c r="F573">
        <v>1152</v>
      </c>
      <c r="G573" s="102" t="s">
        <v>153</v>
      </c>
      <c r="H573" t="s">
        <v>1095</v>
      </c>
      <c r="J573">
        <f>SUM(K574,K575,K576,K577,K578,K579)</f>
        <v>0</v>
      </c>
      <c r="K573">
        <f>I573*J573</f>
        <v>0</v>
      </c>
      <c r="L573" t="e">
        <f>100*(1-(M573/K573))</f>
        <v>#DIV/0!</v>
      </c>
      <c r="M573">
        <f>I573*SUM(M574,M575,M576,M577,M578,M579)</f>
        <v>0</v>
      </c>
      <c r="N573">
        <v>573</v>
      </c>
    </row>
    <row r="574" spans="1:14" x14ac:dyDescent="0.25">
      <c r="A574" s="99" t="s">
        <v>1096</v>
      </c>
      <c r="B574" s="99">
        <v>6</v>
      </c>
      <c r="C574" s="99" t="s">
        <v>1094</v>
      </c>
      <c r="D574" s="99" t="s">
        <v>73</v>
      </c>
      <c r="E574">
        <v>1140</v>
      </c>
      <c r="F574">
        <v>1141</v>
      </c>
      <c r="G574" s="102" t="s">
        <v>73</v>
      </c>
      <c r="H574" t="s">
        <v>1097</v>
      </c>
      <c r="N574">
        <v>574</v>
      </c>
    </row>
    <row r="575" spans="1:14" x14ac:dyDescent="0.25">
      <c r="A575" s="99" t="s">
        <v>1098</v>
      </c>
      <c r="B575" s="99">
        <v>6</v>
      </c>
      <c r="C575" s="99" t="s">
        <v>1094</v>
      </c>
      <c r="D575" s="99" t="s">
        <v>93</v>
      </c>
      <c r="E575">
        <v>1142</v>
      </c>
      <c r="F575">
        <v>1143</v>
      </c>
      <c r="G575" s="102" t="s">
        <v>73</v>
      </c>
      <c r="H575" t="s">
        <v>1099</v>
      </c>
      <c r="N575">
        <v>575</v>
      </c>
    </row>
    <row r="576" spans="1:14" x14ac:dyDescent="0.25">
      <c r="A576" s="99" t="s">
        <v>1100</v>
      </c>
      <c r="B576" s="99">
        <v>6</v>
      </c>
      <c r="C576" s="99" t="s">
        <v>1094</v>
      </c>
      <c r="D576" s="99" t="s">
        <v>94</v>
      </c>
      <c r="E576">
        <v>1144</v>
      </c>
      <c r="F576">
        <v>1145</v>
      </c>
      <c r="G576" s="102" t="s">
        <v>73</v>
      </c>
      <c r="H576" t="s">
        <v>1101</v>
      </c>
      <c r="N576">
        <v>576</v>
      </c>
    </row>
    <row r="577" spans="1:14" x14ac:dyDescent="0.25">
      <c r="A577" s="99" t="s">
        <v>1102</v>
      </c>
      <c r="B577" s="99">
        <v>6</v>
      </c>
      <c r="C577" s="99" t="s">
        <v>1094</v>
      </c>
      <c r="D577" s="99" t="s">
        <v>95</v>
      </c>
      <c r="E577">
        <v>1146</v>
      </c>
      <c r="F577">
        <v>1147</v>
      </c>
      <c r="G577" s="102" t="s">
        <v>73</v>
      </c>
      <c r="H577" t="s">
        <v>1103</v>
      </c>
      <c r="N577">
        <v>577</v>
      </c>
    </row>
    <row r="578" spans="1:14" x14ac:dyDescent="0.25">
      <c r="A578" s="99" t="s">
        <v>1104</v>
      </c>
      <c r="B578" s="99">
        <v>6</v>
      </c>
      <c r="C578" s="99" t="s">
        <v>1094</v>
      </c>
      <c r="D578" s="99" t="s">
        <v>96</v>
      </c>
      <c r="E578">
        <v>1148</v>
      </c>
      <c r="F578">
        <v>1149</v>
      </c>
      <c r="G578" s="102" t="s">
        <v>73</v>
      </c>
      <c r="H578" t="s">
        <v>1105</v>
      </c>
      <c r="N578">
        <v>578</v>
      </c>
    </row>
    <row r="579" spans="1:14" x14ac:dyDescent="0.25">
      <c r="A579" s="99" t="s">
        <v>1106</v>
      </c>
      <c r="B579" s="99">
        <v>6</v>
      </c>
      <c r="C579" s="99" t="s">
        <v>1094</v>
      </c>
      <c r="D579" s="99" t="s">
        <v>171</v>
      </c>
      <c r="E579">
        <v>1150</v>
      </c>
      <c r="F579">
        <v>1151</v>
      </c>
      <c r="G579" s="102" t="s">
        <v>73</v>
      </c>
      <c r="H579" t="s">
        <v>1107</v>
      </c>
      <c r="N579">
        <v>579</v>
      </c>
    </row>
    <row r="580" spans="1:14" x14ac:dyDescent="0.25">
      <c r="A580" s="99" t="s">
        <v>1108</v>
      </c>
      <c r="B580" s="99">
        <v>5</v>
      </c>
      <c r="C580" s="99" t="s">
        <v>1092</v>
      </c>
      <c r="D580" s="99" t="s">
        <v>93</v>
      </c>
      <c r="E580">
        <v>1153</v>
      </c>
      <c r="F580">
        <v>1156</v>
      </c>
      <c r="G580" s="102" t="s">
        <v>153</v>
      </c>
      <c r="H580" t="s">
        <v>1109</v>
      </c>
      <c r="J580">
        <f>SUM(K581)</f>
        <v>0</v>
      </c>
      <c r="K580">
        <f>I580*J580</f>
        <v>0</v>
      </c>
      <c r="L580" t="e">
        <f>100*(1-(M580/K580))</f>
        <v>#DIV/0!</v>
      </c>
      <c r="M580">
        <f>I580*SUM(M581)</f>
        <v>0</v>
      </c>
      <c r="N580">
        <v>580</v>
      </c>
    </row>
    <row r="581" spans="1:14" x14ac:dyDescent="0.25">
      <c r="A581" s="99" t="s">
        <v>1110</v>
      </c>
      <c r="B581" s="99">
        <v>6</v>
      </c>
      <c r="C581" s="99" t="s">
        <v>1108</v>
      </c>
      <c r="D581" s="99" t="s">
        <v>73</v>
      </c>
      <c r="E581">
        <v>1154</v>
      </c>
      <c r="F581">
        <v>1155</v>
      </c>
      <c r="G581" s="102" t="s">
        <v>73</v>
      </c>
      <c r="H581" t="s">
        <v>1111</v>
      </c>
      <c r="N581">
        <v>581</v>
      </c>
    </row>
    <row r="582" spans="1:14" x14ac:dyDescent="0.25">
      <c r="A582" s="99" t="s">
        <v>1112</v>
      </c>
      <c r="B582" s="99">
        <v>5</v>
      </c>
      <c r="C582" s="99" t="s">
        <v>1092</v>
      </c>
      <c r="D582" s="99" t="s">
        <v>94</v>
      </c>
      <c r="E582">
        <v>1157</v>
      </c>
      <c r="F582">
        <v>1160</v>
      </c>
      <c r="G582" s="102" t="s">
        <v>153</v>
      </c>
      <c r="H582" t="s">
        <v>1113</v>
      </c>
      <c r="J582">
        <f>SUM(K583)</f>
        <v>0</v>
      </c>
      <c r="K582">
        <f>I582*J582</f>
        <v>0</v>
      </c>
      <c r="L582" t="e">
        <f>100*(1-(M582/K582))</f>
        <v>#DIV/0!</v>
      </c>
      <c r="M582">
        <f>I582*SUM(M583)</f>
        <v>0</v>
      </c>
      <c r="N582">
        <v>582</v>
      </c>
    </row>
    <row r="583" spans="1:14" x14ac:dyDescent="0.25">
      <c r="A583" s="99" t="s">
        <v>1114</v>
      </c>
      <c r="B583" s="99">
        <v>6</v>
      </c>
      <c r="C583" s="99" t="s">
        <v>1112</v>
      </c>
      <c r="D583" s="99" t="s">
        <v>73</v>
      </c>
      <c r="E583">
        <v>1158</v>
      </c>
      <c r="F583">
        <v>1159</v>
      </c>
      <c r="G583" s="102" t="s">
        <v>73</v>
      </c>
      <c r="H583" t="s">
        <v>1115</v>
      </c>
      <c r="N583">
        <v>583</v>
      </c>
    </row>
    <row r="584" spans="1:14" x14ac:dyDescent="0.25">
      <c r="A584" s="99" t="s">
        <v>1116</v>
      </c>
      <c r="B584" s="99">
        <v>3</v>
      </c>
      <c r="C584" s="99" t="s">
        <v>1089</v>
      </c>
      <c r="D584" s="99" t="s">
        <v>93</v>
      </c>
      <c r="E584">
        <v>1163</v>
      </c>
      <c r="F584">
        <v>1174</v>
      </c>
      <c r="G584" s="102" t="s">
        <v>153</v>
      </c>
      <c r="H584" t="s">
        <v>1117</v>
      </c>
      <c r="J584">
        <f>SUM(K585)</f>
        <v>0</v>
      </c>
      <c r="K584">
        <f>I584*J584</f>
        <v>0</v>
      </c>
      <c r="L584" t="e">
        <f>100*(1-(M584/K584))</f>
        <v>#DIV/0!</v>
      </c>
      <c r="M584">
        <f>I584*SUM(M585)</f>
        <v>0</v>
      </c>
      <c r="N584">
        <v>584</v>
      </c>
    </row>
    <row r="585" spans="1:14" x14ac:dyDescent="0.25">
      <c r="A585" s="99" t="s">
        <v>1118</v>
      </c>
      <c r="B585" s="99">
        <v>4</v>
      </c>
      <c r="C585" s="99" t="s">
        <v>1116</v>
      </c>
      <c r="D585" s="99" t="s">
        <v>73</v>
      </c>
      <c r="E585">
        <v>1164</v>
      </c>
      <c r="F585">
        <v>1173</v>
      </c>
      <c r="G585" s="102" t="s">
        <v>153</v>
      </c>
      <c r="H585" t="s">
        <v>1117</v>
      </c>
      <c r="J585">
        <f>SUM(K586)</f>
        <v>0</v>
      </c>
      <c r="K585">
        <f>I585*J585</f>
        <v>0</v>
      </c>
      <c r="L585" t="e">
        <f>100*(1-(M585/K585))</f>
        <v>#DIV/0!</v>
      </c>
      <c r="M585">
        <f>I585*SUM(M586)</f>
        <v>0</v>
      </c>
      <c r="N585">
        <v>585</v>
      </c>
    </row>
    <row r="586" spans="1:14" x14ac:dyDescent="0.25">
      <c r="A586" s="99" t="s">
        <v>1119</v>
      </c>
      <c r="B586" s="99">
        <v>5</v>
      </c>
      <c r="C586" s="99" t="s">
        <v>1118</v>
      </c>
      <c r="D586" s="99" t="s">
        <v>73</v>
      </c>
      <c r="E586">
        <v>1165</v>
      </c>
      <c r="F586">
        <v>1172</v>
      </c>
      <c r="G586" s="102" t="s">
        <v>153</v>
      </c>
      <c r="H586" t="s">
        <v>1117</v>
      </c>
      <c r="J586">
        <f>SUM(K587,K588,K589)</f>
        <v>0</v>
      </c>
      <c r="K586">
        <f>I586*J586</f>
        <v>0</v>
      </c>
      <c r="L586" t="e">
        <f>100*(1-(M586/K586))</f>
        <v>#DIV/0!</v>
      </c>
      <c r="M586">
        <f>I586*SUM(M587,M588,M589)</f>
        <v>0</v>
      </c>
      <c r="N586">
        <v>586</v>
      </c>
    </row>
    <row r="587" spans="1:14" x14ac:dyDescent="0.25">
      <c r="A587" s="99" t="s">
        <v>1120</v>
      </c>
      <c r="B587" s="99">
        <v>6</v>
      </c>
      <c r="C587" s="99" t="s">
        <v>1119</v>
      </c>
      <c r="D587" s="99" t="s">
        <v>73</v>
      </c>
      <c r="E587">
        <v>1166</v>
      </c>
      <c r="F587">
        <v>1167</v>
      </c>
      <c r="G587" s="102" t="s">
        <v>73</v>
      </c>
      <c r="H587" t="s">
        <v>1121</v>
      </c>
      <c r="N587">
        <v>587</v>
      </c>
    </row>
    <row r="588" spans="1:14" x14ac:dyDescent="0.25">
      <c r="A588" s="99" t="s">
        <v>1122</v>
      </c>
      <c r="B588" s="99">
        <v>6</v>
      </c>
      <c r="C588" s="99" t="s">
        <v>1119</v>
      </c>
      <c r="D588" s="99" t="s">
        <v>93</v>
      </c>
      <c r="E588">
        <v>1168</v>
      </c>
      <c r="F588">
        <v>1169</v>
      </c>
      <c r="G588" s="102" t="s">
        <v>73</v>
      </c>
      <c r="H588" t="s">
        <v>1123</v>
      </c>
      <c r="N588">
        <v>588</v>
      </c>
    </row>
    <row r="589" spans="1:14" x14ac:dyDescent="0.25">
      <c r="A589" s="99" t="s">
        <v>1124</v>
      </c>
      <c r="B589" s="99">
        <v>6</v>
      </c>
      <c r="C589" s="99" t="s">
        <v>1119</v>
      </c>
      <c r="D589" s="99" t="s">
        <v>94</v>
      </c>
      <c r="E589">
        <v>1170</v>
      </c>
      <c r="F589">
        <v>1171</v>
      </c>
      <c r="G589" s="102" t="s">
        <v>73</v>
      </c>
      <c r="H589" t="s">
        <v>1125</v>
      </c>
      <c r="N589">
        <v>589</v>
      </c>
    </row>
    <row r="590" spans="1:14" x14ac:dyDescent="0.25">
      <c r="A590" s="99" t="s">
        <v>1126</v>
      </c>
      <c r="B590" s="99">
        <v>2</v>
      </c>
      <c r="C590" s="99" t="s">
        <v>73</v>
      </c>
      <c r="D590" s="99" t="s">
        <v>214</v>
      </c>
      <c r="E590">
        <v>1176</v>
      </c>
      <c r="F590">
        <v>1301</v>
      </c>
      <c r="G590" s="102" t="s">
        <v>153</v>
      </c>
      <c r="H590" t="s">
        <v>1127</v>
      </c>
      <c r="J590">
        <f>SUM(K591,K647)</f>
        <v>0</v>
      </c>
      <c r="K590">
        <f>I590*J590</f>
        <v>0</v>
      </c>
      <c r="L590" t="e">
        <f>100*(1-(M590/K590))</f>
        <v>#DIV/0!</v>
      </c>
      <c r="M590">
        <f>I590*SUM(M591,M647)</f>
        <v>0</v>
      </c>
      <c r="N590">
        <v>590</v>
      </c>
    </row>
    <row r="591" spans="1:14" x14ac:dyDescent="0.25">
      <c r="A591" s="99" t="s">
        <v>1128</v>
      </c>
      <c r="B591" s="99">
        <v>3</v>
      </c>
      <c r="C591" s="99" t="s">
        <v>1126</v>
      </c>
      <c r="D591" s="99" t="s">
        <v>73</v>
      </c>
      <c r="E591">
        <v>1177</v>
      </c>
      <c r="F591">
        <v>1288</v>
      </c>
      <c r="G591" s="102" t="s">
        <v>153</v>
      </c>
      <c r="H591" t="s">
        <v>1129</v>
      </c>
      <c r="J591">
        <f>SUM(K592,K644)</f>
        <v>0</v>
      </c>
      <c r="K591">
        <f>I591*J591</f>
        <v>0</v>
      </c>
      <c r="L591" t="e">
        <f>100*(1-(M591/K591))</f>
        <v>#DIV/0!</v>
      </c>
      <c r="M591">
        <f>I591*SUM(M592,M644)</f>
        <v>0</v>
      </c>
      <c r="N591">
        <v>591</v>
      </c>
    </row>
    <row r="592" spans="1:14" x14ac:dyDescent="0.25">
      <c r="A592" s="99" t="s">
        <v>1130</v>
      </c>
      <c r="B592" s="99">
        <v>4</v>
      </c>
      <c r="C592" s="99" t="s">
        <v>1128</v>
      </c>
      <c r="D592" s="99" t="s">
        <v>73</v>
      </c>
      <c r="E592">
        <v>1178</v>
      </c>
      <c r="F592">
        <v>1281</v>
      </c>
      <c r="G592" s="102" t="s">
        <v>153</v>
      </c>
      <c r="H592" t="s">
        <v>1131</v>
      </c>
      <c r="J592">
        <f>SUM(K593)</f>
        <v>0</v>
      </c>
      <c r="K592">
        <f>I592*J592</f>
        <v>0</v>
      </c>
      <c r="L592" t="e">
        <f>100*(1-(M592/K592))</f>
        <v>#DIV/0!</v>
      </c>
      <c r="M592">
        <f>I592*SUM(M593)</f>
        <v>0</v>
      </c>
      <c r="N592">
        <v>592</v>
      </c>
    </row>
    <row r="593" spans="1:14" x14ac:dyDescent="0.25">
      <c r="A593" s="99" t="s">
        <v>1132</v>
      </c>
      <c r="B593" s="99">
        <v>5</v>
      </c>
      <c r="C593" s="99" t="s">
        <v>1130</v>
      </c>
      <c r="D593" s="99" t="s">
        <v>73</v>
      </c>
      <c r="E593">
        <v>1179</v>
      </c>
      <c r="F593">
        <v>1280</v>
      </c>
      <c r="G593" s="102" t="s">
        <v>153</v>
      </c>
      <c r="H593" t="s">
        <v>1133</v>
      </c>
      <c r="J593">
        <f>SUM(K594,K596,K610,K621,K630)</f>
        <v>0</v>
      </c>
      <c r="K593">
        <f>I593*J593</f>
        <v>0</v>
      </c>
      <c r="L593" t="e">
        <f>100*(1-(M593/K593))</f>
        <v>#DIV/0!</v>
      </c>
      <c r="M593">
        <f>I593*SUM(M594,M596,M610,M621,M630)</f>
        <v>0</v>
      </c>
      <c r="N593">
        <v>593</v>
      </c>
    </row>
    <row r="594" spans="1:14" x14ac:dyDescent="0.25">
      <c r="A594" s="99" t="s">
        <v>1134</v>
      </c>
      <c r="B594" s="99">
        <v>6</v>
      </c>
      <c r="C594" s="99" t="s">
        <v>1132</v>
      </c>
      <c r="D594" s="99" t="s">
        <v>73</v>
      </c>
      <c r="E594">
        <v>1180</v>
      </c>
      <c r="F594">
        <v>1183</v>
      </c>
      <c r="G594" s="102" t="s">
        <v>153</v>
      </c>
      <c r="H594" t="s">
        <v>1135</v>
      </c>
      <c r="J594">
        <f>SUM(K595)</f>
        <v>0</v>
      </c>
      <c r="K594">
        <f>I594*J594</f>
        <v>0</v>
      </c>
      <c r="L594" t="e">
        <f>100*(1-(M594/K594))</f>
        <v>#DIV/0!</v>
      </c>
      <c r="M594">
        <f>I594*SUM(M595)</f>
        <v>0</v>
      </c>
      <c r="N594">
        <v>594</v>
      </c>
    </row>
    <row r="595" spans="1:14" x14ac:dyDescent="0.25">
      <c r="A595" s="99" t="s">
        <v>1136</v>
      </c>
      <c r="B595" s="99">
        <v>7</v>
      </c>
      <c r="C595" s="99" t="s">
        <v>1134</v>
      </c>
      <c r="D595" s="99" t="s">
        <v>73</v>
      </c>
      <c r="E595">
        <v>1181</v>
      </c>
      <c r="F595">
        <v>1182</v>
      </c>
      <c r="G595" s="102" t="s">
        <v>73</v>
      </c>
      <c r="H595" t="s">
        <v>1137</v>
      </c>
      <c r="N595">
        <v>595</v>
      </c>
    </row>
    <row r="596" spans="1:14" x14ac:dyDescent="0.25">
      <c r="A596" s="99" t="s">
        <v>1138</v>
      </c>
      <c r="B596" s="99">
        <v>6</v>
      </c>
      <c r="C596" s="99" t="s">
        <v>1132</v>
      </c>
      <c r="D596" s="99" t="s">
        <v>93</v>
      </c>
      <c r="E596">
        <v>1184</v>
      </c>
      <c r="F596">
        <v>1211</v>
      </c>
      <c r="G596" s="102" t="s">
        <v>153</v>
      </c>
      <c r="H596" t="s">
        <v>1139</v>
      </c>
      <c r="J596">
        <f>SUM(K597,K598,K599,K600,K601,K602,K603,K604,K605,K606,K607,K608,K609)</f>
        <v>0</v>
      </c>
      <c r="K596">
        <f>I596*J596</f>
        <v>0</v>
      </c>
      <c r="L596" t="e">
        <f>100*(1-(M596/K596))</f>
        <v>#DIV/0!</v>
      </c>
      <c r="M596">
        <f>I596*SUM(M597,M598,M599,M600,M601,M602,M603,M604,M605,M606,M607,M608,M609)</f>
        <v>0</v>
      </c>
      <c r="N596">
        <v>596</v>
      </c>
    </row>
    <row r="597" spans="1:14" x14ac:dyDescent="0.25">
      <c r="A597" s="99" t="s">
        <v>1140</v>
      </c>
      <c r="B597" s="99">
        <v>7</v>
      </c>
      <c r="C597" s="99" t="s">
        <v>1138</v>
      </c>
      <c r="D597" s="99" t="s">
        <v>73</v>
      </c>
      <c r="E597">
        <v>1185</v>
      </c>
      <c r="F597">
        <v>1186</v>
      </c>
      <c r="G597" s="102" t="s">
        <v>73</v>
      </c>
      <c r="H597" t="s">
        <v>1141</v>
      </c>
      <c r="N597">
        <v>597</v>
      </c>
    </row>
    <row r="598" spans="1:14" x14ac:dyDescent="0.25">
      <c r="A598" s="99" t="s">
        <v>1142</v>
      </c>
      <c r="B598" s="99">
        <v>7</v>
      </c>
      <c r="C598" s="99" t="s">
        <v>1138</v>
      </c>
      <c r="D598" s="99" t="s">
        <v>93</v>
      </c>
      <c r="E598">
        <v>1187</v>
      </c>
      <c r="F598">
        <v>1188</v>
      </c>
      <c r="G598" s="102" t="s">
        <v>73</v>
      </c>
      <c r="H598" t="s">
        <v>1143</v>
      </c>
      <c r="N598">
        <v>598</v>
      </c>
    </row>
    <row r="599" spans="1:14" x14ac:dyDescent="0.25">
      <c r="A599" s="99" t="s">
        <v>1144</v>
      </c>
      <c r="B599" s="99">
        <v>7</v>
      </c>
      <c r="C599" s="99" t="s">
        <v>1138</v>
      </c>
      <c r="D599" s="99" t="s">
        <v>94</v>
      </c>
      <c r="E599">
        <v>1189</v>
      </c>
      <c r="F599">
        <v>1190</v>
      </c>
      <c r="G599" s="102" t="s">
        <v>73</v>
      </c>
      <c r="H599" t="s">
        <v>1145</v>
      </c>
      <c r="N599">
        <v>599</v>
      </c>
    </row>
    <row r="600" spans="1:14" x14ac:dyDescent="0.25">
      <c r="A600" s="99" t="s">
        <v>1146</v>
      </c>
      <c r="B600" s="99">
        <v>7</v>
      </c>
      <c r="C600" s="99" t="s">
        <v>1138</v>
      </c>
      <c r="D600" s="99" t="s">
        <v>95</v>
      </c>
      <c r="E600">
        <v>1191</v>
      </c>
      <c r="F600">
        <v>1192</v>
      </c>
      <c r="G600" s="102" t="s">
        <v>73</v>
      </c>
      <c r="H600" t="s">
        <v>1147</v>
      </c>
      <c r="N600">
        <v>600</v>
      </c>
    </row>
    <row r="601" spans="1:14" x14ac:dyDescent="0.25">
      <c r="A601" s="99" t="s">
        <v>1148</v>
      </c>
      <c r="B601" s="99">
        <v>7</v>
      </c>
      <c r="C601" s="99" t="s">
        <v>1138</v>
      </c>
      <c r="D601" s="99" t="s">
        <v>96</v>
      </c>
      <c r="E601">
        <v>1193</v>
      </c>
      <c r="F601">
        <v>1194</v>
      </c>
      <c r="G601" s="102" t="s">
        <v>73</v>
      </c>
      <c r="H601" t="s">
        <v>1149</v>
      </c>
      <c r="N601">
        <v>601</v>
      </c>
    </row>
    <row r="602" spans="1:14" x14ac:dyDescent="0.25">
      <c r="A602" s="99" t="s">
        <v>1150</v>
      </c>
      <c r="B602" s="99">
        <v>7</v>
      </c>
      <c r="C602" s="99" t="s">
        <v>1138</v>
      </c>
      <c r="D602" s="99" t="s">
        <v>171</v>
      </c>
      <c r="E602">
        <v>1195</v>
      </c>
      <c r="F602">
        <v>1196</v>
      </c>
      <c r="G602" s="102" t="s">
        <v>73</v>
      </c>
      <c r="H602" t="s">
        <v>1151</v>
      </c>
      <c r="N602">
        <v>602</v>
      </c>
    </row>
    <row r="603" spans="1:14" x14ac:dyDescent="0.25">
      <c r="A603" s="99" t="s">
        <v>1152</v>
      </c>
      <c r="B603" s="99">
        <v>7</v>
      </c>
      <c r="C603" s="99" t="s">
        <v>1138</v>
      </c>
      <c r="D603" s="99" t="s">
        <v>212</v>
      </c>
      <c r="E603">
        <v>1197</v>
      </c>
      <c r="F603">
        <v>1198</v>
      </c>
      <c r="G603" s="102" t="s">
        <v>73</v>
      </c>
      <c r="H603" t="s">
        <v>1153</v>
      </c>
      <c r="N603">
        <v>603</v>
      </c>
    </row>
    <row r="604" spans="1:14" x14ac:dyDescent="0.25">
      <c r="A604" s="99" t="s">
        <v>1154</v>
      </c>
      <c r="B604" s="99">
        <v>7</v>
      </c>
      <c r="C604" s="99" t="s">
        <v>1138</v>
      </c>
      <c r="D604" s="99" t="s">
        <v>213</v>
      </c>
      <c r="E604">
        <v>1199</v>
      </c>
      <c r="F604">
        <v>1200</v>
      </c>
      <c r="G604" s="102" t="s">
        <v>73</v>
      </c>
      <c r="H604" t="s">
        <v>1155</v>
      </c>
      <c r="N604">
        <v>604</v>
      </c>
    </row>
    <row r="605" spans="1:14" x14ac:dyDescent="0.25">
      <c r="A605" s="99" t="s">
        <v>1156</v>
      </c>
      <c r="B605" s="99">
        <v>7</v>
      </c>
      <c r="C605" s="99" t="s">
        <v>1138</v>
      </c>
      <c r="D605" s="99" t="s">
        <v>214</v>
      </c>
      <c r="E605">
        <v>1201</v>
      </c>
      <c r="F605">
        <v>1202</v>
      </c>
      <c r="G605" s="102" t="s">
        <v>73</v>
      </c>
      <c r="H605" t="s">
        <v>1157</v>
      </c>
      <c r="N605">
        <v>605</v>
      </c>
    </row>
    <row r="606" spans="1:14" x14ac:dyDescent="0.25">
      <c r="A606" s="99" t="s">
        <v>1158</v>
      </c>
      <c r="B606" s="99">
        <v>7</v>
      </c>
      <c r="C606" s="99" t="s">
        <v>1138</v>
      </c>
      <c r="D606" s="99" t="s">
        <v>215</v>
      </c>
      <c r="E606">
        <v>1203</v>
      </c>
      <c r="F606">
        <v>1204</v>
      </c>
      <c r="G606" s="102" t="s">
        <v>73</v>
      </c>
      <c r="H606" t="s">
        <v>1159</v>
      </c>
      <c r="N606">
        <v>606</v>
      </c>
    </row>
    <row r="607" spans="1:14" x14ac:dyDescent="0.25">
      <c r="A607" s="99" t="s">
        <v>1160</v>
      </c>
      <c r="B607" s="99">
        <v>7</v>
      </c>
      <c r="C607" s="99" t="s">
        <v>1138</v>
      </c>
      <c r="D607" s="99" t="s">
        <v>353</v>
      </c>
      <c r="E607">
        <v>1205</v>
      </c>
      <c r="F607">
        <v>1206</v>
      </c>
      <c r="G607" s="102" t="s">
        <v>73</v>
      </c>
      <c r="H607" t="s">
        <v>1161</v>
      </c>
      <c r="N607">
        <v>607</v>
      </c>
    </row>
    <row r="608" spans="1:14" x14ac:dyDescent="0.25">
      <c r="A608" s="99" t="s">
        <v>1162</v>
      </c>
      <c r="B608" s="99">
        <v>7</v>
      </c>
      <c r="C608" s="99" t="s">
        <v>1138</v>
      </c>
      <c r="D608" s="99" t="s">
        <v>354</v>
      </c>
      <c r="E608">
        <v>1207</v>
      </c>
      <c r="F608">
        <v>1208</v>
      </c>
      <c r="G608" s="102" t="s">
        <v>73</v>
      </c>
      <c r="H608" t="s">
        <v>1163</v>
      </c>
      <c r="N608">
        <v>608</v>
      </c>
    </row>
    <row r="609" spans="1:14" x14ac:dyDescent="0.25">
      <c r="A609" s="99" t="s">
        <v>1164</v>
      </c>
      <c r="B609" s="99">
        <v>7</v>
      </c>
      <c r="C609" s="99" t="s">
        <v>1138</v>
      </c>
      <c r="D609" s="99" t="s">
        <v>355</v>
      </c>
      <c r="E609">
        <v>1209</v>
      </c>
      <c r="F609">
        <v>1210</v>
      </c>
      <c r="G609" s="102" t="s">
        <v>73</v>
      </c>
      <c r="H609" t="s">
        <v>1165</v>
      </c>
      <c r="N609">
        <v>609</v>
      </c>
    </row>
    <row r="610" spans="1:14" x14ac:dyDescent="0.25">
      <c r="A610" s="99" t="s">
        <v>1166</v>
      </c>
      <c r="B610" s="99">
        <v>6</v>
      </c>
      <c r="C610" s="99" t="s">
        <v>1132</v>
      </c>
      <c r="D610" s="99" t="s">
        <v>94</v>
      </c>
      <c r="E610">
        <v>1212</v>
      </c>
      <c r="F610">
        <v>1233</v>
      </c>
      <c r="G610" s="102" t="s">
        <v>153</v>
      </c>
      <c r="H610" t="s">
        <v>1139</v>
      </c>
      <c r="J610">
        <f>SUM(K611,K612,K613,K614,K615,K616,K617,K618,K619,K620)</f>
        <v>0</v>
      </c>
      <c r="K610">
        <f>I610*J610</f>
        <v>0</v>
      </c>
      <c r="L610" t="e">
        <f>100*(1-(M610/K610))</f>
        <v>#DIV/0!</v>
      </c>
      <c r="M610">
        <f>I610*SUM(M611,M612,M613,M614,M615,M616,M617,M618,M619,M620)</f>
        <v>0</v>
      </c>
      <c r="N610">
        <v>610</v>
      </c>
    </row>
    <row r="611" spans="1:14" x14ac:dyDescent="0.25">
      <c r="A611" s="99" t="s">
        <v>1167</v>
      </c>
      <c r="B611" s="99">
        <v>7</v>
      </c>
      <c r="C611" s="99" t="s">
        <v>1166</v>
      </c>
      <c r="D611" s="99" t="s">
        <v>73</v>
      </c>
      <c r="E611">
        <v>1213</v>
      </c>
      <c r="F611">
        <v>1214</v>
      </c>
      <c r="G611" s="102" t="s">
        <v>73</v>
      </c>
      <c r="H611" t="s">
        <v>1168</v>
      </c>
      <c r="N611">
        <v>611</v>
      </c>
    </row>
    <row r="612" spans="1:14" x14ac:dyDescent="0.25">
      <c r="A612" s="99" t="s">
        <v>1169</v>
      </c>
      <c r="B612" s="99">
        <v>7</v>
      </c>
      <c r="C612" s="99" t="s">
        <v>1166</v>
      </c>
      <c r="D612" s="99" t="s">
        <v>93</v>
      </c>
      <c r="E612">
        <v>1215</v>
      </c>
      <c r="F612">
        <v>1216</v>
      </c>
      <c r="G612" s="102" t="s">
        <v>73</v>
      </c>
      <c r="H612" t="s">
        <v>1170</v>
      </c>
      <c r="N612">
        <v>612</v>
      </c>
    </row>
    <row r="613" spans="1:14" x14ac:dyDescent="0.25">
      <c r="A613" s="99" t="s">
        <v>1171</v>
      </c>
      <c r="B613" s="99">
        <v>7</v>
      </c>
      <c r="C613" s="99" t="s">
        <v>1166</v>
      </c>
      <c r="D613" s="99" t="s">
        <v>94</v>
      </c>
      <c r="E613">
        <v>1217</v>
      </c>
      <c r="F613">
        <v>1218</v>
      </c>
      <c r="G613" s="102" t="s">
        <v>73</v>
      </c>
      <c r="H613" t="s">
        <v>1172</v>
      </c>
      <c r="N613">
        <v>613</v>
      </c>
    </row>
    <row r="614" spans="1:14" x14ac:dyDescent="0.25">
      <c r="A614" s="99" t="s">
        <v>1173</v>
      </c>
      <c r="B614" s="99">
        <v>7</v>
      </c>
      <c r="C614" s="99" t="s">
        <v>1166</v>
      </c>
      <c r="D614" s="99" t="s">
        <v>95</v>
      </c>
      <c r="E614">
        <v>1219</v>
      </c>
      <c r="F614">
        <v>1220</v>
      </c>
      <c r="G614" s="102" t="s">
        <v>73</v>
      </c>
      <c r="H614" t="s">
        <v>1174</v>
      </c>
      <c r="N614">
        <v>614</v>
      </c>
    </row>
    <row r="615" spans="1:14" x14ac:dyDescent="0.25">
      <c r="A615" s="99" t="s">
        <v>1175</v>
      </c>
      <c r="B615" s="99">
        <v>7</v>
      </c>
      <c r="C615" s="99" t="s">
        <v>1166</v>
      </c>
      <c r="D615" s="99" t="s">
        <v>96</v>
      </c>
      <c r="E615">
        <v>1221</v>
      </c>
      <c r="F615">
        <v>1222</v>
      </c>
      <c r="G615" s="102" t="s">
        <v>73</v>
      </c>
      <c r="H615" t="s">
        <v>1176</v>
      </c>
      <c r="N615">
        <v>615</v>
      </c>
    </row>
    <row r="616" spans="1:14" x14ac:dyDescent="0.25">
      <c r="A616" s="99" t="s">
        <v>1177</v>
      </c>
      <c r="B616" s="99">
        <v>7</v>
      </c>
      <c r="C616" s="99" t="s">
        <v>1166</v>
      </c>
      <c r="D616" s="99" t="s">
        <v>171</v>
      </c>
      <c r="E616">
        <v>1223</v>
      </c>
      <c r="F616">
        <v>1224</v>
      </c>
      <c r="G616" s="102" t="s">
        <v>73</v>
      </c>
      <c r="H616" t="s">
        <v>1178</v>
      </c>
      <c r="N616">
        <v>616</v>
      </c>
    </row>
    <row r="617" spans="1:14" x14ac:dyDescent="0.25">
      <c r="A617" s="99" t="s">
        <v>1179</v>
      </c>
      <c r="B617" s="99">
        <v>7</v>
      </c>
      <c r="C617" s="99" t="s">
        <v>1166</v>
      </c>
      <c r="D617" s="99" t="s">
        <v>212</v>
      </c>
      <c r="E617">
        <v>1225</v>
      </c>
      <c r="F617">
        <v>1226</v>
      </c>
      <c r="G617" s="102" t="s">
        <v>73</v>
      </c>
      <c r="H617" t="s">
        <v>1180</v>
      </c>
      <c r="N617">
        <v>617</v>
      </c>
    </row>
    <row r="618" spans="1:14" x14ac:dyDescent="0.25">
      <c r="A618" s="99" t="s">
        <v>1181</v>
      </c>
      <c r="B618" s="99">
        <v>7</v>
      </c>
      <c r="C618" s="99" t="s">
        <v>1166</v>
      </c>
      <c r="D618" s="99" t="s">
        <v>213</v>
      </c>
      <c r="E618">
        <v>1227</v>
      </c>
      <c r="F618">
        <v>1228</v>
      </c>
      <c r="G618" s="102" t="s">
        <v>73</v>
      </c>
      <c r="H618" t="s">
        <v>1182</v>
      </c>
      <c r="N618">
        <v>618</v>
      </c>
    </row>
    <row r="619" spans="1:14" x14ac:dyDescent="0.25">
      <c r="A619" s="99" t="s">
        <v>1183</v>
      </c>
      <c r="B619" s="99">
        <v>7</v>
      </c>
      <c r="C619" s="99" t="s">
        <v>1166</v>
      </c>
      <c r="D619" s="99" t="s">
        <v>214</v>
      </c>
      <c r="E619">
        <v>1229</v>
      </c>
      <c r="F619">
        <v>1230</v>
      </c>
      <c r="G619" s="102" t="s">
        <v>73</v>
      </c>
      <c r="H619" t="s">
        <v>1184</v>
      </c>
      <c r="N619">
        <v>619</v>
      </c>
    </row>
    <row r="620" spans="1:14" x14ac:dyDescent="0.25">
      <c r="A620" s="99" t="s">
        <v>1185</v>
      </c>
      <c r="B620" s="99">
        <v>7</v>
      </c>
      <c r="C620" s="99" t="s">
        <v>1166</v>
      </c>
      <c r="D620" s="99" t="s">
        <v>215</v>
      </c>
      <c r="E620">
        <v>1231</v>
      </c>
      <c r="F620">
        <v>1232</v>
      </c>
      <c r="G620" s="102" t="s">
        <v>73</v>
      </c>
      <c r="H620" t="s">
        <v>1186</v>
      </c>
      <c r="N620">
        <v>620</v>
      </c>
    </row>
    <row r="621" spans="1:14" x14ac:dyDescent="0.25">
      <c r="A621" s="99" t="s">
        <v>1187</v>
      </c>
      <c r="B621" s="99">
        <v>6</v>
      </c>
      <c r="C621" s="99" t="s">
        <v>1132</v>
      </c>
      <c r="D621" s="99" t="s">
        <v>95</v>
      </c>
      <c r="E621">
        <v>1234</v>
      </c>
      <c r="F621">
        <v>1251</v>
      </c>
      <c r="G621" s="102" t="s">
        <v>153</v>
      </c>
      <c r="H621" t="s">
        <v>1188</v>
      </c>
      <c r="J621">
        <f>SUM(K622,K623,K624,K625,K626,K627,K628,K629)</f>
        <v>0</v>
      </c>
      <c r="K621">
        <f>I621*J621</f>
        <v>0</v>
      </c>
      <c r="L621" t="e">
        <f>100*(1-(M621/K621))</f>
        <v>#DIV/0!</v>
      </c>
      <c r="M621">
        <f>I621*SUM(M622,M623,M624,M625,M626,M627,M628,M629)</f>
        <v>0</v>
      </c>
      <c r="N621">
        <v>621</v>
      </c>
    </row>
    <row r="622" spans="1:14" x14ac:dyDescent="0.25">
      <c r="A622" s="99" t="s">
        <v>1189</v>
      </c>
      <c r="B622" s="99">
        <v>7</v>
      </c>
      <c r="C622" s="99" t="s">
        <v>1187</v>
      </c>
      <c r="D622" s="99" t="s">
        <v>73</v>
      </c>
      <c r="E622">
        <v>1235</v>
      </c>
      <c r="F622">
        <v>1236</v>
      </c>
      <c r="G622" s="102" t="s">
        <v>73</v>
      </c>
      <c r="H622" t="s">
        <v>1190</v>
      </c>
      <c r="N622">
        <v>622</v>
      </c>
    </row>
    <row r="623" spans="1:14" x14ac:dyDescent="0.25">
      <c r="A623" s="99" t="s">
        <v>1191</v>
      </c>
      <c r="B623" s="99">
        <v>7</v>
      </c>
      <c r="C623" s="99" t="s">
        <v>1187</v>
      </c>
      <c r="D623" s="99" t="s">
        <v>93</v>
      </c>
      <c r="E623">
        <v>1237</v>
      </c>
      <c r="F623">
        <v>1238</v>
      </c>
      <c r="G623" s="102" t="s">
        <v>73</v>
      </c>
      <c r="H623" t="s">
        <v>1192</v>
      </c>
      <c r="N623">
        <v>623</v>
      </c>
    </row>
    <row r="624" spans="1:14" x14ac:dyDescent="0.25">
      <c r="A624" s="99" t="s">
        <v>1193</v>
      </c>
      <c r="B624" s="99">
        <v>7</v>
      </c>
      <c r="C624" s="99" t="s">
        <v>1187</v>
      </c>
      <c r="D624" s="99" t="s">
        <v>94</v>
      </c>
      <c r="E624">
        <v>1239</v>
      </c>
      <c r="F624">
        <v>1240</v>
      </c>
      <c r="G624" s="102" t="s">
        <v>73</v>
      </c>
      <c r="H624" t="s">
        <v>1194</v>
      </c>
      <c r="N624">
        <v>624</v>
      </c>
    </row>
    <row r="625" spans="1:14" x14ac:dyDescent="0.25">
      <c r="A625" s="99" t="s">
        <v>1195</v>
      </c>
      <c r="B625" s="99">
        <v>7</v>
      </c>
      <c r="C625" s="99" t="s">
        <v>1187</v>
      </c>
      <c r="D625" s="99" t="s">
        <v>95</v>
      </c>
      <c r="E625">
        <v>1241</v>
      </c>
      <c r="F625">
        <v>1242</v>
      </c>
      <c r="G625" s="102" t="s">
        <v>73</v>
      </c>
      <c r="H625" t="s">
        <v>1196</v>
      </c>
      <c r="N625">
        <v>625</v>
      </c>
    </row>
    <row r="626" spans="1:14" x14ac:dyDescent="0.25">
      <c r="A626" s="99" t="s">
        <v>1197</v>
      </c>
      <c r="B626" s="99">
        <v>7</v>
      </c>
      <c r="C626" s="99" t="s">
        <v>1187</v>
      </c>
      <c r="D626" s="99" t="s">
        <v>96</v>
      </c>
      <c r="E626">
        <v>1243</v>
      </c>
      <c r="F626">
        <v>1244</v>
      </c>
      <c r="G626" s="102" t="s">
        <v>73</v>
      </c>
      <c r="H626" t="s">
        <v>1198</v>
      </c>
      <c r="N626">
        <v>626</v>
      </c>
    </row>
    <row r="627" spans="1:14" x14ac:dyDescent="0.25">
      <c r="A627" s="99" t="s">
        <v>1199</v>
      </c>
      <c r="B627" s="99">
        <v>7</v>
      </c>
      <c r="C627" s="99" t="s">
        <v>1187</v>
      </c>
      <c r="D627" s="99" t="s">
        <v>171</v>
      </c>
      <c r="E627">
        <v>1245</v>
      </c>
      <c r="F627">
        <v>1246</v>
      </c>
      <c r="G627" s="102" t="s">
        <v>73</v>
      </c>
      <c r="H627" t="s">
        <v>1200</v>
      </c>
      <c r="N627">
        <v>627</v>
      </c>
    </row>
    <row r="628" spans="1:14" x14ac:dyDescent="0.25">
      <c r="A628" s="99" t="s">
        <v>1201</v>
      </c>
      <c r="B628" s="99">
        <v>7</v>
      </c>
      <c r="C628" s="99" t="s">
        <v>1187</v>
      </c>
      <c r="D628" s="99" t="s">
        <v>212</v>
      </c>
      <c r="E628">
        <v>1247</v>
      </c>
      <c r="F628">
        <v>1248</v>
      </c>
      <c r="G628" s="102" t="s">
        <v>73</v>
      </c>
      <c r="H628" t="s">
        <v>1202</v>
      </c>
      <c r="N628">
        <v>628</v>
      </c>
    </row>
    <row r="629" spans="1:14" x14ac:dyDescent="0.25">
      <c r="A629" s="99" t="s">
        <v>1203</v>
      </c>
      <c r="B629" s="99">
        <v>7</v>
      </c>
      <c r="C629" s="99" t="s">
        <v>1187</v>
      </c>
      <c r="D629" s="99" t="s">
        <v>213</v>
      </c>
      <c r="E629">
        <v>1249</v>
      </c>
      <c r="F629">
        <v>1250</v>
      </c>
      <c r="G629" s="102" t="s">
        <v>73</v>
      </c>
      <c r="H629" t="s">
        <v>1204</v>
      </c>
      <c r="N629">
        <v>629</v>
      </c>
    </row>
    <row r="630" spans="1:14" x14ac:dyDescent="0.25">
      <c r="A630" s="99" t="s">
        <v>1205</v>
      </c>
      <c r="B630" s="99">
        <v>6</v>
      </c>
      <c r="C630" s="99" t="s">
        <v>1132</v>
      </c>
      <c r="D630" s="99" t="s">
        <v>96</v>
      </c>
      <c r="E630">
        <v>1252</v>
      </c>
      <c r="F630">
        <v>1279</v>
      </c>
      <c r="G630" s="102" t="s">
        <v>153</v>
      </c>
      <c r="H630" t="s">
        <v>1188</v>
      </c>
      <c r="J630">
        <f>SUM(K631,K632,K633,K634,K635,K636,K637,K638,K639,K640,K641,K642,K643)</f>
        <v>0</v>
      </c>
      <c r="K630">
        <f>I630*J630</f>
        <v>0</v>
      </c>
      <c r="L630" t="e">
        <f>100*(1-(M630/K630))</f>
        <v>#DIV/0!</v>
      </c>
      <c r="M630">
        <f>I630*SUM(M631,M632,M633,M634,M635,M636,M637,M638,M639,M640,M641,M642,M643)</f>
        <v>0</v>
      </c>
      <c r="N630">
        <v>630</v>
      </c>
    </row>
    <row r="631" spans="1:14" x14ac:dyDescent="0.25">
      <c r="A631" s="99" t="s">
        <v>1206</v>
      </c>
      <c r="B631" s="99">
        <v>7</v>
      </c>
      <c r="C631" s="99" t="s">
        <v>1205</v>
      </c>
      <c r="D631" s="99" t="s">
        <v>73</v>
      </c>
      <c r="E631">
        <v>1253</v>
      </c>
      <c r="F631">
        <v>1254</v>
      </c>
      <c r="G631" s="102" t="s">
        <v>73</v>
      </c>
      <c r="H631" t="s">
        <v>1207</v>
      </c>
      <c r="N631">
        <v>631</v>
      </c>
    </row>
    <row r="632" spans="1:14" x14ac:dyDescent="0.25">
      <c r="A632" s="99" t="s">
        <v>1208</v>
      </c>
      <c r="B632" s="99">
        <v>7</v>
      </c>
      <c r="C632" s="99" t="s">
        <v>1205</v>
      </c>
      <c r="D632" s="99" t="s">
        <v>93</v>
      </c>
      <c r="E632">
        <v>1255</v>
      </c>
      <c r="F632">
        <v>1256</v>
      </c>
      <c r="G632" s="102" t="s">
        <v>73</v>
      </c>
      <c r="H632" t="s">
        <v>1209</v>
      </c>
      <c r="N632">
        <v>632</v>
      </c>
    </row>
    <row r="633" spans="1:14" x14ac:dyDescent="0.25">
      <c r="A633" s="99" t="s">
        <v>1210</v>
      </c>
      <c r="B633" s="99">
        <v>7</v>
      </c>
      <c r="C633" s="99" t="s">
        <v>1205</v>
      </c>
      <c r="D633" s="99" t="s">
        <v>94</v>
      </c>
      <c r="E633">
        <v>1257</v>
      </c>
      <c r="F633">
        <v>1258</v>
      </c>
      <c r="G633" s="102" t="s">
        <v>73</v>
      </c>
      <c r="H633" t="s">
        <v>1211</v>
      </c>
      <c r="N633">
        <v>633</v>
      </c>
    </row>
    <row r="634" spans="1:14" x14ac:dyDescent="0.25">
      <c r="A634" s="99" t="s">
        <v>1212</v>
      </c>
      <c r="B634" s="99">
        <v>7</v>
      </c>
      <c r="C634" s="99" t="s">
        <v>1205</v>
      </c>
      <c r="D634" s="99" t="s">
        <v>95</v>
      </c>
      <c r="E634">
        <v>1259</v>
      </c>
      <c r="F634">
        <v>1260</v>
      </c>
      <c r="G634" s="102" t="s">
        <v>73</v>
      </c>
      <c r="H634" t="s">
        <v>1213</v>
      </c>
      <c r="N634">
        <v>634</v>
      </c>
    </row>
    <row r="635" spans="1:14" x14ac:dyDescent="0.25">
      <c r="A635" s="99" t="s">
        <v>1214</v>
      </c>
      <c r="B635" s="99">
        <v>7</v>
      </c>
      <c r="C635" s="99" t="s">
        <v>1205</v>
      </c>
      <c r="D635" s="99" t="s">
        <v>96</v>
      </c>
      <c r="E635">
        <v>1261</v>
      </c>
      <c r="F635">
        <v>1262</v>
      </c>
      <c r="G635" s="102" t="s">
        <v>73</v>
      </c>
      <c r="H635" t="s">
        <v>1215</v>
      </c>
      <c r="N635">
        <v>635</v>
      </c>
    </row>
    <row r="636" spans="1:14" x14ac:dyDescent="0.25">
      <c r="A636" s="99" t="s">
        <v>1216</v>
      </c>
      <c r="B636" s="99">
        <v>7</v>
      </c>
      <c r="C636" s="99" t="s">
        <v>1205</v>
      </c>
      <c r="D636" s="99" t="s">
        <v>171</v>
      </c>
      <c r="E636">
        <v>1263</v>
      </c>
      <c r="F636">
        <v>1264</v>
      </c>
      <c r="G636" s="102" t="s">
        <v>73</v>
      </c>
      <c r="H636" t="s">
        <v>1217</v>
      </c>
      <c r="N636">
        <v>636</v>
      </c>
    </row>
    <row r="637" spans="1:14" x14ac:dyDescent="0.25">
      <c r="A637" s="99" t="s">
        <v>1218</v>
      </c>
      <c r="B637" s="99">
        <v>7</v>
      </c>
      <c r="C637" s="99" t="s">
        <v>1205</v>
      </c>
      <c r="D637" s="99" t="s">
        <v>212</v>
      </c>
      <c r="E637">
        <v>1265</v>
      </c>
      <c r="F637">
        <v>1266</v>
      </c>
      <c r="G637" s="102" t="s">
        <v>73</v>
      </c>
      <c r="H637" t="s">
        <v>1219</v>
      </c>
      <c r="N637">
        <v>637</v>
      </c>
    </row>
    <row r="638" spans="1:14" x14ac:dyDescent="0.25">
      <c r="A638" s="99" t="s">
        <v>1220</v>
      </c>
      <c r="B638" s="99">
        <v>7</v>
      </c>
      <c r="C638" s="99" t="s">
        <v>1205</v>
      </c>
      <c r="D638" s="99" t="s">
        <v>213</v>
      </c>
      <c r="E638">
        <v>1267</v>
      </c>
      <c r="F638">
        <v>1268</v>
      </c>
      <c r="G638" s="102" t="s">
        <v>73</v>
      </c>
      <c r="H638" t="s">
        <v>1221</v>
      </c>
      <c r="N638">
        <v>638</v>
      </c>
    </row>
    <row r="639" spans="1:14" x14ac:dyDescent="0.25">
      <c r="A639" s="99" t="s">
        <v>1222</v>
      </c>
      <c r="B639" s="99">
        <v>7</v>
      </c>
      <c r="C639" s="99" t="s">
        <v>1205</v>
      </c>
      <c r="D639" s="99" t="s">
        <v>214</v>
      </c>
      <c r="E639">
        <v>1269</v>
      </c>
      <c r="F639">
        <v>1270</v>
      </c>
      <c r="G639" s="102" t="s">
        <v>73</v>
      </c>
      <c r="H639" t="s">
        <v>1223</v>
      </c>
      <c r="N639">
        <v>639</v>
      </c>
    </row>
    <row r="640" spans="1:14" x14ac:dyDescent="0.25">
      <c r="A640" s="99" t="s">
        <v>1224</v>
      </c>
      <c r="B640" s="99">
        <v>7</v>
      </c>
      <c r="C640" s="99" t="s">
        <v>1205</v>
      </c>
      <c r="D640" s="99" t="s">
        <v>215</v>
      </c>
      <c r="E640">
        <v>1271</v>
      </c>
      <c r="F640">
        <v>1272</v>
      </c>
      <c r="G640" s="102" t="s">
        <v>73</v>
      </c>
      <c r="H640" t="s">
        <v>1225</v>
      </c>
      <c r="N640">
        <v>640</v>
      </c>
    </row>
    <row r="641" spans="1:14" x14ac:dyDescent="0.25">
      <c r="A641" s="99" t="s">
        <v>1226</v>
      </c>
      <c r="B641" s="99">
        <v>7</v>
      </c>
      <c r="C641" s="99" t="s">
        <v>1205</v>
      </c>
      <c r="D641" s="99" t="s">
        <v>353</v>
      </c>
      <c r="E641">
        <v>1273</v>
      </c>
      <c r="F641">
        <v>1274</v>
      </c>
      <c r="G641" s="102" t="s">
        <v>73</v>
      </c>
      <c r="H641" t="s">
        <v>1227</v>
      </c>
      <c r="N641">
        <v>641</v>
      </c>
    </row>
    <row r="642" spans="1:14" x14ac:dyDescent="0.25">
      <c r="A642" s="99" t="s">
        <v>1228</v>
      </c>
      <c r="B642" s="99">
        <v>7</v>
      </c>
      <c r="C642" s="99" t="s">
        <v>1205</v>
      </c>
      <c r="D642" s="99" t="s">
        <v>354</v>
      </c>
      <c r="E642">
        <v>1275</v>
      </c>
      <c r="F642">
        <v>1276</v>
      </c>
      <c r="G642" s="102" t="s">
        <v>73</v>
      </c>
      <c r="H642" t="s">
        <v>1229</v>
      </c>
      <c r="N642">
        <v>642</v>
      </c>
    </row>
    <row r="643" spans="1:14" x14ac:dyDescent="0.25">
      <c r="A643" s="99" t="s">
        <v>1230</v>
      </c>
      <c r="B643" s="99">
        <v>7</v>
      </c>
      <c r="C643" s="99" t="s">
        <v>1205</v>
      </c>
      <c r="D643" s="99" t="s">
        <v>355</v>
      </c>
      <c r="E643">
        <v>1277</v>
      </c>
      <c r="F643">
        <v>1278</v>
      </c>
      <c r="G643" s="102" t="s">
        <v>73</v>
      </c>
      <c r="H643" t="s">
        <v>1231</v>
      </c>
      <c r="N643">
        <v>643</v>
      </c>
    </row>
    <row r="644" spans="1:14" x14ac:dyDescent="0.25">
      <c r="A644" s="99" t="s">
        <v>1232</v>
      </c>
      <c r="B644" s="99">
        <v>4</v>
      </c>
      <c r="C644" s="99" t="s">
        <v>1128</v>
      </c>
      <c r="D644" s="99" t="s">
        <v>93</v>
      </c>
      <c r="E644">
        <v>1282</v>
      </c>
      <c r="F644">
        <v>1287</v>
      </c>
      <c r="G644" s="102" t="s">
        <v>153</v>
      </c>
      <c r="H644" t="s">
        <v>1233</v>
      </c>
      <c r="J644">
        <f>SUM(K645)</f>
        <v>0</v>
      </c>
      <c r="K644">
        <f>I644*J644</f>
        <v>0</v>
      </c>
      <c r="L644" t="e">
        <f>100*(1-(M644/K644))</f>
        <v>#DIV/0!</v>
      </c>
      <c r="M644">
        <f>I644*SUM(M645)</f>
        <v>0</v>
      </c>
      <c r="N644">
        <v>644</v>
      </c>
    </row>
    <row r="645" spans="1:14" x14ac:dyDescent="0.25">
      <c r="A645" s="99" t="s">
        <v>1234</v>
      </c>
      <c r="B645" s="99">
        <v>5</v>
      </c>
      <c r="C645" s="99" t="s">
        <v>1232</v>
      </c>
      <c r="D645" s="99" t="s">
        <v>73</v>
      </c>
      <c r="E645">
        <v>1283</v>
      </c>
      <c r="F645">
        <v>1286</v>
      </c>
      <c r="G645" s="102" t="s">
        <v>153</v>
      </c>
      <c r="H645" t="s">
        <v>1233</v>
      </c>
      <c r="J645">
        <f>SUM(K646)</f>
        <v>0</v>
      </c>
      <c r="K645">
        <f>I645*J645</f>
        <v>0</v>
      </c>
      <c r="L645" t="e">
        <f>100*(1-(M645/K645))</f>
        <v>#DIV/0!</v>
      </c>
      <c r="M645">
        <f>I645*SUM(M646)</f>
        <v>0</v>
      </c>
      <c r="N645">
        <v>645</v>
      </c>
    </row>
    <row r="646" spans="1:14" x14ac:dyDescent="0.25">
      <c r="A646" s="99" t="s">
        <v>1235</v>
      </c>
      <c r="B646" s="99">
        <v>6</v>
      </c>
      <c r="C646" s="99" t="s">
        <v>1234</v>
      </c>
      <c r="D646" s="99" t="s">
        <v>73</v>
      </c>
      <c r="E646">
        <v>1284</v>
      </c>
      <c r="F646">
        <v>1285</v>
      </c>
      <c r="G646" s="102" t="s">
        <v>73</v>
      </c>
      <c r="H646" t="s">
        <v>1236</v>
      </c>
      <c r="N646">
        <v>646</v>
      </c>
    </row>
    <row r="647" spans="1:14" x14ac:dyDescent="0.25">
      <c r="A647" s="99" t="s">
        <v>1237</v>
      </c>
      <c r="B647" s="99">
        <v>3</v>
      </c>
      <c r="C647" s="99" t="s">
        <v>1126</v>
      </c>
      <c r="D647" s="99" t="s">
        <v>93</v>
      </c>
      <c r="E647">
        <v>1289</v>
      </c>
      <c r="F647">
        <v>1300</v>
      </c>
      <c r="G647" s="102" t="s">
        <v>153</v>
      </c>
      <c r="H647" t="s">
        <v>1238</v>
      </c>
      <c r="J647">
        <f>SUM(K648)</f>
        <v>0</v>
      </c>
      <c r="K647">
        <f>I647*J647</f>
        <v>0</v>
      </c>
      <c r="L647" t="e">
        <f>100*(1-(M647/K647))</f>
        <v>#DIV/0!</v>
      </c>
      <c r="M647">
        <f>I647*SUM(M648)</f>
        <v>0</v>
      </c>
      <c r="N647">
        <v>647</v>
      </c>
    </row>
    <row r="648" spans="1:14" x14ac:dyDescent="0.25">
      <c r="A648" s="99" t="s">
        <v>1239</v>
      </c>
      <c r="B648" s="99">
        <v>4</v>
      </c>
      <c r="C648" s="99" t="s">
        <v>1237</v>
      </c>
      <c r="D648" s="99" t="s">
        <v>73</v>
      </c>
      <c r="E648">
        <v>1290</v>
      </c>
      <c r="F648">
        <v>1299</v>
      </c>
      <c r="G648" s="102" t="s">
        <v>153</v>
      </c>
      <c r="H648" t="s">
        <v>1240</v>
      </c>
      <c r="J648">
        <f>SUM(K649)</f>
        <v>0</v>
      </c>
      <c r="K648">
        <f>I648*J648</f>
        <v>0</v>
      </c>
      <c r="L648" t="e">
        <f>100*(1-(M648/K648))</f>
        <v>#DIV/0!</v>
      </c>
      <c r="M648">
        <f>I648*SUM(M649)</f>
        <v>0</v>
      </c>
      <c r="N648">
        <v>648</v>
      </c>
    </row>
    <row r="649" spans="1:14" x14ac:dyDescent="0.25">
      <c r="A649" s="99" t="s">
        <v>1241</v>
      </c>
      <c r="B649" s="99">
        <v>5</v>
      </c>
      <c r="C649" s="99" t="s">
        <v>1239</v>
      </c>
      <c r="D649" s="99" t="s">
        <v>73</v>
      </c>
      <c r="E649">
        <v>1291</v>
      </c>
      <c r="F649">
        <v>1298</v>
      </c>
      <c r="G649" s="102" t="s">
        <v>153</v>
      </c>
      <c r="H649" t="s">
        <v>1238</v>
      </c>
      <c r="J649">
        <f>SUM(K650,K651,K652)</f>
        <v>0</v>
      </c>
      <c r="K649">
        <f>I649*J649</f>
        <v>0</v>
      </c>
      <c r="L649" t="e">
        <f>100*(1-(M649/K649))</f>
        <v>#DIV/0!</v>
      </c>
      <c r="M649">
        <f>I649*SUM(M650,M651,M652)</f>
        <v>0</v>
      </c>
      <c r="N649">
        <v>649</v>
      </c>
    </row>
    <row r="650" spans="1:14" x14ac:dyDescent="0.25">
      <c r="A650" s="99" t="s">
        <v>1242</v>
      </c>
      <c r="B650" s="99">
        <v>6</v>
      </c>
      <c r="C650" s="99" t="s">
        <v>1241</v>
      </c>
      <c r="D650" s="99" t="s">
        <v>73</v>
      </c>
      <c r="E650">
        <v>1292</v>
      </c>
      <c r="F650">
        <v>1293</v>
      </c>
      <c r="G650" s="102" t="s">
        <v>73</v>
      </c>
      <c r="H650" t="s">
        <v>1243</v>
      </c>
      <c r="N650">
        <v>650</v>
      </c>
    </row>
    <row r="651" spans="1:14" x14ac:dyDescent="0.25">
      <c r="A651" s="99" t="s">
        <v>1244</v>
      </c>
      <c r="B651" s="99">
        <v>6</v>
      </c>
      <c r="C651" s="99" t="s">
        <v>1241</v>
      </c>
      <c r="D651" s="99" t="s">
        <v>93</v>
      </c>
      <c r="E651">
        <v>1294</v>
      </c>
      <c r="F651">
        <v>1295</v>
      </c>
      <c r="G651" s="102" t="s">
        <v>73</v>
      </c>
      <c r="H651" t="s">
        <v>1245</v>
      </c>
      <c r="N651">
        <v>651</v>
      </c>
    </row>
    <row r="652" spans="1:14" x14ac:dyDescent="0.25">
      <c r="A652" s="99" t="s">
        <v>1246</v>
      </c>
      <c r="B652" s="99">
        <v>6</v>
      </c>
      <c r="C652" s="99" t="s">
        <v>1241</v>
      </c>
      <c r="D652" s="99" t="s">
        <v>94</v>
      </c>
      <c r="E652">
        <v>1296</v>
      </c>
      <c r="F652">
        <v>1297</v>
      </c>
      <c r="G652" s="102" t="s">
        <v>73</v>
      </c>
      <c r="H652" t="s">
        <v>1247</v>
      </c>
      <c r="N652">
        <v>652</v>
      </c>
    </row>
    <row r="653" spans="1:14" x14ac:dyDescent="0.25">
      <c r="A653" s="99" t="s">
        <v>1248</v>
      </c>
      <c r="B653" s="99">
        <v>2</v>
      </c>
      <c r="C653" s="99" t="s">
        <v>73</v>
      </c>
      <c r="D653" s="99" t="s">
        <v>215</v>
      </c>
      <c r="E653">
        <v>1302</v>
      </c>
      <c r="F653">
        <v>1313</v>
      </c>
      <c r="G653" s="102" t="s">
        <v>153</v>
      </c>
      <c r="H653" t="s">
        <v>1249</v>
      </c>
      <c r="J653">
        <f>SUM(K654)</f>
        <v>0</v>
      </c>
      <c r="K653">
        <f>I653*J653</f>
        <v>0</v>
      </c>
      <c r="L653" t="e">
        <f>100*(1-(M653/K653))</f>
        <v>#DIV/0!</v>
      </c>
      <c r="M653">
        <f>I653*SUM(M654)</f>
        <v>0</v>
      </c>
      <c r="N653">
        <v>653</v>
      </c>
    </row>
    <row r="654" spans="1:14" x14ac:dyDescent="0.25">
      <c r="A654" s="99" t="s">
        <v>1250</v>
      </c>
      <c r="B654" s="99">
        <v>3</v>
      </c>
      <c r="C654" s="99" t="s">
        <v>1248</v>
      </c>
      <c r="D654" s="99" t="s">
        <v>73</v>
      </c>
      <c r="E654">
        <v>1303</v>
      </c>
      <c r="F654">
        <v>1312</v>
      </c>
      <c r="G654" s="102" t="s">
        <v>153</v>
      </c>
      <c r="H654" t="s">
        <v>1251</v>
      </c>
      <c r="J654">
        <f>SUM(K655)</f>
        <v>0</v>
      </c>
      <c r="K654">
        <f>I654*J654</f>
        <v>0</v>
      </c>
      <c r="L654" t="e">
        <f>100*(1-(M654/K654))</f>
        <v>#DIV/0!</v>
      </c>
      <c r="M654">
        <f>I654*SUM(M655)</f>
        <v>0</v>
      </c>
      <c r="N654">
        <v>654</v>
      </c>
    </row>
    <row r="655" spans="1:14" x14ac:dyDescent="0.25">
      <c r="A655" s="99" t="s">
        <v>1252</v>
      </c>
      <c r="B655" s="99">
        <v>4</v>
      </c>
      <c r="C655" s="99" t="s">
        <v>1250</v>
      </c>
      <c r="D655" s="99" t="s">
        <v>73</v>
      </c>
      <c r="E655">
        <v>1304</v>
      </c>
      <c r="F655">
        <v>1311</v>
      </c>
      <c r="G655" s="102" t="s">
        <v>153</v>
      </c>
      <c r="H655" t="s">
        <v>1249</v>
      </c>
      <c r="J655">
        <f>SUM(K656)</f>
        <v>0</v>
      </c>
      <c r="K655">
        <f>I655*J655</f>
        <v>0</v>
      </c>
      <c r="L655" t="e">
        <f>100*(1-(M655/K655))</f>
        <v>#DIV/0!</v>
      </c>
      <c r="M655">
        <f>I655*SUM(M656)</f>
        <v>0</v>
      </c>
      <c r="N655">
        <v>655</v>
      </c>
    </row>
    <row r="656" spans="1:14" x14ac:dyDescent="0.25">
      <c r="A656" s="99" t="s">
        <v>1253</v>
      </c>
      <c r="B656" s="99">
        <v>5</v>
      </c>
      <c r="C656" s="99" t="s">
        <v>1252</v>
      </c>
      <c r="D656" s="99" t="s">
        <v>73</v>
      </c>
      <c r="E656">
        <v>1305</v>
      </c>
      <c r="F656">
        <v>1310</v>
      </c>
      <c r="G656" s="102" t="s">
        <v>153</v>
      </c>
      <c r="H656" t="s">
        <v>1254</v>
      </c>
      <c r="J656">
        <f>SUM(K657,K658)</f>
        <v>0</v>
      </c>
      <c r="K656">
        <f>I656*J656</f>
        <v>0</v>
      </c>
      <c r="L656" t="e">
        <f>100*(1-(M656/K656))</f>
        <v>#DIV/0!</v>
      </c>
      <c r="M656">
        <f>I656*SUM(M657,M658)</f>
        <v>0</v>
      </c>
      <c r="N656">
        <v>656</v>
      </c>
    </row>
    <row r="657" spans="1:14" x14ac:dyDescent="0.25">
      <c r="A657" s="99" t="s">
        <v>1255</v>
      </c>
      <c r="B657" s="99">
        <v>6</v>
      </c>
      <c r="C657" s="99" t="s">
        <v>1253</v>
      </c>
      <c r="D657" s="99" t="s">
        <v>73</v>
      </c>
      <c r="E657">
        <v>1306</v>
      </c>
      <c r="F657">
        <v>1307</v>
      </c>
      <c r="G657" s="102" t="s">
        <v>73</v>
      </c>
      <c r="H657" t="s">
        <v>1256</v>
      </c>
      <c r="N657">
        <v>657</v>
      </c>
    </row>
    <row r="658" spans="1:14" x14ac:dyDescent="0.25">
      <c r="A658" s="99" t="s">
        <v>1257</v>
      </c>
      <c r="B658" s="99">
        <v>6</v>
      </c>
      <c r="C658" s="99" t="s">
        <v>1253</v>
      </c>
      <c r="D658" s="99" t="s">
        <v>93</v>
      </c>
      <c r="E658">
        <v>1308</v>
      </c>
      <c r="F658">
        <v>1309</v>
      </c>
      <c r="G658" s="102" t="s">
        <v>73</v>
      </c>
      <c r="H658" t="s">
        <v>1258</v>
      </c>
      <c r="N658">
        <v>658</v>
      </c>
    </row>
  </sheetData>
  <autoFilter ref="A1:G6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D21" sqref="D2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98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77</v>
      </c>
      <c r="B12" s="17" t="s">
        <v>78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79</v>
      </c>
      <c r="B13" s="3" t="s">
        <v>80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81</v>
      </c>
      <c r="B14" s="3" t="s">
        <v>82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83</v>
      </c>
      <c r="B17" s="3" t="s">
        <v>84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85</v>
      </c>
      <c r="B18" s="13" t="s">
        <v>86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87</v>
      </c>
      <c r="B20" s="13" t="s">
        <v>88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89</v>
      </c>
      <c r="B21" s="13" t="s">
        <v>90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91</v>
      </c>
      <c r="B23" s="13" t="s">
        <v>92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102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103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104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105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98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99</v>
      </c>
      <c r="G16" s="103" t="s">
        <v>100</v>
      </c>
      <c r="H16" s="103" t="s">
        <v>101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2012-04-19T07:36:11Z</dcterms:modified>
</cp:coreProperties>
</file>
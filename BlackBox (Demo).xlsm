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75" windowWidth="13140" windowHeight="5025" activeTab="3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8" i="2"/>
  <c r="L10" i="2"/>
  <c r="L4" i="2"/>
  <c r="K18" i="2"/>
  <c r="K10" i="2"/>
  <c r="K4" i="2"/>
  <c r="M18" i="2"/>
  <c r="M10" i="2"/>
  <c r="M4" i="2"/>
  <c r="J18" i="2"/>
  <c r="J10" i="2"/>
  <c r="J4" i="2"/>
  <c r="L27" i="2"/>
  <c r="L19" i="2"/>
  <c r="L11" i="2"/>
  <c r="L5" i="2"/>
  <c r="K27" i="2"/>
  <c r="K19" i="2"/>
  <c r="K11" i="2"/>
  <c r="K5" i="2"/>
  <c r="M27" i="2"/>
  <c r="M19" i="2"/>
  <c r="M11" i="2"/>
  <c r="M5" i="2"/>
  <c r="J27" i="2"/>
  <c r="J19" i="2"/>
  <c r="J11" i="2"/>
  <c r="J5" i="2"/>
  <c r="L28" i="2"/>
  <c r="L20" i="2"/>
  <c r="L12" i="2"/>
  <c r="L6" i="2"/>
  <c r="K28" i="2"/>
  <c r="K20" i="2"/>
  <c r="K12" i="2"/>
  <c r="K6" i="2"/>
  <c r="M28" i="2"/>
  <c r="M20" i="2"/>
  <c r="M12" i="2"/>
  <c r="M6" i="2"/>
  <c r="J28" i="2"/>
  <c r="J20" i="2"/>
  <c r="J12" i="2"/>
  <c r="J6" i="2"/>
  <c r="L29" i="2"/>
  <c r="L21" i="2"/>
  <c r="L13" i="2"/>
  <c r="L7" i="2"/>
  <c r="K29" i="2"/>
  <c r="K21" i="2"/>
  <c r="K13" i="2"/>
  <c r="K7" i="2"/>
  <c r="M29" i="2"/>
  <c r="M21" i="2"/>
  <c r="M13" i="2"/>
  <c r="M7" i="2"/>
  <c r="J29" i="2"/>
  <c r="J21" i="2"/>
  <c r="J13" i="2"/>
  <c r="J7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2" i="4"/>
  <c r="H13" i="4"/>
  <c r="H35" i="5"/>
  <c r="G27" i="5"/>
  <c r="G36" i="5" s="1"/>
  <c r="F27" i="5"/>
  <c r="F36" i="5" s="1"/>
  <c r="E27" i="5"/>
  <c r="E36" i="5" s="1"/>
  <c r="H36" i="5" l="1"/>
  <c r="H16" i="4"/>
  <c r="H27" i="5"/>
</calcChain>
</file>

<file path=xl/sharedStrings.xml><?xml version="1.0" encoding="utf-8"?>
<sst xmlns="http://schemas.openxmlformats.org/spreadsheetml/2006/main" count="383" uniqueCount="239">
  <si>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</si>
  <si>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</si>
  <si>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</si>
  <si>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</si>
  <si>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</si>
  <si>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</si>
  <si>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</si>
  <si>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</si>
  <si>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</si>
  <si>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</si>
  <si>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</si>
  <si>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</si>
  <si>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</si>
  <si>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</si>
  <si>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</si>
  <si>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</si>
  <si>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</si>
  <si>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</si>
  <si>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</si>
  <si>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</si>
  <si>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</si>
  <si>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</si>
  <si>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</si>
  <si>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</si>
  <si>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</si>
  <si>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</si>
  <si>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</si>
  <si>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</si>
  <si>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</si>
  <si>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</si>
  <si>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</si>
  <si>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</si>
  <si>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</si>
  <si>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</si>
  <si>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</si>
  <si>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</si>
  <si>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</si>
  <si>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</si>
  <si>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</si>
  <si>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</si>
  <si>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</si>
  <si>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</si>
  <si>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</si>
  <si>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</si>
  <si>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</si>
  <si>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</si>
  <si>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</si>
  <si>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</si>
  <si>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</si>
  <si>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</si>
  <si>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</si>
  <si>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</si>
  <si>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</si>
  <si>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</si>
  <si>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</si>
  <si>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</si>
  <si>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</si>
  <si>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</si>
  <si>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</si>
  <si>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</si>
  <si>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</si>
  <si>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</si>
  <si>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</si>
  <si>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</si>
  <si>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</si>
  <si>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</si>
  <si>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</si>
  <si>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</si>
  <si>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</si>
  <si>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</si>
  <si>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</si>
  <si>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</si>
  <si>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</si>
  <si>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</si>
  <si>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</si>
  <si>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</si>
  <si>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</si>
  <si>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</si>
  <si>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</si>
  <si>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</si>
  <si>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</si>
  <si>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</si>
  <si>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</si>
  <si>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</si>
  <si>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</si>
  <si>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</si>
  <si>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</si>
  <si>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</si>
  <si>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</si>
  <si>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</si>
  <si>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</si>
  <si>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</si>
  <si>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</si>
  <si>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</si>
  <si>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</si>
  <si>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</si>
  <si>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</si>
  <si>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</si>
  <si>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</si>
  <si>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</si>
  <si>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</si>
  <si>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</si>
  <si>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</si>
  <si>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</si>
  <si>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</si>
  <si>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</si>
  <si>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</si>
  <si>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</si>
  <si>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</si>
  <si>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</si>
  <si>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</si>
  <si>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</si>
  <si>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</si>
  <si>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</si>
  <si>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</si>
  <si>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</si>
  <si>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</si>
  <si>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</si>
  <si>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</si>
  <si>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</si>
  <si>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</si>
  <si>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</si>
  <si>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</si>
  <si>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</si>
  <si>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</si>
  <si>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</si>
  <si>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</si>
  <si>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</si>
  <si>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</si>
  <si>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</si>
  <si>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</si>
  <si>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</si>
  <si>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</si>
  <si>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</si>
  <si>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</si>
  <si>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</si>
  <si>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</si>
  <si>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</si>
  <si>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</si>
  <si>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</si>
  <si>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</si>
  <si>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</si>
  <si>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</si>
  <si>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</si>
  <si>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</si>
  <si>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</si>
  <si>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</si>
  <si>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</si>
  <si>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</si>
  <si>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</si>
  <si>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</si>
  <si>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</si>
  <si>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</si>
  <si>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</si>
  <si>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</si>
  <si>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</si>
  <si>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</si>
  <si>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</si>
  <si>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</si>
  <si>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</si>
  <si>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</si>
  <si>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</si>
  <si>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</si>
  <si>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</si>
  <si>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</si>
  <si>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</si>
  <si>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</si>
  <si>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</si>
  <si>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</si>
  <si>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</si>
  <si>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</si>
  <si>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</si>
  <si>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</si>
  <si>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</si>
  <si>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</si>
  <si>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</si>
  <si>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</si>
  <si>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</si>
  <si>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</si>
  <si>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</si>
  <si>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</si>
  <si>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</si>
  <si>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</si>
  <si>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</si>
  <si>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</si>
  <si>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</si>
  <si>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</si>
  <si>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</si>
  <si>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</si>
  <si>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</si>
  <si>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</si>
  <si>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</si>
  <si>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</si>
  <si>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</si>
  <si>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</si>
  <si>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</si>
  <si>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</si>
  <si>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</si>
  <si>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</si>
  <si>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</si>
  <si>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</si>
  <si>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</si>
  <si>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</si>
  <si>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</si>
  <si>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</si>
  <si>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</si>
  <si>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</si>
  <si>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</si>
  <si>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</si>
  <si>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</si>
  <si>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</si>
  <si>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</si>
  <si>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</si>
  <si>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</si>
  <si>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</si>
  <si>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</si>
  <si>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</si>
  <si>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</si>
  <si>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</si>
  <si>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</si>
  <si>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</si>
  <si>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</si>
  <si>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</si>
  <si>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</si>
  <si>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</si>
  <si>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</si>
  <si>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</si>
  <si>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</si>
  <si>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</si>
  <si>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</si>
  <si>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</si>
  <si>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</si>
  <si>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</si>
  <si>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</si>
  <si>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</si>
  <si>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=SUM(K3)</t>
  </si>
  <si>
    <t>=I2*SUM(M3)</t>
  </si>
  <si>
    <t>=SUM(K4,K10,K18,K27)</t>
  </si>
  <si>
    <t>=I3*SUM(M4,M10,M18,M27)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</si>
</sst>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F14" sqref="F1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F1" zoomScale="70" zoomScaleNormal="70" workbookViewId="0">
      <selection activeCell="L29" sqref="L29"/>
    </sheetView>
  </sheetViews>
  <sheetFormatPr defaultRowHeight="15" x14ac:dyDescent="0.25"/>
  <cols>
    <col min="1" max="1" width="12.7109375" style="94" bestFit="1" customWidth="1"/>
    <col min="2" max="2" width="8.5703125" style="94" bestFit="1" customWidth="1"/>
    <col min="3" max="3" width="10.85546875" style="94" bestFit="1" customWidth="1"/>
    <col min="4" max="4" width="7" style="94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4" bestFit="1" customWidth="1"/>
    <col min="16" max="16" width="12.85546875" style="94" bestFit="1" customWidth="1"/>
    <col min="17" max="17" width="18" style="94" bestFit="1" customWidth="1"/>
    <col min="18" max="18" width="18" style="94" customWidth="1"/>
    <col min="19" max="19" width="18.7109375" style="94" bestFit="1" customWidth="1"/>
    <col min="20" max="20" width="18.5703125" style="94" bestFit="1" customWidth="1"/>
    <col min="21" max="21" width="17" style="94" bestFit="1" customWidth="1"/>
  </cols>
  <sheetData>
    <row r="1" spans="1:21" x14ac:dyDescent="0.25">
      <c r="A1" s="93" t="s">
        <v>48</v>
      </c>
      <c r="B1" s="86" t="s">
        <v>60</v>
      </c>
      <c r="C1" s="86" t="s">
        <v>49</v>
      </c>
      <c r="D1" s="86" t="s">
        <v>54</v>
      </c>
      <c r="E1" s="85" t="s">
        <v>58</v>
      </c>
      <c r="F1" s="85" t="s">
        <v>50</v>
      </c>
      <c r="G1" s="85" t="s">
        <v>51</v>
      </c>
      <c r="H1" s="85" t="s">
        <v>61</v>
      </c>
      <c r="I1" s="85" t="s">
        <v>52</v>
      </c>
      <c r="J1" s="85" t="s">
        <v>53</v>
      </c>
      <c r="K1" s="85" t="s">
        <v>55</v>
      </c>
      <c r="L1" s="85" t="s">
        <v>56</v>
      </c>
      <c r="M1" s="85" t="s">
        <v>57</v>
      </c>
      <c r="N1" s="85" t="s">
        <v>65</v>
      </c>
      <c r="O1" s="86" t="s">
        <v>94</v>
      </c>
      <c r="P1" s="86" t="s">
        <v>95</v>
      </c>
      <c r="Q1" s="86" t="s">
        <v>96</v>
      </c>
      <c r="R1" s="86" t="s">
        <v>109</v>
      </c>
      <c r="S1" s="86" t="s">
        <v>110</v>
      </c>
      <c r="T1" s="86" t="s">
        <v>111</v>
      </c>
      <c r="U1" s="86" t="s">
        <v>112</v>
      </c>
    </row>
    <row r="2" spans="1:21" x14ac:dyDescent="0.25">
      <c r="A2" s="86" t="s">
        <v>59</v>
      </c>
      <c r="B2" s="86">
        <v>1</v>
      </c>
      <c r="C2" s="89" t="s">
        <v>91</v>
      </c>
      <c r="D2" s="86" t="s">
        <v>59</v>
      </c>
      <c r="E2" s="91">
        <v>1</v>
      </c>
      <c r="F2" s="91">
        <v>58</v>
      </c>
      <c r="G2" s="96" t="s">
        <v>93</v>
      </c>
      <c r="H2" s="85" t="s">
        <v>74</v>
      </c>
      <c r="I2" s="85">
        <v>1</v>
      </c>
      <c r="J2" s="85">
        <f>SUM(K3)</f>
        <v>3212138.0494779097</v>
      </c>
      <c r="K2" s="85">
        <f>I2*J2</f>
        <v>3212138.0494779097</v>
      </c>
      <c r="L2" s="85">
        <f>100*(1-(M2/K2))</f>
        <v>76.554363086976167</v>
      </c>
      <c r="M2" s="85">
        <f>I2*SUM(M3)</f>
        <v>753106.22422567685</v>
      </c>
      <c r="N2">
        <v>2</v>
      </c>
      <c r="O2" s="94" t="s">
        <v>97</v>
      </c>
      <c r="R2" s="94" t="s">
        <v>235</v>
      </c>
      <c r="S2" s="94" t="s">
        <v>143</v>
      </c>
      <c r="T2" s="94" t="s">
        <v>144</v>
      </c>
      <c r="U2" s="94" t="s">
        <v>236</v>
      </c>
    </row>
    <row r="3" spans="1:21" x14ac:dyDescent="0.25">
      <c r="A3" s="87" t="s">
        <v>2</v>
      </c>
      <c r="B3" s="86">
        <v>2</v>
      </c>
      <c r="C3" s="90" t="s">
        <v>59</v>
      </c>
      <c r="D3" s="86" t="s">
        <v>59</v>
      </c>
      <c r="E3" s="92">
        <v>2</v>
      </c>
      <c r="F3" s="92">
        <v>57</v>
      </c>
      <c r="G3" s="96" t="s">
        <v>93</v>
      </c>
      <c r="H3" s="85" t="s">
        <v>75</v>
      </c>
      <c r="I3">
        <v>1</v>
      </c>
      <c r="J3">
        <f>SUM(K4,K10,K18,K27)</f>
        <v>3212138.0494779097</v>
      </c>
      <c r="K3">
        <f>I3*J3</f>
        <v>3212138.0494779097</v>
      </c>
      <c r="L3">
        <f>100*(1-(M3/K3))</f>
        <v>76.554363086976167</v>
      </c>
      <c r="M3">
        <f>I3*SUM(M4,M10,M18,M27)</f>
        <v>753106.22422567685</v>
      </c>
      <c r="N3">
        <v>3</v>
      </c>
      <c r="O3" s="94" t="s">
        <v>98</v>
      </c>
      <c r="P3" s="122" t="s">
        <v>145</v>
      </c>
      <c r="Q3" s="122" t="s">
        <v>75</v>
      </c>
      <c r="R3" s="94" t="s">
        <v>237</v>
      </c>
      <c r="S3" s="94" t="s">
        <v>139</v>
      </c>
      <c r="T3" s="94" t="s">
        <v>141</v>
      </c>
      <c r="U3" s="94" t="s">
        <v>238</v>
      </c>
    </row>
    <row r="4" spans="1:21" x14ac:dyDescent="0.25">
      <c r="A4" s="88" t="s">
        <v>62</v>
      </c>
      <c r="B4" s="86">
        <v>3</v>
      </c>
      <c r="C4" s="87" t="s">
        <v>2</v>
      </c>
      <c r="D4" s="86" t="s">
        <v>59</v>
      </c>
      <c r="E4" s="91">
        <v>3</v>
      </c>
      <c r="F4" s="91">
        <v>14</v>
      </c>
      <c r="G4" s="96" t="s">
        <v>93</v>
      </c>
      <c r="H4" s="85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4" t="s">
        <v>99</v>
      </c>
      <c r="P4" s="122" t="s">
        <v>146</v>
      </c>
      <c r="Q4" s="122" t="s">
        <v>75</v>
      </c>
      <c r="R4" s="94" t="s">
        <v>119</v>
      </c>
      <c r="S4" s="94" t="s">
        <v>140</v>
      </c>
      <c r="T4" s="94" t="s">
        <v>142</v>
      </c>
      <c r="U4" s="94" t="s">
        <v>138</v>
      </c>
    </row>
    <row r="5" spans="1:21" x14ac:dyDescent="0.25">
      <c r="A5" s="88" t="s">
        <v>63</v>
      </c>
      <c r="B5" s="86">
        <v>4</v>
      </c>
      <c r="C5" s="87" t="s">
        <v>62</v>
      </c>
      <c r="D5" s="86" t="s">
        <v>59</v>
      </c>
      <c r="E5" s="91">
        <v>4</v>
      </c>
      <c r="F5" s="91">
        <v>13</v>
      </c>
      <c r="G5" s="96" t="s">
        <v>93</v>
      </c>
      <c r="H5" s="85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4" t="s">
        <v>100</v>
      </c>
      <c r="P5" s="122" t="s">
        <v>147</v>
      </c>
      <c r="Q5" s="122" t="s">
        <v>75</v>
      </c>
      <c r="R5" s="94" t="s">
        <v>117</v>
      </c>
      <c r="S5" s="94" t="s">
        <v>134</v>
      </c>
      <c r="T5" s="94" t="s">
        <v>136</v>
      </c>
      <c r="U5" s="94" t="s">
        <v>132</v>
      </c>
    </row>
    <row r="6" spans="1:21" x14ac:dyDescent="0.25">
      <c r="A6" s="88" t="s">
        <v>64</v>
      </c>
      <c r="B6" s="86">
        <v>5</v>
      </c>
      <c r="C6" s="88" t="s">
        <v>63</v>
      </c>
      <c r="D6" s="86" t="s">
        <v>59</v>
      </c>
      <c r="E6" s="91">
        <v>5</v>
      </c>
      <c r="F6" s="91">
        <v>12</v>
      </c>
      <c r="G6" s="96" t="s">
        <v>93</v>
      </c>
      <c r="H6" s="85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4" t="s">
        <v>101</v>
      </c>
      <c r="P6" s="122" t="s">
        <v>148</v>
      </c>
      <c r="Q6" s="122" t="s">
        <v>75</v>
      </c>
      <c r="R6" s="94" t="s">
        <v>115</v>
      </c>
      <c r="S6" s="94" t="s">
        <v>128</v>
      </c>
      <c r="T6" s="94" t="s">
        <v>130</v>
      </c>
      <c r="U6" s="94" t="s">
        <v>126</v>
      </c>
    </row>
    <row r="7" spans="1:21" x14ac:dyDescent="0.25">
      <c r="A7" s="88" t="s">
        <v>1</v>
      </c>
      <c r="B7" s="86">
        <v>6</v>
      </c>
      <c r="C7" s="88" t="s">
        <v>64</v>
      </c>
      <c r="D7" s="86" t="s">
        <v>59</v>
      </c>
      <c r="E7" s="91">
        <v>6</v>
      </c>
      <c r="F7" s="91">
        <v>11</v>
      </c>
      <c r="G7" s="96" t="s">
        <v>93</v>
      </c>
      <c r="H7" s="85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4" t="s">
        <v>102</v>
      </c>
      <c r="P7" s="122" t="s">
        <v>97</v>
      </c>
      <c r="Q7" s="122" t="s">
        <v>75</v>
      </c>
      <c r="R7" s="94" t="s">
        <v>113</v>
      </c>
      <c r="S7" s="94" t="s">
        <v>122</v>
      </c>
      <c r="T7" s="94" t="s">
        <v>124</v>
      </c>
      <c r="U7" s="94" t="s">
        <v>120</v>
      </c>
    </row>
    <row r="8" spans="1:21" x14ac:dyDescent="0.25">
      <c r="A8" s="88" t="s">
        <v>79</v>
      </c>
      <c r="B8" s="86">
        <v>7</v>
      </c>
      <c r="C8" s="88" t="s">
        <v>1</v>
      </c>
      <c r="D8" s="86" t="s">
        <v>59</v>
      </c>
      <c r="E8" s="91">
        <v>7</v>
      </c>
      <c r="F8" s="91">
        <v>8</v>
      </c>
      <c r="G8" s="96" t="s">
        <v>59</v>
      </c>
      <c r="H8" s="85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4" t="s">
        <v>103</v>
      </c>
      <c r="P8" s="122" t="s">
        <v>98</v>
      </c>
      <c r="Q8" s="122" t="s">
        <v>75</v>
      </c>
    </row>
    <row r="9" spans="1:21" x14ac:dyDescent="0.25">
      <c r="A9" s="88" t="s">
        <v>81</v>
      </c>
      <c r="B9" s="86">
        <v>7</v>
      </c>
      <c r="C9" s="88" t="s">
        <v>1</v>
      </c>
      <c r="D9" s="86" t="s">
        <v>92</v>
      </c>
      <c r="E9" s="91">
        <v>9</v>
      </c>
      <c r="F9" s="91">
        <v>10</v>
      </c>
      <c r="G9" s="96" t="s">
        <v>59</v>
      </c>
      <c r="H9" s="85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4" t="s">
        <v>104</v>
      </c>
      <c r="P9" s="122" t="s">
        <v>99</v>
      </c>
      <c r="Q9" s="122" t="s">
        <v>75</v>
      </c>
    </row>
    <row r="10" spans="1:21" x14ac:dyDescent="0.25">
      <c r="A10" s="88" t="s">
        <v>83</v>
      </c>
      <c r="B10" s="86">
        <v>3</v>
      </c>
      <c r="C10" s="88" t="s">
        <v>2</v>
      </c>
      <c r="D10" s="86" t="s">
        <v>92</v>
      </c>
      <c r="E10" s="91">
        <v>15</v>
      </c>
      <c r="F10" s="91">
        <v>30</v>
      </c>
      <c r="G10" s="96" t="s">
        <v>93</v>
      </c>
      <c r="H10" s="85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4" t="s">
        <v>105</v>
      </c>
      <c r="P10" s="122" t="s">
        <v>100</v>
      </c>
      <c r="Q10" s="122" t="s">
        <v>75</v>
      </c>
      <c r="R10" s="94" t="s">
        <v>118</v>
      </c>
      <c r="S10" s="94" t="s">
        <v>135</v>
      </c>
      <c r="T10" s="94" t="s">
        <v>137</v>
      </c>
      <c r="U10" s="94" t="s">
        <v>133</v>
      </c>
    </row>
    <row r="11" spans="1:21" x14ac:dyDescent="0.25">
      <c r="A11" s="88" t="s">
        <v>85</v>
      </c>
      <c r="B11" s="86">
        <v>4</v>
      </c>
      <c r="C11" s="88" t="s">
        <v>83</v>
      </c>
      <c r="D11" s="86" t="s">
        <v>59</v>
      </c>
      <c r="E11" s="91">
        <v>16</v>
      </c>
      <c r="F11" s="91">
        <v>29</v>
      </c>
      <c r="G11" s="96" t="s">
        <v>93</v>
      </c>
      <c r="H11" s="85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4" t="s">
        <v>106</v>
      </c>
      <c r="P11" s="122" t="s">
        <v>101</v>
      </c>
      <c r="Q11" s="122" t="s">
        <v>75</v>
      </c>
      <c r="R11" s="94" t="s">
        <v>116</v>
      </c>
      <c r="S11" s="94" t="s">
        <v>129</v>
      </c>
      <c r="T11" s="94" t="s">
        <v>131</v>
      </c>
      <c r="U11" s="94" t="s">
        <v>127</v>
      </c>
    </row>
    <row r="12" spans="1:21" x14ac:dyDescent="0.25">
      <c r="A12" s="88" t="s">
        <v>87</v>
      </c>
      <c r="B12" s="86">
        <v>5</v>
      </c>
      <c r="C12" s="88" t="s">
        <v>85</v>
      </c>
      <c r="D12" s="86" t="s">
        <v>59</v>
      </c>
      <c r="E12" s="91">
        <v>17</v>
      </c>
      <c r="F12" s="91">
        <v>28</v>
      </c>
      <c r="G12" s="96" t="s">
        <v>93</v>
      </c>
      <c r="H12" s="85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4" t="s">
        <v>107</v>
      </c>
      <c r="P12" s="122" t="s">
        <v>102</v>
      </c>
      <c r="Q12" s="122" t="s">
        <v>75</v>
      </c>
      <c r="R12" s="94" t="s">
        <v>114</v>
      </c>
      <c r="S12" s="94" t="s">
        <v>123</v>
      </c>
      <c r="T12" s="94" t="s">
        <v>125</v>
      </c>
      <c r="U12" s="94" t="s">
        <v>121</v>
      </c>
    </row>
    <row r="13" spans="1:21" x14ac:dyDescent="0.25">
      <c r="A13" s="87" t="s">
        <v>89</v>
      </c>
      <c r="B13" s="86">
        <v>6</v>
      </c>
      <c r="C13" s="90" t="s">
        <v>87</v>
      </c>
      <c r="D13" s="86" t="s">
        <v>59</v>
      </c>
      <c r="E13" s="92">
        <v>18</v>
      </c>
      <c r="F13" s="92">
        <v>27</v>
      </c>
      <c r="G13" s="96" t="s">
        <v>93</v>
      </c>
      <c r="H13" s="85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4" t="s">
        <v>108</v>
      </c>
      <c r="P13" s="122" t="s">
        <v>149</v>
      </c>
      <c r="Q13" s="122" t="s">
        <v>75</v>
      </c>
      <c r="R13" s="94" t="s">
        <v>201</v>
      </c>
      <c r="S13" s="94" t="s">
        <v>207</v>
      </c>
      <c r="T13" s="94" t="s">
        <v>210</v>
      </c>
      <c r="U13" s="94" t="s">
        <v>204</v>
      </c>
    </row>
    <row r="14" spans="1:21" x14ac:dyDescent="0.25">
      <c r="A14" s="88" t="s">
        <v>150</v>
      </c>
      <c r="B14" s="86">
        <v>7</v>
      </c>
      <c r="C14" s="88" t="s">
        <v>89</v>
      </c>
      <c r="D14" s="86" t="s">
        <v>59</v>
      </c>
      <c r="E14" s="91">
        <v>19</v>
      </c>
      <c r="F14" s="91">
        <v>20</v>
      </c>
      <c r="G14" s="96" t="s">
        <v>59</v>
      </c>
      <c r="H14" s="85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4" t="s">
        <v>152</v>
      </c>
      <c r="P14" s="122" t="s">
        <v>103</v>
      </c>
      <c r="Q14" s="122" t="s">
        <v>75</v>
      </c>
    </row>
    <row r="15" spans="1:21" x14ac:dyDescent="0.25">
      <c r="A15" s="88" t="s">
        <v>153</v>
      </c>
      <c r="B15" s="86">
        <v>7</v>
      </c>
      <c r="C15" s="88" t="s">
        <v>89</v>
      </c>
      <c r="D15" s="86" t="s">
        <v>92</v>
      </c>
      <c r="E15" s="91">
        <v>21</v>
      </c>
      <c r="F15" s="91">
        <v>22</v>
      </c>
      <c r="G15" s="96" t="s">
        <v>59</v>
      </c>
      <c r="H15" s="85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4" t="s">
        <v>155</v>
      </c>
      <c r="P15" s="122" t="s">
        <v>104</v>
      </c>
      <c r="Q15" s="122" t="s">
        <v>75</v>
      </c>
    </row>
    <row r="16" spans="1:21" x14ac:dyDescent="0.25">
      <c r="A16" s="88" t="s">
        <v>156</v>
      </c>
      <c r="B16" s="86">
        <v>7</v>
      </c>
      <c r="C16" s="88" t="s">
        <v>89</v>
      </c>
      <c r="D16" s="86" t="s">
        <v>197</v>
      </c>
      <c r="E16" s="91">
        <v>23</v>
      </c>
      <c r="F16" s="91">
        <v>24</v>
      </c>
      <c r="G16" s="96" t="s">
        <v>59</v>
      </c>
      <c r="H16" s="85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4" t="s">
        <v>158</v>
      </c>
      <c r="P16" s="122" t="s">
        <v>200</v>
      </c>
      <c r="Q16" s="122" t="s">
        <v>75</v>
      </c>
    </row>
    <row r="17" spans="1:21" x14ac:dyDescent="0.25">
      <c r="A17" s="88" t="s">
        <v>159</v>
      </c>
      <c r="B17" s="86">
        <v>7</v>
      </c>
      <c r="C17" s="88" t="s">
        <v>89</v>
      </c>
      <c r="D17" s="86" t="s">
        <v>198</v>
      </c>
      <c r="E17" s="85">
        <v>25</v>
      </c>
      <c r="F17" s="85">
        <v>26</v>
      </c>
      <c r="G17" s="96" t="s">
        <v>59</v>
      </c>
      <c r="H17" s="85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4" t="s">
        <v>161</v>
      </c>
      <c r="P17" s="122" t="s">
        <v>105</v>
      </c>
      <c r="Q17" s="122" t="s">
        <v>75</v>
      </c>
    </row>
    <row r="18" spans="1:21" x14ac:dyDescent="0.25">
      <c r="A18" s="93" t="s">
        <v>162</v>
      </c>
      <c r="B18" s="86">
        <v>3</v>
      </c>
      <c r="C18" s="86" t="s">
        <v>2</v>
      </c>
      <c r="D18" s="86" t="s">
        <v>197</v>
      </c>
      <c r="E18" s="85">
        <v>31</v>
      </c>
      <c r="F18" s="85">
        <v>48</v>
      </c>
      <c r="G18" s="96" t="s">
        <v>93</v>
      </c>
      <c r="H18" s="85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4" t="s">
        <v>164</v>
      </c>
      <c r="P18" s="122" t="s">
        <v>106</v>
      </c>
      <c r="Q18" s="122" t="s">
        <v>75</v>
      </c>
      <c r="R18" s="94" t="s">
        <v>229</v>
      </c>
      <c r="S18" s="94" t="s">
        <v>231</v>
      </c>
      <c r="T18" s="94" t="s">
        <v>232</v>
      </c>
      <c r="U18" s="94" t="s">
        <v>230</v>
      </c>
    </row>
    <row r="19" spans="1:21" x14ac:dyDescent="0.25">
      <c r="A19" s="93" t="s">
        <v>165</v>
      </c>
      <c r="B19" s="86">
        <v>4</v>
      </c>
      <c r="C19" s="86" t="s">
        <v>162</v>
      </c>
      <c r="D19" s="86" t="s">
        <v>59</v>
      </c>
      <c r="E19" s="85">
        <v>32</v>
      </c>
      <c r="F19" s="85">
        <v>47</v>
      </c>
      <c r="G19" s="96" t="s">
        <v>93</v>
      </c>
      <c r="H19" s="85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4" t="s">
        <v>167</v>
      </c>
      <c r="P19" s="122" t="s">
        <v>107</v>
      </c>
      <c r="Q19" s="122" t="s">
        <v>75</v>
      </c>
      <c r="R19" s="94" t="s">
        <v>221</v>
      </c>
      <c r="S19" s="94" t="s">
        <v>225</v>
      </c>
      <c r="T19" s="94" t="s">
        <v>227</v>
      </c>
      <c r="U19" s="94" t="s">
        <v>223</v>
      </c>
    </row>
    <row r="20" spans="1:21" x14ac:dyDescent="0.25">
      <c r="A20" s="93" t="s">
        <v>168</v>
      </c>
      <c r="B20" s="86">
        <v>5</v>
      </c>
      <c r="C20" s="86" t="s">
        <v>165</v>
      </c>
      <c r="D20" s="86" t="s">
        <v>59</v>
      </c>
      <c r="E20" s="85">
        <v>33</v>
      </c>
      <c r="F20" s="85">
        <v>46</v>
      </c>
      <c r="G20" s="96" t="s">
        <v>93</v>
      </c>
      <c r="H20" s="85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4" t="s">
        <v>169</v>
      </c>
      <c r="P20" s="122" t="s">
        <v>108</v>
      </c>
      <c r="Q20" s="122" t="s">
        <v>75</v>
      </c>
      <c r="R20" s="94" t="s">
        <v>213</v>
      </c>
      <c r="S20" s="94" t="s">
        <v>217</v>
      </c>
      <c r="T20" s="94" t="s">
        <v>219</v>
      </c>
      <c r="U20" s="94" t="s">
        <v>215</v>
      </c>
    </row>
    <row r="21" spans="1:21" x14ac:dyDescent="0.25">
      <c r="A21" s="86" t="s">
        <v>170</v>
      </c>
      <c r="B21" s="86">
        <v>6</v>
      </c>
      <c r="C21" s="86" t="s">
        <v>168</v>
      </c>
      <c r="D21" s="86" t="s">
        <v>59</v>
      </c>
      <c r="E21" s="85">
        <v>34</v>
      </c>
      <c r="F21" s="85">
        <v>45</v>
      </c>
      <c r="G21" s="96" t="s">
        <v>93</v>
      </c>
      <c r="H21" s="85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4" t="s">
        <v>172</v>
      </c>
      <c r="P21" s="122" t="s">
        <v>233</v>
      </c>
      <c r="Q21" s="122" t="s">
        <v>75</v>
      </c>
      <c r="R21" s="94" t="s">
        <v>202</v>
      </c>
      <c r="S21" s="94" t="s">
        <v>208</v>
      </c>
      <c r="T21" s="94" t="s">
        <v>211</v>
      </c>
      <c r="U21" s="94" t="s">
        <v>205</v>
      </c>
    </row>
    <row r="22" spans="1:21" x14ac:dyDescent="0.25">
      <c r="A22" s="94" t="s">
        <v>173</v>
      </c>
      <c r="B22" s="94">
        <v>7</v>
      </c>
      <c r="C22" s="94" t="s">
        <v>170</v>
      </c>
      <c r="D22" s="94" t="s">
        <v>59</v>
      </c>
      <c r="E22">
        <v>35</v>
      </c>
      <c r="F22">
        <v>36</v>
      </c>
      <c r="G22" s="97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4" t="s">
        <v>175</v>
      </c>
      <c r="P22" s="122" t="s">
        <v>152</v>
      </c>
      <c r="Q22" s="122" t="s">
        <v>75</v>
      </c>
    </row>
    <row r="23" spans="1:21" x14ac:dyDescent="0.25">
      <c r="A23" s="88" t="s">
        <v>176</v>
      </c>
      <c r="B23" s="86">
        <v>7</v>
      </c>
      <c r="C23" s="95" t="s">
        <v>170</v>
      </c>
      <c r="D23" s="86" t="s">
        <v>92</v>
      </c>
      <c r="E23" s="85">
        <v>37</v>
      </c>
      <c r="F23" s="85">
        <v>38</v>
      </c>
      <c r="G23" s="96" t="s">
        <v>59</v>
      </c>
      <c r="H23" s="85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4" t="s">
        <v>178</v>
      </c>
      <c r="P23" s="122" t="s">
        <v>155</v>
      </c>
      <c r="Q23" s="122" t="s">
        <v>75</v>
      </c>
    </row>
    <row r="24" spans="1:21" x14ac:dyDescent="0.25">
      <c r="A24" s="93" t="s">
        <v>179</v>
      </c>
      <c r="B24" s="86">
        <v>7</v>
      </c>
      <c r="C24" s="86" t="s">
        <v>170</v>
      </c>
      <c r="D24" s="86" t="s">
        <v>197</v>
      </c>
      <c r="E24" s="85">
        <v>39</v>
      </c>
      <c r="F24" s="85">
        <v>40</v>
      </c>
      <c r="G24" s="96" t="s">
        <v>59</v>
      </c>
      <c r="H24" s="85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4" t="s">
        <v>181</v>
      </c>
      <c r="P24" s="122" t="s">
        <v>158</v>
      </c>
      <c r="Q24" s="122" t="s">
        <v>75</v>
      </c>
    </row>
    <row r="25" spans="1:21" x14ac:dyDescent="0.25">
      <c r="A25" s="93" t="s">
        <v>182</v>
      </c>
      <c r="B25" s="86">
        <v>7</v>
      </c>
      <c r="C25" s="86" t="s">
        <v>170</v>
      </c>
      <c r="D25" s="86" t="s">
        <v>198</v>
      </c>
      <c r="E25" s="85">
        <v>41</v>
      </c>
      <c r="F25" s="85">
        <v>42</v>
      </c>
      <c r="G25" s="96" t="s">
        <v>59</v>
      </c>
      <c r="H25" s="85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4" t="s">
        <v>184</v>
      </c>
      <c r="P25" s="122" t="s">
        <v>161</v>
      </c>
      <c r="Q25" s="122" t="s">
        <v>75</v>
      </c>
    </row>
    <row r="26" spans="1:21" x14ac:dyDescent="0.25">
      <c r="A26" s="93" t="s">
        <v>185</v>
      </c>
      <c r="B26" s="86">
        <v>7</v>
      </c>
      <c r="C26" s="86" t="s">
        <v>170</v>
      </c>
      <c r="D26" s="86" t="s">
        <v>199</v>
      </c>
      <c r="E26" s="85">
        <v>43</v>
      </c>
      <c r="F26" s="85">
        <v>44</v>
      </c>
      <c r="G26" s="96" t="s">
        <v>59</v>
      </c>
      <c r="H26" s="85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4" t="s">
        <v>187</v>
      </c>
      <c r="P26" s="122" t="s">
        <v>234</v>
      </c>
      <c r="Q26" s="122" t="s">
        <v>75</v>
      </c>
    </row>
    <row r="27" spans="1:21" x14ac:dyDescent="0.25">
      <c r="A27" s="94" t="s">
        <v>188</v>
      </c>
      <c r="B27" s="94">
        <v>3</v>
      </c>
      <c r="C27" s="94" t="s">
        <v>2</v>
      </c>
      <c r="D27" s="94" t="s">
        <v>198</v>
      </c>
      <c r="E27">
        <v>49</v>
      </c>
      <c r="F27">
        <v>56</v>
      </c>
      <c r="G27" s="97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4" t="s">
        <v>190</v>
      </c>
      <c r="P27" s="122" t="s">
        <v>164</v>
      </c>
      <c r="Q27" s="122" t="s">
        <v>75</v>
      </c>
      <c r="R27" s="94" t="s">
        <v>222</v>
      </c>
      <c r="S27" s="94" t="s">
        <v>226</v>
      </c>
      <c r="T27" s="94" t="s">
        <v>228</v>
      </c>
      <c r="U27" s="94" t="s">
        <v>224</v>
      </c>
    </row>
    <row r="28" spans="1:21" x14ac:dyDescent="0.25">
      <c r="A28" s="94" t="s">
        <v>191</v>
      </c>
      <c r="B28" s="94">
        <v>4</v>
      </c>
      <c r="C28" s="94" t="s">
        <v>188</v>
      </c>
      <c r="D28" s="94" t="s">
        <v>59</v>
      </c>
      <c r="E28">
        <v>50</v>
      </c>
      <c r="F28">
        <v>55</v>
      </c>
      <c r="G28" s="97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4" t="s">
        <v>192</v>
      </c>
      <c r="P28" s="122" t="s">
        <v>167</v>
      </c>
      <c r="Q28" s="122" t="s">
        <v>75</v>
      </c>
      <c r="R28" s="94" t="s">
        <v>214</v>
      </c>
      <c r="S28" s="94" t="s">
        <v>218</v>
      </c>
      <c r="T28" s="94" t="s">
        <v>220</v>
      </c>
      <c r="U28" s="94" t="s">
        <v>216</v>
      </c>
    </row>
    <row r="29" spans="1:21" x14ac:dyDescent="0.25">
      <c r="A29" s="94" t="s">
        <v>193</v>
      </c>
      <c r="B29" s="94">
        <v>5</v>
      </c>
      <c r="C29" s="94" t="s">
        <v>191</v>
      </c>
      <c r="D29" s="94" t="s">
        <v>59</v>
      </c>
      <c r="E29">
        <v>51</v>
      </c>
      <c r="F29">
        <v>54</v>
      </c>
      <c r="G29" s="97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4" t="s">
        <v>194</v>
      </c>
      <c r="P29" s="122" t="s">
        <v>169</v>
      </c>
      <c r="Q29" s="122" t="s">
        <v>75</v>
      </c>
      <c r="R29" s="94" t="s">
        <v>203</v>
      </c>
      <c r="S29" s="94" t="s">
        <v>209</v>
      </c>
      <c r="T29" s="94" t="s">
        <v>212</v>
      </c>
      <c r="U29" s="94" t="s">
        <v>206</v>
      </c>
    </row>
    <row r="30" spans="1:21" x14ac:dyDescent="0.25">
      <c r="A30" s="94" t="s">
        <v>195</v>
      </c>
      <c r="B30" s="94">
        <v>6</v>
      </c>
      <c r="C30" s="94" t="s">
        <v>193</v>
      </c>
      <c r="D30" s="94" t="s">
        <v>59</v>
      </c>
      <c r="E30">
        <v>52</v>
      </c>
      <c r="F30">
        <v>53</v>
      </c>
      <c r="G30" s="97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4" t="s">
        <v>196</v>
      </c>
      <c r="P30" s="122" t="s">
        <v>172</v>
      </c>
      <c r="Q30" s="122" t="s">
        <v>75</v>
      </c>
    </row>
    <row r="31" spans="1:21" x14ac:dyDescent="0.25">
      <c r="G31" s="97"/>
      <c r="P31" s="122"/>
      <c r="Q31" s="122"/>
    </row>
    <row r="32" spans="1:21" x14ac:dyDescent="0.25">
      <c r="G32" s="97"/>
      <c r="P32" s="122"/>
      <c r="Q32" s="122"/>
    </row>
    <row r="33" spans="7:17" x14ac:dyDescent="0.25">
      <c r="G33" s="97"/>
      <c r="P33" s="122"/>
      <c r="Q33" s="122"/>
    </row>
    <row r="34" spans="7:17" x14ac:dyDescent="0.25">
      <c r="G34" s="97"/>
      <c r="P34" s="122"/>
      <c r="Q34" s="122"/>
    </row>
    <row r="35" spans="7:17" x14ac:dyDescent="0.25">
      <c r="G35" s="97"/>
      <c r="P35" s="122"/>
      <c r="Q35" s="122"/>
    </row>
    <row r="36" spans="7:17" x14ac:dyDescent="0.25">
      <c r="G36" s="97"/>
      <c r="P36" s="122"/>
      <c r="Q36" s="122"/>
    </row>
    <row r="37" spans="7:17" x14ac:dyDescent="0.25">
      <c r="G37" s="97"/>
      <c r="P37" s="122"/>
      <c r="Q37" s="122"/>
    </row>
    <row r="38" spans="7:17" x14ac:dyDescent="0.25">
      <c r="G38" s="97"/>
      <c r="P38" s="122"/>
      <c r="Q38" s="122"/>
    </row>
    <row r="39" spans="7:17" x14ac:dyDescent="0.25">
      <c r="G39" s="97"/>
      <c r="P39" s="122"/>
      <c r="Q39" s="122"/>
    </row>
    <row r="40" spans="7:17" x14ac:dyDescent="0.25">
      <c r="G40" s="97"/>
      <c r="P40" s="122"/>
      <c r="Q40" s="122"/>
    </row>
    <row r="41" spans="7:17" x14ac:dyDescent="0.25">
      <c r="G41" s="97"/>
      <c r="P41" s="122"/>
      <c r="Q41" s="122"/>
    </row>
    <row r="42" spans="7:17" x14ac:dyDescent="0.25">
      <c r="G42" s="97"/>
      <c r="P42" s="122"/>
      <c r="Q42" s="122"/>
    </row>
    <row r="43" spans="7:17" x14ac:dyDescent="0.25">
      <c r="G43" s="97"/>
      <c r="P43" s="122"/>
      <c r="Q43" s="122"/>
    </row>
    <row r="44" spans="7:17" x14ac:dyDescent="0.25">
      <c r="G44" s="97"/>
      <c r="P44" s="122"/>
      <c r="Q44" s="122"/>
    </row>
    <row r="45" spans="7:17" x14ac:dyDescent="0.25">
      <c r="G45" s="97"/>
      <c r="P45" s="122"/>
      <c r="Q45" s="122"/>
    </row>
    <row r="46" spans="7:17" x14ac:dyDescent="0.25">
      <c r="G46" s="97"/>
      <c r="P46" s="122"/>
      <c r="Q46" s="122"/>
    </row>
    <row r="47" spans="7:17" x14ac:dyDescent="0.25">
      <c r="G47" s="97"/>
      <c r="P47" s="122"/>
      <c r="Q47" s="122"/>
    </row>
    <row r="48" spans="7:17" x14ac:dyDescent="0.25">
      <c r="G48" s="97"/>
      <c r="P48" s="122"/>
      <c r="Q48" s="122"/>
    </row>
    <row r="49" spans="7:17" x14ac:dyDescent="0.25">
      <c r="G49" s="97"/>
      <c r="P49" s="122"/>
      <c r="Q49" s="122"/>
    </row>
    <row r="50" spans="7:17" x14ac:dyDescent="0.25">
      <c r="G50" s="97"/>
      <c r="P50" s="122"/>
      <c r="Q50" s="122"/>
    </row>
    <row r="51" spans="7:17" x14ac:dyDescent="0.25">
      <c r="G51" s="97"/>
      <c r="P51" s="122"/>
      <c r="Q51" s="122"/>
    </row>
    <row r="52" spans="7:17" x14ac:dyDescent="0.25">
      <c r="G52" s="97"/>
      <c r="P52" s="122"/>
      <c r="Q52" s="122"/>
    </row>
    <row r="53" spans="7:17" x14ac:dyDescent="0.25">
      <c r="G53" s="97"/>
      <c r="P53" s="122"/>
      <c r="Q53" s="122"/>
    </row>
    <row r="54" spans="7:17" x14ac:dyDescent="0.25">
      <c r="G54" s="97"/>
      <c r="P54" s="122"/>
      <c r="Q54" s="122"/>
    </row>
    <row r="55" spans="7:17" x14ac:dyDescent="0.25">
      <c r="G55" s="97"/>
      <c r="P55" s="122"/>
      <c r="Q55" s="122"/>
    </row>
    <row r="56" spans="7:17" x14ac:dyDescent="0.25">
      <c r="G56" s="97"/>
      <c r="P56" s="122"/>
      <c r="Q56" s="122"/>
    </row>
    <row r="57" spans="7:17" x14ac:dyDescent="0.25">
      <c r="G57" s="97"/>
      <c r="P57" s="122"/>
      <c r="Q57" s="122"/>
    </row>
    <row r="58" spans="7:17" x14ac:dyDescent="0.25">
      <c r="G58" s="97"/>
      <c r="P58" s="122"/>
      <c r="Q58" s="122"/>
    </row>
    <row r="59" spans="7:17" x14ac:dyDescent="0.25">
      <c r="G59" s="97"/>
      <c r="P59" s="122"/>
      <c r="Q59" s="122"/>
    </row>
    <row r="60" spans="7:17" x14ac:dyDescent="0.25">
      <c r="G60" s="97"/>
      <c r="P60" s="122"/>
      <c r="Q60" s="122"/>
    </row>
    <row r="61" spans="7:17" x14ac:dyDescent="0.25">
      <c r="G61" s="97"/>
      <c r="P61" s="122"/>
      <c r="Q61" s="122"/>
    </row>
    <row r="62" spans="7:17" x14ac:dyDescent="0.25">
      <c r="G62" s="97"/>
      <c r="P62" s="122"/>
      <c r="Q62" s="122"/>
    </row>
    <row r="63" spans="7:17" x14ac:dyDescent="0.25">
      <c r="G63" s="97"/>
      <c r="P63" s="122"/>
      <c r="Q63" s="122"/>
    </row>
    <row r="64" spans="7:17" x14ac:dyDescent="0.25">
      <c r="G64" s="97"/>
      <c r="P64" s="122"/>
      <c r="Q64" s="122"/>
    </row>
    <row r="65" spans="7:17" x14ac:dyDescent="0.25">
      <c r="G65" s="97"/>
      <c r="P65" s="122"/>
      <c r="Q65" s="122"/>
    </row>
    <row r="66" spans="7:17" x14ac:dyDescent="0.25">
      <c r="G66" s="97"/>
      <c r="P66" s="122"/>
      <c r="Q66" s="122"/>
    </row>
    <row r="67" spans="7:17" x14ac:dyDescent="0.25">
      <c r="G67" s="97"/>
      <c r="P67" s="122"/>
      <c r="Q67" s="122"/>
    </row>
    <row r="68" spans="7:17" x14ac:dyDescent="0.25">
      <c r="G68" s="97"/>
      <c r="P68" s="122"/>
      <c r="Q68" s="122"/>
    </row>
    <row r="69" spans="7:17" x14ac:dyDescent="0.25">
      <c r="G69" s="97"/>
      <c r="P69" s="122"/>
      <c r="Q69" s="122"/>
    </row>
    <row r="70" spans="7:17" x14ac:dyDescent="0.25">
      <c r="G70" s="97"/>
      <c r="P70" s="122"/>
      <c r="Q70" s="122"/>
    </row>
    <row r="71" spans="7:17" x14ac:dyDescent="0.25">
      <c r="G71" s="97"/>
      <c r="P71" s="122"/>
      <c r="Q71" s="122"/>
    </row>
    <row r="72" spans="7:17" x14ac:dyDescent="0.25">
      <c r="G72" s="97"/>
      <c r="P72" s="122"/>
      <c r="Q72" s="122"/>
    </row>
    <row r="73" spans="7:17" x14ac:dyDescent="0.25">
      <c r="G73" s="97"/>
      <c r="P73" s="122"/>
      <c r="Q73" s="122"/>
    </row>
    <row r="74" spans="7:17" x14ac:dyDescent="0.25">
      <c r="G74" s="97"/>
      <c r="P74" s="122"/>
      <c r="Q74" s="122"/>
    </row>
    <row r="75" spans="7:17" x14ac:dyDescent="0.25">
      <c r="G75" s="97"/>
      <c r="P75" s="122"/>
      <c r="Q75" s="122"/>
    </row>
    <row r="76" spans="7:17" x14ac:dyDescent="0.25">
      <c r="G76" s="97"/>
      <c r="P76" s="122"/>
      <c r="Q76" s="122"/>
    </row>
    <row r="77" spans="7:17" x14ac:dyDescent="0.25">
      <c r="G77" s="97"/>
      <c r="P77" s="122"/>
      <c r="Q77" s="122"/>
    </row>
    <row r="78" spans="7:17" x14ac:dyDescent="0.25">
      <c r="G78" s="97"/>
      <c r="P78" s="122"/>
      <c r="Q78" s="122"/>
    </row>
    <row r="79" spans="7:17" x14ac:dyDescent="0.25">
      <c r="G79" s="97"/>
      <c r="P79" s="122"/>
      <c r="Q79" s="122"/>
    </row>
    <row r="80" spans="7:17" x14ac:dyDescent="0.25">
      <c r="G80" s="97"/>
      <c r="P80" s="122"/>
      <c r="Q80" s="122"/>
    </row>
    <row r="81" spans="7:17" x14ac:dyDescent="0.25">
      <c r="G81" s="97"/>
      <c r="P81" s="122"/>
      <c r="Q81" s="122"/>
    </row>
    <row r="82" spans="7:17" x14ac:dyDescent="0.25">
      <c r="G82" s="97"/>
      <c r="P82" s="122"/>
      <c r="Q82" s="122"/>
    </row>
    <row r="83" spans="7:17" x14ac:dyDescent="0.25">
      <c r="G83" s="97"/>
      <c r="P83" s="122"/>
      <c r="Q83" s="122"/>
    </row>
    <row r="84" spans="7:17" x14ac:dyDescent="0.25">
      <c r="G84" s="97"/>
      <c r="P84" s="122"/>
      <c r="Q84" s="122"/>
    </row>
    <row r="85" spans="7:17" x14ac:dyDescent="0.25">
      <c r="G85" s="97"/>
      <c r="P85" s="122"/>
      <c r="Q85" s="122"/>
    </row>
    <row r="86" spans="7:17" x14ac:dyDescent="0.25">
      <c r="G86" s="97"/>
      <c r="P86" s="122"/>
      <c r="Q86" s="122"/>
    </row>
    <row r="87" spans="7:17" x14ac:dyDescent="0.25">
      <c r="G87" s="97"/>
      <c r="P87" s="122"/>
      <c r="Q87" s="122"/>
    </row>
    <row r="88" spans="7:17" x14ac:dyDescent="0.25">
      <c r="G88" s="97"/>
      <c r="P88" s="122"/>
      <c r="Q88" s="122"/>
    </row>
    <row r="89" spans="7:17" x14ac:dyDescent="0.25">
      <c r="G89" s="97"/>
      <c r="P89" s="122"/>
      <c r="Q89" s="122"/>
    </row>
    <row r="90" spans="7:17" x14ac:dyDescent="0.25">
      <c r="G90" s="97"/>
      <c r="P90" s="122"/>
      <c r="Q90" s="122"/>
    </row>
    <row r="91" spans="7:17" x14ac:dyDescent="0.25">
      <c r="G91" s="97"/>
      <c r="P91" s="122"/>
      <c r="Q91" s="122"/>
    </row>
    <row r="92" spans="7:17" x14ac:dyDescent="0.25">
      <c r="G92" s="97"/>
      <c r="P92" s="122"/>
      <c r="Q92" s="122"/>
    </row>
    <row r="93" spans="7:17" x14ac:dyDescent="0.25">
      <c r="G93" s="97"/>
      <c r="P93" s="122"/>
      <c r="Q93" s="122"/>
    </row>
    <row r="94" spans="7:17" x14ac:dyDescent="0.25">
      <c r="G94" s="97"/>
      <c r="P94" s="122"/>
      <c r="Q94" s="122"/>
    </row>
    <row r="95" spans="7:17" x14ac:dyDescent="0.25">
      <c r="G95" s="97"/>
      <c r="P95" s="122"/>
      <c r="Q95" s="122"/>
    </row>
    <row r="96" spans="7:17" x14ac:dyDescent="0.25">
      <c r="G96" s="97"/>
      <c r="P96" s="122"/>
      <c r="Q96" s="122"/>
    </row>
    <row r="97" spans="7:17" x14ac:dyDescent="0.25">
      <c r="G97" s="97"/>
      <c r="P97" s="122"/>
      <c r="Q97" s="122"/>
    </row>
    <row r="98" spans="7:17" x14ac:dyDescent="0.25">
      <c r="G98" s="97"/>
      <c r="P98" s="122"/>
      <c r="Q98" s="122"/>
    </row>
    <row r="99" spans="7:17" x14ac:dyDescent="0.25">
      <c r="G99" s="97"/>
      <c r="P99" s="122"/>
      <c r="Q99" s="122"/>
    </row>
    <row r="100" spans="7:17" x14ac:dyDescent="0.25">
      <c r="G100" s="97"/>
      <c r="P100" s="122"/>
      <c r="Q100" s="122"/>
    </row>
    <row r="101" spans="7:17" x14ac:dyDescent="0.25">
      <c r="G101" s="97"/>
      <c r="P101" s="122"/>
      <c r="Q101" s="122"/>
    </row>
    <row r="102" spans="7:17" x14ac:dyDescent="0.25">
      <c r="G102" s="97"/>
      <c r="P102" s="122"/>
      <c r="Q102" s="122"/>
    </row>
    <row r="103" spans="7:17" x14ac:dyDescent="0.25">
      <c r="G103" s="97"/>
      <c r="P103" s="122"/>
      <c r="Q103" s="122"/>
    </row>
    <row r="104" spans="7:17" x14ac:dyDescent="0.25">
      <c r="G104" s="97"/>
      <c r="P104" s="122"/>
      <c r="Q104" s="122"/>
    </row>
    <row r="105" spans="7:17" x14ac:dyDescent="0.25">
      <c r="G105" s="97"/>
      <c r="P105" s="122"/>
      <c r="Q105" s="122"/>
    </row>
    <row r="106" spans="7:17" x14ac:dyDescent="0.25">
      <c r="G106" s="97"/>
      <c r="P106" s="122"/>
      <c r="Q106" s="122"/>
    </row>
    <row r="107" spans="7:17" x14ac:dyDescent="0.25">
      <c r="G107" s="97"/>
      <c r="P107" s="122"/>
      <c r="Q107" s="122"/>
    </row>
    <row r="108" spans="7:17" x14ac:dyDescent="0.25">
      <c r="G108" s="97"/>
      <c r="P108" s="122"/>
      <c r="Q108" s="122"/>
    </row>
    <row r="109" spans="7:17" x14ac:dyDescent="0.25">
      <c r="G109" s="97"/>
      <c r="P109" s="122"/>
      <c r="Q109" s="122"/>
    </row>
    <row r="110" spans="7:17" x14ac:dyDescent="0.25">
      <c r="G110" s="97"/>
      <c r="P110" s="122"/>
      <c r="Q110" s="122"/>
    </row>
    <row r="111" spans="7:17" x14ac:dyDescent="0.25">
      <c r="G111" s="97"/>
      <c r="P111" s="122"/>
      <c r="Q111" s="122"/>
    </row>
    <row r="112" spans="7:17" x14ac:dyDescent="0.25">
      <c r="G112" s="97"/>
      <c r="P112" s="122"/>
      <c r="Q112" s="122"/>
    </row>
    <row r="113" spans="7:17" x14ac:dyDescent="0.25">
      <c r="G113" s="97"/>
      <c r="P113" s="122"/>
      <c r="Q113" s="122"/>
    </row>
    <row r="114" spans="7:17" x14ac:dyDescent="0.25">
      <c r="G114" s="97"/>
      <c r="P114" s="122"/>
      <c r="Q114" s="122"/>
    </row>
    <row r="115" spans="7:17" x14ac:dyDescent="0.25">
      <c r="G115" s="97"/>
      <c r="P115" s="122"/>
      <c r="Q115" s="122"/>
    </row>
    <row r="116" spans="7:17" x14ac:dyDescent="0.25">
      <c r="G116" s="97"/>
      <c r="P116" s="122"/>
      <c r="Q116" s="122"/>
    </row>
    <row r="117" spans="7:17" x14ac:dyDescent="0.25">
      <c r="G117" s="97"/>
      <c r="P117" s="122"/>
      <c r="Q117" s="122"/>
    </row>
    <row r="118" spans="7:17" x14ac:dyDescent="0.25">
      <c r="G118" s="97"/>
      <c r="P118" s="122"/>
      <c r="Q118" s="122"/>
    </row>
    <row r="119" spans="7:17" x14ac:dyDescent="0.25">
      <c r="G119" s="97"/>
      <c r="P119" s="122"/>
      <c r="Q119" s="122"/>
    </row>
    <row r="120" spans="7:17" x14ac:dyDescent="0.25">
      <c r="G120" s="97"/>
      <c r="P120" s="122"/>
      <c r="Q120" s="122"/>
    </row>
    <row r="121" spans="7:17" x14ac:dyDescent="0.25">
      <c r="G121" s="97"/>
      <c r="P121" s="122"/>
      <c r="Q121" s="122"/>
    </row>
    <row r="122" spans="7:17" x14ac:dyDescent="0.25">
      <c r="G122" s="97"/>
      <c r="P122" s="122"/>
      <c r="Q122" s="122"/>
    </row>
    <row r="123" spans="7:17" x14ac:dyDescent="0.25">
      <c r="G123" s="97"/>
      <c r="P123" s="122"/>
      <c r="Q123" s="122"/>
    </row>
    <row r="124" spans="7:17" x14ac:dyDescent="0.25">
      <c r="G124" s="97"/>
      <c r="P124" s="122"/>
      <c r="Q124" s="122"/>
    </row>
    <row r="125" spans="7:17" x14ac:dyDescent="0.25">
      <c r="G125" s="97"/>
      <c r="P125" s="122"/>
      <c r="Q125" s="122"/>
    </row>
    <row r="126" spans="7:17" x14ac:dyDescent="0.25">
      <c r="G126" s="97"/>
      <c r="P126" s="122"/>
      <c r="Q126" s="122"/>
    </row>
    <row r="127" spans="7:17" x14ac:dyDescent="0.25">
      <c r="G127" s="97"/>
      <c r="P127" s="122"/>
      <c r="Q127" s="122"/>
    </row>
    <row r="128" spans="7:17" x14ac:dyDescent="0.25">
      <c r="G128" s="97"/>
      <c r="P128" s="122"/>
      <c r="Q128" s="122"/>
    </row>
    <row r="129" spans="7:17" x14ac:dyDescent="0.25">
      <c r="G129" s="97"/>
      <c r="P129" s="122"/>
      <c r="Q129" s="122"/>
    </row>
    <row r="130" spans="7:17" x14ac:dyDescent="0.25">
      <c r="G130" s="97"/>
      <c r="P130" s="122"/>
      <c r="Q130" s="122"/>
    </row>
    <row r="131" spans="7:17" x14ac:dyDescent="0.25">
      <c r="G131" s="97"/>
      <c r="P131" s="122"/>
      <c r="Q131" s="122"/>
    </row>
    <row r="132" spans="7:17" x14ac:dyDescent="0.25">
      <c r="G132" s="97"/>
      <c r="P132" s="122"/>
      <c r="Q132" s="122"/>
    </row>
    <row r="133" spans="7:17" x14ac:dyDescent="0.25">
      <c r="G133" s="97"/>
      <c r="P133" s="122"/>
      <c r="Q133" s="122"/>
    </row>
    <row r="134" spans="7:17" x14ac:dyDescent="0.25">
      <c r="G134" s="97"/>
      <c r="P134" s="122"/>
      <c r="Q134" s="122"/>
    </row>
    <row r="135" spans="7:17" x14ac:dyDescent="0.25">
      <c r="G135" s="97"/>
      <c r="P135" s="122"/>
      <c r="Q135" s="122"/>
    </row>
    <row r="136" spans="7:17" x14ac:dyDescent="0.25">
      <c r="G136" s="97"/>
      <c r="P136" s="122"/>
      <c r="Q136" s="122"/>
    </row>
    <row r="137" spans="7:17" x14ac:dyDescent="0.25">
      <c r="G137" s="97"/>
      <c r="P137" s="122"/>
      <c r="Q137" s="122"/>
    </row>
    <row r="138" spans="7:17" x14ac:dyDescent="0.25">
      <c r="G138" s="97"/>
      <c r="P138" s="122"/>
      <c r="Q138" s="122"/>
    </row>
    <row r="139" spans="7:17" x14ac:dyDescent="0.25">
      <c r="G139" s="97"/>
      <c r="P139" s="122"/>
      <c r="Q139" s="122"/>
    </row>
    <row r="140" spans="7:17" x14ac:dyDescent="0.25">
      <c r="G140" s="97"/>
      <c r="P140" s="122"/>
      <c r="Q140" s="122"/>
    </row>
    <row r="141" spans="7:17" x14ac:dyDescent="0.25">
      <c r="G141" s="97"/>
      <c r="P141" s="122"/>
      <c r="Q141" s="122"/>
    </row>
    <row r="142" spans="7:17" x14ac:dyDescent="0.25">
      <c r="G142" s="97"/>
      <c r="P142" s="122"/>
      <c r="Q142" s="122"/>
    </row>
    <row r="143" spans="7:17" x14ac:dyDescent="0.25">
      <c r="G143" s="97"/>
      <c r="P143" s="122"/>
      <c r="Q143" s="122"/>
    </row>
    <row r="144" spans="7:17" x14ac:dyDescent="0.25">
      <c r="G144" s="97"/>
      <c r="P144" s="122"/>
      <c r="Q144" s="122"/>
    </row>
    <row r="145" spans="7:17" x14ac:dyDescent="0.25">
      <c r="G145" s="97"/>
      <c r="P145" s="122"/>
      <c r="Q145" s="122"/>
    </row>
    <row r="146" spans="7:17" x14ac:dyDescent="0.25">
      <c r="G146" s="97"/>
      <c r="P146" s="122"/>
      <c r="Q146" s="122"/>
    </row>
    <row r="147" spans="7:17" x14ac:dyDescent="0.25">
      <c r="G147" s="97"/>
      <c r="P147" s="122"/>
      <c r="Q147" s="122"/>
    </row>
    <row r="148" spans="7:17" x14ac:dyDescent="0.25">
      <c r="G148" s="97"/>
      <c r="P148" s="122"/>
      <c r="Q148" s="122"/>
    </row>
    <row r="149" spans="7:17" x14ac:dyDescent="0.25">
      <c r="G149" s="97"/>
      <c r="P149" s="122"/>
      <c r="Q149" s="122"/>
    </row>
    <row r="150" spans="7:17" x14ac:dyDescent="0.25">
      <c r="G150" s="97"/>
      <c r="P150" s="122"/>
      <c r="Q150" s="122"/>
    </row>
    <row r="151" spans="7:17" x14ac:dyDescent="0.25">
      <c r="G151" s="97"/>
      <c r="P151" s="122"/>
      <c r="Q151" s="122"/>
    </row>
    <row r="152" spans="7:17" x14ac:dyDescent="0.25">
      <c r="G152" s="97"/>
      <c r="P152" s="122"/>
      <c r="Q152" s="122"/>
    </row>
    <row r="153" spans="7:17" x14ac:dyDescent="0.25">
      <c r="G153" s="97"/>
      <c r="P153" s="122"/>
      <c r="Q153" s="122"/>
    </row>
    <row r="154" spans="7:17" x14ac:dyDescent="0.25">
      <c r="G154" s="97"/>
      <c r="P154" s="122"/>
      <c r="Q154" s="122"/>
    </row>
    <row r="155" spans="7:17" x14ac:dyDescent="0.25">
      <c r="G155" s="97"/>
      <c r="P155" s="122"/>
      <c r="Q155" s="122"/>
    </row>
    <row r="156" spans="7:17" x14ac:dyDescent="0.25">
      <c r="G156" s="97"/>
      <c r="P156" s="122"/>
      <c r="Q156" s="122"/>
    </row>
    <row r="157" spans="7:17" x14ac:dyDescent="0.25">
      <c r="G157" s="97"/>
      <c r="P157" s="122"/>
      <c r="Q157" s="122"/>
    </row>
    <row r="158" spans="7:17" x14ac:dyDescent="0.25">
      <c r="G158" s="97"/>
      <c r="P158" s="122"/>
      <c r="Q158" s="122"/>
    </row>
    <row r="159" spans="7:17" x14ac:dyDescent="0.25">
      <c r="G159" s="97"/>
      <c r="P159" s="122"/>
      <c r="Q159" s="122"/>
    </row>
    <row r="160" spans="7:17" x14ac:dyDescent="0.25">
      <c r="G160" s="97"/>
      <c r="P160" s="122"/>
      <c r="Q160" s="122"/>
    </row>
    <row r="161" spans="7:17" x14ac:dyDescent="0.25">
      <c r="G161" s="97"/>
      <c r="P161" s="122"/>
      <c r="Q161" s="122"/>
    </row>
    <row r="162" spans="7:17" x14ac:dyDescent="0.25">
      <c r="G162" s="97"/>
      <c r="P162" s="122"/>
      <c r="Q162" s="122"/>
    </row>
    <row r="163" spans="7:17" x14ac:dyDescent="0.25">
      <c r="G163" s="97"/>
      <c r="P163" s="122"/>
      <c r="Q163" s="122"/>
    </row>
    <row r="164" spans="7:17" x14ac:dyDescent="0.25">
      <c r="G164" s="97"/>
      <c r="P164" s="122"/>
      <c r="Q164" s="122"/>
    </row>
    <row r="165" spans="7:17" x14ac:dyDescent="0.25">
      <c r="G165" s="97"/>
      <c r="P165" s="122"/>
      <c r="Q165" s="122"/>
    </row>
    <row r="166" spans="7:17" x14ac:dyDescent="0.25">
      <c r="G166" s="97"/>
      <c r="P166" s="122"/>
      <c r="Q166" s="122"/>
    </row>
    <row r="167" spans="7:17" x14ac:dyDescent="0.25">
      <c r="G167" s="97"/>
      <c r="P167" s="122"/>
      <c r="Q167" s="122"/>
    </row>
    <row r="168" spans="7:17" x14ac:dyDescent="0.25">
      <c r="G168" s="97"/>
      <c r="P168" s="122"/>
      <c r="Q168" s="122"/>
    </row>
    <row r="169" spans="7:17" x14ac:dyDescent="0.25">
      <c r="G169" s="97"/>
      <c r="P169" s="122"/>
      <c r="Q169" s="122"/>
    </row>
    <row r="170" spans="7:17" x14ac:dyDescent="0.25">
      <c r="G170" s="97"/>
      <c r="P170" s="122"/>
      <c r="Q170" s="122"/>
    </row>
    <row r="171" spans="7:17" x14ac:dyDescent="0.25">
      <c r="G171" s="97"/>
      <c r="P171" s="122"/>
      <c r="Q171" s="122"/>
    </row>
    <row r="172" spans="7:17" x14ac:dyDescent="0.25">
      <c r="G172" s="97"/>
      <c r="P172" s="122"/>
      <c r="Q172" s="122"/>
    </row>
    <row r="173" spans="7:17" x14ac:dyDescent="0.25">
      <c r="G173" s="97"/>
      <c r="P173" s="122"/>
      <c r="Q173" s="122"/>
    </row>
    <row r="174" spans="7:17" x14ac:dyDescent="0.25">
      <c r="G174" s="97"/>
      <c r="P174" s="122"/>
      <c r="Q174" s="122"/>
    </row>
    <row r="175" spans="7:17" x14ac:dyDescent="0.25">
      <c r="G175" s="97"/>
      <c r="P175" s="122"/>
      <c r="Q175" s="122"/>
    </row>
    <row r="176" spans="7:17" x14ac:dyDescent="0.25">
      <c r="G176" s="97"/>
      <c r="P176" s="122"/>
      <c r="Q176" s="122"/>
    </row>
    <row r="177" spans="7:17" x14ac:dyDescent="0.25">
      <c r="G177" s="97"/>
      <c r="P177" s="122"/>
      <c r="Q177" s="122"/>
    </row>
    <row r="178" spans="7:17" x14ac:dyDescent="0.25">
      <c r="G178" s="97"/>
      <c r="P178" s="122"/>
      <c r="Q178" s="122"/>
    </row>
    <row r="179" spans="7:17" x14ac:dyDescent="0.25">
      <c r="G179" s="97"/>
      <c r="P179" s="122"/>
      <c r="Q179" s="122"/>
    </row>
    <row r="180" spans="7:17" x14ac:dyDescent="0.25">
      <c r="G180" s="97"/>
      <c r="P180" s="122"/>
      <c r="Q180" s="122"/>
    </row>
    <row r="181" spans="7:17" x14ac:dyDescent="0.25">
      <c r="G181" s="97"/>
      <c r="P181" s="122"/>
      <c r="Q181" s="122"/>
    </row>
    <row r="182" spans="7:17" x14ac:dyDescent="0.25">
      <c r="G182" s="97"/>
      <c r="P182" s="122"/>
      <c r="Q182" s="122"/>
    </row>
    <row r="183" spans="7:17" x14ac:dyDescent="0.25">
      <c r="G183" s="97"/>
      <c r="P183" s="122"/>
      <c r="Q183" s="122"/>
    </row>
    <row r="184" spans="7:17" x14ac:dyDescent="0.25">
      <c r="G184" s="97"/>
      <c r="P184" s="122"/>
      <c r="Q184" s="122"/>
    </row>
    <row r="185" spans="7:17" x14ac:dyDescent="0.25">
      <c r="G185" s="97"/>
      <c r="P185" s="122"/>
      <c r="Q185" s="122"/>
    </row>
    <row r="186" spans="7:17" x14ac:dyDescent="0.25">
      <c r="G186" s="97"/>
      <c r="P186" s="122"/>
      <c r="Q186" s="122"/>
    </row>
    <row r="187" spans="7:17" x14ac:dyDescent="0.25">
      <c r="G187" s="97"/>
      <c r="P187" s="122"/>
      <c r="Q187" s="122"/>
    </row>
    <row r="188" spans="7:17" x14ac:dyDescent="0.25">
      <c r="G188" s="97"/>
      <c r="P188" s="122"/>
      <c r="Q188" s="122"/>
    </row>
    <row r="189" spans="7:17" x14ac:dyDescent="0.25">
      <c r="G189" s="97"/>
      <c r="P189" s="122"/>
      <c r="Q189" s="122"/>
    </row>
    <row r="190" spans="7:17" x14ac:dyDescent="0.25">
      <c r="G190" s="97"/>
      <c r="P190" s="122"/>
      <c r="Q190" s="122"/>
    </row>
    <row r="191" spans="7:17" x14ac:dyDescent="0.25">
      <c r="G191" s="97"/>
      <c r="P191" s="122"/>
      <c r="Q191" s="122"/>
    </row>
    <row r="192" spans="7:17" x14ac:dyDescent="0.25">
      <c r="G192" s="97"/>
      <c r="P192" s="122"/>
      <c r="Q192" s="122"/>
    </row>
    <row r="193" spans="7:17" x14ac:dyDescent="0.25">
      <c r="G193" s="97"/>
      <c r="P193" s="122"/>
      <c r="Q193" s="122"/>
    </row>
    <row r="194" spans="7:17" x14ac:dyDescent="0.25">
      <c r="G194" s="97"/>
      <c r="P194" s="122"/>
      <c r="Q194" s="122"/>
    </row>
    <row r="195" spans="7:17" x14ac:dyDescent="0.25">
      <c r="G195" s="97"/>
      <c r="P195" s="122"/>
      <c r="Q195" s="122"/>
    </row>
    <row r="196" spans="7:17" x14ac:dyDescent="0.25">
      <c r="G196" s="97"/>
      <c r="P196" s="122"/>
      <c r="Q196" s="122"/>
    </row>
    <row r="197" spans="7:17" x14ac:dyDescent="0.25">
      <c r="G197" s="97"/>
      <c r="P197" s="122"/>
      <c r="Q197" s="122"/>
    </row>
    <row r="198" spans="7:17" x14ac:dyDescent="0.25">
      <c r="G198" s="97"/>
      <c r="P198" s="122"/>
      <c r="Q198" s="122"/>
    </row>
    <row r="199" spans="7:17" x14ac:dyDescent="0.25">
      <c r="G199" s="97"/>
      <c r="P199" s="122"/>
      <c r="Q199" s="122"/>
    </row>
    <row r="200" spans="7:17" x14ac:dyDescent="0.25">
      <c r="G200" s="97"/>
      <c r="P200" s="122"/>
      <c r="Q200" s="122"/>
    </row>
    <row r="201" spans="7:17" x14ac:dyDescent="0.25">
      <c r="G201" s="97"/>
      <c r="P201" s="122"/>
      <c r="Q201" s="122"/>
    </row>
    <row r="202" spans="7:17" x14ac:dyDescent="0.25">
      <c r="G202" s="97"/>
      <c r="P202" s="122"/>
      <c r="Q202" s="122"/>
    </row>
    <row r="203" spans="7:17" x14ac:dyDescent="0.25">
      <c r="G203" s="97"/>
      <c r="P203" s="122"/>
      <c r="Q203" s="122"/>
    </row>
    <row r="204" spans="7:17" x14ac:dyDescent="0.25">
      <c r="G204" s="97"/>
      <c r="P204" s="122"/>
      <c r="Q204" s="122"/>
    </row>
    <row r="205" spans="7:17" x14ac:dyDescent="0.25">
      <c r="G205" s="97"/>
      <c r="P205" s="122"/>
      <c r="Q205" s="122"/>
    </row>
    <row r="206" spans="7:17" x14ac:dyDescent="0.25">
      <c r="G206" s="97"/>
      <c r="P206" s="122"/>
      <c r="Q206" s="122"/>
    </row>
    <row r="207" spans="7:17" x14ac:dyDescent="0.25">
      <c r="G207" s="97"/>
      <c r="P207" s="122"/>
      <c r="Q207" s="122"/>
    </row>
    <row r="208" spans="7:17" x14ac:dyDescent="0.25">
      <c r="G208" s="97"/>
      <c r="P208" s="122"/>
      <c r="Q208" s="122"/>
    </row>
    <row r="209" spans="7:17" x14ac:dyDescent="0.25">
      <c r="G209" s="97"/>
      <c r="P209" s="122"/>
      <c r="Q209" s="122"/>
    </row>
    <row r="210" spans="7:17" x14ac:dyDescent="0.25">
      <c r="G210" s="97"/>
      <c r="P210" s="122"/>
      <c r="Q210" s="122"/>
    </row>
    <row r="211" spans="7:17" x14ac:dyDescent="0.25">
      <c r="G211" s="97"/>
      <c r="P211" s="122"/>
      <c r="Q211" s="122"/>
    </row>
    <row r="212" spans="7:17" x14ac:dyDescent="0.25">
      <c r="G212" s="97"/>
      <c r="P212" s="122"/>
      <c r="Q212" s="122"/>
    </row>
    <row r="213" spans="7:17" x14ac:dyDescent="0.25">
      <c r="G213" s="97"/>
      <c r="P213" s="122"/>
      <c r="Q213" s="122"/>
    </row>
    <row r="214" spans="7:17" x14ac:dyDescent="0.25">
      <c r="G214" s="97"/>
      <c r="P214" s="122"/>
      <c r="Q214" s="122"/>
    </row>
    <row r="215" spans="7:17" x14ac:dyDescent="0.25">
      <c r="G215" s="97"/>
      <c r="P215" s="122"/>
      <c r="Q215" s="122"/>
    </row>
    <row r="216" spans="7:17" x14ac:dyDescent="0.25">
      <c r="G216" s="97"/>
      <c r="P216" s="122"/>
      <c r="Q216" s="122"/>
    </row>
    <row r="217" spans="7:17" x14ac:dyDescent="0.25">
      <c r="G217" s="97"/>
      <c r="P217" s="122"/>
      <c r="Q217" s="122"/>
    </row>
    <row r="218" spans="7:17" x14ac:dyDescent="0.25">
      <c r="G218" s="97"/>
      <c r="P218" s="122"/>
      <c r="Q218" s="122"/>
    </row>
    <row r="219" spans="7:17" x14ac:dyDescent="0.25">
      <c r="G219" s="97"/>
      <c r="P219" s="122"/>
      <c r="Q219" s="122"/>
    </row>
    <row r="220" spans="7:17" x14ac:dyDescent="0.25">
      <c r="G220" s="97"/>
      <c r="P220" s="122"/>
      <c r="Q220" s="122"/>
    </row>
    <row r="221" spans="7:17" x14ac:dyDescent="0.25">
      <c r="G221" s="97"/>
      <c r="P221" s="122"/>
      <c r="Q221" s="122"/>
    </row>
    <row r="222" spans="7:17" x14ac:dyDescent="0.25">
      <c r="G222" s="97"/>
      <c r="P222" s="122"/>
      <c r="Q222" s="122"/>
    </row>
    <row r="223" spans="7:17" x14ac:dyDescent="0.25">
      <c r="G223" s="97"/>
      <c r="P223" s="122"/>
      <c r="Q223" s="122"/>
    </row>
    <row r="224" spans="7:17" x14ac:dyDescent="0.25">
      <c r="G224" s="97"/>
      <c r="P224" s="122"/>
      <c r="Q224" s="122"/>
    </row>
    <row r="225" spans="7:17" x14ac:dyDescent="0.25">
      <c r="G225" s="97"/>
      <c r="P225" s="122"/>
      <c r="Q225" s="122"/>
    </row>
    <row r="226" spans="7:17" x14ac:dyDescent="0.25">
      <c r="G226" s="97"/>
      <c r="P226" s="122"/>
      <c r="Q226" s="122"/>
    </row>
    <row r="227" spans="7:17" x14ac:dyDescent="0.25">
      <c r="G227" s="97"/>
      <c r="P227" s="122"/>
      <c r="Q227" s="122"/>
    </row>
    <row r="228" spans="7:17" x14ac:dyDescent="0.25">
      <c r="G228" s="97"/>
      <c r="P228" s="122"/>
      <c r="Q228" s="122"/>
    </row>
    <row r="229" spans="7:17" x14ac:dyDescent="0.25">
      <c r="G229" s="97"/>
      <c r="P229" s="122"/>
      <c r="Q229" s="122"/>
    </row>
    <row r="230" spans="7:17" x14ac:dyDescent="0.25">
      <c r="G230" s="97"/>
      <c r="P230" s="122"/>
      <c r="Q230" s="122"/>
    </row>
    <row r="231" spans="7:17" x14ac:dyDescent="0.25">
      <c r="G231" s="97"/>
      <c r="P231" s="122"/>
      <c r="Q231" s="122"/>
    </row>
    <row r="232" spans="7:17" x14ac:dyDescent="0.25">
      <c r="G232" s="97"/>
      <c r="P232" s="122"/>
      <c r="Q232" s="122"/>
    </row>
    <row r="233" spans="7:17" x14ac:dyDescent="0.25">
      <c r="G233" s="97"/>
      <c r="P233" s="122"/>
      <c r="Q233" s="122"/>
    </row>
    <row r="234" spans="7:17" x14ac:dyDescent="0.25">
      <c r="G234" s="97"/>
      <c r="P234" s="122"/>
      <c r="Q234" s="122"/>
    </row>
    <row r="235" spans="7:17" x14ac:dyDescent="0.25">
      <c r="G235" s="97"/>
      <c r="P235" s="122"/>
      <c r="Q235" s="122"/>
    </row>
    <row r="236" spans="7:17" x14ac:dyDescent="0.25">
      <c r="G236" s="97"/>
      <c r="P236" s="122"/>
      <c r="Q236" s="122"/>
    </row>
    <row r="237" spans="7:17" x14ac:dyDescent="0.25">
      <c r="G237" s="97"/>
      <c r="P237" s="122"/>
      <c r="Q237" s="122"/>
    </row>
    <row r="238" spans="7:17" x14ac:dyDescent="0.25">
      <c r="G238" s="97"/>
      <c r="P238" s="122"/>
      <c r="Q238" s="122"/>
    </row>
    <row r="239" spans="7:17" x14ac:dyDescent="0.25">
      <c r="G239" s="97"/>
      <c r="P239" s="122"/>
      <c r="Q239" s="122"/>
    </row>
    <row r="240" spans="7:17" x14ac:dyDescent="0.25">
      <c r="G240" s="97"/>
      <c r="P240" s="122"/>
      <c r="Q240" s="122"/>
    </row>
    <row r="241" spans="7:17" x14ac:dyDescent="0.25">
      <c r="G241" s="97"/>
      <c r="P241" s="122"/>
      <c r="Q241" s="122"/>
    </row>
    <row r="242" spans="7:17" x14ac:dyDescent="0.25">
      <c r="G242" s="97"/>
      <c r="P242" s="122"/>
      <c r="Q242" s="122"/>
    </row>
    <row r="243" spans="7:17" x14ac:dyDescent="0.25">
      <c r="G243" s="97"/>
      <c r="P243" s="122"/>
      <c r="Q243" s="122"/>
    </row>
    <row r="244" spans="7:17" x14ac:dyDescent="0.25">
      <c r="G244" s="97"/>
      <c r="P244" s="122"/>
      <c r="Q244" s="122"/>
    </row>
    <row r="245" spans="7:17" x14ac:dyDescent="0.25">
      <c r="G245" s="97"/>
      <c r="P245" s="122"/>
      <c r="Q245" s="122"/>
    </row>
    <row r="246" spans="7:17" x14ac:dyDescent="0.25">
      <c r="G246" s="97"/>
      <c r="P246" s="122"/>
      <c r="Q246" s="122"/>
    </row>
    <row r="247" spans="7:17" x14ac:dyDescent="0.25">
      <c r="G247" s="97"/>
      <c r="P247" s="122"/>
      <c r="Q247" s="122"/>
    </row>
    <row r="248" spans="7:17" x14ac:dyDescent="0.25">
      <c r="G248" s="97"/>
      <c r="P248" s="122"/>
      <c r="Q248" s="122"/>
    </row>
    <row r="249" spans="7:17" x14ac:dyDescent="0.25">
      <c r="G249" s="97"/>
      <c r="P249" s="122"/>
      <c r="Q249" s="122"/>
    </row>
    <row r="250" spans="7:17" x14ac:dyDescent="0.25">
      <c r="G250" s="97"/>
      <c r="P250" s="122"/>
      <c r="Q250" s="122"/>
    </row>
    <row r="251" spans="7:17" x14ac:dyDescent="0.25">
      <c r="G251" s="97"/>
      <c r="P251" s="122"/>
      <c r="Q251" s="122"/>
    </row>
    <row r="252" spans="7:17" x14ac:dyDescent="0.25">
      <c r="G252" s="97"/>
      <c r="P252" s="122"/>
      <c r="Q252" s="122"/>
    </row>
    <row r="253" spans="7:17" x14ac:dyDescent="0.25">
      <c r="G253" s="97"/>
      <c r="P253" s="122"/>
      <c r="Q253" s="122"/>
    </row>
    <row r="254" spans="7:17" x14ac:dyDescent="0.25">
      <c r="G254" s="97"/>
      <c r="P254" s="122"/>
      <c r="Q254" s="122"/>
    </row>
    <row r="255" spans="7:17" x14ac:dyDescent="0.25">
      <c r="G255" s="97"/>
      <c r="P255" s="122"/>
      <c r="Q255" s="122"/>
    </row>
    <row r="256" spans="7:17" x14ac:dyDescent="0.25">
      <c r="G256" s="97"/>
      <c r="P256" s="122"/>
      <c r="Q256" s="122"/>
    </row>
    <row r="257" spans="7:17" x14ac:dyDescent="0.25">
      <c r="G257" s="97"/>
      <c r="P257" s="122"/>
      <c r="Q257" s="122"/>
    </row>
    <row r="258" spans="7:17" x14ac:dyDescent="0.25">
      <c r="G258" s="97"/>
      <c r="P258" s="122"/>
      <c r="Q258" s="122"/>
    </row>
    <row r="259" spans="7:17" x14ac:dyDescent="0.25">
      <c r="G259" s="97"/>
      <c r="P259" s="122"/>
      <c r="Q259" s="122"/>
    </row>
    <row r="260" spans="7:17" x14ac:dyDescent="0.25">
      <c r="G260" s="97"/>
    </row>
    <row r="261" spans="7:17" x14ac:dyDescent="0.25">
      <c r="G261" s="97"/>
    </row>
    <row r="262" spans="7:17" x14ac:dyDescent="0.25">
      <c r="G262" s="97"/>
    </row>
    <row r="263" spans="7:17" x14ac:dyDescent="0.25">
      <c r="G263" s="97"/>
    </row>
    <row r="264" spans="7:17" x14ac:dyDescent="0.25">
      <c r="G264" s="97"/>
    </row>
    <row r="265" spans="7:17" x14ac:dyDescent="0.25">
      <c r="G265" s="97"/>
    </row>
    <row r="266" spans="7:17" x14ac:dyDescent="0.25">
      <c r="G266" s="97"/>
    </row>
    <row r="267" spans="7:17" x14ac:dyDescent="0.25">
      <c r="G267" s="97"/>
    </row>
    <row r="268" spans="7:17" x14ac:dyDescent="0.25">
      <c r="G268" s="97"/>
    </row>
    <row r="269" spans="7:17" x14ac:dyDescent="0.25">
      <c r="G269" s="97"/>
    </row>
    <row r="270" spans="7:17" x14ac:dyDescent="0.25">
      <c r="G270" s="97"/>
    </row>
    <row r="271" spans="7:17" x14ac:dyDescent="0.25">
      <c r="G271" s="97"/>
    </row>
    <row r="272" spans="7:17" x14ac:dyDescent="0.25">
      <c r="G272" s="97"/>
    </row>
    <row r="273" spans="7:7" x14ac:dyDescent="0.25">
      <c r="G273" s="97"/>
    </row>
    <row r="274" spans="7:7" x14ac:dyDescent="0.25">
      <c r="G274" s="97"/>
    </row>
    <row r="275" spans="7:7" x14ac:dyDescent="0.25">
      <c r="G275" s="97"/>
    </row>
    <row r="276" spans="7:7" x14ac:dyDescent="0.25">
      <c r="G276" s="97"/>
    </row>
    <row r="277" spans="7:7" x14ac:dyDescent="0.25">
      <c r="G277" s="97"/>
    </row>
    <row r="278" spans="7:7" x14ac:dyDescent="0.25">
      <c r="G278" s="97"/>
    </row>
    <row r="279" spans="7:7" x14ac:dyDescent="0.25">
      <c r="G279" s="97"/>
    </row>
    <row r="280" spans="7:7" x14ac:dyDescent="0.25">
      <c r="G280" s="97"/>
    </row>
    <row r="281" spans="7:7" x14ac:dyDescent="0.25">
      <c r="G281" s="97"/>
    </row>
    <row r="282" spans="7:7" x14ac:dyDescent="0.25">
      <c r="G282" s="97"/>
    </row>
    <row r="283" spans="7:7" x14ac:dyDescent="0.25">
      <c r="G283" s="97"/>
    </row>
    <row r="284" spans="7:7" x14ac:dyDescent="0.25">
      <c r="G284" s="97"/>
    </row>
    <row r="285" spans="7:7" x14ac:dyDescent="0.25">
      <c r="G285" s="97"/>
    </row>
    <row r="286" spans="7:7" x14ac:dyDescent="0.25">
      <c r="G286" s="97"/>
    </row>
    <row r="287" spans="7:7" x14ac:dyDescent="0.25">
      <c r="G287" s="97"/>
    </row>
    <row r="288" spans="7:7" x14ac:dyDescent="0.25">
      <c r="G288" s="97"/>
    </row>
    <row r="289" spans="7:7" x14ac:dyDescent="0.25">
      <c r="G289" s="97"/>
    </row>
    <row r="290" spans="7:7" x14ac:dyDescent="0.25">
      <c r="G290" s="97"/>
    </row>
    <row r="291" spans="7:7" x14ac:dyDescent="0.25">
      <c r="G291" s="97"/>
    </row>
    <row r="292" spans="7:7" x14ac:dyDescent="0.25">
      <c r="G292" s="97"/>
    </row>
    <row r="293" spans="7:7" x14ac:dyDescent="0.25">
      <c r="G293" s="97"/>
    </row>
    <row r="294" spans="7:7" x14ac:dyDescent="0.25">
      <c r="G294" s="97"/>
    </row>
    <row r="295" spans="7:7" x14ac:dyDescent="0.25">
      <c r="G295" s="97"/>
    </row>
    <row r="296" spans="7:7" x14ac:dyDescent="0.25">
      <c r="G296" s="97"/>
    </row>
    <row r="297" spans="7:7" x14ac:dyDescent="0.25">
      <c r="G297" s="97"/>
    </row>
    <row r="298" spans="7:7" x14ac:dyDescent="0.25">
      <c r="G298" s="97"/>
    </row>
    <row r="299" spans="7:7" x14ac:dyDescent="0.25">
      <c r="G299" s="97"/>
    </row>
    <row r="300" spans="7:7" x14ac:dyDescent="0.25">
      <c r="G300" s="97"/>
    </row>
    <row r="301" spans="7:7" x14ac:dyDescent="0.25">
      <c r="G301" s="97"/>
    </row>
    <row r="302" spans="7:7" x14ac:dyDescent="0.25">
      <c r="G302" s="97"/>
    </row>
    <row r="303" spans="7:7" x14ac:dyDescent="0.25">
      <c r="G303" s="97"/>
    </row>
    <row r="304" spans="7:7" x14ac:dyDescent="0.25">
      <c r="G304" s="97"/>
    </row>
    <row r="305" spans="7:7" x14ac:dyDescent="0.25">
      <c r="G305" s="97"/>
    </row>
    <row r="306" spans="7:7" x14ac:dyDescent="0.25">
      <c r="G306" s="97"/>
    </row>
    <row r="307" spans="7:7" x14ac:dyDescent="0.25">
      <c r="G307" s="97"/>
    </row>
    <row r="308" spans="7:7" x14ac:dyDescent="0.25">
      <c r="G308" s="97"/>
    </row>
    <row r="309" spans="7:7" x14ac:dyDescent="0.25">
      <c r="G309" s="97"/>
    </row>
    <row r="310" spans="7:7" x14ac:dyDescent="0.25">
      <c r="G310" s="97"/>
    </row>
    <row r="311" spans="7:7" x14ac:dyDescent="0.25">
      <c r="G311" s="97"/>
    </row>
    <row r="312" spans="7:7" x14ac:dyDescent="0.25">
      <c r="G312" s="97"/>
    </row>
    <row r="313" spans="7:7" x14ac:dyDescent="0.25">
      <c r="G313" s="97"/>
    </row>
    <row r="314" spans="7:7" x14ac:dyDescent="0.25">
      <c r="G314" s="97"/>
    </row>
    <row r="315" spans="7:7" x14ac:dyDescent="0.25">
      <c r="G315" s="97"/>
    </row>
    <row r="316" spans="7:7" x14ac:dyDescent="0.25">
      <c r="G316" s="97"/>
    </row>
    <row r="317" spans="7:7" x14ac:dyDescent="0.25">
      <c r="G317" s="97"/>
    </row>
    <row r="318" spans="7:7" x14ac:dyDescent="0.25">
      <c r="G318" s="97"/>
    </row>
    <row r="319" spans="7:7" x14ac:dyDescent="0.25">
      <c r="G319" s="97"/>
    </row>
    <row r="320" spans="7:7" x14ac:dyDescent="0.25">
      <c r="G320" s="97"/>
    </row>
    <row r="321" spans="7:7" x14ac:dyDescent="0.25">
      <c r="G321" s="97"/>
    </row>
    <row r="322" spans="7:7" x14ac:dyDescent="0.25">
      <c r="G322" s="97"/>
    </row>
    <row r="323" spans="7:7" x14ac:dyDescent="0.25">
      <c r="G323" s="97"/>
    </row>
    <row r="324" spans="7:7" x14ac:dyDescent="0.25">
      <c r="G324" s="97"/>
    </row>
    <row r="325" spans="7:7" x14ac:dyDescent="0.25">
      <c r="G325" s="97"/>
    </row>
    <row r="326" spans="7:7" x14ac:dyDescent="0.25">
      <c r="G326" s="97"/>
    </row>
    <row r="327" spans="7:7" x14ac:dyDescent="0.25">
      <c r="G327" s="97"/>
    </row>
    <row r="328" spans="7:7" x14ac:dyDescent="0.25">
      <c r="G328" s="97"/>
    </row>
    <row r="329" spans="7:7" x14ac:dyDescent="0.25">
      <c r="G329" s="97"/>
    </row>
    <row r="330" spans="7:7" x14ac:dyDescent="0.25">
      <c r="G330" s="97"/>
    </row>
    <row r="331" spans="7:7" x14ac:dyDescent="0.25">
      <c r="G331" s="97"/>
    </row>
    <row r="332" spans="7:7" x14ac:dyDescent="0.25">
      <c r="G332" s="97"/>
    </row>
    <row r="333" spans="7:7" x14ac:dyDescent="0.25">
      <c r="G333" s="97"/>
    </row>
    <row r="334" spans="7:7" x14ac:dyDescent="0.25">
      <c r="G334" s="97"/>
    </row>
    <row r="335" spans="7:7" x14ac:dyDescent="0.25">
      <c r="G335" s="97"/>
    </row>
    <row r="336" spans="7:7" x14ac:dyDescent="0.25">
      <c r="G336" s="97"/>
    </row>
    <row r="337" spans="7:7" x14ac:dyDescent="0.25">
      <c r="G337" s="97"/>
    </row>
    <row r="338" spans="7:7" x14ac:dyDescent="0.25">
      <c r="G338" s="97"/>
    </row>
    <row r="339" spans="7:7" x14ac:dyDescent="0.25">
      <c r="G339" s="97"/>
    </row>
    <row r="340" spans="7:7" x14ac:dyDescent="0.25">
      <c r="G340" s="97"/>
    </row>
    <row r="341" spans="7:7" x14ac:dyDescent="0.25">
      <c r="G341" s="97"/>
    </row>
    <row r="342" spans="7:7" x14ac:dyDescent="0.25">
      <c r="G342" s="97"/>
    </row>
    <row r="343" spans="7:7" x14ac:dyDescent="0.25">
      <c r="G343" s="97"/>
    </row>
    <row r="344" spans="7:7" x14ac:dyDescent="0.25">
      <c r="G344" s="97"/>
    </row>
    <row r="345" spans="7:7" x14ac:dyDescent="0.25">
      <c r="G345" s="97"/>
    </row>
    <row r="346" spans="7:7" x14ac:dyDescent="0.25">
      <c r="G346" s="97"/>
    </row>
    <row r="347" spans="7:7" x14ac:dyDescent="0.25">
      <c r="G347" s="97"/>
    </row>
    <row r="348" spans="7:7" x14ac:dyDescent="0.25">
      <c r="G348" s="97"/>
    </row>
    <row r="349" spans="7:7" x14ac:dyDescent="0.25">
      <c r="G349" s="97"/>
    </row>
    <row r="350" spans="7:7" x14ac:dyDescent="0.25">
      <c r="G350" s="97"/>
    </row>
    <row r="351" spans="7:7" x14ac:dyDescent="0.25">
      <c r="G351" s="97"/>
    </row>
    <row r="352" spans="7:7" x14ac:dyDescent="0.25">
      <c r="G352" s="97"/>
    </row>
    <row r="353" spans="7:7" x14ac:dyDescent="0.25">
      <c r="G353" s="97"/>
    </row>
    <row r="354" spans="7:7" x14ac:dyDescent="0.25">
      <c r="G354" s="97"/>
    </row>
    <row r="355" spans="7:7" x14ac:dyDescent="0.25">
      <c r="G355" s="97"/>
    </row>
    <row r="356" spans="7:7" x14ac:dyDescent="0.25">
      <c r="G356" s="97"/>
    </row>
    <row r="357" spans="7:7" x14ac:dyDescent="0.25">
      <c r="G357" s="97"/>
    </row>
    <row r="358" spans="7:7" x14ac:dyDescent="0.25">
      <c r="G358" s="97"/>
    </row>
    <row r="359" spans="7:7" x14ac:dyDescent="0.25">
      <c r="G359" s="97"/>
    </row>
    <row r="360" spans="7:7" x14ac:dyDescent="0.25">
      <c r="G360" s="97"/>
    </row>
    <row r="361" spans="7:7" x14ac:dyDescent="0.25">
      <c r="G361" s="97"/>
    </row>
    <row r="362" spans="7:7" x14ac:dyDescent="0.25">
      <c r="G362" s="97"/>
    </row>
    <row r="363" spans="7:7" x14ac:dyDescent="0.25">
      <c r="G363" s="97"/>
    </row>
    <row r="364" spans="7:7" x14ac:dyDescent="0.25">
      <c r="G364" s="97"/>
    </row>
    <row r="365" spans="7:7" x14ac:dyDescent="0.25">
      <c r="G365" s="97"/>
    </row>
    <row r="366" spans="7:7" x14ac:dyDescent="0.25">
      <c r="G366" s="97"/>
    </row>
    <row r="367" spans="7:7" x14ac:dyDescent="0.25">
      <c r="G367" s="97"/>
    </row>
    <row r="368" spans="7:7" x14ac:dyDescent="0.25">
      <c r="G368" s="97"/>
    </row>
    <row r="369" spans="7:7" x14ac:dyDescent="0.25">
      <c r="G369" s="97"/>
    </row>
    <row r="370" spans="7:7" x14ac:dyDescent="0.25">
      <c r="G370" s="97"/>
    </row>
    <row r="371" spans="7:7" x14ac:dyDescent="0.25">
      <c r="G371" s="97"/>
    </row>
    <row r="372" spans="7:7" x14ac:dyDescent="0.25">
      <c r="G372" s="97"/>
    </row>
    <row r="373" spans="7:7" x14ac:dyDescent="0.25">
      <c r="G373" s="97"/>
    </row>
    <row r="374" spans="7:7" x14ac:dyDescent="0.25">
      <c r="G374" s="97"/>
    </row>
    <row r="375" spans="7:7" x14ac:dyDescent="0.25">
      <c r="G375" s="97"/>
    </row>
    <row r="376" spans="7:7" x14ac:dyDescent="0.25">
      <c r="G376" s="97"/>
    </row>
    <row r="377" spans="7:7" x14ac:dyDescent="0.25">
      <c r="G377" s="97"/>
    </row>
    <row r="378" spans="7:7" x14ac:dyDescent="0.25">
      <c r="G378" s="97"/>
    </row>
    <row r="379" spans="7:7" x14ac:dyDescent="0.25">
      <c r="G379" s="97"/>
    </row>
    <row r="380" spans="7:7" x14ac:dyDescent="0.25">
      <c r="G380" s="97"/>
    </row>
    <row r="381" spans="7:7" x14ac:dyDescent="0.25">
      <c r="G381" s="97"/>
    </row>
    <row r="382" spans="7:7" x14ac:dyDescent="0.25">
      <c r="G382" s="97"/>
    </row>
    <row r="383" spans="7:7" x14ac:dyDescent="0.25">
      <c r="G383" s="97"/>
    </row>
    <row r="384" spans="7:7" x14ac:dyDescent="0.25">
      <c r="G384" s="97"/>
    </row>
    <row r="385" spans="7:7" x14ac:dyDescent="0.25">
      <c r="G385" s="97"/>
    </row>
    <row r="386" spans="7:7" x14ac:dyDescent="0.25">
      <c r="G386" s="97"/>
    </row>
    <row r="387" spans="7:7" x14ac:dyDescent="0.25">
      <c r="G387" s="97"/>
    </row>
    <row r="388" spans="7:7" x14ac:dyDescent="0.25">
      <c r="G388" s="97"/>
    </row>
    <row r="389" spans="7:7" x14ac:dyDescent="0.25">
      <c r="G389" s="97"/>
    </row>
    <row r="390" spans="7:7" x14ac:dyDescent="0.25">
      <c r="G390" s="97"/>
    </row>
    <row r="391" spans="7:7" x14ac:dyDescent="0.25">
      <c r="G391" s="97"/>
    </row>
    <row r="392" spans="7:7" x14ac:dyDescent="0.25">
      <c r="G392" s="97"/>
    </row>
    <row r="393" spans="7:7" x14ac:dyDescent="0.25">
      <c r="G393" s="97"/>
    </row>
    <row r="394" spans="7:7" x14ac:dyDescent="0.25">
      <c r="G394" s="97"/>
    </row>
    <row r="395" spans="7:7" x14ac:dyDescent="0.25">
      <c r="G395" s="97"/>
    </row>
    <row r="396" spans="7:7" x14ac:dyDescent="0.25">
      <c r="G396" s="97"/>
    </row>
    <row r="397" spans="7:7" x14ac:dyDescent="0.25">
      <c r="G397" s="97"/>
    </row>
    <row r="398" spans="7:7" x14ac:dyDescent="0.25">
      <c r="G398" s="97"/>
    </row>
    <row r="399" spans="7:7" x14ac:dyDescent="0.25">
      <c r="G399" s="97"/>
    </row>
    <row r="400" spans="7:7" x14ac:dyDescent="0.25">
      <c r="G400" s="97"/>
    </row>
    <row r="401" spans="7:7" x14ac:dyDescent="0.25">
      <c r="G401" s="97"/>
    </row>
    <row r="402" spans="7:7" x14ac:dyDescent="0.25">
      <c r="G402" s="97"/>
    </row>
    <row r="403" spans="7:7" x14ac:dyDescent="0.25">
      <c r="G403" s="97"/>
    </row>
    <row r="404" spans="7:7" x14ac:dyDescent="0.25">
      <c r="G404" s="97"/>
    </row>
    <row r="405" spans="7:7" x14ac:dyDescent="0.25">
      <c r="G405" s="97"/>
    </row>
    <row r="406" spans="7:7" x14ac:dyDescent="0.25">
      <c r="G406" s="97"/>
    </row>
    <row r="407" spans="7:7" x14ac:dyDescent="0.25">
      <c r="G407" s="97"/>
    </row>
    <row r="408" spans="7:7" x14ac:dyDescent="0.25">
      <c r="G408" s="97"/>
    </row>
    <row r="409" spans="7:7" x14ac:dyDescent="0.25">
      <c r="G409" s="97"/>
    </row>
    <row r="410" spans="7:7" x14ac:dyDescent="0.25">
      <c r="G410" s="97"/>
    </row>
    <row r="411" spans="7:7" x14ac:dyDescent="0.25">
      <c r="G411" s="97"/>
    </row>
    <row r="412" spans="7:7" x14ac:dyDescent="0.25">
      <c r="G412" s="97"/>
    </row>
    <row r="413" spans="7:7" x14ac:dyDescent="0.25">
      <c r="G413" s="97"/>
    </row>
    <row r="414" spans="7:7" x14ac:dyDescent="0.25">
      <c r="G414" s="97"/>
    </row>
    <row r="415" spans="7:7" x14ac:dyDescent="0.25">
      <c r="G415" s="97"/>
    </row>
    <row r="416" spans="7:7" x14ac:dyDescent="0.25">
      <c r="G416" s="97"/>
    </row>
    <row r="417" spans="7:7" x14ac:dyDescent="0.25">
      <c r="G417" s="97"/>
    </row>
    <row r="418" spans="7:7" x14ac:dyDescent="0.25">
      <c r="G418" s="97"/>
    </row>
    <row r="419" spans="7:7" x14ac:dyDescent="0.25">
      <c r="G419" s="97"/>
    </row>
    <row r="420" spans="7:7" x14ac:dyDescent="0.25">
      <c r="G420" s="97"/>
    </row>
    <row r="421" spans="7:7" x14ac:dyDescent="0.25">
      <c r="G421" s="97"/>
    </row>
    <row r="422" spans="7:7" x14ac:dyDescent="0.25">
      <c r="G422" s="97"/>
    </row>
    <row r="423" spans="7:7" x14ac:dyDescent="0.25">
      <c r="G423" s="97"/>
    </row>
    <row r="424" spans="7:7" x14ac:dyDescent="0.25">
      <c r="G424" s="97"/>
    </row>
    <row r="425" spans="7:7" x14ac:dyDescent="0.25">
      <c r="G425" s="97"/>
    </row>
    <row r="426" spans="7:7" x14ac:dyDescent="0.25">
      <c r="G426" s="97"/>
    </row>
    <row r="427" spans="7:7" x14ac:dyDescent="0.25">
      <c r="G427" s="97"/>
    </row>
    <row r="428" spans="7:7" x14ac:dyDescent="0.25">
      <c r="G428" s="97"/>
    </row>
    <row r="429" spans="7:7" x14ac:dyDescent="0.25">
      <c r="G429" s="97"/>
    </row>
    <row r="430" spans="7:7" x14ac:dyDescent="0.25">
      <c r="G430" s="97"/>
    </row>
    <row r="431" spans="7:7" x14ac:dyDescent="0.25">
      <c r="G431" s="97"/>
    </row>
    <row r="432" spans="7:7" x14ac:dyDescent="0.25">
      <c r="G432" s="97"/>
    </row>
    <row r="433" spans="7:7" x14ac:dyDescent="0.25">
      <c r="G433" s="97"/>
    </row>
    <row r="434" spans="7:7" x14ac:dyDescent="0.25">
      <c r="G434" s="97"/>
    </row>
    <row r="435" spans="7:7" x14ac:dyDescent="0.25">
      <c r="G435" s="97"/>
    </row>
    <row r="436" spans="7:7" x14ac:dyDescent="0.25">
      <c r="G436" s="97"/>
    </row>
    <row r="437" spans="7:7" x14ac:dyDescent="0.25">
      <c r="G437" s="97"/>
    </row>
    <row r="438" spans="7:7" x14ac:dyDescent="0.25">
      <c r="G438" s="97"/>
    </row>
    <row r="439" spans="7:7" x14ac:dyDescent="0.25">
      <c r="G439" s="97"/>
    </row>
    <row r="440" spans="7:7" x14ac:dyDescent="0.25">
      <c r="G440" s="97"/>
    </row>
    <row r="441" spans="7:7" x14ac:dyDescent="0.25">
      <c r="G441" s="97"/>
    </row>
    <row r="442" spans="7:7" x14ac:dyDescent="0.25">
      <c r="G442" s="97"/>
    </row>
    <row r="443" spans="7:7" x14ac:dyDescent="0.25">
      <c r="G443" s="97"/>
    </row>
    <row r="444" spans="7:7" x14ac:dyDescent="0.25">
      <c r="G444" s="97"/>
    </row>
    <row r="445" spans="7:7" x14ac:dyDescent="0.25">
      <c r="G445" s="97"/>
    </row>
    <row r="446" spans="7:7" x14ac:dyDescent="0.25">
      <c r="G446" s="97"/>
    </row>
    <row r="447" spans="7:7" x14ac:dyDescent="0.25">
      <c r="G447" s="97"/>
    </row>
    <row r="448" spans="7:7" x14ac:dyDescent="0.25">
      <c r="G448" s="97"/>
    </row>
    <row r="449" spans="7:7" x14ac:dyDescent="0.25">
      <c r="G449" s="97"/>
    </row>
    <row r="450" spans="7:7" x14ac:dyDescent="0.25">
      <c r="G450" s="97"/>
    </row>
    <row r="451" spans="7:7" x14ac:dyDescent="0.25">
      <c r="G451" s="97"/>
    </row>
    <row r="452" spans="7:7" x14ac:dyDescent="0.25">
      <c r="G452" s="97"/>
    </row>
    <row r="453" spans="7:7" x14ac:dyDescent="0.25">
      <c r="G453" s="97"/>
    </row>
    <row r="454" spans="7:7" x14ac:dyDescent="0.25">
      <c r="G454" s="97"/>
    </row>
    <row r="455" spans="7:7" x14ac:dyDescent="0.25">
      <c r="G455" s="97"/>
    </row>
    <row r="456" spans="7:7" x14ac:dyDescent="0.25">
      <c r="G456" s="97"/>
    </row>
    <row r="457" spans="7:7" x14ac:dyDescent="0.25">
      <c r="G457" s="97"/>
    </row>
    <row r="458" spans="7:7" x14ac:dyDescent="0.25">
      <c r="G458" s="97"/>
    </row>
    <row r="459" spans="7:7" x14ac:dyDescent="0.25">
      <c r="G459" s="97"/>
    </row>
    <row r="460" spans="7:7" x14ac:dyDescent="0.25">
      <c r="G460" s="97"/>
    </row>
    <row r="461" spans="7:7" x14ac:dyDescent="0.25">
      <c r="G461" s="97"/>
    </row>
    <row r="462" spans="7:7" x14ac:dyDescent="0.25">
      <c r="G462" s="97"/>
    </row>
    <row r="463" spans="7:7" x14ac:dyDescent="0.25">
      <c r="G463" s="97"/>
    </row>
    <row r="464" spans="7:7" x14ac:dyDescent="0.25">
      <c r="G464" s="97"/>
    </row>
    <row r="465" spans="7:7" x14ac:dyDescent="0.25">
      <c r="G465" s="97"/>
    </row>
    <row r="466" spans="7:7" x14ac:dyDescent="0.25">
      <c r="G466" s="97"/>
    </row>
    <row r="467" spans="7:7" x14ac:dyDescent="0.25">
      <c r="G467" s="97"/>
    </row>
    <row r="468" spans="7:7" x14ac:dyDescent="0.25">
      <c r="G468" s="97"/>
    </row>
    <row r="469" spans="7:7" x14ac:dyDescent="0.25">
      <c r="G469" s="97"/>
    </row>
    <row r="470" spans="7:7" x14ac:dyDescent="0.25">
      <c r="G470" s="97"/>
    </row>
    <row r="471" spans="7:7" x14ac:dyDescent="0.25">
      <c r="G471" s="97"/>
    </row>
    <row r="472" spans="7:7" x14ac:dyDescent="0.25">
      <c r="G472" s="97"/>
    </row>
    <row r="473" spans="7:7" x14ac:dyDescent="0.25">
      <c r="G473" s="97"/>
    </row>
    <row r="474" spans="7:7" x14ac:dyDescent="0.25">
      <c r="G474" s="97"/>
    </row>
    <row r="475" spans="7:7" x14ac:dyDescent="0.25">
      <c r="G475" s="97"/>
    </row>
    <row r="476" spans="7:7" x14ac:dyDescent="0.25">
      <c r="G476" s="97"/>
    </row>
    <row r="477" spans="7:7" x14ac:dyDescent="0.25">
      <c r="G477" s="97"/>
    </row>
    <row r="478" spans="7:7" x14ac:dyDescent="0.25">
      <c r="G478" s="97"/>
    </row>
    <row r="479" spans="7:7" x14ac:dyDescent="0.25">
      <c r="G479" s="97"/>
    </row>
    <row r="480" spans="7:7" x14ac:dyDescent="0.25">
      <c r="G480" s="97"/>
    </row>
    <row r="481" spans="7:7" x14ac:dyDescent="0.25">
      <c r="G481" s="97"/>
    </row>
    <row r="482" spans="7:7" x14ac:dyDescent="0.25">
      <c r="G482" s="97"/>
    </row>
    <row r="483" spans="7:7" x14ac:dyDescent="0.25">
      <c r="G483" s="97"/>
    </row>
    <row r="484" spans="7:7" x14ac:dyDescent="0.25">
      <c r="G484" s="97"/>
    </row>
    <row r="485" spans="7:7" x14ac:dyDescent="0.25">
      <c r="G485" s="97"/>
    </row>
    <row r="486" spans="7:7" x14ac:dyDescent="0.25">
      <c r="G486" s="97"/>
    </row>
    <row r="487" spans="7:7" x14ac:dyDescent="0.25">
      <c r="G487" s="97"/>
    </row>
    <row r="488" spans="7:7" x14ac:dyDescent="0.25">
      <c r="G488" s="97"/>
    </row>
    <row r="489" spans="7:7" x14ac:dyDescent="0.25">
      <c r="G489" s="97"/>
    </row>
    <row r="490" spans="7:7" x14ac:dyDescent="0.25">
      <c r="G490" s="97"/>
    </row>
    <row r="491" spans="7:7" x14ac:dyDescent="0.25">
      <c r="G491" s="97"/>
    </row>
    <row r="492" spans="7:7" x14ac:dyDescent="0.25">
      <c r="G492" s="97"/>
    </row>
    <row r="493" spans="7:7" x14ac:dyDescent="0.25">
      <c r="G493" s="97"/>
    </row>
    <row r="494" spans="7:7" x14ac:dyDescent="0.25">
      <c r="G494" s="97"/>
    </row>
    <row r="495" spans="7:7" x14ac:dyDescent="0.25">
      <c r="G495" s="97"/>
    </row>
    <row r="496" spans="7:7" x14ac:dyDescent="0.25">
      <c r="G496" s="97"/>
    </row>
    <row r="497" spans="7:7" x14ac:dyDescent="0.25">
      <c r="G497" s="97"/>
    </row>
    <row r="498" spans="7:7" x14ac:dyDescent="0.25">
      <c r="G498" s="97"/>
    </row>
    <row r="499" spans="7:7" x14ac:dyDescent="0.25">
      <c r="G499" s="97"/>
    </row>
    <row r="500" spans="7:7" x14ac:dyDescent="0.25">
      <c r="G500" s="97"/>
    </row>
    <row r="501" spans="7:7" x14ac:dyDescent="0.25">
      <c r="G501" s="97"/>
    </row>
    <row r="502" spans="7:7" x14ac:dyDescent="0.25">
      <c r="G502" s="97"/>
    </row>
    <row r="503" spans="7:7" x14ac:dyDescent="0.25">
      <c r="G503" s="97"/>
    </row>
    <row r="504" spans="7:7" x14ac:dyDescent="0.25">
      <c r="G504" s="97"/>
    </row>
    <row r="505" spans="7:7" x14ac:dyDescent="0.25">
      <c r="G505" s="97"/>
    </row>
    <row r="506" spans="7:7" x14ac:dyDescent="0.25">
      <c r="G506" s="97"/>
    </row>
    <row r="507" spans="7:7" x14ac:dyDescent="0.25">
      <c r="G507" s="97"/>
    </row>
    <row r="508" spans="7:7" x14ac:dyDescent="0.25">
      <c r="G508" s="97"/>
    </row>
    <row r="509" spans="7:7" x14ac:dyDescent="0.25">
      <c r="G509" s="97"/>
    </row>
    <row r="510" spans="7:7" x14ac:dyDescent="0.25">
      <c r="G510" s="97"/>
    </row>
    <row r="511" spans="7:7" x14ac:dyDescent="0.25">
      <c r="G511" s="97"/>
    </row>
    <row r="512" spans="7:7" x14ac:dyDescent="0.25">
      <c r="G512" s="97"/>
    </row>
    <row r="513" spans="7:7" x14ac:dyDescent="0.25">
      <c r="G513" s="97"/>
    </row>
    <row r="514" spans="7:7" x14ac:dyDescent="0.25">
      <c r="G514" s="97"/>
    </row>
    <row r="515" spans="7:7" x14ac:dyDescent="0.25">
      <c r="G515" s="97"/>
    </row>
    <row r="516" spans="7:7" x14ac:dyDescent="0.25">
      <c r="G516" s="97"/>
    </row>
    <row r="517" spans="7:7" x14ac:dyDescent="0.25">
      <c r="G517" s="97"/>
    </row>
    <row r="518" spans="7:7" x14ac:dyDescent="0.25">
      <c r="G518" s="97"/>
    </row>
    <row r="519" spans="7:7" x14ac:dyDescent="0.25">
      <c r="G519" s="97"/>
    </row>
    <row r="520" spans="7:7" x14ac:dyDescent="0.25">
      <c r="G520" s="97"/>
    </row>
    <row r="521" spans="7:7" x14ac:dyDescent="0.25">
      <c r="G521" s="97"/>
    </row>
    <row r="522" spans="7:7" x14ac:dyDescent="0.25">
      <c r="G522" s="97"/>
    </row>
    <row r="523" spans="7:7" x14ac:dyDescent="0.25">
      <c r="G523" s="97"/>
    </row>
    <row r="524" spans="7:7" x14ac:dyDescent="0.25">
      <c r="G524" s="97"/>
    </row>
    <row r="525" spans="7:7" x14ac:dyDescent="0.25">
      <c r="G525" s="97"/>
    </row>
    <row r="526" spans="7:7" x14ac:dyDescent="0.25">
      <c r="G526" s="97"/>
    </row>
    <row r="527" spans="7:7" x14ac:dyDescent="0.25">
      <c r="G527" s="97"/>
    </row>
    <row r="528" spans="7:7" x14ac:dyDescent="0.25">
      <c r="G528" s="97"/>
    </row>
    <row r="529" spans="7:7" x14ac:dyDescent="0.25">
      <c r="G529" s="97"/>
    </row>
    <row r="530" spans="7:7" x14ac:dyDescent="0.25">
      <c r="G530" s="97"/>
    </row>
    <row r="531" spans="7:7" x14ac:dyDescent="0.25">
      <c r="G531" s="97"/>
    </row>
    <row r="532" spans="7:7" x14ac:dyDescent="0.25">
      <c r="G532" s="97"/>
    </row>
    <row r="533" spans="7:7" x14ac:dyDescent="0.25">
      <c r="G533" s="97"/>
    </row>
    <row r="534" spans="7:7" x14ac:dyDescent="0.25">
      <c r="G534" s="97"/>
    </row>
    <row r="535" spans="7:7" x14ac:dyDescent="0.25">
      <c r="G535" s="97"/>
    </row>
    <row r="536" spans="7:7" x14ac:dyDescent="0.25">
      <c r="G536" s="97"/>
    </row>
    <row r="537" spans="7:7" x14ac:dyDescent="0.25">
      <c r="G537" s="97"/>
    </row>
    <row r="538" spans="7:7" x14ac:dyDescent="0.25">
      <c r="G538" s="97"/>
    </row>
    <row r="539" spans="7:7" x14ac:dyDescent="0.25">
      <c r="G539" s="97"/>
    </row>
    <row r="540" spans="7:7" x14ac:dyDescent="0.25">
      <c r="G540" s="97"/>
    </row>
    <row r="541" spans="7:7" x14ac:dyDescent="0.25">
      <c r="G541" s="97"/>
    </row>
    <row r="542" spans="7:7" x14ac:dyDescent="0.25">
      <c r="G542" s="97"/>
    </row>
    <row r="543" spans="7:7" x14ac:dyDescent="0.25">
      <c r="G543" s="97"/>
    </row>
    <row r="544" spans="7:7" x14ac:dyDescent="0.25">
      <c r="G544" s="97"/>
    </row>
    <row r="545" spans="7:7" x14ac:dyDescent="0.25">
      <c r="G545" s="97"/>
    </row>
    <row r="546" spans="7:7" x14ac:dyDescent="0.25">
      <c r="G546" s="97"/>
    </row>
    <row r="547" spans="7:7" x14ac:dyDescent="0.25">
      <c r="G547" s="97"/>
    </row>
    <row r="548" spans="7:7" x14ac:dyDescent="0.25">
      <c r="G548" s="97"/>
    </row>
    <row r="549" spans="7:7" x14ac:dyDescent="0.25">
      <c r="G549" s="97"/>
    </row>
    <row r="550" spans="7:7" x14ac:dyDescent="0.25">
      <c r="G550" s="97"/>
    </row>
    <row r="551" spans="7:7" x14ac:dyDescent="0.25">
      <c r="G551" s="97"/>
    </row>
    <row r="552" spans="7:7" x14ac:dyDescent="0.25">
      <c r="G552" s="97"/>
    </row>
    <row r="553" spans="7:7" x14ac:dyDescent="0.25">
      <c r="G553" s="97"/>
    </row>
    <row r="554" spans="7:7" x14ac:dyDescent="0.25">
      <c r="G554" s="97"/>
    </row>
    <row r="555" spans="7:7" x14ac:dyDescent="0.25">
      <c r="G555" s="97"/>
    </row>
    <row r="556" spans="7:7" x14ac:dyDescent="0.25">
      <c r="G556" s="97"/>
    </row>
    <row r="557" spans="7:7" x14ac:dyDescent="0.25">
      <c r="G557" s="97"/>
    </row>
    <row r="558" spans="7:7" x14ac:dyDescent="0.25">
      <c r="G558" s="97"/>
    </row>
    <row r="559" spans="7:7" x14ac:dyDescent="0.25">
      <c r="G559" s="97"/>
    </row>
    <row r="560" spans="7:7" x14ac:dyDescent="0.25">
      <c r="G560" s="97"/>
    </row>
    <row r="561" spans="7:7" x14ac:dyDescent="0.25">
      <c r="G561" s="97"/>
    </row>
    <row r="562" spans="7:7" x14ac:dyDescent="0.25">
      <c r="G562" s="97"/>
    </row>
    <row r="563" spans="7:7" x14ac:dyDescent="0.25">
      <c r="G563" s="97"/>
    </row>
    <row r="564" spans="7:7" x14ac:dyDescent="0.25">
      <c r="G564" s="97"/>
    </row>
    <row r="565" spans="7:7" x14ac:dyDescent="0.25">
      <c r="G565" s="97"/>
    </row>
    <row r="566" spans="7:7" x14ac:dyDescent="0.25">
      <c r="G566" s="97"/>
    </row>
    <row r="567" spans="7:7" x14ac:dyDescent="0.25">
      <c r="G567" s="97"/>
    </row>
    <row r="568" spans="7:7" x14ac:dyDescent="0.25">
      <c r="G568" s="97"/>
    </row>
    <row r="569" spans="7:7" x14ac:dyDescent="0.25">
      <c r="G569" s="97"/>
    </row>
    <row r="570" spans="7:7" x14ac:dyDescent="0.25">
      <c r="G570" s="97"/>
    </row>
    <row r="571" spans="7:7" x14ac:dyDescent="0.25">
      <c r="G571" s="97"/>
    </row>
    <row r="572" spans="7:7" x14ac:dyDescent="0.25">
      <c r="G572" s="97"/>
    </row>
    <row r="573" spans="7:7" x14ac:dyDescent="0.25">
      <c r="G573" s="97"/>
    </row>
    <row r="574" spans="7:7" x14ac:dyDescent="0.25">
      <c r="G574" s="97"/>
    </row>
    <row r="575" spans="7:7" x14ac:dyDescent="0.25">
      <c r="G575" s="97"/>
    </row>
    <row r="576" spans="7:7" x14ac:dyDescent="0.25">
      <c r="G576" s="97"/>
    </row>
    <row r="577" spans="7:7" x14ac:dyDescent="0.25">
      <c r="G577" s="97"/>
    </row>
    <row r="578" spans="7:7" x14ac:dyDescent="0.25">
      <c r="G578" s="97"/>
    </row>
    <row r="579" spans="7:7" x14ac:dyDescent="0.25">
      <c r="G579" s="97"/>
    </row>
    <row r="580" spans="7:7" x14ac:dyDescent="0.25">
      <c r="G580" s="97"/>
    </row>
    <row r="581" spans="7:7" x14ac:dyDescent="0.25">
      <c r="G581" s="97"/>
    </row>
    <row r="582" spans="7:7" x14ac:dyDescent="0.25">
      <c r="G582" s="97"/>
    </row>
    <row r="583" spans="7:7" x14ac:dyDescent="0.25">
      <c r="G583" s="97"/>
    </row>
    <row r="584" spans="7:7" x14ac:dyDescent="0.25">
      <c r="G584" s="97"/>
    </row>
    <row r="585" spans="7:7" x14ac:dyDescent="0.25">
      <c r="G585" s="97"/>
    </row>
    <row r="586" spans="7:7" x14ac:dyDescent="0.25">
      <c r="G586" s="97"/>
    </row>
    <row r="587" spans="7:7" x14ac:dyDescent="0.25">
      <c r="G587" s="97"/>
    </row>
    <row r="588" spans="7:7" x14ac:dyDescent="0.25">
      <c r="G588" s="97"/>
    </row>
    <row r="589" spans="7:7" x14ac:dyDescent="0.25">
      <c r="G589" s="97"/>
    </row>
    <row r="590" spans="7:7" x14ac:dyDescent="0.25">
      <c r="G590" s="97"/>
    </row>
    <row r="591" spans="7:7" x14ac:dyDescent="0.25">
      <c r="G591" s="97"/>
    </row>
    <row r="592" spans="7:7" x14ac:dyDescent="0.25">
      <c r="G592" s="97"/>
    </row>
    <row r="593" spans="7:7" x14ac:dyDescent="0.25">
      <c r="G593" s="97"/>
    </row>
    <row r="594" spans="7:7" x14ac:dyDescent="0.25">
      <c r="G594" s="97"/>
    </row>
    <row r="595" spans="7:7" x14ac:dyDescent="0.25">
      <c r="G595" s="97"/>
    </row>
    <row r="596" spans="7:7" x14ac:dyDescent="0.25">
      <c r="G596" s="97"/>
    </row>
    <row r="597" spans="7:7" x14ac:dyDescent="0.25">
      <c r="G597" s="97"/>
    </row>
    <row r="598" spans="7:7" x14ac:dyDescent="0.25">
      <c r="G598" s="97"/>
    </row>
    <row r="599" spans="7:7" x14ac:dyDescent="0.25">
      <c r="G599" s="97"/>
    </row>
    <row r="600" spans="7:7" x14ac:dyDescent="0.25">
      <c r="G600" s="97"/>
    </row>
    <row r="601" spans="7:7" x14ac:dyDescent="0.25">
      <c r="G601" s="97"/>
    </row>
    <row r="602" spans="7:7" x14ac:dyDescent="0.25">
      <c r="G602" s="97"/>
    </row>
    <row r="603" spans="7:7" x14ac:dyDescent="0.25">
      <c r="G603" s="97"/>
    </row>
    <row r="604" spans="7:7" x14ac:dyDescent="0.25">
      <c r="G604" s="97"/>
    </row>
    <row r="605" spans="7:7" x14ac:dyDescent="0.25">
      <c r="G605" s="97"/>
    </row>
    <row r="606" spans="7:7" x14ac:dyDescent="0.25">
      <c r="G606" s="97"/>
    </row>
    <row r="607" spans="7:7" x14ac:dyDescent="0.25">
      <c r="G607" s="97"/>
    </row>
    <row r="608" spans="7:7" x14ac:dyDescent="0.25">
      <c r="G608" s="97"/>
    </row>
    <row r="609" spans="7:7" x14ac:dyDescent="0.25">
      <c r="G609" s="97"/>
    </row>
    <row r="610" spans="7:7" x14ac:dyDescent="0.25">
      <c r="G610" s="97"/>
    </row>
    <row r="611" spans="7:7" x14ac:dyDescent="0.25">
      <c r="G611" s="97"/>
    </row>
    <row r="612" spans="7:7" x14ac:dyDescent="0.25">
      <c r="G612" s="97"/>
    </row>
    <row r="613" spans="7:7" x14ac:dyDescent="0.25">
      <c r="G613" s="97"/>
    </row>
    <row r="614" spans="7:7" x14ac:dyDescent="0.25">
      <c r="G614" s="97"/>
    </row>
    <row r="615" spans="7:7" x14ac:dyDescent="0.25">
      <c r="G615" s="97"/>
    </row>
    <row r="616" spans="7:7" x14ac:dyDescent="0.25">
      <c r="G616" s="97"/>
    </row>
    <row r="617" spans="7:7" x14ac:dyDescent="0.25">
      <c r="G617" s="97"/>
    </row>
    <row r="618" spans="7:7" x14ac:dyDescent="0.25">
      <c r="G618" s="97"/>
    </row>
    <row r="619" spans="7:7" x14ac:dyDescent="0.25">
      <c r="G619" s="97"/>
    </row>
    <row r="620" spans="7:7" x14ac:dyDescent="0.25">
      <c r="G620" s="97"/>
    </row>
    <row r="621" spans="7:7" x14ac:dyDescent="0.25">
      <c r="G621" s="97"/>
    </row>
    <row r="622" spans="7:7" x14ac:dyDescent="0.25">
      <c r="G622" s="97"/>
    </row>
    <row r="623" spans="7:7" x14ac:dyDescent="0.25">
      <c r="G623" s="97"/>
    </row>
    <row r="624" spans="7:7" x14ac:dyDescent="0.25">
      <c r="G624" s="97"/>
    </row>
    <row r="625" spans="7:7" x14ac:dyDescent="0.25">
      <c r="G625" s="97"/>
    </row>
    <row r="626" spans="7:7" x14ac:dyDescent="0.25">
      <c r="G626" s="97"/>
    </row>
    <row r="627" spans="7:7" x14ac:dyDescent="0.25">
      <c r="G627" s="97"/>
    </row>
    <row r="628" spans="7:7" x14ac:dyDescent="0.25">
      <c r="G628" s="97"/>
    </row>
    <row r="629" spans="7:7" x14ac:dyDescent="0.25">
      <c r="G629" s="97"/>
    </row>
    <row r="630" spans="7:7" x14ac:dyDescent="0.25">
      <c r="G630" s="97"/>
    </row>
    <row r="631" spans="7:7" x14ac:dyDescent="0.25">
      <c r="G631" s="97"/>
    </row>
    <row r="632" spans="7:7" x14ac:dyDescent="0.25">
      <c r="G632" s="97"/>
    </row>
    <row r="633" spans="7:7" x14ac:dyDescent="0.25">
      <c r="G633" s="97"/>
    </row>
    <row r="634" spans="7:7" x14ac:dyDescent="0.25">
      <c r="G634" s="97"/>
    </row>
    <row r="635" spans="7:7" x14ac:dyDescent="0.25">
      <c r="G635" s="97"/>
    </row>
    <row r="636" spans="7:7" x14ac:dyDescent="0.25">
      <c r="G636" s="97"/>
    </row>
    <row r="637" spans="7:7" x14ac:dyDescent="0.25">
      <c r="G637" s="97"/>
    </row>
    <row r="638" spans="7:7" x14ac:dyDescent="0.25">
      <c r="G638" s="97"/>
    </row>
    <row r="639" spans="7:7" x14ac:dyDescent="0.25">
      <c r="G639" s="97"/>
    </row>
    <row r="640" spans="7:7" x14ac:dyDescent="0.25">
      <c r="G640" s="97"/>
    </row>
    <row r="641" spans="7:7" x14ac:dyDescent="0.25">
      <c r="G641" s="97"/>
    </row>
    <row r="642" spans="7:7" x14ac:dyDescent="0.25">
      <c r="G642" s="97"/>
    </row>
    <row r="643" spans="7:7" x14ac:dyDescent="0.25">
      <c r="G643" s="97"/>
    </row>
    <row r="644" spans="7:7" x14ac:dyDescent="0.25">
      <c r="G644" s="97"/>
    </row>
    <row r="645" spans="7:7" x14ac:dyDescent="0.25">
      <c r="G645" s="97"/>
    </row>
    <row r="646" spans="7:7" x14ac:dyDescent="0.25">
      <c r="G646" s="97"/>
    </row>
    <row r="647" spans="7:7" x14ac:dyDescent="0.25">
      <c r="G647" s="97"/>
    </row>
    <row r="648" spans="7:7" x14ac:dyDescent="0.25">
      <c r="G648" s="97"/>
    </row>
    <row r="649" spans="7:7" x14ac:dyDescent="0.25">
      <c r="G649" s="97"/>
    </row>
    <row r="650" spans="7:7" x14ac:dyDescent="0.25">
      <c r="G650" s="97"/>
    </row>
    <row r="651" spans="7:7" x14ac:dyDescent="0.25">
      <c r="G651" s="97"/>
    </row>
    <row r="652" spans="7:7" x14ac:dyDescent="0.25">
      <c r="G652" s="97"/>
    </row>
    <row r="653" spans="7:7" x14ac:dyDescent="0.25">
      <c r="G653" s="97"/>
    </row>
    <row r="654" spans="7:7" x14ac:dyDescent="0.25">
      <c r="G654" s="97"/>
    </row>
    <row r="655" spans="7:7" x14ac:dyDescent="0.25">
      <c r="G655" s="97"/>
    </row>
    <row r="656" spans="7:7" x14ac:dyDescent="0.25">
      <c r="G656" s="97"/>
    </row>
    <row r="657" spans="7:7" x14ac:dyDescent="0.25">
      <c r="G657" s="97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F27" sqref="F27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0" customWidth="1"/>
    <col min="6" max="6" width="12.7109375" style="120" customWidth="1"/>
    <col min="7" max="7" width="10" style="121" customWidth="1"/>
    <col min="8" max="8" width="13.140625" style="120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9"/>
      <c r="F1" s="99"/>
      <c r="G1" s="100"/>
      <c r="H1" s="99"/>
      <c r="I1" s="20"/>
    </row>
    <row r="2" spans="1:9" s="2" customFormat="1" x14ac:dyDescent="0.2">
      <c r="A2" s="26"/>
      <c r="B2" s="26"/>
      <c r="C2" s="26"/>
      <c r="D2" s="26"/>
      <c r="E2" s="101"/>
      <c r="F2" s="101"/>
      <c r="G2" s="102"/>
      <c r="H2" s="101"/>
      <c r="I2" s="26"/>
    </row>
    <row r="3" spans="1:9" s="21" customFormat="1" ht="15.75" x14ac:dyDescent="0.25">
      <c r="A3" s="24" t="s">
        <v>16</v>
      </c>
      <c r="B3" s="23" t="s">
        <v>15</v>
      </c>
      <c r="E3" s="103"/>
      <c r="F3" s="103"/>
      <c r="G3" s="104"/>
      <c r="H3" s="103"/>
      <c r="I3" s="22"/>
    </row>
    <row r="4" spans="1:9" s="21" customFormat="1" ht="15.75" x14ac:dyDescent="0.25">
      <c r="A4" s="24" t="s">
        <v>14</v>
      </c>
      <c r="B4" s="25" t="s">
        <v>13</v>
      </c>
      <c r="E4" s="103"/>
      <c r="F4" s="103"/>
      <c r="G4" s="104"/>
      <c r="H4" s="103"/>
      <c r="I4" s="22"/>
    </row>
    <row r="5" spans="1:9" s="21" customFormat="1" ht="15.75" x14ac:dyDescent="0.25">
      <c r="A5" s="24" t="s">
        <v>12</v>
      </c>
      <c r="B5" s="23" t="s">
        <v>66</v>
      </c>
      <c r="E5" s="103"/>
      <c r="F5" s="103"/>
      <c r="G5" s="104"/>
      <c r="H5" s="103"/>
      <c r="I5" s="22"/>
    </row>
    <row r="6" spans="1:9" s="2" customFormat="1" x14ac:dyDescent="0.2">
      <c r="A6" s="20"/>
      <c r="B6" s="20"/>
      <c r="C6" s="20"/>
      <c r="D6" s="20"/>
      <c r="E6" s="99"/>
      <c r="F6" s="99"/>
      <c r="G6" s="100"/>
      <c r="H6" s="99"/>
      <c r="I6" s="20"/>
    </row>
    <row r="7" spans="1:9" s="2" customFormat="1" x14ac:dyDescent="0.2">
      <c r="E7" s="105"/>
      <c r="F7" s="105"/>
      <c r="G7" s="106"/>
      <c r="H7" s="105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7" t="s">
        <v>7</v>
      </c>
      <c r="F8" s="107" t="s">
        <v>6</v>
      </c>
      <c r="G8" s="107" t="s">
        <v>5</v>
      </c>
      <c r="H8" s="107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8"/>
      <c r="F9" s="108"/>
      <c r="G9" s="109"/>
      <c r="H9" s="108"/>
      <c r="I9" s="9"/>
    </row>
    <row r="10" spans="1:9" x14ac:dyDescent="0.2">
      <c r="A10" s="13"/>
      <c r="B10" s="13"/>
      <c r="C10" s="12"/>
      <c r="D10" s="12"/>
      <c r="E10" s="110"/>
      <c r="F10" s="111"/>
      <c r="G10" s="112"/>
      <c r="H10" s="113"/>
      <c r="I10" s="11"/>
    </row>
    <row r="11" spans="1:9" ht="13.5" thickBot="1" x14ac:dyDescent="0.25">
      <c r="A11" s="8"/>
      <c r="B11" s="7"/>
      <c r="C11" s="6"/>
      <c r="D11" s="6"/>
      <c r="E11" s="114"/>
      <c r="F11" s="115"/>
      <c r="G11" s="116"/>
      <c r="H11" s="117"/>
      <c r="I11" s="6"/>
    </row>
    <row r="12" spans="1:9" s="4" customFormat="1" x14ac:dyDescent="0.2">
      <c r="A12" s="5"/>
      <c r="B12" s="3" t="s">
        <v>70</v>
      </c>
      <c r="C12" s="5"/>
      <c r="D12" s="5"/>
      <c r="E12" s="118"/>
      <c r="F12" s="111"/>
      <c r="G12" s="119"/>
      <c r="H12" s="118">
        <f>E10</f>
        <v>0</v>
      </c>
      <c r="I12" s="5"/>
    </row>
    <row r="13" spans="1:9" x14ac:dyDescent="0.2">
      <c r="A13" s="2"/>
      <c r="B13" s="3" t="s">
        <v>71</v>
      </c>
      <c r="C13" s="2"/>
      <c r="D13" s="2"/>
      <c r="E13" s="105"/>
      <c r="F13" s="111"/>
      <c r="G13" s="106"/>
      <c r="H13" s="105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5"/>
      <c r="F14" s="111"/>
      <c r="G14" s="106"/>
      <c r="H14" s="105">
        <f>I10</f>
        <v>0</v>
      </c>
      <c r="I14" s="2"/>
    </row>
    <row r="15" spans="1:9" x14ac:dyDescent="0.2">
      <c r="A15" s="2"/>
      <c r="B15" s="3"/>
      <c r="C15" s="2"/>
      <c r="D15" s="2"/>
      <c r="E15" s="105"/>
      <c r="F15" s="111"/>
      <c r="G15" s="106"/>
      <c r="H15" s="105"/>
      <c r="I15" s="2"/>
    </row>
    <row r="16" spans="1:9" x14ac:dyDescent="0.2">
      <c r="A16" s="2"/>
      <c r="B16" s="2" t="s">
        <v>73</v>
      </c>
      <c r="C16" s="2"/>
      <c r="D16" s="2"/>
      <c r="E16" s="105"/>
      <c r="F16" s="111"/>
      <c r="G16" s="106"/>
      <c r="H16" s="105">
        <f>SUM(H13,H14)</f>
        <v>0</v>
      </c>
    </row>
    <row r="17" spans="1:9" x14ac:dyDescent="0.2">
      <c r="A17" s="2"/>
      <c r="B17" s="2"/>
      <c r="C17" s="2"/>
      <c r="D17" s="2"/>
      <c r="E17" s="105"/>
      <c r="F17" s="105"/>
      <c r="G17" s="106"/>
      <c r="H17" s="105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tabSelected="1" view="pageBreakPreview" topLeftCell="A13" zoomScaleNormal="100" workbookViewId="0">
      <selection activeCell="B27" sqref="B27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4" t="s">
        <v>12</v>
      </c>
      <c r="B11" s="83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82"/>
      <c r="B12" s="81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80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8" t="s">
        <v>68</v>
      </c>
      <c r="H16" s="98" t="s">
        <v>69</v>
      </c>
    </row>
    <row r="17" spans="1:8" s="5" customFormat="1" ht="13.5" thickTop="1" x14ac:dyDescent="0.2">
      <c r="A17" s="79"/>
      <c r="B17" s="78"/>
      <c r="C17" s="78"/>
      <c r="D17" s="78"/>
      <c r="E17" s="77"/>
      <c r="F17" s="77"/>
      <c r="G17" s="77"/>
      <c r="H17" s="76"/>
    </row>
    <row r="18" spans="1:8" s="5" customFormat="1" x14ac:dyDescent="0.2">
      <c r="A18" s="33"/>
      <c r="B18" s="45"/>
      <c r="C18" s="33"/>
      <c r="D18" s="33"/>
      <c r="E18" s="45"/>
      <c r="F18" s="45"/>
      <c r="G18" s="45"/>
      <c r="H18" s="74"/>
    </row>
    <row r="19" spans="1:8" s="5" customFormat="1" x14ac:dyDescent="0.2">
      <c r="A19" s="33"/>
      <c r="B19" s="45"/>
      <c r="C19" s="33"/>
      <c r="D19" s="33"/>
      <c r="E19" s="45"/>
      <c r="F19" s="45"/>
      <c r="G19" s="45"/>
      <c r="H19" s="74"/>
    </row>
    <row r="20" spans="1:8" s="5" customFormat="1" x14ac:dyDescent="0.2">
      <c r="A20" s="33"/>
      <c r="B20" s="45"/>
      <c r="C20" s="33"/>
      <c r="D20" s="33"/>
      <c r="E20" s="45"/>
      <c r="F20" s="45"/>
      <c r="G20" s="45"/>
      <c r="H20" s="74"/>
    </row>
    <row r="21" spans="1:8" s="33" customFormat="1" x14ac:dyDescent="0.2">
      <c r="F21" s="45"/>
      <c r="G21" s="45"/>
      <c r="H21" s="74"/>
    </row>
    <row r="22" spans="1:8" s="33" customFormat="1" x14ac:dyDescent="0.2">
      <c r="B22" s="45"/>
      <c r="E22" s="45"/>
      <c r="F22" s="45"/>
      <c r="G22" s="45"/>
      <c r="H22" s="74"/>
    </row>
    <row r="23" spans="1:8" s="33" customFormat="1" x14ac:dyDescent="0.2">
      <c r="B23" s="45"/>
      <c r="E23" s="45"/>
      <c r="F23" s="45"/>
      <c r="G23" s="45"/>
      <c r="H23" s="74"/>
    </row>
    <row r="24" spans="1:8" s="33" customFormat="1" x14ac:dyDescent="0.2">
      <c r="B24" s="45"/>
      <c r="E24" s="45"/>
      <c r="F24" s="45"/>
      <c r="G24" s="45"/>
      <c r="H24" s="74"/>
    </row>
    <row r="25" spans="1:8" s="5" customFormat="1" x14ac:dyDescent="0.2">
      <c r="A25" s="75"/>
      <c r="B25" s="33"/>
      <c r="C25" s="33"/>
      <c r="D25" s="33"/>
      <c r="E25" s="45"/>
      <c r="F25" s="45"/>
      <c r="G25" s="45"/>
      <c r="H25" s="74"/>
    </row>
    <row r="26" spans="1:8" s="2" customFormat="1" ht="13.5" thickBot="1" x14ac:dyDescent="0.25">
      <c r="A26" s="73"/>
      <c r="B26" s="72"/>
      <c r="C26" s="71"/>
      <c r="D26" s="71"/>
      <c r="E26" s="70"/>
      <c r="F26" s="70"/>
      <c r="G26" s="70"/>
      <c r="H26" s="69"/>
    </row>
    <row r="27" spans="1:8" s="5" customFormat="1" ht="13.5" thickTop="1" x14ac:dyDescent="0.2">
      <c r="A27" s="68" t="s">
        <v>40</v>
      </c>
      <c r="B27" s="67"/>
      <c r="C27" s="67"/>
      <c r="D27" s="67"/>
      <c r="E27" s="66">
        <f>E22+E17+E25</f>
        <v>0</v>
      </c>
      <c r="F27" s="66">
        <f>F21+F17+F25</f>
        <v>0</v>
      </c>
      <c r="G27" s="65">
        <f>G21+G17+G25</f>
        <v>0</v>
      </c>
      <c r="H27" s="65">
        <f>SUM(E27:G27)</f>
        <v>0</v>
      </c>
    </row>
    <row r="28" spans="1:8" s="5" customFormat="1" x14ac:dyDescent="0.2">
      <c r="A28" s="64" t="s">
        <v>39</v>
      </c>
      <c r="B28" s="63"/>
      <c r="C28" s="63"/>
      <c r="D28" s="63"/>
      <c r="E28" s="62"/>
      <c r="F28" s="62"/>
      <c r="G28" s="61"/>
      <c r="H28" s="61"/>
    </row>
    <row r="29" spans="1:8" s="55" customFormat="1" ht="12" x14ac:dyDescent="0.2">
      <c r="A29" s="60"/>
      <c r="B29" s="58" t="s">
        <v>38</v>
      </c>
      <c r="C29" s="58"/>
      <c r="D29" s="58"/>
      <c r="E29" s="57"/>
      <c r="F29" s="57"/>
      <c r="G29" s="56"/>
      <c r="H29" s="56"/>
    </row>
    <row r="30" spans="1:8" s="55" customFormat="1" ht="12" x14ac:dyDescent="0.2">
      <c r="A30" s="60"/>
      <c r="B30" s="58" t="s">
        <v>37</v>
      </c>
      <c r="C30" s="58"/>
      <c r="D30" s="58"/>
      <c r="E30" s="57"/>
      <c r="F30" s="57"/>
      <c r="G30" s="56"/>
      <c r="H30" s="56"/>
    </row>
    <row r="31" spans="1:8" s="55" customFormat="1" ht="12" x14ac:dyDescent="0.2">
      <c r="A31" s="60"/>
      <c r="B31" s="58" t="s">
        <v>36</v>
      </c>
      <c r="C31" s="58"/>
      <c r="D31" s="58"/>
      <c r="E31" s="57"/>
      <c r="F31" s="57"/>
      <c r="G31" s="56"/>
      <c r="H31" s="56"/>
    </row>
    <row r="32" spans="1:8" s="55" customFormat="1" ht="12" x14ac:dyDescent="0.2">
      <c r="A32" s="60"/>
      <c r="B32" s="58" t="s">
        <v>35</v>
      </c>
      <c r="C32" s="58"/>
      <c r="D32" s="58"/>
      <c r="E32" s="57"/>
      <c r="F32" s="57"/>
      <c r="G32" s="56"/>
      <c r="H32" s="56"/>
    </row>
    <row r="33" spans="1:10" s="55" customFormat="1" ht="12" x14ac:dyDescent="0.2">
      <c r="A33" s="59" t="s">
        <v>34</v>
      </c>
      <c r="B33" s="58"/>
      <c r="C33" s="58"/>
      <c r="D33" s="58"/>
      <c r="E33" s="57"/>
      <c r="F33" s="57"/>
      <c r="G33" s="56"/>
      <c r="H33" s="56"/>
    </row>
    <row r="34" spans="1:10" s="55" customFormat="1" ht="12" x14ac:dyDescent="0.2">
      <c r="A34" s="59"/>
      <c r="B34" s="58" t="s">
        <v>33</v>
      </c>
      <c r="C34" s="58"/>
      <c r="D34" s="58"/>
      <c r="E34" s="57"/>
      <c r="F34" s="57"/>
      <c r="G34" s="56"/>
      <c r="H34" s="56"/>
    </row>
    <row r="35" spans="1:10" s="2" customFormat="1" ht="13.5" thickBot="1" x14ac:dyDescent="0.25">
      <c r="A35" s="54"/>
      <c r="B35" s="53"/>
      <c r="C35" s="52"/>
      <c r="D35" s="52"/>
      <c r="E35" s="51"/>
      <c r="F35" s="51"/>
      <c r="G35" s="50"/>
      <c r="H35" s="50">
        <f>SUM(E35:G35)</f>
        <v>0</v>
      </c>
    </row>
    <row r="36" spans="1:10" s="5" customFormat="1" ht="14.25" thickTop="1" thickBot="1" x14ac:dyDescent="0.25">
      <c r="A36" s="49" t="s">
        <v>32</v>
      </c>
      <c r="B36" s="48"/>
      <c r="C36" s="48"/>
      <c r="D36" s="48"/>
      <c r="E36" s="47">
        <f>E27-E28</f>
        <v>0</v>
      </c>
      <c r="F36" s="47">
        <f>F27-F28</f>
        <v>0</v>
      </c>
      <c r="G36" s="46">
        <f>G27-G28</f>
        <v>0</v>
      </c>
      <c r="H36" s="46">
        <f>SUM(E36:G36)</f>
        <v>0</v>
      </c>
    </row>
    <row r="37" spans="1:10" s="5" customFormat="1" ht="13.5" thickTop="1" x14ac:dyDescent="0.2">
      <c r="A37" s="33"/>
      <c r="B37" s="33"/>
      <c r="C37" s="33"/>
      <c r="D37" s="33"/>
      <c r="E37" s="45"/>
      <c r="F37" s="45"/>
      <c r="G37" s="45"/>
      <c r="H37" s="45"/>
    </row>
    <row r="38" spans="1:10" s="2" customFormat="1" x14ac:dyDescent="0.2"/>
    <row r="39" spans="1:10" s="37" customFormat="1" ht="15.75" x14ac:dyDescent="0.25">
      <c r="A39" s="41" t="s">
        <v>31</v>
      </c>
      <c r="B39" s="40"/>
      <c r="C39" s="40"/>
      <c r="D39" s="40"/>
      <c r="E39" s="40"/>
      <c r="F39" s="40"/>
      <c r="G39" s="40"/>
      <c r="H39" s="39"/>
      <c r="I39" s="38"/>
    </row>
    <row r="40" spans="1:10" s="2" customFormat="1" x14ac:dyDescent="0.2"/>
    <row r="41" spans="1:10" s="2" customFormat="1" x14ac:dyDescent="0.2">
      <c r="A41" s="44" t="s">
        <v>30</v>
      </c>
      <c r="B41" s="43"/>
      <c r="C41" s="43"/>
      <c r="D41" s="43"/>
      <c r="E41" s="43"/>
      <c r="F41" s="43"/>
      <c r="G41" s="43"/>
      <c r="H41" s="42"/>
      <c r="I41" s="26"/>
      <c r="J41" s="26"/>
    </row>
    <row r="42" spans="1:10" s="2" customFormat="1" x14ac:dyDescent="0.2">
      <c r="A42" s="32" t="s">
        <v>29</v>
      </c>
      <c r="B42" s="26"/>
      <c r="C42" s="26"/>
      <c r="D42" s="26"/>
      <c r="E42" s="26"/>
      <c r="F42" s="26"/>
      <c r="G42" s="26"/>
      <c r="H42" s="31"/>
      <c r="I42" s="26"/>
      <c r="J42" s="26"/>
    </row>
    <row r="43" spans="1:10" s="2" customFormat="1" x14ac:dyDescent="0.2">
      <c r="A43" s="32" t="s">
        <v>28</v>
      </c>
      <c r="B43" s="26"/>
      <c r="C43" s="26"/>
      <c r="D43" s="26"/>
      <c r="E43" s="26"/>
      <c r="F43" s="26"/>
      <c r="G43" s="26"/>
      <c r="H43" s="31"/>
      <c r="I43" s="26"/>
      <c r="J43" s="26"/>
    </row>
    <row r="44" spans="1:10" s="2" customFormat="1" x14ac:dyDescent="0.2">
      <c r="A44" s="32" t="s">
        <v>27</v>
      </c>
      <c r="B44" s="26"/>
      <c r="C44" s="26"/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26</v>
      </c>
      <c r="B45" s="26"/>
      <c r="C45" s="26"/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 t="s">
        <v>26</v>
      </c>
      <c r="B46" s="26"/>
      <c r="C46" s="26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0"/>
      <c r="B47" s="20"/>
      <c r="C47" s="20"/>
      <c r="D47" s="20"/>
      <c r="E47" s="20"/>
      <c r="F47" s="20"/>
      <c r="G47" s="20"/>
      <c r="H47" s="29"/>
      <c r="I47" s="26"/>
      <c r="J47" s="26"/>
    </row>
    <row r="48" spans="1:10" s="2" customFormat="1" x14ac:dyDescent="0.2"/>
    <row r="49" spans="1:10" s="37" customFormat="1" ht="15.75" x14ac:dyDescent="0.25">
      <c r="A49" s="41" t="s">
        <v>25</v>
      </c>
      <c r="B49" s="40"/>
      <c r="C49" s="40"/>
      <c r="D49" s="40"/>
      <c r="E49" s="40"/>
      <c r="F49" s="40"/>
      <c r="G49" s="40"/>
      <c r="H49" s="39"/>
      <c r="I49" s="38"/>
    </row>
    <row r="50" spans="1:10" s="2" customFormat="1" x14ac:dyDescent="0.2"/>
    <row r="51" spans="1:10" s="5" customFormat="1" x14ac:dyDescent="0.2">
      <c r="A51" s="36" t="s">
        <v>24</v>
      </c>
      <c r="B51" s="36" t="s">
        <v>23</v>
      </c>
      <c r="C51" s="36" t="s">
        <v>22</v>
      </c>
      <c r="D51" s="35"/>
      <c r="E51" s="35"/>
      <c r="F51" s="35"/>
      <c r="G51" s="35"/>
      <c r="H51" s="34"/>
      <c r="I51" s="33"/>
      <c r="J51" s="33"/>
    </row>
    <row r="52" spans="1:10" s="2" customFormat="1" x14ac:dyDescent="0.2">
      <c r="A52" s="32" t="s">
        <v>21</v>
      </c>
      <c r="B52" s="32" t="s">
        <v>18</v>
      </c>
      <c r="C52" s="32" t="s">
        <v>20</v>
      </c>
      <c r="D52" s="26"/>
      <c r="E52" s="26"/>
      <c r="F52" s="26"/>
      <c r="G52" s="26"/>
      <c r="H52" s="31"/>
      <c r="I52" s="26"/>
      <c r="J52" s="26"/>
    </row>
    <row r="53" spans="1:10" s="2" customFormat="1" x14ac:dyDescent="0.2">
      <c r="A53" s="32" t="s">
        <v>19</v>
      </c>
      <c r="B53" s="32" t="s">
        <v>18</v>
      </c>
      <c r="C53" s="32" t="s">
        <v>17</v>
      </c>
      <c r="D53" s="26"/>
      <c r="E53" s="26"/>
      <c r="F53" s="26"/>
      <c r="G53" s="26"/>
      <c r="H53" s="31"/>
      <c r="I53" s="26"/>
      <c r="J53" s="26"/>
    </row>
    <row r="54" spans="1:10" s="2" customFormat="1" x14ac:dyDescent="0.2">
      <c r="A54" s="32"/>
      <c r="B54" s="32"/>
      <c r="C54" s="32"/>
      <c r="D54" s="26"/>
      <c r="E54" s="26"/>
      <c r="F54" s="26"/>
      <c r="G54" s="26"/>
      <c r="H54" s="31"/>
      <c r="I54" s="26"/>
      <c r="J54" s="26"/>
    </row>
    <row r="55" spans="1:10" s="2" customFormat="1" x14ac:dyDescent="0.2">
      <c r="A55" s="32"/>
      <c r="B55" s="32"/>
      <c r="C55" s="32"/>
      <c r="D55" s="26"/>
      <c r="E55" s="26"/>
      <c r="F55" s="26"/>
      <c r="G55" s="26"/>
      <c r="H55" s="31"/>
      <c r="I55" s="26"/>
      <c r="J55" s="26"/>
    </row>
    <row r="56" spans="1:10" s="2" customFormat="1" x14ac:dyDescent="0.2">
      <c r="A56" s="30"/>
      <c r="B56" s="30"/>
      <c r="C56" s="30"/>
      <c r="D56" s="20"/>
      <c r="E56" s="20"/>
      <c r="F56" s="20"/>
      <c r="G56" s="20"/>
      <c r="H56" s="29"/>
      <c r="I56" s="26"/>
      <c r="J56" s="26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2012-04-25T15:36:21Z</dcterms:modified>
</cp:coreProperties>
</file>
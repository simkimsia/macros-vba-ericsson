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695" windowWidth="13140" windowHeight="430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Database!$A$1:$G$263</definedName>
    <definedName name="_xlnm.Print_Area" localSheetId="2">'detail Template'!$A$1:$I$18</definedName>
    <definedName name="_xlnm.Print_Area" localSheetId="3">Summary!$A$1:$H$48</definedName>
  </definedNames>
  <calcPr calcId="145621"/>
</workbook>
</file>

<file path=xl/calcChain.xml><?xml version="1.0" encoding="utf-8"?>
<calcChain xmlns="http://schemas.openxmlformats.org/spreadsheetml/2006/main">
  <c r="L545" i="2" l="1"/>
  <c r="K545" i="2"/>
  <c r="M545" i="2"/>
  <c r="J545" i="2"/>
  <c r="L755" i="2"/>
  <c r="L808" i="2"/>
  <c r="L782" i="2"/>
  <c r="L504" i="2"/>
  <c r="L489" i="2"/>
  <c r="L442" i="2"/>
  <c r="L423" i="2"/>
  <c r="L404" i="2"/>
  <c r="K755" i="2"/>
  <c r="K808" i="2"/>
  <c r="K782" i="2"/>
  <c r="K504" i="2"/>
  <c r="K489" i="2"/>
  <c r="K442" i="2"/>
  <c r="K423" i="2"/>
  <c r="K404" i="2"/>
  <c r="M755" i="2"/>
  <c r="M808" i="2"/>
  <c r="M782" i="2"/>
  <c r="M504" i="2"/>
  <c r="M489" i="2"/>
  <c r="M442" i="2"/>
  <c r="M423" i="2"/>
  <c r="M404" i="2"/>
  <c r="J755" i="2"/>
  <c r="J808" i="2"/>
  <c r="J782" i="2"/>
  <c r="J504" i="2"/>
  <c r="J489" i="2"/>
  <c r="J442" i="2"/>
  <c r="J423" i="2"/>
  <c r="J404" i="2"/>
  <c r="L770" i="2"/>
  <c r="L733" i="2"/>
  <c r="L711" i="2"/>
  <c r="L688" i="2"/>
  <c r="L656" i="2"/>
  <c r="L624" i="2"/>
  <c r="L592" i="2"/>
  <c r="L564" i="2"/>
  <c r="L969" i="2"/>
  <c r="L934" i="2"/>
  <c r="L919" i="2"/>
  <c r="L896" i="2"/>
  <c r="L862" i="2"/>
  <c r="L834" i="2"/>
  <c r="L822" i="2"/>
  <c r="L796" i="2"/>
  <c r="L546" i="2"/>
  <c r="L542" i="2"/>
  <c r="L539" i="2"/>
  <c r="L536" i="2"/>
  <c r="L533" i="2"/>
  <c r="L530" i="2"/>
  <c r="L527" i="2"/>
  <c r="L515" i="2"/>
  <c r="L505" i="2"/>
  <c r="L500" i="2"/>
  <c r="L495" i="2"/>
  <c r="L490" i="2"/>
  <c r="L292" i="2"/>
  <c r="L477" i="2"/>
  <c r="L465" i="2"/>
  <c r="L461" i="2"/>
  <c r="L445" i="2"/>
  <c r="L426" i="2"/>
  <c r="L407" i="2"/>
  <c r="L393" i="2"/>
  <c r="L382" i="2"/>
  <c r="L375" i="2"/>
  <c r="L368" i="2"/>
  <c r="L358" i="2"/>
  <c r="L348" i="2"/>
  <c r="L341" i="2"/>
  <c r="L331" i="2"/>
  <c r="L323" i="2"/>
  <c r="L312" i="2"/>
  <c r="L301" i="2"/>
  <c r="K770" i="2"/>
  <c r="K733" i="2"/>
  <c r="K711" i="2"/>
  <c r="K688" i="2"/>
  <c r="K656" i="2"/>
  <c r="K624" i="2"/>
  <c r="K592" i="2"/>
  <c r="K564" i="2"/>
  <c r="K969" i="2"/>
  <c r="K934" i="2"/>
  <c r="K919" i="2"/>
  <c r="K896" i="2"/>
  <c r="K862" i="2"/>
  <c r="K834" i="2"/>
  <c r="K822" i="2"/>
  <c r="K796" i="2"/>
  <c r="K546" i="2"/>
  <c r="K542" i="2"/>
  <c r="K539" i="2"/>
  <c r="K536" i="2"/>
  <c r="K533" i="2"/>
  <c r="K530" i="2"/>
  <c r="K527" i="2"/>
  <c r="K515" i="2"/>
  <c r="K505" i="2"/>
  <c r="K500" i="2"/>
  <c r="K495" i="2"/>
  <c r="K490" i="2"/>
  <c r="K292" i="2"/>
  <c r="K477" i="2"/>
  <c r="K465" i="2"/>
  <c r="K461" i="2"/>
  <c r="K445" i="2"/>
  <c r="K426" i="2"/>
  <c r="K407" i="2"/>
  <c r="K393" i="2"/>
  <c r="K382" i="2"/>
  <c r="K375" i="2"/>
  <c r="K368" i="2"/>
  <c r="K358" i="2"/>
  <c r="K348" i="2"/>
  <c r="K341" i="2"/>
  <c r="K331" i="2"/>
  <c r="K323" i="2"/>
  <c r="K312" i="2"/>
  <c r="K301" i="2"/>
  <c r="M770" i="2"/>
  <c r="M733" i="2"/>
  <c r="M711" i="2"/>
  <c r="M688" i="2"/>
  <c r="M656" i="2"/>
  <c r="M624" i="2"/>
  <c r="M592" i="2"/>
  <c r="M564" i="2"/>
  <c r="M969" i="2"/>
  <c r="M934" i="2"/>
  <c r="M919" i="2"/>
  <c r="M896" i="2"/>
  <c r="M862" i="2"/>
  <c r="M834" i="2"/>
  <c r="M822" i="2"/>
  <c r="M796" i="2"/>
  <c r="M546" i="2"/>
  <c r="M542" i="2"/>
  <c r="M539" i="2"/>
  <c r="M536" i="2"/>
  <c r="M533" i="2"/>
  <c r="M530" i="2"/>
  <c r="M527" i="2"/>
  <c r="M515" i="2"/>
  <c r="M505" i="2"/>
  <c r="M500" i="2"/>
  <c r="M495" i="2"/>
  <c r="M490" i="2"/>
  <c r="M292" i="2"/>
  <c r="M477" i="2"/>
  <c r="M465" i="2"/>
  <c r="M461" i="2"/>
  <c r="M445" i="2"/>
  <c r="M426" i="2"/>
  <c r="M407" i="2"/>
  <c r="M393" i="2"/>
  <c r="M382" i="2"/>
  <c r="M375" i="2"/>
  <c r="M368" i="2"/>
  <c r="M358" i="2"/>
  <c r="M348" i="2"/>
  <c r="M341" i="2"/>
  <c r="M331" i="2"/>
  <c r="M323" i="2"/>
  <c r="M312" i="2"/>
  <c r="M301" i="2"/>
  <c r="J770" i="2"/>
  <c r="J733" i="2"/>
  <c r="J711" i="2"/>
  <c r="J688" i="2"/>
  <c r="J656" i="2"/>
  <c r="J624" i="2"/>
  <c r="J592" i="2"/>
  <c r="J564" i="2"/>
  <c r="J969" i="2"/>
  <c r="J934" i="2"/>
  <c r="J919" i="2"/>
  <c r="J896" i="2"/>
  <c r="J862" i="2"/>
  <c r="J834" i="2"/>
  <c r="J822" i="2"/>
  <c r="J796" i="2"/>
  <c r="J546" i="2"/>
  <c r="J542" i="2"/>
  <c r="J539" i="2"/>
  <c r="J536" i="2"/>
  <c r="J533" i="2"/>
  <c r="J530" i="2"/>
  <c r="J527" i="2"/>
  <c r="J515" i="2"/>
  <c r="J505" i="2"/>
  <c r="J500" i="2"/>
  <c r="J495" i="2"/>
  <c r="J490" i="2"/>
  <c r="J292" i="2"/>
  <c r="J477" i="2"/>
  <c r="J465" i="2"/>
  <c r="J461" i="2"/>
  <c r="J445" i="2"/>
  <c r="J426" i="2"/>
  <c r="J407" i="2"/>
  <c r="J393" i="2"/>
  <c r="J382" i="2"/>
  <c r="J375" i="2"/>
  <c r="J368" i="2"/>
  <c r="J358" i="2"/>
  <c r="J348" i="2"/>
  <c r="J341" i="2"/>
  <c r="J331" i="2"/>
  <c r="J323" i="2"/>
  <c r="J312" i="2"/>
  <c r="J301" i="2"/>
  <c r="L771" i="2"/>
  <c r="L760" i="2"/>
  <c r="L758" i="2"/>
  <c r="L756" i="2"/>
  <c r="L738" i="2"/>
  <c r="L736" i="2"/>
  <c r="L734" i="2"/>
  <c r="L716" i="2"/>
  <c r="L714" i="2"/>
  <c r="L712" i="2"/>
  <c r="L693" i="2"/>
  <c r="L691" i="2"/>
  <c r="L689" i="2"/>
  <c r="L661" i="2"/>
  <c r="L659" i="2"/>
  <c r="L657" i="2"/>
  <c r="L629" i="2"/>
  <c r="L627" i="2"/>
  <c r="L625" i="2"/>
  <c r="L597" i="2"/>
  <c r="L595" i="2"/>
  <c r="L593" i="2"/>
  <c r="L569" i="2"/>
  <c r="L567" i="2"/>
  <c r="L565" i="2"/>
  <c r="L974" i="2"/>
  <c r="L972" i="2"/>
  <c r="L970" i="2"/>
  <c r="L939" i="2"/>
  <c r="L937" i="2"/>
  <c r="L935" i="2"/>
  <c r="L924" i="2"/>
  <c r="L922" i="2"/>
  <c r="L920" i="2"/>
  <c r="L901" i="2"/>
  <c r="L899" i="2"/>
  <c r="L897" i="2"/>
  <c r="L867" i="2"/>
  <c r="L865" i="2"/>
  <c r="L863" i="2"/>
  <c r="L839" i="2"/>
  <c r="L837" i="2"/>
  <c r="L835" i="2"/>
  <c r="L823" i="2"/>
  <c r="L813" i="2"/>
  <c r="L811" i="2"/>
  <c r="L809" i="2"/>
  <c r="L797" i="2"/>
  <c r="L787" i="2"/>
  <c r="L785" i="2"/>
  <c r="L783" i="2"/>
  <c r="L562" i="2"/>
  <c r="L560" i="2"/>
  <c r="L556" i="2"/>
  <c r="L551" i="2"/>
  <c r="L549" i="2"/>
  <c r="L547" i="2"/>
  <c r="L543" i="2"/>
  <c r="L540" i="2"/>
  <c r="L537" i="2"/>
  <c r="L534" i="2"/>
  <c r="L531" i="2"/>
  <c r="L528" i="2"/>
  <c r="L525" i="2"/>
  <c r="L523" i="2"/>
  <c r="L521" i="2"/>
  <c r="L519" i="2"/>
  <c r="L516" i="2"/>
  <c r="L513" i="2"/>
  <c r="L511" i="2"/>
  <c r="L509" i="2"/>
  <c r="L506" i="2"/>
  <c r="L501" i="2"/>
  <c r="L498" i="2"/>
  <c r="L496" i="2"/>
  <c r="L493" i="2"/>
  <c r="L491" i="2"/>
  <c r="L295" i="2"/>
  <c r="L293" i="2"/>
  <c r="L284" i="2"/>
  <c r="L282" i="2"/>
  <c r="L480" i="2"/>
  <c r="L478" i="2"/>
  <c r="L468" i="2"/>
  <c r="L466" i="2"/>
  <c r="L462" i="2"/>
  <c r="L450" i="2"/>
  <c r="L446" i="2"/>
  <c r="L443" i="2"/>
  <c r="L431" i="2"/>
  <c r="L427" i="2"/>
  <c r="L424" i="2"/>
  <c r="L412" i="2"/>
  <c r="L408" i="2"/>
  <c r="L405" i="2"/>
  <c r="L396" i="2"/>
  <c r="L394" i="2"/>
  <c r="L385" i="2"/>
  <c r="L383" i="2"/>
  <c r="L378" i="2"/>
  <c r="L376" i="2"/>
  <c r="L371" i="2"/>
  <c r="L369" i="2"/>
  <c r="L361" i="2"/>
  <c r="L359" i="2"/>
  <c r="L351" i="2"/>
  <c r="L349" i="2"/>
  <c r="L344" i="2"/>
  <c r="L342" i="2"/>
  <c r="L334" i="2"/>
  <c r="L332" i="2"/>
  <c r="L326" i="2"/>
  <c r="L324" i="2"/>
  <c r="L315" i="2"/>
  <c r="L313" i="2"/>
  <c r="L304" i="2"/>
  <c r="L302" i="2"/>
  <c r="K771" i="2"/>
  <c r="K760" i="2"/>
  <c r="K758" i="2"/>
  <c r="K756" i="2"/>
  <c r="K738" i="2"/>
  <c r="K736" i="2"/>
  <c r="K734" i="2"/>
  <c r="K716" i="2"/>
  <c r="K714" i="2"/>
  <c r="K712" i="2"/>
  <c r="K693" i="2"/>
  <c r="K691" i="2"/>
  <c r="K689" i="2"/>
  <c r="K661" i="2"/>
  <c r="K659" i="2"/>
  <c r="K657" i="2"/>
  <c r="K629" i="2"/>
  <c r="K627" i="2"/>
  <c r="K625" i="2"/>
  <c r="K597" i="2"/>
  <c r="K595" i="2"/>
  <c r="K593" i="2"/>
  <c r="K569" i="2"/>
  <c r="K567" i="2"/>
  <c r="K565" i="2"/>
  <c r="K974" i="2"/>
  <c r="K972" i="2"/>
  <c r="K970" i="2"/>
  <c r="K939" i="2"/>
  <c r="K937" i="2"/>
  <c r="K935" i="2"/>
  <c r="K924" i="2"/>
  <c r="K922" i="2"/>
  <c r="K920" i="2"/>
  <c r="K901" i="2"/>
  <c r="K899" i="2"/>
  <c r="K897" i="2"/>
  <c r="K867" i="2"/>
  <c r="K865" i="2"/>
  <c r="K863" i="2"/>
  <c r="K839" i="2"/>
  <c r="K837" i="2"/>
  <c r="K835" i="2"/>
  <c r="K823" i="2"/>
  <c r="K813" i="2"/>
  <c r="K811" i="2"/>
  <c r="K809" i="2"/>
  <c r="K797" i="2"/>
  <c r="K787" i="2"/>
  <c r="K785" i="2"/>
  <c r="K783" i="2"/>
  <c r="K562" i="2"/>
  <c r="K560" i="2"/>
  <c r="K556" i="2"/>
  <c r="K551" i="2"/>
  <c r="K549" i="2"/>
  <c r="K547" i="2"/>
  <c r="K543" i="2"/>
  <c r="K540" i="2"/>
  <c r="K537" i="2"/>
  <c r="K534" i="2"/>
  <c r="K531" i="2"/>
  <c r="K528" i="2"/>
  <c r="K525" i="2"/>
  <c r="K523" i="2"/>
  <c r="K521" i="2"/>
  <c r="K519" i="2"/>
  <c r="K516" i="2"/>
  <c r="K513" i="2"/>
  <c r="K511" i="2"/>
  <c r="K509" i="2"/>
  <c r="K506" i="2"/>
  <c r="K501" i="2"/>
  <c r="K498" i="2"/>
  <c r="K496" i="2"/>
  <c r="K493" i="2"/>
  <c r="K491" i="2"/>
  <c r="K295" i="2"/>
  <c r="K293" i="2"/>
  <c r="K284" i="2"/>
  <c r="K282" i="2"/>
  <c r="K480" i="2"/>
  <c r="K478" i="2"/>
  <c r="K468" i="2"/>
  <c r="K466" i="2"/>
  <c r="K462" i="2"/>
  <c r="K450" i="2"/>
  <c r="K446" i="2"/>
  <c r="K443" i="2"/>
  <c r="K431" i="2"/>
  <c r="K427" i="2"/>
  <c r="K424" i="2"/>
  <c r="K412" i="2"/>
  <c r="K408" i="2"/>
  <c r="K405" i="2"/>
  <c r="K396" i="2"/>
  <c r="K394" i="2"/>
  <c r="K385" i="2"/>
  <c r="K383" i="2"/>
  <c r="K378" i="2"/>
  <c r="K376" i="2"/>
  <c r="K371" i="2"/>
  <c r="K369" i="2"/>
  <c r="K361" i="2"/>
  <c r="K359" i="2"/>
  <c r="K351" i="2"/>
  <c r="K349" i="2"/>
  <c r="K344" i="2"/>
  <c r="K342" i="2"/>
  <c r="K334" i="2"/>
  <c r="K332" i="2"/>
  <c r="K326" i="2"/>
  <c r="K324" i="2"/>
  <c r="K315" i="2"/>
  <c r="K313" i="2"/>
  <c r="K304" i="2"/>
  <c r="K302" i="2"/>
  <c r="M771" i="2"/>
  <c r="M760" i="2"/>
  <c r="M758" i="2"/>
  <c r="M756" i="2"/>
  <c r="M738" i="2"/>
  <c r="M736" i="2"/>
  <c r="M734" i="2"/>
  <c r="M716" i="2"/>
  <c r="M714" i="2"/>
  <c r="M712" i="2"/>
  <c r="M693" i="2"/>
  <c r="M691" i="2"/>
  <c r="M689" i="2"/>
  <c r="M661" i="2"/>
  <c r="M659" i="2"/>
  <c r="M657" i="2"/>
  <c r="M629" i="2"/>
  <c r="M627" i="2"/>
  <c r="M625" i="2"/>
  <c r="M597" i="2"/>
  <c r="M595" i="2"/>
  <c r="M593" i="2"/>
  <c r="M569" i="2"/>
  <c r="M567" i="2"/>
  <c r="M565" i="2"/>
  <c r="M974" i="2"/>
  <c r="M972" i="2"/>
  <c r="M970" i="2"/>
  <c r="M939" i="2"/>
  <c r="M937" i="2"/>
  <c r="M935" i="2"/>
  <c r="M924" i="2"/>
  <c r="M922" i="2"/>
  <c r="M920" i="2"/>
  <c r="M901" i="2"/>
  <c r="M899" i="2"/>
  <c r="M897" i="2"/>
  <c r="M867" i="2"/>
  <c r="M865" i="2"/>
  <c r="M863" i="2"/>
  <c r="M839" i="2"/>
  <c r="M837" i="2"/>
  <c r="M835" i="2"/>
  <c r="M823" i="2"/>
  <c r="M813" i="2"/>
  <c r="M811" i="2"/>
  <c r="M809" i="2"/>
  <c r="M797" i="2"/>
  <c r="M787" i="2"/>
  <c r="M785" i="2"/>
  <c r="M783" i="2"/>
  <c r="M562" i="2"/>
  <c r="M560" i="2"/>
  <c r="M556" i="2"/>
  <c r="M551" i="2"/>
  <c r="M549" i="2"/>
  <c r="M547" i="2"/>
  <c r="M543" i="2"/>
  <c r="M540" i="2"/>
  <c r="M537" i="2"/>
  <c r="M534" i="2"/>
  <c r="M531" i="2"/>
  <c r="M528" i="2"/>
  <c r="M525" i="2"/>
  <c r="M523" i="2"/>
  <c r="M521" i="2"/>
  <c r="M519" i="2"/>
  <c r="M516" i="2"/>
  <c r="M513" i="2"/>
  <c r="M511" i="2"/>
  <c r="M509" i="2"/>
  <c r="M506" i="2"/>
  <c r="M501" i="2"/>
  <c r="M498" i="2"/>
  <c r="M496" i="2"/>
  <c r="M493" i="2"/>
  <c r="M491" i="2"/>
  <c r="M295" i="2"/>
  <c r="M293" i="2"/>
  <c r="M284" i="2"/>
  <c r="M282" i="2"/>
  <c r="M480" i="2"/>
  <c r="M478" i="2"/>
  <c r="M468" i="2"/>
  <c r="M466" i="2"/>
  <c r="M462" i="2"/>
  <c r="M450" i="2"/>
  <c r="M446" i="2"/>
  <c r="M443" i="2"/>
  <c r="M431" i="2"/>
  <c r="M427" i="2"/>
  <c r="M424" i="2"/>
  <c r="M412" i="2"/>
  <c r="M408" i="2"/>
  <c r="M405" i="2"/>
  <c r="M396" i="2"/>
  <c r="M394" i="2"/>
  <c r="M385" i="2"/>
  <c r="M383" i="2"/>
  <c r="M378" i="2"/>
  <c r="M376" i="2"/>
  <c r="M371" i="2"/>
  <c r="M369" i="2"/>
  <c r="M361" i="2"/>
  <c r="M359" i="2"/>
  <c r="M351" i="2"/>
  <c r="M349" i="2"/>
  <c r="M344" i="2"/>
  <c r="M342" i="2"/>
  <c r="M334" i="2"/>
  <c r="M332" i="2"/>
  <c r="M326" i="2"/>
  <c r="M324" i="2"/>
  <c r="M315" i="2"/>
  <c r="M313" i="2"/>
  <c r="M304" i="2"/>
  <c r="M302" i="2"/>
  <c r="J771" i="2"/>
  <c r="J760" i="2"/>
  <c r="J758" i="2"/>
  <c r="J756" i="2"/>
  <c r="J738" i="2"/>
  <c r="J736" i="2"/>
  <c r="J734" i="2"/>
  <c r="J716" i="2"/>
  <c r="J714" i="2"/>
  <c r="J712" i="2"/>
  <c r="J693" i="2"/>
  <c r="J691" i="2"/>
  <c r="J689" i="2"/>
  <c r="J661" i="2"/>
  <c r="J659" i="2"/>
  <c r="J657" i="2"/>
  <c r="J629" i="2"/>
  <c r="J627" i="2"/>
  <c r="J625" i="2"/>
  <c r="J597" i="2"/>
  <c r="J595" i="2"/>
  <c r="J593" i="2"/>
  <c r="J569" i="2"/>
  <c r="J567" i="2"/>
  <c r="J565" i="2"/>
  <c r="J974" i="2"/>
  <c r="J972" i="2"/>
  <c r="J970" i="2"/>
  <c r="J939" i="2"/>
  <c r="J937" i="2"/>
  <c r="J935" i="2"/>
  <c r="J924" i="2"/>
  <c r="J922" i="2"/>
  <c r="J920" i="2"/>
  <c r="J901" i="2"/>
  <c r="J899" i="2"/>
  <c r="J897" i="2"/>
  <c r="J867" i="2"/>
  <c r="J865" i="2"/>
  <c r="J863" i="2"/>
  <c r="J839" i="2"/>
  <c r="J837" i="2"/>
  <c r="J835" i="2"/>
  <c r="J823" i="2"/>
  <c r="J813" i="2"/>
  <c r="J811" i="2"/>
  <c r="J809" i="2"/>
  <c r="J797" i="2"/>
  <c r="J787" i="2"/>
  <c r="J785" i="2"/>
  <c r="J783" i="2"/>
  <c r="J562" i="2"/>
  <c r="J560" i="2"/>
  <c r="J556" i="2"/>
  <c r="J551" i="2"/>
  <c r="J549" i="2"/>
  <c r="J547" i="2"/>
  <c r="J543" i="2"/>
  <c r="J540" i="2"/>
  <c r="J537" i="2"/>
  <c r="J534" i="2"/>
  <c r="J531" i="2"/>
  <c r="J528" i="2"/>
  <c r="J525" i="2"/>
  <c r="J523" i="2"/>
  <c r="J521" i="2"/>
  <c r="J519" i="2"/>
  <c r="J516" i="2"/>
  <c r="J513" i="2"/>
  <c r="J511" i="2"/>
  <c r="J509" i="2"/>
  <c r="J506" i="2"/>
  <c r="J501" i="2"/>
  <c r="J498" i="2"/>
  <c r="J496" i="2"/>
  <c r="J493" i="2"/>
  <c r="J491" i="2"/>
  <c r="J295" i="2"/>
  <c r="J293" i="2"/>
  <c r="J284" i="2"/>
  <c r="J282" i="2"/>
  <c r="J480" i="2"/>
  <c r="J478" i="2"/>
  <c r="J468" i="2"/>
  <c r="J466" i="2"/>
  <c r="J462" i="2"/>
  <c r="J450" i="2"/>
  <c r="J446" i="2"/>
  <c r="J443" i="2"/>
  <c r="J431" i="2"/>
  <c r="J427" i="2"/>
  <c r="J424" i="2"/>
  <c r="J412" i="2"/>
  <c r="J408" i="2"/>
  <c r="J405" i="2"/>
  <c r="J396" i="2"/>
  <c r="J394" i="2"/>
  <c r="J385" i="2"/>
  <c r="J383" i="2"/>
  <c r="J378" i="2"/>
  <c r="J376" i="2"/>
  <c r="J371" i="2"/>
  <c r="J369" i="2"/>
  <c r="J361" i="2"/>
  <c r="J359" i="2"/>
  <c r="J351" i="2"/>
  <c r="J349" i="2"/>
  <c r="J344" i="2"/>
  <c r="J342" i="2"/>
  <c r="J334" i="2"/>
  <c r="J332" i="2"/>
  <c r="J326" i="2"/>
  <c r="J324" i="2"/>
  <c r="J315" i="2"/>
  <c r="J313" i="2"/>
  <c r="J304" i="2"/>
  <c r="J302" i="2"/>
  <c r="M1002" i="2"/>
  <c r="K1002" i="2"/>
  <c r="M1001" i="2"/>
  <c r="K1001" i="2"/>
  <c r="M1000" i="2"/>
  <c r="K1000" i="2"/>
  <c r="M999" i="2"/>
  <c r="K999" i="2"/>
  <c r="M998" i="2"/>
  <c r="K998" i="2"/>
  <c r="M997" i="2"/>
  <c r="K997" i="2"/>
  <c r="M996" i="2"/>
  <c r="K996" i="2"/>
  <c r="M995" i="2"/>
  <c r="K995" i="2"/>
  <c r="M994" i="2"/>
  <c r="K994" i="2"/>
  <c r="M993" i="2"/>
  <c r="K993" i="2"/>
  <c r="M992" i="2"/>
  <c r="K992" i="2"/>
  <c r="M991" i="2"/>
  <c r="K991" i="2"/>
  <c r="M990" i="2"/>
  <c r="K990" i="2"/>
  <c r="M989" i="2"/>
  <c r="K989" i="2"/>
  <c r="M988" i="2"/>
  <c r="K988" i="2"/>
  <c r="M987" i="2"/>
  <c r="K987" i="2"/>
  <c r="M986" i="2"/>
  <c r="K986" i="2"/>
  <c r="M985" i="2"/>
  <c r="K985" i="2"/>
  <c r="M984" i="2"/>
  <c r="K984" i="2"/>
  <c r="M983" i="2"/>
  <c r="K983" i="2"/>
  <c r="M982" i="2"/>
  <c r="K982" i="2"/>
  <c r="M981" i="2"/>
  <c r="K981" i="2"/>
  <c r="M980" i="2"/>
  <c r="K980" i="2"/>
  <c r="M979" i="2"/>
  <c r="K979" i="2"/>
  <c r="M978" i="2"/>
  <c r="K978" i="2"/>
  <c r="M977" i="2"/>
  <c r="K977" i="2"/>
  <c r="M976" i="2"/>
  <c r="K976" i="2"/>
  <c r="M975" i="2"/>
  <c r="K975" i="2"/>
  <c r="M973" i="2"/>
  <c r="K973" i="2"/>
  <c r="M971" i="2"/>
  <c r="K971" i="2"/>
  <c r="M968" i="2"/>
  <c r="K968" i="2"/>
  <c r="M967" i="2"/>
  <c r="K967" i="2"/>
  <c r="M966" i="2"/>
  <c r="K966" i="2"/>
  <c r="M965" i="2"/>
  <c r="K965" i="2"/>
  <c r="M964" i="2"/>
  <c r="K964" i="2"/>
  <c r="M963" i="2"/>
  <c r="K963" i="2"/>
  <c r="M962" i="2"/>
  <c r="K962" i="2"/>
  <c r="M961" i="2"/>
  <c r="K961" i="2"/>
  <c r="M960" i="2"/>
  <c r="K960" i="2"/>
  <c r="M959" i="2"/>
  <c r="K959" i="2"/>
  <c r="M958" i="2"/>
  <c r="K958" i="2"/>
  <c r="M957" i="2"/>
  <c r="K957" i="2"/>
  <c r="M956" i="2"/>
  <c r="K956" i="2"/>
  <c r="M955" i="2"/>
  <c r="K955" i="2"/>
  <c r="M954" i="2"/>
  <c r="K954" i="2"/>
  <c r="M953" i="2"/>
  <c r="K953" i="2"/>
  <c r="M952" i="2"/>
  <c r="K952" i="2"/>
  <c r="M951" i="2"/>
  <c r="K951" i="2"/>
  <c r="M950" i="2"/>
  <c r="K950" i="2"/>
  <c r="M949" i="2"/>
  <c r="K949" i="2"/>
  <c r="M948" i="2"/>
  <c r="K948" i="2"/>
  <c r="M947" i="2"/>
  <c r="K947" i="2"/>
  <c r="M946" i="2"/>
  <c r="K946" i="2"/>
  <c r="M945" i="2"/>
  <c r="K945" i="2"/>
  <c r="M944" i="2"/>
  <c r="K944" i="2"/>
  <c r="M943" i="2"/>
  <c r="K943" i="2"/>
  <c r="M942" i="2"/>
  <c r="K942" i="2"/>
  <c r="M941" i="2"/>
  <c r="K941" i="2"/>
  <c r="M940" i="2"/>
  <c r="K940" i="2"/>
  <c r="M938" i="2"/>
  <c r="K938" i="2"/>
  <c r="M936" i="2"/>
  <c r="K936" i="2"/>
  <c r="M933" i="2"/>
  <c r="K933" i="2"/>
  <c r="M932" i="2"/>
  <c r="K932" i="2"/>
  <c r="M931" i="2"/>
  <c r="K931" i="2"/>
  <c r="M930" i="2"/>
  <c r="K930" i="2"/>
  <c r="M929" i="2"/>
  <c r="K929" i="2"/>
  <c r="M928" i="2"/>
  <c r="K928" i="2"/>
  <c r="M927" i="2"/>
  <c r="K927" i="2"/>
  <c r="M926" i="2"/>
  <c r="K926" i="2"/>
  <c r="M925" i="2"/>
  <c r="K925" i="2"/>
  <c r="M923" i="2"/>
  <c r="K923" i="2"/>
  <c r="M921" i="2"/>
  <c r="K921" i="2"/>
  <c r="M918" i="2"/>
  <c r="K918" i="2"/>
  <c r="M917" i="2"/>
  <c r="K917" i="2"/>
  <c r="M916" i="2"/>
  <c r="K916" i="2"/>
  <c r="M915" i="2"/>
  <c r="K915" i="2"/>
  <c r="M914" i="2"/>
  <c r="K914" i="2"/>
  <c r="M913" i="2"/>
  <c r="K913" i="2"/>
  <c r="M912" i="2"/>
  <c r="K912" i="2"/>
  <c r="M911" i="2"/>
  <c r="K911" i="2"/>
  <c r="M910" i="2"/>
  <c r="K910" i="2"/>
  <c r="M909" i="2"/>
  <c r="K909" i="2"/>
  <c r="M908" i="2"/>
  <c r="K908" i="2"/>
  <c r="M907" i="2"/>
  <c r="K907" i="2"/>
  <c r="M906" i="2"/>
  <c r="K906" i="2"/>
  <c r="M905" i="2"/>
  <c r="K905" i="2"/>
  <c r="M904" i="2"/>
  <c r="K904" i="2"/>
  <c r="M903" i="2"/>
  <c r="K903" i="2"/>
  <c r="M902" i="2"/>
  <c r="K902" i="2"/>
  <c r="M900" i="2"/>
  <c r="K900" i="2"/>
  <c r="M898" i="2"/>
  <c r="K898" i="2"/>
  <c r="M895" i="2"/>
  <c r="K895" i="2"/>
  <c r="M894" i="2"/>
  <c r="K894" i="2"/>
  <c r="M893" i="2"/>
  <c r="K893" i="2"/>
  <c r="M892" i="2"/>
  <c r="K892" i="2"/>
  <c r="M891" i="2"/>
  <c r="K891" i="2"/>
  <c r="M890" i="2"/>
  <c r="K890" i="2"/>
  <c r="M889" i="2"/>
  <c r="K889" i="2"/>
  <c r="M888" i="2"/>
  <c r="K888" i="2"/>
  <c r="M887" i="2"/>
  <c r="K887" i="2"/>
  <c r="M886" i="2"/>
  <c r="K886" i="2"/>
  <c r="M885" i="2"/>
  <c r="K885" i="2"/>
  <c r="M884" i="2"/>
  <c r="K884" i="2"/>
  <c r="M883" i="2"/>
  <c r="K883" i="2"/>
  <c r="M882" i="2"/>
  <c r="K882" i="2"/>
  <c r="M881" i="2"/>
  <c r="K881" i="2"/>
  <c r="M880" i="2"/>
  <c r="K880" i="2"/>
  <c r="M879" i="2"/>
  <c r="K879" i="2"/>
  <c r="M878" i="2"/>
  <c r="K878" i="2"/>
  <c r="M877" i="2"/>
  <c r="K877" i="2"/>
  <c r="M876" i="2"/>
  <c r="K876" i="2"/>
  <c r="M875" i="2"/>
  <c r="K875" i="2"/>
  <c r="M874" i="2"/>
  <c r="K874" i="2"/>
  <c r="M873" i="2"/>
  <c r="K873" i="2"/>
  <c r="M872" i="2"/>
  <c r="K872" i="2"/>
  <c r="M871" i="2"/>
  <c r="K871" i="2"/>
  <c r="M870" i="2"/>
  <c r="K870" i="2"/>
  <c r="M869" i="2"/>
  <c r="K869" i="2"/>
  <c r="M868" i="2"/>
  <c r="K868" i="2"/>
  <c r="M866" i="2"/>
  <c r="K866" i="2"/>
  <c r="M864" i="2"/>
  <c r="K864" i="2"/>
  <c r="M861" i="2"/>
  <c r="K861" i="2"/>
  <c r="M860" i="2"/>
  <c r="K860" i="2"/>
  <c r="M859" i="2"/>
  <c r="K859" i="2"/>
  <c r="M858" i="2"/>
  <c r="K858" i="2"/>
  <c r="M857" i="2"/>
  <c r="K857" i="2"/>
  <c r="M856" i="2"/>
  <c r="K856" i="2"/>
  <c r="M855" i="2"/>
  <c r="K855" i="2"/>
  <c r="M854" i="2"/>
  <c r="K854" i="2"/>
  <c r="M853" i="2"/>
  <c r="K853" i="2"/>
  <c r="M852" i="2"/>
  <c r="K852" i="2"/>
  <c r="M851" i="2"/>
  <c r="K851" i="2"/>
  <c r="M850" i="2"/>
  <c r="K850" i="2"/>
  <c r="M849" i="2"/>
  <c r="K849" i="2"/>
  <c r="M848" i="2"/>
  <c r="K848" i="2"/>
  <c r="M847" i="2"/>
  <c r="K847" i="2"/>
  <c r="M846" i="2"/>
  <c r="K846" i="2"/>
  <c r="M845" i="2"/>
  <c r="K845" i="2"/>
  <c r="M844" i="2"/>
  <c r="K844" i="2"/>
  <c r="M843" i="2"/>
  <c r="K843" i="2"/>
  <c r="M842" i="2"/>
  <c r="K842" i="2"/>
  <c r="M841" i="2"/>
  <c r="K841" i="2"/>
  <c r="M840" i="2"/>
  <c r="K840" i="2"/>
  <c r="M838" i="2"/>
  <c r="K838" i="2"/>
  <c r="M836" i="2"/>
  <c r="K836" i="2"/>
  <c r="M833" i="2"/>
  <c r="K833" i="2"/>
  <c r="M832" i="2"/>
  <c r="K832" i="2"/>
  <c r="M831" i="2"/>
  <c r="K831" i="2"/>
  <c r="M830" i="2"/>
  <c r="K830" i="2"/>
  <c r="M829" i="2"/>
  <c r="K829" i="2"/>
  <c r="M828" i="2"/>
  <c r="K828" i="2"/>
  <c r="M827" i="2"/>
  <c r="K827" i="2"/>
  <c r="M826" i="2"/>
  <c r="K826" i="2"/>
  <c r="M825" i="2"/>
  <c r="K825" i="2"/>
  <c r="M824" i="2"/>
  <c r="K824" i="2"/>
  <c r="M821" i="2"/>
  <c r="K821" i="2"/>
  <c r="M820" i="2"/>
  <c r="K820" i="2"/>
  <c r="M819" i="2"/>
  <c r="K819" i="2"/>
  <c r="M818" i="2"/>
  <c r="K818" i="2"/>
  <c r="M817" i="2"/>
  <c r="K817" i="2"/>
  <c r="M816" i="2"/>
  <c r="K816" i="2"/>
  <c r="M815" i="2"/>
  <c r="K815" i="2"/>
  <c r="M814" i="2"/>
  <c r="K814" i="2"/>
  <c r="M812" i="2"/>
  <c r="K812" i="2"/>
  <c r="M810" i="2"/>
  <c r="K810" i="2"/>
  <c r="M807" i="2"/>
  <c r="K807" i="2"/>
  <c r="M806" i="2"/>
  <c r="K806" i="2"/>
  <c r="M805" i="2"/>
  <c r="K805" i="2"/>
  <c r="M804" i="2"/>
  <c r="K804" i="2"/>
  <c r="M803" i="2"/>
  <c r="K803" i="2"/>
  <c r="M802" i="2"/>
  <c r="K802" i="2"/>
  <c r="M801" i="2"/>
  <c r="K801" i="2"/>
  <c r="M800" i="2"/>
  <c r="K800" i="2"/>
  <c r="M799" i="2"/>
  <c r="K799" i="2"/>
  <c r="M798" i="2"/>
  <c r="K798" i="2"/>
  <c r="M795" i="2"/>
  <c r="K795" i="2"/>
  <c r="M794" i="2"/>
  <c r="K794" i="2"/>
  <c r="M793" i="2"/>
  <c r="K793" i="2"/>
  <c r="M792" i="2"/>
  <c r="K792" i="2"/>
  <c r="M791" i="2"/>
  <c r="K791" i="2"/>
  <c r="M790" i="2"/>
  <c r="K790" i="2"/>
  <c r="M789" i="2"/>
  <c r="K789" i="2"/>
  <c r="M788" i="2"/>
  <c r="K788" i="2"/>
  <c r="M786" i="2"/>
  <c r="K786" i="2"/>
  <c r="M784" i="2"/>
  <c r="K784" i="2"/>
  <c r="M781" i="2"/>
  <c r="K781" i="2"/>
  <c r="M780" i="2"/>
  <c r="K780" i="2"/>
  <c r="M779" i="2"/>
  <c r="K779" i="2"/>
  <c r="M778" i="2"/>
  <c r="K778" i="2"/>
  <c r="M777" i="2"/>
  <c r="K777" i="2"/>
  <c r="M776" i="2"/>
  <c r="K776" i="2"/>
  <c r="M775" i="2"/>
  <c r="K775" i="2"/>
  <c r="M774" i="2"/>
  <c r="K774" i="2"/>
  <c r="M773" i="2"/>
  <c r="K773" i="2"/>
  <c r="M772" i="2"/>
  <c r="K772" i="2"/>
  <c r="M769" i="2"/>
  <c r="K769" i="2"/>
  <c r="M768" i="2"/>
  <c r="K768" i="2"/>
  <c r="M767" i="2"/>
  <c r="K767" i="2"/>
  <c r="M766" i="2"/>
  <c r="K766" i="2"/>
  <c r="M765" i="2"/>
  <c r="K765" i="2"/>
  <c r="M764" i="2"/>
  <c r="K764" i="2"/>
  <c r="M763" i="2"/>
  <c r="K763" i="2"/>
  <c r="M762" i="2"/>
  <c r="K762" i="2"/>
  <c r="M761" i="2"/>
  <c r="K761" i="2"/>
  <c r="M759" i="2"/>
  <c r="K759" i="2"/>
  <c r="M757" i="2"/>
  <c r="K757" i="2"/>
  <c r="M754" i="2"/>
  <c r="K754" i="2"/>
  <c r="M753" i="2"/>
  <c r="K753" i="2"/>
  <c r="M752" i="2"/>
  <c r="K752" i="2"/>
  <c r="M751" i="2"/>
  <c r="K751" i="2"/>
  <c r="M750" i="2"/>
  <c r="K750" i="2"/>
  <c r="M749" i="2"/>
  <c r="K749" i="2"/>
  <c r="M748" i="2"/>
  <c r="K748" i="2"/>
  <c r="M747" i="2"/>
  <c r="K747" i="2"/>
  <c r="M746" i="2"/>
  <c r="K746" i="2"/>
  <c r="M745" i="2"/>
  <c r="K745" i="2"/>
  <c r="M744" i="2"/>
  <c r="K744" i="2"/>
  <c r="M743" i="2"/>
  <c r="K743" i="2"/>
  <c r="M742" i="2"/>
  <c r="K742" i="2"/>
  <c r="M741" i="2"/>
  <c r="K741" i="2"/>
  <c r="M740" i="2"/>
  <c r="K740" i="2"/>
  <c r="M739" i="2"/>
  <c r="K739" i="2"/>
  <c r="M737" i="2"/>
  <c r="K737" i="2"/>
  <c r="M735" i="2"/>
  <c r="K735" i="2"/>
  <c r="M732" i="2"/>
  <c r="K732" i="2"/>
  <c r="M731" i="2"/>
  <c r="K731" i="2"/>
  <c r="M730" i="2"/>
  <c r="K730" i="2"/>
  <c r="M729" i="2"/>
  <c r="K729" i="2"/>
  <c r="M728" i="2"/>
  <c r="K728" i="2"/>
  <c r="M727" i="2"/>
  <c r="K727" i="2"/>
  <c r="M726" i="2"/>
  <c r="K726" i="2"/>
  <c r="M725" i="2"/>
  <c r="K725" i="2"/>
  <c r="M724" i="2"/>
  <c r="K724" i="2"/>
  <c r="M723" i="2"/>
  <c r="K723" i="2"/>
  <c r="M722" i="2"/>
  <c r="K722" i="2"/>
  <c r="M721" i="2"/>
  <c r="K721" i="2"/>
  <c r="M720" i="2"/>
  <c r="K720" i="2"/>
  <c r="M719" i="2"/>
  <c r="K719" i="2"/>
  <c r="M718" i="2"/>
  <c r="K718" i="2"/>
  <c r="M717" i="2"/>
  <c r="K717" i="2"/>
  <c r="M715" i="2"/>
  <c r="K715" i="2"/>
  <c r="M713" i="2"/>
  <c r="K713" i="2"/>
  <c r="M710" i="2"/>
  <c r="K710" i="2"/>
  <c r="M709" i="2"/>
  <c r="K709" i="2"/>
  <c r="M708" i="2"/>
  <c r="K708" i="2"/>
  <c r="M707" i="2"/>
  <c r="K707" i="2"/>
  <c r="M706" i="2"/>
  <c r="K706" i="2"/>
  <c r="M705" i="2"/>
  <c r="K705" i="2"/>
  <c r="M704" i="2"/>
  <c r="K704" i="2"/>
  <c r="M703" i="2"/>
  <c r="K703" i="2"/>
  <c r="M702" i="2"/>
  <c r="K702" i="2"/>
  <c r="M701" i="2"/>
  <c r="K701" i="2"/>
  <c r="M700" i="2"/>
  <c r="K700" i="2"/>
  <c r="M699" i="2"/>
  <c r="K699" i="2"/>
  <c r="M698" i="2"/>
  <c r="K698" i="2"/>
  <c r="M697" i="2"/>
  <c r="K697" i="2"/>
  <c r="M696" i="2"/>
  <c r="K696" i="2"/>
  <c r="M695" i="2"/>
  <c r="K695" i="2"/>
  <c r="M694" i="2"/>
  <c r="K694" i="2"/>
  <c r="M692" i="2"/>
  <c r="K692" i="2"/>
  <c r="M690" i="2"/>
  <c r="K690" i="2"/>
  <c r="M687" i="2"/>
  <c r="K687" i="2"/>
  <c r="M686" i="2"/>
  <c r="K686" i="2"/>
  <c r="M685" i="2"/>
  <c r="K685" i="2"/>
  <c r="M684" i="2"/>
  <c r="K684" i="2"/>
  <c r="M683" i="2"/>
  <c r="K683" i="2"/>
  <c r="M682" i="2"/>
  <c r="K682" i="2"/>
  <c r="M681" i="2"/>
  <c r="K681" i="2"/>
  <c r="M680" i="2"/>
  <c r="K680" i="2"/>
  <c r="M679" i="2"/>
  <c r="K679" i="2"/>
  <c r="M678" i="2"/>
  <c r="K678" i="2"/>
  <c r="M677" i="2"/>
  <c r="K677" i="2"/>
  <c r="M676" i="2"/>
  <c r="K676" i="2"/>
  <c r="M675" i="2"/>
  <c r="K675" i="2"/>
  <c r="M674" i="2"/>
  <c r="K674" i="2"/>
  <c r="M673" i="2"/>
  <c r="K673" i="2"/>
  <c r="M672" i="2"/>
  <c r="K672" i="2"/>
  <c r="M671" i="2"/>
  <c r="K671" i="2"/>
  <c r="M670" i="2"/>
  <c r="K670" i="2"/>
  <c r="M669" i="2"/>
  <c r="K669" i="2"/>
  <c r="M668" i="2"/>
  <c r="K668" i="2"/>
  <c r="M667" i="2"/>
  <c r="K667" i="2"/>
  <c r="M666" i="2"/>
  <c r="K666" i="2"/>
  <c r="M665" i="2"/>
  <c r="K665" i="2"/>
  <c r="M664" i="2"/>
  <c r="K664" i="2"/>
  <c r="M663" i="2"/>
  <c r="K663" i="2"/>
  <c r="M662" i="2"/>
  <c r="K662" i="2"/>
  <c r="M660" i="2"/>
  <c r="K660" i="2"/>
  <c r="M658" i="2"/>
  <c r="K658" i="2"/>
  <c r="M655" i="2"/>
  <c r="K655" i="2"/>
  <c r="M654" i="2"/>
  <c r="K654" i="2"/>
  <c r="M653" i="2"/>
  <c r="K653" i="2"/>
  <c r="M652" i="2"/>
  <c r="K652" i="2"/>
  <c r="M651" i="2"/>
  <c r="K651" i="2"/>
  <c r="M650" i="2"/>
  <c r="K650" i="2"/>
  <c r="M649" i="2"/>
  <c r="K649" i="2"/>
  <c r="M648" i="2"/>
  <c r="K648" i="2"/>
  <c r="M647" i="2"/>
  <c r="K647" i="2"/>
  <c r="M646" i="2"/>
  <c r="K646" i="2"/>
  <c r="M645" i="2"/>
  <c r="K645" i="2"/>
  <c r="M644" i="2"/>
  <c r="K644" i="2"/>
  <c r="M643" i="2"/>
  <c r="K643" i="2"/>
  <c r="M642" i="2"/>
  <c r="K642" i="2"/>
  <c r="M641" i="2"/>
  <c r="K641" i="2"/>
  <c r="M640" i="2"/>
  <c r="K640" i="2"/>
  <c r="M639" i="2"/>
  <c r="K639" i="2"/>
  <c r="M638" i="2"/>
  <c r="K638" i="2"/>
  <c r="M637" i="2"/>
  <c r="K637" i="2"/>
  <c r="M636" i="2"/>
  <c r="K636" i="2"/>
  <c r="M635" i="2"/>
  <c r="K635" i="2"/>
  <c r="M634" i="2"/>
  <c r="K634" i="2"/>
  <c r="M633" i="2"/>
  <c r="K633" i="2"/>
  <c r="M632" i="2"/>
  <c r="K632" i="2"/>
  <c r="M631" i="2"/>
  <c r="K631" i="2"/>
  <c r="M630" i="2"/>
  <c r="K630" i="2"/>
  <c r="M628" i="2"/>
  <c r="K628" i="2"/>
  <c r="M626" i="2"/>
  <c r="K626" i="2"/>
  <c r="M623" i="2"/>
  <c r="K623" i="2"/>
  <c r="M622" i="2"/>
  <c r="K622" i="2"/>
  <c r="M621" i="2"/>
  <c r="K621" i="2"/>
  <c r="M620" i="2"/>
  <c r="K620" i="2"/>
  <c r="M619" i="2"/>
  <c r="K619" i="2"/>
  <c r="M618" i="2"/>
  <c r="K618" i="2"/>
  <c r="M617" i="2"/>
  <c r="K617" i="2"/>
  <c r="M616" i="2"/>
  <c r="K616" i="2"/>
  <c r="M615" i="2"/>
  <c r="K615" i="2"/>
  <c r="M614" i="2"/>
  <c r="K614" i="2"/>
  <c r="M613" i="2"/>
  <c r="K613" i="2"/>
  <c r="M612" i="2"/>
  <c r="K612" i="2"/>
  <c r="M611" i="2"/>
  <c r="K611" i="2"/>
  <c r="M610" i="2"/>
  <c r="K610" i="2"/>
  <c r="M609" i="2"/>
  <c r="K609" i="2"/>
  <c r="M608" i="2"/>
  <c r="K608" i="2"/>
  <c r="M607" i="2"/>
  <c r="K607" i="2"/>
  <c r="M606" i="2"/>
  <c r="K606" i="2"/>
  <c r="M605" i="2"/>
  <c r="K605" i="2"/>
  <c r="M604" i="2"/>
  <c r="K604" i="2"/>
  <c r="M603" i="2"/>
  <c r="K603" i="2"/>
  <c r="M602" i="2"/>
  <c r="K602" i="2"/>
  <c r="M601" i="2"/>
  <c r="K601" i="2"/>
  <c r="M600" i="2"/>
  <c r="K600" i="2"/>
  <c r="M599" i="2"/>
  <c r="K599" i="2"/>
  <c r="M598" i="2"/>
  <c r="K598" i="2"/>
  <c r="M596" i="2"/>
  <c r="K596" i="2"/>
  <c r="M594" i="2"/>
  <c r="K594" i="2"/>
  <c r="M591" i="2"/>
  <c r="K591" i="2"/>
  <c r="M590" i="2"/>
  <c r="K590" i="2"/>
  <c r="M589" i="2"/>
  <c r="K589" i="2"/>
  <c r="M588" i="2"/>
  <c r="K588" i="2"/>
  <c r="M587" i="2"/>
  <c r="K587" i="2"/>
  <c r="M586" i="2"/>
  <c r="K586" i="2"/>
  <c r="M585" i="2"/>
  <c r="K585" i="2"/>
  <c r="M584" i="2"/>
  <c r="K584" i="2"/>
  <c r="M583" i="2"/>
  <c r="K583" i="2"/>
  <c r="M582" i="2"/>
  <c r="K582" i="2"/>
  <c r="M581" i="2"/>
  <c r="K581" i="2"/>
  <c r="M580" i="2"/>
  <c r="K580" i="2"/>
  <c r="M579" i="2"/>
  <c r="K579" i="2"/>
  <c r="M578" i="2"/>
  <c r="K578" i="2"/>
  <c r="M577" i="2"/>
  <c r="K577" i="2"/>
  <c r="M576" i="2"/>
  <c r="K576" i="2"/>
  <c r="M575" i="2"/>
  <c r="K575" i="2"/>
  <c r="M574" i="2"/>
  <c r="K574" i="2"/>
  <c r="M573" i="2"/>
  <c r="K573" i="2"/>
  <c r="M572" i="2"/>
  <c r="K572" i="2"/>
  <c r="M571" i="2"/>
  <c r="K571" i="2"/>
  <c r="M570" i="2"/>
  <c r="K570" i="2"/>
  <c r="M568" i="2"/>
  <c r="K568" i="2"/>
  <c r="M566" i="2"/>
  <c r="K566" i="2"/>
  <c r="M563" i="2"/>
  <c r="K563" i="2"/>
  <c r="M561" i="2"/>
  <c r="K561" i="2"/>
  <c r="M559" i="2"/>
  <c r="K559" i="2"/>
  <c r="M558" i="2"/>
  <c r="K558" i="2"/>
  <c r="M557" i="2"/>
  <c r="K557" i="2"/>
  <c r="M555" i="2"/>
  <c r="K555" i="2"/>
  <c r="M554" i="2"/>
  <c r="K554" i="2"/>
  <c r="M553" i="2"/>
  <c r="K553" i="2"/>
  <c r="M552" i="2"/>
  <c r="K552" i="2"/>
  <c r="M550" i="2"/>
  <c r="K550" i="2"/>
  <c r="M548" i="2"/>
  <c r="K548" i="2"/>
  <c r="M544" i="2"/>
  <c r="K544" i="2"/>
  <c r="M541" i="2"/>
  <c r="K541" i="2"/>
  <c r="M538" i="2"/>
  <c r="K538" i="2"/>
  <c r="M535" i="2"/>
  <c r="K535" i="2"/>
  <c r="M532" i="2"/>
  <c r="K532" i="2"/>
  <c r="M529" i="2"/>
  <c r="K529" i="2"/>
  <c r="M526" i="2"/>
  <c r="K526" i="2"/>
  <c r="M524" i="2"/>
  <c r="K524" i="2"/>
  <c r="M522" i="2"/>
  <c r="K522" i="2"/>
  <c r="M520" i="2"/>
  <c r="K520" i="2"/>
  <c r="M518" i="2"/>
  <c r="K518" i="2"/>
  <c r="M517" i="2"/>
  <c r="K517" i="2"/>
  <c r="M514" i="2"/>
  <c r="K514" i="2"/>
  <c r="M512" i="2"/>
  <c r="K512" i="2"/>
  <c r="M510" i="2"/>
  <c r="K510" i="2"/>
  <c r="M508" i="2"/>
  <c r="K508" i="2"/>
  <c r="M507" i="2"/>
  <c r="K507" i="2"/>
  <c r="M503" i="2"/>
  <c r="K503" i="2"/>
  <c r="M502" i="2"/>
  <c r="K502" i="2"/>
  <c r="M499" i="2"/>
  <c r="K499" i="2"/>
  <c r="M497" i="2"/>
  <c r="K497" i="2"/>
  <c r="M494" i="2"/>
  <c r="K494" i="2"/>
  <c r="M492" i="2"/>
  <c r="K492" i="2"/>
  <c r="M488" i="2"/>
  <c r="K488" i="2"/>
  <c r="M487" i="2"/>
  <c r="K487" i="2"/>
  <c r="M486" i="2"/>
  <c r="K486" i="2"/>
  <c r="M485" i="2"/>
  <c r="K485" i="2"/>
  <c r="M484" i="2"/>
  <c r="K484" i="2"/>
  <c r="M483" i="2"/>
  <c r="K483" i="2"/>
  <c r="M482" i="2"/>
  <c r="K482" i="2"/>
  <c r="M481" i="2"/>
  <c r="K481" i="2"/>
  <c r="M479" i="2"/>
  <c r="K479" i="2"/>
  <c r="M476" i="2"/>
  <c r="K476" i="2"/>
  <c r="M475" i="2"/>
  <c r="K475" i="2"/>
  <c r="M474" i="2"/>
  <c r="K474" i="2"/>
  <c r="M473" i="2"/>
  <c r="K473" i="2"/>
  <c r="M472" i="2"/>
  <c r="K472" i="2"/>
  <c r="M471" i="2"/>
  <c r="K471" i="2"/>
  <c r="M470" i="2"/>
  <c r="K470" i="2"/>
  <c r="M469" i="2"/>
  <c r="K469" i="2"/>
  <c r="M467" i="2"/>
  <c r="K467" i="2"/>
  <c r="M464" i="2"/>
  <c r="K464" i="2"/>
  <c r="M463" i="2"/>
  <c r="K463" i="2"/>
  <c r="M460" i="2"/>
  <c r="K460" i="2"/>
  <c r="M459" i="2"/>
  <c r="K459" i="2"/>
  <c r="M458" i="2"/>
  <c r="K458" i="2"/>
  <c r="M457" i="2"/>
  <c r="K457" i="2"/>
  <c r="M456" i="2"/>
  <c r="K456" i="2"/>
  <c r="M455" i="2"/>
  <c r="K455" i="2"/>
  <c r="M454" i="2"/>
  <c r="K454" i="2"/>
  <c r="M453" i="2"/>
  <c r="K453" i="2"/>
  <c r="M452" i="2"/>
  <c r="K452" i="2"/>
  <c r="M451" i="2"/>
  <c r="K451" i="2"/>
  <c r="M449" i="2"/>
  <c r="K449" i="2"/>
  <c r="M448" i="2"/>
  <c r="K448" i="2"/>
  <c r="M447" i="2"/>
  <c r="K447" i="2"/>
  <c r="M444" i="2"/>
  <c r="K444" i="2"/>
  <c r="M441" i="2"/>
  <c r="K441" i="2"/>
  <c r="M440" i="2"/>
  <c r="K440" i="2"/>
  <c r="M439" i="2"/>
  <c r="K439" i="2"/>
  <c r="M438" i="2"/>
  <c r="K438" i="2"/>
  <c r="M437" i="2"/>
  <c r="K437" i="2"/>
  <c r="M436" i="2"/>
  <c r="K436" i="2"/>
  <c r="M435" i="2"/>
  <c r="K435" i="2"/>
  <c r="M434" i="2"/>
  <c r="K434" i="2"/>
  <c r="M433" i="2"/>
  <c r="K433" i="2"/>
  <c r="M432" i="2"/>
  <c r="K432" i="2"/>
  <c r="M430" i="2"/>
  <c r="K430" i="2"/>
  <c r="M429" i="2"/>
  <c r="K429" i="2"/>
  <c r="M428" i="2"/>
  <c r="K428" i="2"/>
  <c r="M425" i="2"/>
  <c r="K425" i="2"/>
  <c r="M422" i="2"/>
  <c r="K422" i="2"/>
  <c r="M421" i="2"/>
  <c r="K421" i="2"/>
  <c r="M420" i="2"/>
  <c r="K420" i="2"/>
  <c r="M419" i="2"/>
  <c r="K419" i="2"/>
  <c r="M418" i="2"/>
  <c r="K418" i="2"/>
  <c r="M417" i="2"/>
  <c r="K417" i="2"/>
  <c r="M416" i="2"/>
  <c r="K416" i="2"/>
  <c r="M415" i="2"/>
  <c r="K415" i="2"/>
  <c r="M414" i="2"/>
  <c r="K414" i="2"/>
  <c r="M413" i="2"/>
  <c r="K413" i="2"/>
  <c r="M411" i="2"/>
  <c r="K411" i="2"/>
  <c r="M410" i="2"/>
  <c r="K410" i="2"/>
  <c r="M409" i="2"/>
  <c r="K409" i="2"/>
  <c r="M406" i="2"/>
  <c r="K406" i="2"/>
  <c r="M403" i="2"/>
  <c r="K403" i="2"/>
  <c r="M402" i="2"/>
  <c r="K402" i="2"/>
  <c r="M401" i="2"/>
  <c r="K401" i="2"/>
  <c r="M400" i="2"/>
  <c r="K400" i="2"/>
  <c r="M399" i="2"/>
  <c r="K399" i="2"/>
  <c r="M398" i="2"/>
  <c r="K398" i="2"/>
  <c r="M397" i="2"/>
  <c r="K397" i="2"/>
  <c r="M395" i="2"/>
  <c r="K395" i="2"/>
  <c r="M392" i="2"/>
  <c r="K392" i="2"/>
  <c r="M391" i="2"/>
  <c r="K391" i="2"/>
  <c r="M390" i="2"/>
  <c r="K390" i="2"/>
  <c r="M389" i="2"/>
  <c r="K389" i="2"/>
  <c r="M388" i="2"/>
  <c r="K388" i="2"/>
  <c r="M387" i="2"/>
  <c r="K387" i="2"/>
  <c r="M386" i="2"/>
  <c r="K386" i="2"/>
  <c r="M384" i="2"/>
  <c r="K384" i="2"/>
  <c r="M381" i="2"/>
  <c r="K381" i="2"/>
  <c r="M380" i="2"/>
  <c r="K380" i="2"/>
  <c r="M379" i="2"/>
  <c r="K379" i="2"/>
  <c r="M377" i="2"/>
  <c r="K377" i="2"/>
  <c r="M374" i="2"/>
  <c r="K374" i="2"/>
  <c r="M373" i="2"/>
  <c r="K373" i="2"/>
  <c r="M372" i="2"/>
  <c r="K372" i="2"/>
  <c r="M370" i="2"/>
  <c r="K370" i="2"/>
  <c r="M367" i="2"/>
  <c r="K367" i="2"/>
  <c r="M366" i="2"/>
  <c r="K366" i="2"/>
  <c r="M365" i="2"/>
  <c r="K365" i="2"/>
  <c r="M364" i="2"/>
  <c r="K364" i="2"/>
  <c r="M363" i="2"/>
  <c r="K363" i="2"/>
  <c r="M362" i="2"/>
  <c r="K362" i="2"/>
  <c r="M360" i="2"/>
  <c r="K360" i="2"/>
  <c r="M357" i="2"/>
  <c r="K357" i="2"/>
  <c r="M356" i="2"/>
  <c r="K356" i="2"/>
  <c r="M355" i="2"/>
  <c r="K355" i="2"/>
  <c r="M354" i="2"/>
  <c r="K354" i="2"/>
  <c r="M353" i="2"/>
  <c r="K353" i="2"/>
  <c r="M352" i="2"/>
  <c r="K352" i="2"/>
  <c r="M350" i="2"/>
  <c r="K350" i="2"/>
  <c r="M347" i="2"/>
  <c r="K347" i="2"/>
  <c r="M346" i="2"/>
  <c r="K346" i="2"/>
  <c r="M345" i="2"/>
  <c r="K345" i="2"/>
  <c r="M343" i="2"/>
  <c r="K343" i="2"/>
  <c r="M340" i="2"/>
  <c r="K340" i="2"/>
  <c r="M339" i="2"/>
  <c r="K339" i="2"/>
  <c r="M338" i="2"/>
  <c r="K338" i="2"/>
  <c r="M337" i="2"/>
  <c r="K337" i="2"/>
  <c r="M336" i="2"/>
  <c r="K336" i="2"/>
  <c r="M335" i="2"/>
  <c r="K335" i="2"/>
  <c r="M333" i="2"/>
  <c r="K333" i="2"/>
  <c r="M330" i="2"/>
  <c r="K330" i="2"/>
  <c r="M329" i="2"/>
  <c r="K329" i="2"/>
  <c r="M328" i="2"/>
  <c r="K328" i="2"/>
  <c r="M327" i="2"/>
  <c r="K327" i="2"/>
  <c r="M325" i="2"/>
  <c r="K325" i="2"/>
  <c r="M322" i="2"/>
  <c r="K322" i="2"/>
  <c r="M321" i="2"/>
  <c r="K321" i="2"/>
  <c r="M320" i="2"/>
  <c r="K320" i="2"/>
  <c r="M319" i="2"/>
  <c r="K319" i="2"/>
  <c r="M318" i="2"/>
  <c r="K318" i="2"/>
  <c r="M317" i="2"/>
  <c r="K317" i="2"/>
  <c r="M316" i="2"/>
  <c r="K316" i="2"/>
  <c r="M314" i="2"/>
  <c r="K314" i="2"/>
  <c r="M311" i="2"/>
  <c r="K311" i="2"/>
  <c r="M310" i="2"/>
  <c r="K310" i="2"/>
  <c r="M309" i="2"/>
  <c r="K309" i="2"/>
  <c r="M308" i="2"/>
  <c r="K308" i="2"/>
  <c r="M307" i="2"/>
  <c r="K307" i="2"/>
  <c r="M306" i="2"/>
  <c r="K306" i="2"/>
  <c r="M305" i="2"/>
  <c r="K305" i="2"/>
  <c r="M303" i="2"/>
  <c r="K303" i="2"/>
  <c r="M300" i="2"/>
  <c r="K300" i="2"/>
  <c r="M299" i="2"/>
  <c r="K299" i="2"/>
  <c r="M298" i="2"/>
  <c r="K298" i="2"/>
  <c r="M297" i="2"/>
  <c r="K297" i="2"/>
  <c r="M296" i="2"/>
  <c r="K296" i="2"/>
  <c r="M294" i="2"/>
  <c r="K294" i="2"/>
  <c r="M291" i="2"/>
  <c r="K291" i="2"/>
  <c r="M290" i="2"/>
  <c r="K290" i="2"/>
  <c r="M289" i="2"/>
  <c r="K289" i="2"/>
  <c r="M288" i="2"/>
  <c r="K288" i="2"/>
  <c r="M287" i="2"/>
  <c r="K287" i="2"/>
  <c r="M286" i="2"/>
  <c r="K286" i="2"/>
  <c r="M285" i="2"/>
  <c r="K285" i="2"/>
  <c r="M283" i="2"/>
  <c r="K283" i="2"/>
  <c r="H27" i="5" l="1"/>
  <c r="G25" i="5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<sst xmlns="http://schemas.openxmlformats.org/spreadsheetml/2006/main" count="6545" uniqueCount="2581">
  <si>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</si>
  <si>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</si>
  <si>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</si>
  <si>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</si>
  <si>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</si>
  <si>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</si>
  <si>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</si>
  <si>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</si>
  <si>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</si>
  <si>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</si>
  <si>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</si>
  <si>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</si>
  <si>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</si>
  <si>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</si>
  <si>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</si>
  <si>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</si>
  <si>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</si>
  <si>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</si>
  <si>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</si>
  <si>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</si>
  <si>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</si>
  <si>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</si>
  <si>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</si>
  <si>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</si>
  <si>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</si>
  <si>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</si>
  <si>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</si>
  <si>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</si>
  <si>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</si>
  <si>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</si>
  <si>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</si>
  <si>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</si>
  <si>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</si>
  <si>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</si>
  <si>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</si>
  <si>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</si>
  <si>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</si>
  <si>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</si>
  <si>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</si>
  <si>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</si>
  <si>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</si>
  <si>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</si>
  <si>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</si>
  <si>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</si>
  <si>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</si>
  <si>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</si>
  <si>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</si>
  <si>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</si>
  <si>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</si>
  <si>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</si>
  <si>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</si>
  <si>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</si>
  <si>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</si>
  <si>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</si>
  <si>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</si>
  <si>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</si>
  <si>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</si>
  <si>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</si>
  <si>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</si>
  <si>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</si>
  <si>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</si>
  <si>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</si>
  <si>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</si>
  <si>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</si>
  <si>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</si>
  <si>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</si>
  <si>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</si>
  <si>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</si>
  <si>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</si>
  <si>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</si>
  <si>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</si>
  <si>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</si>
  <si>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</si>
  <si>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</si>
  <si>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</si>
  <si>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</si>
  <si>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</si>
  <si>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</si>
  <si>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</si>
  <si>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</si>
  <si>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</si>
  <si>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15</t>
  </si>
  <si>
    <t>1.1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</si>
  <si>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</si>
  <si>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</si>
  <si>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</si>
  <si>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</si>
  <si>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</si>
  <si>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</si>
  <si>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</si>
  <si>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</si>
  <si>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</si>
  <si>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</si>
  <si>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</si>
  <si>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29</t>
  </si>
  <si>
    <t>4</t>
  </si>
  <si>
    <t>5</t>
  </si>
  <si>
    <t>11</t>
  </si>
  <si>
    <t>12</t>
  </si>
  <si>
    <t>13</t>
  </si>
  <si>
    <t>14</t>
  </si>
  <si>
    <t>21</t>
  </si>
  <si>
    <t>24</t>
  </si>
  <si>
    <t>6</t>
  </si>
  <si>
    <t>Battery set, 48V/100 Ah (NSB) for BBS 6201 (1 piece)</t>
  </si>
  <si>
    <t>Battery set, 48V/100 Ah (NSB)</t>
  </si>
  <si>
    <t>Battery set, 48V/100 Ah,incl.cable set for RBS 6102 (1 piece)</t>
  </si>
  <si>
    <t>Battery set, 48V/100 Ah,incl.cable set for RBS 6102</t>
  </si>
  <si>
    <t>BBS6201-No Batt.</t>
  </si>
  <si>
    <t>RBS 6201 interface</t>
  </si>
  <si>
    <t>RBS DC cable, 20 m (&lt; 2x10m), 50 mm2</t>
  </si>
  <si>
    <t>Compact rack with PCU-DC</t>
  </si>
  <si>
    <t>BBU6101 (170Ah) (No Batteries)</t>
  </si>
  <si>
    <t>Standard Door Lock/Key</t>
  </si>
  <si>
    <t>BBU 6101 with Active Cooling</t>
  </si>
  <si>
    <t>Outdoor Battery Accessory Kit</t>
  </si>
  <si>
    <t>NSB Std Battery Set, 48V/170Ah For BBU6101 (1 Set)</t>
  </si>
  <si>
    <t>Battery Set, 48V/170 Ah (NSB Std)</t>
  </si>
  <si>
    <t>NSB Std Battery Set, 48V/170Ah For SSC-02 (1 Set)</t>
  </si>
  <si>
    <t>BFU, Battery Fuse Unit</t>
  </si>
  <si>
    <t>Output Power HWAC 20W-&gt;40W (per RU)</t>
  </si>
  <si>
    <t>Service Outlet</t>
  </si>
  <si>
    <t>Smoke Detector kit</t>
  </si>
  <si>
    <t>PSU 230VAC: Power Supply Unit, 230 VAC</t>
  </si>
  <si>
    <t>RBS 6101 Cabinet, 230 VAC (no RU, no PSU incl.)</t>
  </si>
  <si>
    <t>11 RAN-(2G3G Mod) Details Pri</t>
  </si>
  <si>
    <t>Output Power HWAC 40W-&gt;60W (per RU)</t>
  </si>
  <si>
    <t>Additional PDU (Power Distribution Unit) for additional RU a</t>
  </si>
  <si>
    <t>SAU Support Alarm Unit</t>
  </si>
  <si>
    <t>External Alarm OVP (8 ports)</t>
  </si>
  <si>
    <t>Door Lock + key type (Customer Specific)</t>
  </si>
  <si>
    <t>Service Light</t>
  </si>
  <si>
    <t>Prepared for internal battery back-up one shelf</t>
  </si>
  <si>
    <t>RBS 6102 Cabinet for up to 6 RU, 230 VAC  (no RU, no PSU incl.)</t>
  </si>
  <si>
    <t>Prepared for internal battery back-up two shelves</t>
  </si>
  <si>
    <t>Door Handle</t>
  </si>
  <si>
    <t>Lifting Eyes</t>
  </si>
  <si>
    <t>Adaptor Frame 6102</t>
  </si>
  <si>
    <t>Fastening Screws for concrete (BF or cabinet)</t>
  </si>
  <si>
    <t>Base Frame 6201</t>
  </si>
  <si>
    <t>RBS 6201 Cabinet for up to 6 RU, 230 VAC (no RU, no PSU incl.)</t>
  </si>
  <si>
    <t>Main Unit - 48 V DC Power cable 2m</t>
  </si>
  <si>
    <t>RBS 6601 Main Unit, -48 VDC (no Digital Unit incl.)</t>
  </si>
  <si>
    <t>RBS6601 5m Fiber + SFP+Pole Bracket for 1 sector</t>
  </si>
  <si>
    <t>PRODUCT PACKAGE/Main Remote Site Product (FAP1301839)</t>
  </si>
  <si>
    <t>POLE MOUNTING FIXTURE CEU</t>
  </si>
  <si>
    <t>CONNECTION CABLE/2F LCD-LCD SM</t>
  </si>
  <si>
    <t>OPTICAL TRANSCEIVER/TRX SM CPRI 614.4-24</t>
  </si>
  <si>
    <t>SSC-02 for OD RBS6601 2 Rectifier_2MU (No batteries)</t>
  </si>
  <si>
    <t>PRODUCT PACKAGE/Power system; (SSC-02) (FAP1301878)</t>
  </si>
  <si>
    <t>2.0 kW rectifier, PBC 6200</t>
  </si>
  <si>
    <t>Distribution CB 2-32A</t>
  </si>
  <si>
    <t>Lifting Eye Bolt Set</t>
  </si>
  <si>
    <t>Power and external alarm cable for RBS MU</t>
  </si>
  <si>
    <t>RRU SPD protection Kit</t>
  </si>
  <si>
    <t>SSC-02 for &lt; 4 rectifiers</t>
  </si>
  <si>
    <t>Service outlet</t>
  </si>
  <si>
    <t>Web interface board</t>
  </si>
  <si>
    <t>1.1.5</t>
  </si>
  <si>
    <t>290</t>
  </si>
  <si>
    <t>291</t>
  </si>
  <si>
    <t>292</t>
  </si>
  <si>
    <t>293</t>
  </si>
  <si>
    <t>294</t>
  </si>
  <si>
    <t>296</t>
  </si>
  <si>
    <t>297</t>
  </si>
  <si>
    <t>298</t>
  </si>
  <si>
    <t>300</t>
  </si>
  <si>
    <t>301</t>
  </si>
  <si>
    <t>302</t>
  </si>
  <si>
    <t>303</t>
  </si>
  <si>
    <t>304</t>
  </si>
  <si>
    <t>306</t>
  </si>
  <si>
    <t>307</t>
  </si>
  <si>
    <t>308</t>
  </si>
  <si>
    <t>310</t>
  </si>
  <si>
    <t>312</t>
  </si>
  <si>
    <t>313</t>
  </si>
  <si>
    <t>315</t>
  </si>
  <si>
    <t>316</t>
  </si>
  <si>
    <t>317</t>
  </si>
  <si>
    <t>318</t>
  </si>
  <si>
    <t>319</t>
  </si>
  <si>
    <t>321</t>
  </si>
  <si>
    <t>322</t>
  </si>
  <si>
    <t>323</t>
  </si>
  <si>
    <t>325</t>
  </si>
  <si>
    <t>326</t>
  </si>
  <si>
    <t>327</t>
  </si>
  <si>
    <t>328</t>
  </si>
  <si>
    <t>329</t>
  </si>
  <si>
    <t>331</t>
  </si>
  <si>
    <t>DUW BB HW Activation Fee HS Codes p.5 HS-codes</t>
  </si>
  <si>
    <t>332</t>
  </si>
  <si>
    <t>WCDMA HS Codes HWAC (per 5HS-Codes)</t>
  </si>
  <si>
    <t>333</t>
  </si>
  <si>
    <t>335</t>
  </si>
  <si>
    <t>Digital Unit DUW 30 Basic HW Module (excl.HWA, SFP)</t>
  </si>
  <si>
    <t>336</t>
  </si>
  <si>
    <t>WCDMA Cell Carrier HWAC</t>
  </si>
  <si>
    <t>337</t>
  </si>
  <si>
    <t>Digital Unit DUW 20 Basic HW Module (excl.HWA, SFP)</t>
  </si>
  <si>
    <t>338</t>
  </si>
  <si>
    <t>WCDMA CE DL HWAC (per 16CE)</t>
  </si>
  <si>
    <t>339</t>
  </si>
  <si>
    <t>WCDMA CE UL HWAC (per 16CE)</t>
  </si>
  <si>
    <t>340</t>
  </si>
  <si>
    <t>341</t>
  </si>
  <si>
    <t>1.1.5.8</t>
  </si>
  <si>
    <t>343</t>
  </si>
  <si>
    <t>1.1.5.8.1</t>
  </si>
  <si>
    <t>344</t>
  </si>
  <si>
    <t>1.1.5.8.1.1</t>
  </si>
  <si>
    <t>345</t>
  </si>
  <si>
    <t>1.1.5.8.2</t>
  </si>
  <si>
    <t>RBS6101 WCDMA 1x2 30Wpcc to 1x3 30/40Wpcc_DUW20/30(0UL/0DL/15Code)_Rev A</t>
  </si>
  <si>
    <t>347</t>
  </si>
  <si>
    <t>1.1.5.8.2.1</t>
  </si>
  <si>
    <t>348</t>
  </si>
  <si>
    <t>1.1.5.8.2.2</t>
  </si>
  <si>
    <t>349</t>
  </si>
  <si>
    <t>1.1.5.8.2.3</t>
  </si>
  <si>
    <t>350</t>
  </si>
  <si>
    <t>1.1.5.8.2.4</t>
  </si>
  <si>
    <t>Single WCDMA Radio Unit RUW 01 B1 (2100 MHz) 20W HW Activation incl.</t>
  </si>
  <si>
    <t>351</t>
  </si>
  <si>
    <t>1.1.5.8.2.5</t>
  </si>
  <si>
    <t>352</t>
  </si>
  <si>
    <t>1.1.5.8.2.6</t>
  </si>
  <si>
    <t>353</t>
  </si>
  <si>
    <t>1.1.5.8.2.7</t>
  </si>
  <si>
    <t>354</t>
  </si>
  <si>
    <t>1.1.5.9</t>
  </si>
  <si>
    <t>3G RBS6101 2x2 to 2x3 20Wpcc Additional DUW30(Additional 60HS codes)</t>
  </si>
  <si>
    <t>356</t>
  </si>
  <si>
    <t>1.1.5.9.1</t>
  </si>
  <si>
    <t>357</t>
  </si>
  <si>
    <t>1.1.5.9.1.1</t>
  </si>
  <si>
    <t>358</t>
  </si>
  <si>
    <t>1.1.5.9.2</t>
  </si>
  <si>
    <t>RBS6101 WCDMA 2x2 30Wpcc to 2x3 20Wpcc_DUW30/30(0UL/0DL/30Code)_Rev A</t>
  </si>
  <si>
    <t>360</t>
  </si>
  <si>
    <t>1.1.5.9.2.1</t>
  </si>
  <si>
    <t>361</t>
  </si>
  <si>
    <t>1.1.5.9.2.2</t>
  </si>
  <si>
    <t>362</t>
  </si>
  <si>
    <t>1.1.5.9.2.3</t>
  </si>
  <si>
    <t>363</t>
  </si>
  <si>
    <t>1.1.5.9.2.4</t>
  </si>
  <si>
    <t>364</t>
  </si>
  <si>
    <t>1.1.5.9.2.5</t>
  </si>
  <si>
    <t>365</t>
  </si>
  <si>
    <t>1.1.5.10</t>
  </si>
  <si>
    <t>3G RBS6101 2x2 to 2x3 30Wpcc Additional DUW30(Additional 60HS codes)</t>
  </si>
  <si>
    <t>367</t>
  </si>
  <si>
    <t>1.1.5.10.1</t>
  </si>
  <si>
    <t>368</t>
  </si>
  <si>
    <t>1.1.5.10.1.1</t>
  </si>
  <si>
    <t>369</t>
  </si>
  <si>
    <t>1.1.5.10.2</t>
  </si>
  <si>
    <t>RBS6101 WCDMA 2x2 30Wpcc to 2x3 30/40Wpcc_DUW30/30(0UL/0DL/30Code)_Rev A</t>
  </si>
  <si>
    <t>371</t>
  </si>
  <si>
    <t>1.1.5.10.2.1</t>
  </si>
  <si>
    <t>372</t>
  </si>
  <si>
    <t>1.1.5.10.2.2</t>
  </si>
  <si>
    <t>373</t>
  </si>
  <si>
    <t>1.1.5.10.2.3</t>
  </si>
  <si>
    <t>374</t>
  </si>
  <si>
    <t>1.1.5.10.2.4</t>
  </si>
  <si>
    <t>375</t>
  </si>
  <si>
    <t>1.1.5.10.2.5</t>
  </si>
  <si>
    <t>376</t>
  </si>
  <si>
    <t>1.1.5.10.2.6</t>
  </si>
  <si>
    <t>377</t>
  </si>
  <si>
    <t>1.1.5.10.2.7</t>
  </si>
  <si>
    <t>378</t>
  </si>
  <si>
    <t>1.1.5.11</t>
  </si>
  <si>
    <t>3G RBS6101 3x2 to 3x3 30Wpcc Additional DUW30(Additional 90HS codes)</t>
  </si>
  <si>
    <t>380</t>
  </si>
  <si>
    <t>1.1.5.11.1</t>
  </si>
  <si>
    <t>381</t>
  </si>
  <si>
    <t>1.1.5.11.1.1</t>
  </si>
  <si>
    <t>382</t>
  </si>
  <si>
    <t>1.1.5.11.2</t>
  </si>
  <si>
    <t>RBS6101 WCDMA 3x2 30Wpcc to 3x3 30/40Wpcc_DUW30/30(0UL/0DL/45Code)_Rev A</t>
  </si>
  <si>
    <t>384</t>
  </si>
  <si>
    <t>1.1.5.11.2.1</t>
  </si>
  <si>
    <t>385</t>
  </si>
  <si>
    <t>1.1.5.11.2.2</t>
  </si>
  <si>
    <t>386</t>
  </si>
  <si>
    <t>1.1.5.11.2.3</t>
  </si>
  <si>
    <t>387</t>
  </si>
  <si>
    <t>1.1.5.11.2.4</t>
  </si>
  <si>
    <t>388</t>
  </si>
  <si>
    <t>1.1.5.11.2.5</t>
  </si>
  <si>
    <t>389</t>
  </si>
  <si>
    <t>1.1.5.11.2.6</t>
  </si>
  <si>
    <t>390</t>
  </si>
  <si>
    <t>1.1.5.11.2.7</t>
  </si>
  <si>
    <t>3-pack WCDMA Radio Unit RUW 01B1 (2100 MHz) 20W HW Activation incl.</t>
  </si>
  <si>
    <t>391</t>
  </si>
  <si>
    <t>1.1.5.12</t>
  </si>
  <si>
    <t>3G RBS6102 1x2 to 1x3 20Wpcc Additional DUW30(Additional 30HS codes)</t>
  </si>
  <si>
    <t>393</t>
  </si>
  <si>
    <t>1.1.5.12.1</t>
  </si>
  <si>
    <t>394</t>
  </si>
  <si>
    <t>1.1.5.12.1.1</t>
  </si>
  <si>
    <t>395</t>
  </si>
  <si>
    <t>1.1.5.12.2</t>
  </si>
  <si>
    <t>RBS6102 WCDMA 1x2 30Wpcc to 1x3 20Wpcc_DUW20/30(0UL/0DL/15Code)_Rev A</t>
  </si>
  <si>
    <t>397</t>
  </si>
  <si>
    <t>1.1.5.12.2.1</t>
  </si>
  <si>
    <t>398</t>
  </si>
  <si>
    <t>1.1.5.12.2.2</t>
  </si>
  <si>
    <t>399</t>
  </si>
  <si>
    <t>1.1.5.12.2.3</t>
  </si>
  <si>
    <t>400</t>
  </si>
  <si>
    <t>1.1.5.12.2.4</t>
  </si>
  <si>
    <t>401</t>
  </si>
  <si>
    <t>1.1.5.13</t>
  </si>
  <si>
    <t>3G RBS6102 1x2 to 1x3 30Wpcc Additional DUW30(Additional 30HS codes)</t>
  </si>
  <si>
    <t>403</t>
  </si>
  <si>
    <t>1.1.5.13.1</t>
  </si>
  <si>
    <t>404</t>
  </si>
  <si>
    <t>1.1.5.13.1.1</t>
  </si>
  <si>
    <t>405</t>
  </si>
  <si>
    <t>1.1.5.13.2</t>
  </si>
  <si>
    <t>RBS6102 WCDMA 1x2 30Wpcc to 1x3 30/40Wpcc_DUW20/30(0UL/0DL/15Code)_Rev A</t>
  </si>
  <si>
    <t>407</t>
  </si>
  <si>
    <t>1.1.5.13.2.1</t>
  </si>
  <si>
    <t>408</t>
  </si>
  <si>
    <t>1.1.5.13.2.2</t>
  </si>
  <si>
    <t>409</t>
  </si>
  <si>
    <t>1.1.5.13.2.3</t>
  </si>
  <si>
    <t>410</t>
  </si>
  <si>
    <t>1.1.5.13.2.4</t>
  </si>
  <si>
    <t>411</t>
  </si>
  <si>
    <t>1.1.5.13.2.5</t>
  </si>
  <si>
    <t>412</t>
  </si>
  <si>
    <t>1.1.5.13.2.6</t>
  </si>
  <si>
    <t>413</t>
  </si>
  <si>
    <t>1.1.5.14</t>
  </si>
  <si>
    <t>3G RBS6102 2x2 to 2x3 20Wpcc Additional DUW30(Additional 60HS codes)</t>
  </si>
  <si>
    <t>415</t>
  </si>
  <si>
    <t>1.1.5.14.1</t>
  </si>
  <si>
    <t>416</t>
  </si>
  <si>
    <t>1.1.5.14.1.1</t>
  </si>
  <si>
    <t>417</t>
  </si>
  <si>
    <t>1.1.5.14.2</t>
  </si>
  <si>
    <t>RBS6102 WCDMA 2x2 30Wpcc to 2x3 20Wpcc_DUW30/30(0UL/0DL/30Code)_Rev A</t>
  </si>
  <si>
    <t>419</t>
  </si>
  <si>
    <t>1.1.5.14.2.1</t>
  </si>
  <si>
    <t>420</t>
  </si>
  <si>
    <t>1.1.5.14.2.2</t>
  </si>
  <si>
    <t>421</t>
  </si>
  <si>
    <t>1.1.5.14.2.3</t>
  </si>
  <si>
    <t>422</t>
  </si>
  <si>
    <t>1.1.5.15</t>
  </si>
  <si>
    <t>3G RBS6102 2x2 to 2x3 30Wpcc Additional DUW30(Additional 60HS codes)</t>
  </si>
  <si>
    <t>424</t>
  </si>
  <si>
    <t>1.1.5.15.1</t>
  </si>
  <si>
    <t>425</t>
  </si>
  <si>
    <t>1.1.5.15.1.1</t>
  </si>
  <si>
    <t>426</t>
  </si>
  <si>
    <t>1.1.5.15.2</t>
  </si>
  <si>
    <t>RBS6102 WCDMA 2x2 30Wpcc to 2x3 30/40Wpcc_DUW30/30(0UL/0DL/30Code)_Rev A</t>
  </si>
  <si>
    <t>428</t>
  </si>
  <si>
    <t>1.1.5.15.2.1</t>
  </si>
  <si>
    <t>429</t>
  </si>
  <si>
    <t>1.1.5.15.2.2</t>
  </si>
  <si>
    <t>430</t>
  </si>
  <si>
    <t>1.1.5.15.2.3</t>
  </si>
  <si>
    <t>431</t>
  </si>
  <si>
    <t>1.1.5.15.2.4</t>
  </si>
  <si>
    <t>432</t>
  </si>
  <si>
    <t>1.1.5.15.2.5</t>
  </si>
  <si>
    <t>433</t>
  </si>
  <si>
    <t>1.1.5.15.2.6</t>
  </si>
  <si>
    <t>434</t>
  </si>
  <si>
    <t>1.1.5.16</t>
  </si>
  <si>
    <t>3G RBS6102 3x2 to 3x3 30Wpcc Additional DUW30(Additional 90HS codes)</t>
  </si>
  <si>
    <t>436</t>
  </si>
  <si>
    <t>1.1.5.16.1</t>
  </si>
  <si>
    <t>437</t>
  </si>
  <si>
    <t>1.1.5.16.1.1</t>
  </si>
  <si>
    <t>438</t>
  </si>
  <si>
    <t>1.1.5.16.2</t>
  </si>
  <si>
    <t>RBS6102 WCDMA 3x2 30Wpcc to 3x3 30/40Wpcc_DUW30/30(0UL/0DL/45Code)_Rev A</t>
  </si>
  <si>
    <t>440</t>
  </si>
  <si>
    <t>1.1.5.16.2.1</t>
  </si>
  <si>
    <t>441</t>
  </si>
  <si>
    <t>1.1.5.16.2.2</t>
  </si>
  <si>
    <t>442</t>
  </si>
  <si>
    <t>1.1.5.16.2.3</t>
  </si>
  <si>
    <t>443</t>
  </si>
  <si>
    <t>1.1.5.16.2.4</t>
  </si>
  <si>
    <t>444</t>
  </si>
  <si>
    <t>1.1.5.16.2.5</t>
  </si>
  <si>
    <t>445</t>
  </si>
  <si>
    <t>1.1.5.16.2.6</t>
  </si>
  <si>
    <t>446</t>
  </si>
  <si>
    <t>1.1.5.17</t>
  </si>
  <si>
    <t>3G RBS6201 1x2 to 1x3 20Wpcc Additional DUW30(Additional 30HS codes)</t>
  </si>
  <si>
    <t>448</t>
  </si>
  <si>
    <t>1.1.5.17.1</t>
  </si>
  <si>
    <t>449</t>
  </si>
  <si>
    <t>1.1.5.17.1.1</t>
  </si>
  <si>
    <t>450</t>
  </si>
  <si>
    <t>1.1.5.17.2</t>
  </si>
  <si>
    <t>RBS6201 WCDMA 1x2 30Wpcc to 1x3 20Wpcc_DUW20/30(0UL/0DL/15Code)_Rev A</t>
  </si>
  <si>
    <t>452</t>
  </si>
  <si>
    <t>1.1.5.17.2.1</t>
  </si>
  <si>
    <t>453</t>
  </si>
  <si>
    <t>1.1.5.17.2.2</t>
  </si>
  <si>
    <t>454</t>
  </si>
  <si>
    <t>1.1.5.17.2.3</t>
  </si>
  <si>
    <t>455</t>
  </si>
  <si>
    <t>1.1.5.18</t>
  </si>
  <si>
    <t>3G RBS6201 2x2 to 2x3 20Wpcc Additional DUW30(Additional 60HS codes)</t>
  </si>
  <si>
    <t>457</t>
  </si>
  <si>
    <t>1.1.5.18.1</t>
  </si>
  <si>
    <t>458</t>
  </si>
  <si>
    <t>1.1.5.18.1.1</t>
  </si>
  <si>
    <t>459</t>
  </si>
  <si>
    <t>1.1.5.18.2</t>
  </si>
  <si>
    <t>RBS6201 WCDMA 2x2 30Wpcc to 2x3 20Wpcc_DUW30/30(0UL/0DL/30Code)_Rev A</t>
  </si>
  <si>
    <t>461</t>
  </si>
  <si>
    <t>1.1.5.18.2.1</t>
  </si>
  <si>
    <t>462</t>
  </si>
  <si>
    <t>1.1.5.18.2.2</t>
  </si>
  <si>
    <t>463</t>
  </si>
  <si>
    <t>1.1.5.18.2.3</t>
  </si>
  <si>
    <t>464</t>
  </si>
  <si>
    <t>1.1.5.19</t>
  </si>
  <si>
    <t>3G RBS6201 2x2 to 2x3 30Wpcc Additional DUW30(Additional 60HS codes)</t>
  </si>
  <si>
    <t>466</t>
  </si>
  <si>
    <t>1.1.5.19.1</t>
  </si>
  <si>
    <t>467</t>
  </si>
  <si>
    <t>1.1.5.19.1.1</t>
  </si>
  <si>
    <t>468</t>
  </si>
  <si>
    <t>1.1.5.19.2</t>
  </si>
  <si>
    <t>RBS6201 WCDMA 2x2 30Wpcc to 2x3 30/40Wpcc_DUW30/30(0UL/0DL/30Code)_Rev A</t>
  </si>
  <si>
    <t>470</t>
  </si>
  <si>
    <t>1.1.5.19.2.1</t>
  </si>
  <si>
    <t>471</t>
  </si>
  <si>
    <t>1.1.5.19.2.2</t>
  </si>
  <si>
    <t>472</t>
  </si>
  <si>
    <t>1.1.5.19.2.3</t>
  </si>
  <si>
    <t>473</t>
  </si>
  <si>
    <t>1.1.5.19.2.4</t>
  </si>
  <si>
    <t>474</t>
  </si>
  <si>
    <t>1.1.5.19.2.5</t>
  </si>
  <si>
    <t>475</t>
  </si>
  <si>
    <t>1.1.5.19.2.6</t>
  </si>
  <si>
    <t>476</t>
  </si>
  <si>
    <t>1.1.5.19.2.7</t>
  </si>
  <si>
    <t>477</t>
  </si>
  <si>
    <t>1.1.5.20</t>
  </si>
  <si>
    <t>3G RBS6201 3x2 to 3x3 30Wpcc Additional DUW30(Additional 90HS codes)</t>
  </si>
  <si>
    <t>479</t>
  </si>
  <si>
    <t>1.1.5.20.1</t>
  </si>
  <si>
    <t>480</t>
  </si>
  <si>
    <t>1.1.5.20.1.1</t>
  </si>
  <si>
    <t>481</t>
  </si>
  <si>
    <t>1.1.5.20.2</t>
  </si>
  <si>
    <t>RBS6201 WCDMA 3x2 30Wpcc to 3x3 30/40Wpcc_DUW30/30(0UL/0DL/45Code)_Rev A</t>
  </si>
  <si>
    <t>483</t>
  </si>
  <si>
    <t>1.1.5.20.2.1</t>
  </si>
  <si>
    <t>484</t>
  </si>
  <si>
    <t>1.1.5.20.2.2</t>
  </si>
  <si>
    <t>485</t>
  </si>
  <si>
    <t>1.1.5.20.2.3</t>
  </si>
  <si>
    <t>486</t>
  </si>
  <si>
    <t>1.1.5.20.2.4</t>
  </si>
  <si>
    <t>487</t>
  </si>
  <si>
    <t>1.1.5.20.2.5</t>
  </si>
  <si>
    <t>488</t>
  </si>
  <si>
    <t>1.1.5.20.2.6</t>
  </si>
  <si>
    <t>489</t>
  </si>
  <si>
    <t>1.1.5.20.2.7</t>
  </si>
  <si>
    <t>490</t>
  </si>
  <si>
    <t>1.1.5.21</t>
  </si>
  <si>
    <t>3G RBS6601 1x2 to 1x3 30Wpcc Additional DUW30(Additional 30HS codes)</t>
  </si>
  <si>
    <t>492</t>
  </si>
  <si>
    <t>1.1.5.21.1</t>
  </si>
  <si>
    <t>493</t>
  </si>
  <si>
    <t>1.1.5.21.1.1</t>
  </si>
  <si>
    <t>494</t>
  </si>
  <si>
    <t>1.1.5.21.2</t>
  </si>
  <si>
    <t>496</t>
  </si>
  <si>
    <t>1.1.5.21.2.1</t>
  </si>
  <si>
    <t>497</t>
  </si>
  <si>
    <t>1.1.5.21.2.1.1</t>
  </si>
  <si>
    <t>499</t>
  </si>
  <si>
    <t>1.1.5.21.2.1.2</t>
  </si>
  <si>
    <t>500</t>
  </si>
  <si>
    <t>1.1.5.21.2.1.3</t>
  </si>
  <si>
    <t>501</t>
  </si>
  <si>
    <t>1.1.5.21.3</t>
  </si>
  <si>
    <t>RBS6601 WCDMA 1x2 30Wpcc to 1x3 30Wpcc_DUW20/30(0UL/0DL/15Code) Rev A</t>
  </si>
  <si>
    <t>503</t>
  </si>
  <si>
    <t>1.1.5.21.3.1</t>
  </si>
  <si>
    <t>504</t>
  </si>
  <si>
    <t>1.1.5.21.3.2</t>
  </si>
  <si>
    <t>505</t>
  </si>
  <si>
    <t>1.1.5.21.3.3</t>
  </si>
  <si>
    <t>506</t>
  </si>
  <si>
    <t>1.1.5.21.3.4</t>
  </si>
  <si>
    <t>507</t>
  </si>
  <si>
    <t>1.1.5.21.3.5</t>
  </si>
  <si>
    <t>508</t>
  </si>
  <si>
    <t>1.1.5.21.3.6</t>
  </si>
  <si>
    <t>WCDMA Remote Radio Unit RRUW 01B1 (2100 MHz) -48VDC , 20W HW Activation incl.</t>
  </si>
  <si>
    <t>509</t>
  </si>
  <si>
    <t>1.1.5.21.3.7</t>
  </si>
  <si>
    <t>Kit for interconnection of 2 DUW units</t>
  </si>
  <si>
    <t>510</t>
  </si>
  <si>
    <t>1.1.5.21.3.8</t>
  </si>
  <si>
    <t>511</t>
  </si>
  <si>
    <t>1.1.5.21.3.9</t>
  </si>
  <si>
    <t>512</t>
  </si>
  <si>
    <t>1.1.5.21.3.10</t>
  </si>
  <si>
    <t>513</t>
  </si>
  <si>
    <t>1.1.5.22</t>
  </si>
  <si>
    <t>3G RBS6601 2x2 to 2x3 30Wpcc Additional DUW30(Additional 60HS codes)</t>
  </si>
  <si>
    <t>515</t>
  </si>
  <si>
    <t>1.1.5.22.1</t>
  </si>
  <si>
    <t>516</t>
  </si>
  <si>
    <t>1.1.5.22.1.1</t>
  </si>
  <si>
    <t>517</t>
  </si>
  <si>
    <t>1.1.5.22.2</t>
  </si>
  <si>
    <t>RBS6601 5m Fiber + SFP+Pole Bracket for 2 sector</t>
  </si>
  <si>
    <t>519</t>
  </si>
  <si>
    <t>1.1.5.22.2.1</t>
  </si>
  <si>
    <t>520</t>
  </si>
  <si>
    <t>1.1.5.22.2.1.1</t>
  </si>
  <si>
    <t>522</t>
  </si>
  <si>
    <t>1.1.5.22.2.1.2</t>
  </si>
  <si>
    <t>523</t>
  </si>
  <si>
    <t>1.1.5.22.2.1.3</t>
  </si>
  <si>
    <t>524</t>
  </si>
  <si>
    <t>1.1.5.22.3</t>
  </si>
  <si>
    <t>RBS6601 WCDMA 2x2 30Wpcc to 2x3 30Wpcc_DUW30/30(0UL/0DL/30Code) Rev A</t>
  </si>
  <si>
    <t>526</t>
  </si>
  <si>
    <t>1.1.5.22.3.1</t>
  </si>
  <si>
    <t>527</t>
  </si>
  <si>
    <t>1.1.5.22.3.2</t>
  </si>
  <si>
    <t>528</t>
  </si>
  <si>
    <t>1.1.5.22.3.3</t>
  </si>
  <si>
    <t>529</t>
  </si>
  <si>
    <t>1.1.5.22.3.4</t>
  </si>
  <si>
    <t>530</t>
  </si>
  <si>
    <t>1.1.5.22.3.5</t>
  </si>
  <si>
    <t>531</t>
  </si>
  <si>
    <t>1.1.5.22.3.6</t>
  </si>
  <si>
    <t>532</t>
  </si>
  <si>
    <t>1.1.5.22.3.7</t>
  </si>
  <si>
    <t>533</t>
  </si>
  <si>
    <t>1.1.5.22.3.8</t>
  </si>
  <si>
    <t>534</t>
  </si>
  <si>
    <t>1.1.5.22.3.9</t>
  </si>
  <si>
    <t>535</t>
  </si>
  <si>
    <t>1.1.5.22.3.10</t>
  </si>
  <si>
    <t>536</t>
  </si>
  <si>
    <t>1.1.5.23</t>
  </si>
  <si>
    <t>3G RBS6601 3x2 to 3x3 30Wpcc Additional DUW30(Additional 90HS codes)</t>
  </si>
  <si>
    <t>538</t>
  </si>
  <si>
    <t>1.1.5.23.1</t>
  </si>
  <si>
    <t>539</t>
  </si>
  <si>
    <t>1.1.5.23.1.1</t>
  </si>
  <si>
    <t>540</t>
  </si>
  <si>
    <t>1.1.5.23.2</t>
  </si>
  <si>
    <t>RBS6601 5m Fiber + SFP+Pole Bracket for 3 sector</t>
  </si>
  <si>
    <t>542</t>
  </si>
  <si>
    <t>1.1.5.23.2.1</t>
  </si>
  <si>
    <t>543</t>
  </si>
  <si>
    <t>1.1.5.23.2.1.1</t>
  </si>
  <si>
    <t>545</t>
  </si>
  <si>
    <t>1.1.5.23.2.1.2</t>
  </si>
  <si>
    <t>546</t>
  </si>
  <si>
    <t>1.1.5.23.2.1.3</t>
  </si>
  <si>
    <t>547</t>
  </si>
  <si>
    <t>1.1.5.23.3</t>
  </si>
  <si>
    <t>RBS6601 WCDMA 3x2 30Wpcc to 3x3 30Wpcc_DUW30/30(0UL/0DL/45Code) Rev A</t>
  </si>
  <si>
    <t>549</t>
  </si>
  <si>
    <t>1.1.5.23.3.1</t>
  </si>
  <si>
    <t>550</t>
  </si>
  <si>
    <t>1.1.5.23.3.2</t>
  </si>
  <si>
    <t>551</t>
  </si>
  <si>
    <t>1.1.5.23.3.3</t>
  </si>
  <si>
    <t>552</t>
  </si>
  <si>
    <t>1.1.5.23.3.4</t>
  </si>
  <si>
    <t>553</t>
  </si>
  <si>
    <t>1.1.5.23.3.5</t>
  </si>
  <si>
    <t>554</t>
  </si>
  <si>
    <t>1.1.5.23.3.6</t>
  </si>
  <si>
    <t>555</t>
  </si>
  <si>
    <t>1.1.5.23.3.7</t>
  </si>
  <si>
    <t>556</t>
  </si>
  <si>
    <t>1.1.5.23.3.8</t>
  </si>
  <si>
    <t>557</t>
  </si>
  <si>
    <t>1.1.5.23.3.9</t>
  </si>
  <si>
    <t>558</t>
  </si>
  <si>
    <t>1.1.5.23.3.10</t>
  </si>
  <si>
    <t>559</t>
  </si>
  <si>
    <t>1.1.5.23.4</t>
  </si>
  <si>
    <t>SSC-02 Expansion_For Addn 2 RRU</t>
  </si>
  <si>
    <t>561</t>
  </si>
  <si>
    <t>1.1.5.23.4.1</t>
  </si>
  <si>
    <t>562</t>
  </si>
  <si>
    <t>1.1.5.23.4.1.1</t>
  </si>
  <si>
    <t>564</t>
  </si>
  <si>
    <t>1.1.5.23.4.1.2</t>
  </si>
  <si>
    <t>565</t>
  </si>
  <si>
    <t>1.1.5.24</t>
  </si>
  <si>
    <t>3G RBS6601 1x2 to 1x3 20Wpcc Additional DUW30(Additional 30HS codes)</t>
  </si>
  <si>
    <t>567</t>
  </si>
  <si>
    <t>1.1.5.24.1</t>
  </si>
  <si>
    <t>568</t>
  </si>
  <si>
    <t>1.1.5.24.1.1</t>
  </si>
  <si>
    <t>569</t>
  </si>
  <si>
    <t>1.1.5.24.2</t>
  </si>
  <si>
    <t>RBS6601 WCDMA 1x2 30Wpcc to 1x3 20Wpcc_DUW20/30(0UL/0DL/15Code) Rev A</t>
  </si>
  <si>
    <t>571</t>
  </si>
  <si>
    <t>1.1.5.24.2.1</t>
  </si>
  <si>
    <t>572</t>
  </si>
  <si>
    <t>1.1.5.24.2.2</t>
  </si>
  <si>
    <t>573</t>
  </si>
  <si>
    <t>1.1.5.24.2.3</t>
  </si>
  <si>
    <t>574</t>
  </si>
  <si>
    <t>1.1.5.24.2.4</t>
  </si>
  <si>
    <t>575</t>
  </si>
  <si>
    <t>1.1.5.24.2.5</t>
  </si>
  <si>
    <t>576</t>
  </si>
  <si>
    <t>1.1.5.24.2.6</t>
  </si>
  <si>
    <t>577</t>
  </si>
  <si>
    <t>1.1.5.24.2.7</t>
  </si>
  <si>
    <t>578</t>
  </si>
  <si>
    <t>1.1.5.24.2.8</t>
  </si>
  <si>
    <t>579</t>
  </si>
  <si>
    <t>1.1.5.25</t>
  </si>
  <si>
    <t>3G RBS6601 2x2 to 2x3 20Wpcc Additional DUW30(Additional 60HS codes)</t>
  </si>
  <si>
    <t>581</t>
  </si>
  <si>
    <t>1.1.5.25.1</t>
  </si>
  <si>
    <t>582</t>
  </si>
  <si>
    <t>1.1.5.25.1.1</t>
  </si>
  <si>
    <t>583</t>
  </si>
  <si>
    <t>1.1.5.25.2</t>
  </si>
  <si>
    <t>RBS6601 WCDMA 2x2 30Wpcc to 2x3 20Wpcc_DUW30/30(0UL/0DL/30Code) Rev A</t>
  </si>
  <si>
    <t>585</t>
  </si>
  <si>
    <t>1.1.5.25.2.1</t>
  </si>
  <si>
    <t>586</t>
  </si>
  <si>
    <t>1.1.5.25.2.2</t>
  </si>
  <si>
    <t>587</t>
  </si>
  <si>
    <t>1.1.5.25.2.3</t>
  </si>
  <si>
    <t>588</t>
  </si>
  <si>
    <t>1.1.5.25.2.4</t>
  </si>
  <si>
    <t>589</t>
  </si>
  <si>
    <t>1.1.5.25.2.5</t>
  </si>
  <si>
    <t>590</t>
  </si>
  <si>
    <t>1.1.5.25.2.6</t>
  </si>
  <si>
    <t>591</t>
  </si>
  <si>
    <t>1.1.5.25.2.7</t>
  </si>
  <si>
    <t>592</t>
  </si>
  <si>
    <t>1.1.5.25.2.8</t>
  </si>
  <si>
    <t>593</t>
  </si>
  <si>
    <t>1.1.6</t>
  </si>
  <si>
    <t>03 Software (Mod)</t>
  </si>
  <si>
    <t>595</t>
  </si>
  <si>
    <t>1.1.6.1</t>
  </si>
  <si>
    <t>42Mbps 1st Carrier: Remainder NW</t>
  </si>
  <si>
    <t>596</t>
  </si>
  <si>
    <t>1.1.6.1.1</t>
  </si>
  <si>
    <t>FAJ1211441 R1 Multi Carrier p.3HScc</t>
  </si>
  <si>
    <t>597</t>
  </si>
  <si>
    <t>1.1.6.1.1.1</t>
  </si>
  <si>
    <t>FAJ1211441 R1, Multi Carrier, 3HScc</t>
  </si>
  <si>
    <t>598</t>
  </si>
  <si>
    <t>1.1.6.1.2</t>
  </si>
  <si>
    <t>FAJ1211445 R1 Multi Carrier Inactivity Control p.3HScc</t>
  </si>
  <si>
    <t>600</t>
  </si>
  <si>
    <t>1.1.6.1.2.1</t>
  </si>
  <si>
    <t>FAJ1211445 R1, Multi Carrier Inactivity Control, 3HScc</t>
  </si>
  <si>
    <t>601</t>
  </si>
  <si>
    <t>1.1.6.2</t>
  </si>
  <si>
    <t>42Mbps 2nd Carrier: Remainder NW</t>
  </si>
  <si>
    <t>603</t>
  </si>
  <si>
    <t>1.1.6.2.1</t>
  </si>
  <si>
    <t>604</t>
  </si>
  <si>
    <t>1.1.6.2.1.1</t>
  </si>
  <si>
    <t>605</t>
  </si>
  <si>
    <t>1.1.6.2.2</t>
  </si>
  <si>
    <t>607</t>
  </si>
  <si>
    <t>1.1.6.2.2.1</t>
  </si>
  <si>
    <t>608</t>
  </si>
  <si>
    <t>1.1.6.3</t>
  </si>
  <si>
    <t>21Mbps 1st Carrier: Leftover</t>
  </si>
  <si>
    <t>610</t>
  </si>
  <si>
    <t>1.1.6.3.1</t>
  </si>
  <si>
    <t>21 Mbps SW features, per 3HScc (TPCM only)</t>
  </si>
  <si>
    <t>611</t>
  </si>
  <si>
    <t>1.1.6.3.1.1</t>
  </si>
  <si>
    <t>FAJ1211328 R1, Enhanced Layer2, 3HScc</t>
  </si>
  <si>
    <t>612</t>
  </si>
  <si>
    <t>1.1.6.3.1.2</t>
  </si>
  <si>
    <t>FAJ1211331 R1, HSDPA 64 QAM, 3HScc</t>
  </si>
  <si>
    <t>613</t>
  </si>
  <si>
    <t>1.1.7</t>
  </si>
  <si>
    <t>04 Software (Upgrade)</t>
  </si>
  <si>
    <t>615</t>
  </si>
  <si>
    <t>1.1.7.1</t>
  </si>
  <si>
    <t>3G 3cc 2nd Carrier: Existing 3HScc SW Features</t>
  </si>
  <si>
    <t>616</t>
  </si>
  <si>
    <t>1.1.7.1.1</t>
  </si>
  <si>
    <t>617</t>
  </si>
  <si>
    <t>1.1.7.1.1.1</t>
  </si>
  <si>
    <t>618</t>
  </si>
  <si>
    <t>1.1.7.1.1.2</t>
  </si>
  <si>
    <t>619</t>
  </si>
  <si>
    <t>1.1.7.1.2</t>
  </si>
  <si>
    <t>FAJ1211106 R1, IF/IRAT mobility on HSPA p.3HScc</t>
  </si>
  <si>
    <t>621</t>
  </si>
  <si>
    <t>1.1.7.1.2.1</t>
  </si>
  <si>
    <t>FAJ1211106 R1, IF/IRAT mobility on HSPA, 3HScc</t>
  </si>
  <si>
    <t>622</t>
  </si>
  <si>
    <t>1.1.7.1.3</t>
  </si>
  <si>
    <t>HSDPA up to 32 users per cell, 3HScc (TPCM only)</t>
  </si>
  <si>
    <t>624</t>
  </si>
  <si>
    <t>1.1.7.1.3.1</t>
  </si>
  <si>
    <t>FAJ1210398 R1, HSDPA up to 32 users, 3HScc</t>
  </si>
  <si>
    <t>625</t>
  </si>
  <si>
    <t>1.1.7.1.4</t>
  </si>
  <si>
    <t>Node B SW features, per 3 HScc (TPCM only)</t>
  </si>
  <si>
    <t>627</t>
  </si>
  <si>
    <t>1.1.7.1.4.1</t>
  </si>
  <si>
    <t>Node B SW features, per 3 HScc</t>
  </si>
  <si>
    <t>628</t>
  </si>
  <si>
    <t>1.1.7.2</t>
  </si>
  <si>
    <t>3G 3cc 3rd Carrier: HS on 3rd Carrier</t>
  </si>
  <si>
    <t>630</t>
  </si>
  <si>
    <t>1.1.7.2.1</t>
  </si>
  <si>
    <t>631</t>
  </si>
  <si>
    <t>1.1.7.2.1.1</t>
  </si>
  <si>
    <t>632</t>
  </si>
  <si>
    <t>1.1.7.2.1.2</t>
  </si>
  <si>
    <t>633</t>
  </si>
  <si>
    <t>1.1.7.2.2</t>
  </si>
  <si>
    <t>635</t>
  </si>
  <si>
    <t>1.1.7.2.2.1</t>
  </si>
  <si>
    <t>636</t>
  </si>
  <si>
    <t>1.1.7.2.3</t>
  </si>
  <si>
    <t>FAJ1211467, HSDPA Inter frequency Load Sharing p.3HScc</t>
  </si>
  <si>
    <t>638</t>
  </si>
  <si>
    <t>1.1.7.2.3.1</t>
  </si>
  <si>
    <t>FAJ1211467 R1, HSDPA Inter freq load sharing, 3HScc</t>
  </si>
  <si>
    <t>639</t>
  </si>
  <si>
    <t>1.1.7.2.4</t>
  </si>
  <si>
    <t>641</t>
  </si>
  <si>
    <t>1.1.7.2.4.1</t>
  </si>
  <si>
    <t>642</t>
  </si>
  <si>
    <t>1.1.7.2.5</t>
  </si>
  <si>
    <t>644</t>
  </si>
  <si>
    <t>1.1.7.2.5.1</t>
  </si>
  <si>
    <t>645</t>
  </si>
  <si>
    <t>1.1.7.3</t>
  </si>
  <si>
    <t>3G 3cc 1st Carrier: For HSDPA IFLS</t>
  </si>
  <si>
    <t>647</t>
  </si>
  <si>
    <t>1.1.7.3.1</t>
  </si>
  <si>
    <t>648</t>
  </si>
  <si>
    <t>1.1.7.3.1.1</t>
  </si>
  <si>
    <t>649</t>
  </si>
  <si>
    <t>1.1.7.4</t>
  </si>
  <si>
    <t>3G 3cc 2nd Carrier: For HSDPA IFLS</t>
  </si>
  <si>
    <t>651</t>
  </si>
  <si>
    <t>1.1.7.4.1</t>
  </si>
  <si>
    <t>652</t>
  </si>
  <si>
    <t>1.1.7.4.1.1</t>
  </si>
  <si>
    <t>653</t>
  </si>
  <si>
    <t>1.1.7.5</t>
  </si>
  <si>
    <t>3G 3cc 2nd Carrier: EUL</t>
  </si>
  <si>
    <t>655</t>
  </si>
  <si>
    <t>1.1.7.5.1</t>
  </si>
  <si>
    <t>FAJ1211112 R1 EUL Scheduler support for 6 cell carriers p.Node</t>
  </si>
  <si>
    <t>656</t>
  </si>
  <si>
    <t>1.1.7.5.1.1</t>
  </si>
  <si>
    <t>FAJ1211112 R1, EUL Scheduler support for 6 cell carriers, Node</t>
  </si>
  <si>
    <t>657</t>
  </si>
  <si>
    <t>1.1.7.6</t>
  </si>
  <si>
    <t>3G 3cc 3rd Carrier: EUL</t>
  </si>
  <si>
    <t>659</t>
  </si>
  <si>
    <t>1.1.7.6.1</t>
  </si>
  <si>
    <t>FAJ1211518 R1, EUL for large RBS configurations p.Node</t>
  </si>
  <si>
    <t>660</t>
  </si>
  <si>
    <t>1.1.7.6.1.1</t>
  </si>
  <si>
    <t>FAJ1211518 R1, EUL for large RBS configurations, Node</t>
  </si>
  <si>
    <t>661</t>
  </si>
  <si>
    <t>1.1.7.7</t>
  </si>
  <si>
    <t>3G 3cc 2nd Carrier: 64 HS Users</t>
  </si>
  <si>
    <t>663</t>
  </si>
  <si>
    <t>1.1.7.7.1</t>
  </si>
  <si>
    <t>FAJ1210461 R1, HSDPA up to 64 users p.3HScc</t>
  </si>
  <si>
    <t>664</t>
  </si>
  <si>
    <t>1.1.7.7.1.1</t>
  </si>
  <si>
    <t>FAJ1210461 R1, HSDPA up to 64 users, 3HScc</t>
  </si>
  <si>
    <t>665</t>
  </si>
  <si>
    <t>1.1.7.8</t>
  </si>
  <si>
    <t>3G 3cc 3rd Carrier: 64 HS Users</t>
  </si>
  <si>
    <t>667</t>
  </si>
  <si>
    <t>1.1.7.8.1</t>
  </si>
  <si>
    <t>668</t>
  </si>
  <si>
    <t>1.1.7.8.1.1</t>
  </si>
  <si>
    <t>669</t>
  </si>
  <si>
    <t>1.1.8</t>
  </si>
  <si>
    <t>01 Hardware (Mod)</t>
  </si>
  <si>
    <t>671</t>
  </si>
  <si>
    <t>1.1.8.1</t>
  </si>
  <si>
    <t>3G 3G Batteries</t>
  </si>
  <si>
    <t>672</t>
  </si>
  <si>
    <t>1.1.8.1.1</t>
  </si>
  <si>
    <t>673</t>
  </si>
  <si>
    <t>1.1.8.1.1.1</t>
  </si>
  <si>
    <t>674</t>
  </si>
  <si>
    <t>1.1.8.1.2</t>
  </si>
  <si>
    <t>676</t>
  </si>
  <si>
    <t>1.1.8.1.2.1</t>
  </si>
  <si>
    <t>677</t>
  </si>
  <si>
    <t>1.1.8.1.3</t>
  </si>
  <si>
    <t>679</t>
  </si>
  <si>
    <t>1.1.8.1.3.1</t>
  </si>
  <si>
    <t>680</t>
  </si>
  <si>
    <t>1.1.8.1.3.2</t>
  </si>
  <si>
    <t>681</t>
  </si>
  <si>
    <t>1.1.8.1.3.3</t>
  </si>
  <si>
    <t>682</t>
  </si>
  <si>
    <t>1.1.8.1.3.4</t>
  </si>
  <si>
    <t>683</t>
  </si>
  <si>
    <t>1.1.8.1.4</t>
  </si>
  <si>
    <t>685</t>
  </si>
  <si>
    <t>1.1.8.1.4.1</t>
  </si>
  <si>
    <t>686</t>
  </si>
  <si>
    <t>1.1.8.1.4.2</t>
  </si>
  <si>
    <t>687</t>
  </si>
  <si>
    <t>1.1.8.1.4.3</t>
  </si>
  <si>
    <t>688</t>
  </si>
  <si>
    <t>1.1.8.1.5</t>
  </si>
  <si>
    <t>690</t>
  </si>
  <si>
    <t>1.1.8.1.5.1</t>
  </si>
  <si>
    <t>691</t>
  </si>
  <si>
    <t>1.1.8.1.6</t>
  </si>
  <si>
    <t>693</t>
  </si>
  <si>
    <t>1.1.8.1.6.1</t>
  </si>
  <si>
    <t>694</t>
  </si>
  <si>
    <t>1.1.8.2</t>
  </si>
  <si>
    <t>3G Change-out RBS6101 1x2 30Wpcc 1xDUW20(15HS codes) (Stand-Alone)</t>
  </si>
  <si>
    <t>696</t>
  </si>
  <si>
    <t>1.1.8.2.1</t>
  </si>
  <si>
    <t>DUW BB HW Activation Fee CE DL p.16CE</t>
  </si>
  <si>
    <t>697</t>
  </si>
  <si>
    <t>1.1.8.2.1.1</t>
  </si>
  <si>
    <t>698</t>
  </si>
  <si>
    <t>1.1.8.2.2</t>
  </si>
  <si>
    <t>DUW BB HW Activation Fee CE UL p.16CE</t>
  </si>
  <si>
    <t>700</t>
  </si>
  <si>
    <t>1.1.8.2.2.1</t>
  </si>
  <si>
    <t>701</t>
  </si>
  <si>
    <t>1.1.8.2.3</t>
  </si>
  <si>
    <t>RBS6101 WCDMA 1x2 30Wpcc_DUW20(0UL/0DL/15Code)_Rev A</t>
  </si>
  <si>
    <t>703</t>
  </si>
  <si>
    <t>1.1.8.2.3.1</t>
  </si>
  <si>
    <t>704</t>
  </si>
  <si>
    <t>1.1.8.2.3.2</t>
  </si>
  <si>
    <t>SFP 1000BASE-LX40 DUAL RATE 1.25 40km for DUx</t>
  </si>
  <si>
    <t>705</t>
  </si>
  <si>
    <t>1.1.8.2.3.3</t>
  </si>
  <si>
    <t>706</t>
  </si>
  <si>
    <t>1.1.8.2.3.4</t>
  </si>
  <si>
    <t>707</t>
  </si>
  <si>
    <t>1.1.8.2.3.5</t>
  </si>
  <si>
    <t>708</t>
  </si>
  <si>
    <t>1.1.8.2.3.6</t>
  </si>
  <si>
    <t>709</t>
  </si>
  <si>
    <t>1.1.8.2.3.7</t>
  </si>
  <si>
    <t>710</t>
  </si>
  <si>
    <t>1.1.8.2.3.8</t>
  </si>
  <si>
    <t>711</t>
  </si>
  <si>
    <t>1.1.8.2.3.9</t>
  </si>
  <si>
    <t>712</t>
  </si>
  <si>
    <t>1.1.8.2.3.10</t>
  </si>
  <si>
    <t>713</t>
  </si>
  <si>
    <t>1.1.8.2.3.11</t>
  </si>
  <si>
    <t>714</t>
  </si>
  <si>
    <t>1.1.8.2.3.12</t>
  </si>
  <si>
    <t>DUW Optional IP Optical Interface HWAC</t>
  </si>
  <si>
    <t>715</t>
  </si>
  <si>
    <t>1.1.8.2.3.13</t>
  </si>
  <si>
    <t>Prepared for external battery back-up</t>
  </si>
  <si>
    <t>716</t>
  </si>
  <si>
    <t>1.1.8.2.3.14</t>
  </si>
  <si>
    <t>717</t>
  </si>
  <si>
    <t>1.1.8.2.3.15</t>
  </si>
  <si>
    <t>718</t>
  </si>
  <si>
    <t>1.1.8.2.3.16</t>
  </si>
  <si>
    <t>719</t>
  </si>
  <si>
    <t>1.1.8.2.3.17</t>
  </si>
  <si>
    <t>720</t>
  </si>
  <si>
    <t>1.1.8.2.3.18</t>
  </si>
  <si>
    <t>721</t>
  </si>
  <si>
    <t>1.1.8.2.3.19</t>
  </si>
  <si>
    <t>Site LAN connection</t>
  </si>
  <si>
    <t>722</t>
  </si>
  <si>
    <t>1.1.8.2.3.20</t>
  </si>
  <si>
    <t>723</t>
  </si>
  <si>
    <t>1.1.8.2.3.21</t>
  </si>
  <si>
    <t>724</t>
  </si>
  <si>
    <t>1.1.8.2.3.22</t>
  </si>
  <si>
    <t>725</t>
  </si>
  <si>
    <t>1.1.8.3</t>
  </si>
  <si>
    <t>3G Change-out RBS6102 1x2 30Wpcc 1xDUW20(15HS codes) (Stand-Alone)</t>
  </si>
  <si>
    <t>727</t>
  </si>
  <si>
    <t>1.1.8.3.1</t>
  </si>
  <si>
    <t>728</t>
  </si>
  <si>
    <t>1.1.8.3.1.1</t>
  </si>
  <si>
    <t>729</t>
  </si>
  <si>
    <t>1.1.8.3.2</t>
  </si>
  <si>
    <t>731</t>
  </si>
  <si>
    <t>1.1.8.3.2.1</t>
  </si>
  <si>
    <t>732</t>
  </si>
  <si>
    <t>1.1.8.3.3</t>
  </si>
  <si>
    <t>RBS6102 WCDMA 1x2 30Wpcc_DUW20(0UL/0DL/15Code)_Rev A</t>
  </si>
  <si>
    <t>734</t>
  </si>
  <si>
    <t>1.1.8.3.3.1</t>
  </si>
  <si>
    <t>735</t>
  </si>
  <si>
    <t>1.1.8.3.3.2</t>
  </si>
  <si>
    <t>736</t>
  </si>
  <si>
    <t>1.1.8.3.3.3</t>
  </si>
  <si>
    <t>737</t>
  </si>
  <si>
    <t>1.1.8.3.3.4</t>
  </si>
  <si>
    <t>738</t>
  </si>
  <si>
    <t>1.1.8.3.3.5</t>
  </si>
  <si>
    <t>739</t>
  </si>
  <si>
    <t>1.1.8.3.3.6</t>
  </si>
  <si>
    <t>740</t>
  </si>
  <si>
    <t>1.1.8.3.3.7</t>
  </si>
  <si>
    <t>741</t>
  </si>
  <si>
    <t>1.1.8.3.3.8</t>
  </si>
  <si>
    <t>742</t>
  </si>
  <si>
    <t>1.1.8.3.3.9</t>
  </si>
  <si>
    <t>743</t>
  </si>
  <si>
    <t>1.1.8.3.3.10</t>
  </si>
  <si>
    <t>744</t>
  </si>
  <si>
    <t>1.1.8.3.3.11</t>
  </si>
  <si>
    <t>745</t>
  </si>
  <si>
    <t>1.1.8.3.3.12</t>
  </si>
  <si>
    <t>746</t>
  </si>
  <si>
    <t>1.1.8.3.3.13</t>
  </si>
  <si>
    <t>747</t>
  </si>
  <si>
    <t>1.1.8.3.3.14</t>
  </si>
  <si>
    <t>748</t>
  </si>
  <si>
    <t>1.1.8.3.3.15</t>
  </si>
  <si>
    <t>749</t>
  </si>
  <si>
    <t>1.1.8.3.3.16</t>
  </si>
  <si>
    <t>750</t>
  </si>
  <si>
    <t>1.1.8.3.3.17</t>
  </si>
  <si>
    <t>751</t>
  </si>
  <si>
    <t>1.1.8.3.3.18</t>
  </si>
  <si>
    <t>752</t>
  </si>
  <si>
    <t>1.1.8.3.3.19</t>
  </si>
  <si>
    <t>753</t>
  </si>
  <si>
    <t>1.1.8.3.3.20</t>
  </si>
  <si>
    <t>754</t>
  </si>
  <si>
    <t>1.1.8.3.3.21</t>
  </si>
  <si>
    <t>755</t>
  </si>
  <si>
    <t>1.1.8.3.3.22</t>
  </si>
  <si>
    <t>756</t>
  </si>
  <si>
    <t>1.1.8.3.3.23</t>
  </si>
  <si>
    <t>757</t>
  </si>
  <si>
    <t>1.1.8.3.3.24</t>
  </si>
  <si>
    <t>758</t>
  </si>
  <si>
    <t>1.1.8.3.3.25</t>
  </si>
  <si>
    <t>759</t>
  </si>
  <si>
    <t>1.1.8.3.3.26</t>
  </si>
  <si>
    <t>760</t>
  </si>
  <si>
    <t>1.1.8.4</t>
  </si>
  <si>
    <t>3G Change-out RBS6102 2x2 30Wpcc 1xDUW30(30HS codes) (Stand-Alone)</t>
  </si>
  <si>
    <t>762</t>
  </si>
  <si>
    <t>1.1.8.4.1</t>
  </si>
  <si>
    <t>763</t>
  </si>
  <si>
    <t>1.1.8.4.1.1</t>
  </si>
  <si>
    <t>764</t>
  </si>
  <si>
    <t>1.1.8.4.2</t>
  </si>
  <si>
    <t>766</t>
  </si>
  <si>
    <t>1.1.8.4.2.1</t>
  </si>
  <si>
    <t>767</t>
  </si>
  <si>
    <t>1.1.8.4.3</t>
  </si>
  <si>
    <t>RBS6102 WCDMA 2x2 30Wpcc_DUW30(0UL/0DL/30Code)_Rev A</t>
  </si>
  <si>
    <t>769</t>
  </si>
  <si>
    <t>1.1.8.4.3.1</t>
  </si>
  <si>
    <t>770</t>
  </si>
  <si>
    <t>1.1.8.4.3.2</t>
  </si>
  <si>
    <t>771</t>
  </si>
  <si>
    <t>1.1.8.4.3.3</t>
  </si>
  <si>
    <t>772</t>
  </si>
  <si>
    <t>1.1.8.4.3.4</t>
  </si>
  <si>
    <t>773</t>
  </si>
  <si>
    <t>1.1.8.4.3.5</t>
  </si>
  <si>
    <t>774</t>
  </si>
  <si>
    <t>1.1.8.4.3.6</t>
  </si>
  <si>
    <t>775</t>
  </si>
  <si>
    <t>1.1.8.4.3.7</t>
  </si>
  <si>
    <t>776</t>
  </si>
  <si>
    <t>1.1.8.4.3.8</t>
  </si>
  <si>
    <t>777</t>
  </si>
  <si>
    <t>1.1.8.4.3.9</t>
  </si>
  <si>
    <t>778</t>
  </si>
  <si>
    <t>1.1.8.4.3.10</t>
  </si>
  <si>
    <t>779</t>
  </si>
  <si>
    <t>1.1.8.4.3.11</t>
  </si>
  <si>
    <t>780</t>
  </si>
  <si>
    <t>1.1.8.4.3.12</t>
  </si>
  <si>
    <t>781</t>
  </si>
  <si>
    <t>1.1.8.4.3.13</t>
  </si>
  <si>
    <t>782</t>
  </si>
  <si>
    <t>1.1.8.4.3.14</t>
  </si>
  <si>
    <t>783</t>
  </si>
  <si>
    <t>1.1.8.4.3.15</t>
  </si>
  <si>
    <t>784</t>
  </si>
  <si>
    <t>1.1.8.4.3.16</t>
  </si>
  <si>
    <t>785</t>
  </si>
  <si>
    <t>1.1.8.4.3.17</t>
  </si>
  <si>
    <t>786</t>
  </si>
  <si>
    <t>1.1.8.4.3.18</t>
  </si>
  <si>
    <t>787</t>
  </si>
  <si>
    <t>1.1.8.4.3.19</t>
  </si>
  <si>
    <t>788</t>
  </si>
  <si>
    <t>1.1.8.4.3.20</t>
  </si>
  <si>
    <t>789</t>
  </si>
  <si>
    <t>1.1.8.4.3.21</t>
  </si>
  <si>
    <t>790</t>
  </si>
  <si>
    <t>1.1.8.4.3.22</t>
  </si>
  <si>
    <t>791</t>
  </si>
  <si>
    <t>1.1.8.4.3.23</t>
  </si>
  <si>
    <t>792</t>
  </si>
  <si>
    <t>1.1.8.4.3.24</t>
  </si>
  <si>
    <t>793</t>
  </si>
  <si>
    <t>1.1.8.4.3.25</t>
  </si>
  <si>
    <t>794</t>
  </si>
  <si>
    <t>1.1.8.4.3.26</t>
  </si>
  <si>
    <t>795</t>
  </si>
  <si>
    <t>1.1.8.5</t>
  </si>
  <si>
    <t>3G Change-out RBS6102 3x2 30Wpcc 1xDUW30(45HS codes) (Stand-Alone)</t>
  </si>
  <si>
    <t>797</t>
  </si>
  <si>
    <t>1.1.8.5.1</t>
  </si>
  <si>
    <t>798</t>
  </si>
  <si>
    <t>1.1.8.5.1.1</t>
  </si>
  <si>
    <t>799</t>
  </si>
  <si>
    <t>1.1.8.5.2</t>
  </si>
  <si>
    <t>801</t>
  </si>
  <si>
    <t>1.1.8.5.2.1</t>
  </si>
  <si>
    <t>802</t>
  </si>
  <si>
    <t>1.1.8.5.3</t>
  </si>
  <si>
    <t>RBS6102 WCDMA 3x2 30Wpcc_DUW30(0UL/0DL/45Code)_Rev A</t>
  </si>
  <si>
    <t>804</t>
  </si>
  <si>
    <t>1.1.8.5.3.1</t>
  </si>
  <si>
    <t>805</t>
  </si>
  <si>
    <t>1.1.8.5.3.2</t>
  </si>
  <si>
    <t>806</t>
  </si>
  <si>
    <t>1.1.8.5.3.3</t>
  </si>
  <si>
    <t>807</t>
  </si>
  <si>
    <t>1.1.8.5.3.4</t>
  </si>
  <si>
    <t>808</t>
  </si>
  <si>
    <t>1.1.8.5.3.5</t>
  </si>
  <si>
    <t>809</t>
  </si>
  <si>
    <t>1.1.8.5.3.6</t>
  </si>
  <si>
    <t>810</t>
  </si>
  <si>
    <t>1.1.8.5.3.7</t>
  </si>
  <si>
    <t>811</t>
  </si>
  <si>
    <t>1.1.8.5.3.8</t>
  </si>
  <si>
    <t>812</t>
  </si>
  <si>
    <t>1.1.8.5.3.9</t>
  </si>
  <si>
    <t>813</t>
  </si>
  <si>
    <t>1.1.8.5.3.10</t>
  </si>
  <si>
    <t>814</t>
  </si>
  <si>
    <t>1.1.8.5.3.11</t>
  </si>
  <si>
    <t>815</t>
  </si>
  <si>
    <t>1.1.8.5.3.12</t>
  </si>
  <si>
    <t>816</t>
  </si>
  <si>
    <t>1.1.8.5.3.13</t>
  </si>
  <si>
    <t>817</t>
  </si>
  <si>
    <t>1.1.8.5.3.14</t>
  </si>
  <si>
    <t>818</t>
  </si>
  <si>
    <t>1.1.8.5.3.15</t>
  </si>
  <si>
    <t>819</t>
  </si>
  <si>
    <t>1.1.8.5.3.16</t>
  </si>
  <si>
    <t>820</t>
  </si>
  <si>
    <t>1.1.8.5.3.17</t>
  </si>
  <si>
    <t>821</t>
  </si>
  <si>
    <t>1.1.8.5.3.18</t>
  </si>
  <si>
    <t>822</t>
  </si>
  <si>
    <t>1.1.8.5.3.19</t>
  </si>
  <si>
    <t>823</t>
  </si>
  <si>
    <t>1.1.8.5.3.20</t>
  </si>
  <si>
    <t>824</t>
  </si>
  <si>
    <t>1.1.8.5.3.21</t>
  </si>
  <si>
    <t>825</t>
  </si>
  <si>
    <t>1.1.8.5.3.22</t>
  </si>
  <si>
    <t>826</t>
  </si>
  <si>
    <t>1.1.8.5.3.23</t>
  </si>
  <si>
    <t>827</t>
  </si>
  <si>
    <t>1.1.8.5.3.24</t>
  </si>
  <si>
    <t>828</t>
  </si>
  <si>
    <t>1.1.8.5.3.25</t>
  </si>
  <si>
    <t>829</t>
  </si>
  <si>
    <t>1.1.8.5.3.26</t>
  </si>
  <si>
    <t>830</t>
  </si>
  <si>
    <t>1.1.8.6</t>
  </si>
  <si>
    <t>3G Change-out RBS6201 1x2 30Wpcc 1xDUW20(15HS codes) (Stand-Alone)</t>
  </si>
  <si>
    <t>832</t>
  </si>
  <si>
    <t>1.1.8.6.1</t>
  </si>
  <si>
    <t>833</t>
  </si>
  <si>
    <t>1.1.8.6.1.1</t>
  </si>
  <si>
    <t>834</t>
  </si>
  <si>
    <t>1.1.8.6.2</t>
  </si>
  <si>
    <t>836</t>
  </si>
  <si>
    <t>1.1.8.6.2.1</t>
  </si>
  <si>
    <t>837</t>
  </si>
  <si>
    <t>1.1.8.6.3</t>
  </si>
  <si>
    <t>RBS6201 WCDMA 1x2 30Wpcc_DUW20(0UL/0DL/15Code)_Rev A</t>
  </si>
  <si>
    <t>839</t>
  </si>
  <si>
    <t>1.1.8.6.3.1</t>
  </si>
  <si>
    <t>840</t>
  </si>
  <si>
    <t>1.1.8.6.3.2</t>
  </si>
  <si>
    <t>841</t>
  </si>
  <si>
    <t>1.1.8.6.3.3</t>
  </si>
  <si>
    <t>842</t>
  </si>
  <si>
    <t>1.1.8.6.3.4</t>
  </si>
  <si>
    <t>843</t>
  </si>
  <si>
    <t>1.1.8.6.3.5</t>
  </si>
  <si>
    <t>844</t>
  </si>
  <si>
    <t>1.1.8.6.3.6</t>
  </si>
  <si>
    <t>845</t>
  </si>
  <si>
    <t>1.1.8.6.3.7</t>
  </si>
  <si>
    <t>846</t>
  </si>
  <si>
    <t>1.1.8.6.3.8</t>
  </si>
  <si>
    <t>847</t>
  </si>
  <si>
    <t>1.1.8.6.3.9</t>
  </si>
  <si>
    <t>848</t>
  </si>
  <si>
    <t>1.1.8.6.3.10</t>
  </si>
  <si>
    <t>849</t>
  </si>
  <si>
    <t>1.1.8.6.3.11</t>
  </si>
  <si>
    <t>850</t>
  </si>
  <si>
    <t>1.1.8.6.3.12</t>
  </si>
  <si>
    <t>851</t>
  </si>
  <si>
    <t>1.1.8.6.3.13</t>
  </si>
  <si>
    <t>852</t>
  </si>
  <si>
    <t>1.1.8.6.3.14</t>
  </si>
  <si>
    <t>853</t>
  </si>
  <si>
    <t>1.1.8.6.3.15</t>
  </si>
  <si>
    <t>854</t>
  </si>
  <si>
    <t>1.1.8.6.3.16</t>
  </si>
  <si>
    <t>855</t>
  </si>
  <si>
    <t>1.1.8.6.3.17</t>
  </si>
  <si>
    <t>856</t>
  </si>
  <si>
    <t>1.1.8.7</t>
  </si>
  <si>
    <t>3G Change-out RBS6201 2x2 30Wpcc 1xDUW30(30HS codes) (Stand-Alone)</t>
  </si>
  <si>
    <t>858</t>
  </si>
  <si>
    <t>1.1.8.7.1</t>
  </si>
  <si>
    <t>859</t>
  </si>
  <si>
    <t>1.1.8.7.1.1</t>
  </si>
  <si>
    <t>860</t>
  </si>
  <si>
    <t>1.1.8.7.2</t>
  </si>
  <si>
    <t>862</t>
  </si>
  <si>
    <t>1.1.8.7.2.1</t>
  </si>
  <si>
    <t>863</t>
  </si>
  <si>
    <t>1.1.8.7.3</t>
  </si>
  <si>
    <t>RBS6201 WCDMA 2x2 30Wpcc_DUW30(0UL/0DL/30Code)_Rev A</t>
  </si>
  <si>
    <t>865</t>
  </si>
  <si>
    <t>1.1.8.7.3.1</t>
  </si>
  <si>
    <t>866</t>
  </si>
  <si>
    <t>1.1.8.7.3.2</t>
  </si>
  <si>
    <t>867</t>
  </si>
  <si>
    <t>1.1.8.7.3.3</t>
  </si>
  <si>
    <t>868</t>
  </si>
  <si>
    <t>1.1.8.7.3.4</t>
  </si>
  <si>
    <t>869</t>
  </si>
  <si>
    <t>1.1.8.7.3.5</t>
  </si>
  <si>
    <t>870</t>
  </si>
  <si>
    <t>1.1.8.7.3.6</t>
  </si>
  <si>
    <t>871</t>
  </si>
  <si>
    <t>1.1.8.7.3.7</t>
  </si>
  <si>
    <t>872</t>
  </si>
  <si>
    <t>1.1.8.7.3.8</t>
  </si>
  <si>
    <t>873</t>
  </si>
  <si>
    <t>1.1.8.7.3.9</t>
  </si>
  <si>
    <t>874</t>
  </si>
  <si>
    <t>1.1.8.7.3.10</t>
  </si>
  <si>
    <t>875</t>
  </si>
  <si>
    <t>1.1.8.7.3.11</t>
  </si>
  <si>
    <t>876</t>
  </si>
  <si>
    <t>1.1.8.7.3.12</t>
  </si>
  <si>
    <t>877</t>
  </si>
  <si>
    <t>1.1.8.7.3.13</t>
  </si>
  <si>
    <t>878</t>
  </si>
  <si>
    <t>1.1.8.7.3.14</t>
  </si>
  <si>
    <t>879</t>
  </si>
  <si>
    <t>1.1.8.7.3.15</t>
  </si>
  <si>
    <t>880</t>
  </si>
  <si>
    <t>1.1.8.7.3.16</t>
  </si>
  <si>
    <t>881</t>
  </si>
  <si>
    <t>1.1.8.8</t>
  </si>
  <si>
    <t>3G Change-out RBS6201 3x2 30Wpcc 1xDUW30(45HS codes) (Stand-Alone)</t>
  </si>
  <si>
    <t>883</t>
  </si>
  <si>
    <t>1.1.8.8.1</t>
  </si>
  <si>
    <t>884</t>
  </si>
  <si>
    <t>1.1.8.8.1.1</t>
  </si>
  <si>
    <t>885</t>
  </si>
  <si>
    <t>1.1.8.8.2</t>
  </si>
  <si>
    <t>887</t>
  </si>
  <si>
    <t>1.1.8.8.2.1</t>
  </si>
  <si>
    <t>888</t>
  </si>
  <si>
    <t>1.1.8.8.3</t>
  </si>
  <si>
    <t>RBS6201 WCDMA 3x2 30Wpcc_DUW30(0UL/0DL/45Code)_Rev A</t>
  </si>
  <si>
    <t>890</t>
  </si>
  <si>
    <t>1.1.8.8.3.1</t>
  </si>
  <si>
    <t>891</t>
  </si>
  <si>
    <t>1.1.8.8.3.2</t>
  </si>
  <si>
    <t>892</t>
  </si>
  <si>
    <t>1.1.8.8.3.3</t>
  </si>
  <si>
    <t>893</t>
  </si>
  <si>
    <t>1.1.8.8.3.4</t>
  </si>
  <si>
    <t>894</t>
  </si>
  <si>
    <t>1.1.8.8.3.5</t>
  </si>
  <si>
    <t>895</t>
  </si>
  <si>
    <t>1.1.8.8.3.6</t>
  </si>
  <si>
    <t>896</t>
  </si>
  <si>
    <t>1.1.8.8.3.7</t>
  </si>
  <si>
    <t>897</t>
  </si>
  <si>
    <t>1.1.8.8.3.8</t>
  </si>
  <si>
    <t>898</t>
  </si>
  <si>
    <t>1.1.8.8.3.9</t>
  </si>
  <si>
    <t>899</t>
  </si>
  <si>
    <t>1.1.8.8.3.10</t>
  </si>
  <si>
    <t>900</t>
  </si>
  <si>
    <t>1.1.8.8.3.11</t>
  </si>
  <si>
    <t>901</t>
  </si>
  <si>
    <t>1.1.8.8.3.12</t>
  </si>
  <si>
    <t>902</t>
  </si>
  <si>
    <t>1.1.8.8.3.13</t>
  </si>
  <si>
    <t>903</t>
  </si>
  <si>
    <t>1.1.8.8.3.14</t>
  </si>
  <si>
    <t>904</t>
  </si>
  <si>
    <t>1.1.8.8.3.15</t>
  </si>
  <si>
    <t>905</t>
  </si>
  <si>
    <t>1.1.8.8.3.16</t>
  </si>
  <si>
    <t>906</t>
  </si>
  <si>
    <t>1.1.8.9</t>
  </si>
  <si>
    <t>3G Change-out RBS6601 with SSC-02 1x2 30Wpcc 1xDUW20(15HS codes) (Stand-Alone) Reuse RRUW</t>
  </si>
  <si>
    <t>908</t>
  </si>
  <si>
    <t>1.1.8.9.1</t>
  </si>
  <si>
    <t>909</t>
  </si>
  <si>
    <t>1.1.8.9.1.1</t>
  </si>
  <si>
    <t>910</t>
  </si>
  <si>
    <t>1.1.8.9.2</t>
  </si>
  <si>
    <t>912</t>
  </si>
  <si>
    <t>1.1.8.9.2.1</t>
  </si>
  <si>
    <t>913</t>
  </si>
  <si>
    <t>1.1.8.9.3</t>
  </si>
  <si>
    <t>RBS6601 WCDMA No RRUW DUW20 (0UL/0DL/15Code)_IPRAN_Rev A</t>
  </si>
  <si>
    <t>915</t>
  </si>
  <si>
    <t>1.1.8.9.3.1</t>
  </si>
  <si>
    <t>916</t>
  </si>
  <si>
    <t>1.1.8.9.3.2</t>
  </si>
  <si>
    <t>917</t>
  </si>
  <si>
    <t>1.1.8.9.3.3</t>
  </si>
  <si>
    <t>918</t>
  </si>
  <si>
    <t>1.1.8.9.3.4</t>
  </si>
  <si>
    <t>919</t>
  </si>
  <si>
    <t>1.1.8.9.3.5</t>
  </si>
  <si>
    <t>920</t>
  </si>
  <si>
    <t>1.1.8.9.3.6</t>
  </si>
  <si>
    <t>921</t>
  </si>
  <si>
    <t>1.1.8.9.3.7</t>
  </si>
  <si>
    <t>922</t>
  </si>
  <si>
    <t>1.1.8.9.3.8</t>
  </si>
  <si>
    <t>923</t>
  </si>
  <si>
    <t>1.1.8.9.3.9</t>
  </si>
  <si>
    <t>924</t>
  </si>
  <si>
    <t>1.1.8.9.4</t>
  </si>
  <si>
    <t>926</t>
  </si>
  <si>
    <t>1.1.8.9.4.1</t>
  </si>
  <si>
    <t>927</t>
  </si>
  <si>
    <t>1.1.8.9.4.1.1</t>
  </si>
  <si>
    <t>929</t>
  </si>
  <si>
    <t>1.1.8.9.4.1.2</t>
  </si>
  <si>
    <t>930</t>
  </si>
  <si>
    <t>1.1.8.9.4.1.3</t>
  </si>
  <si>
    <t>931</t>
  </si>
  <si>
    <t>1.1.8.9.4.1.4</t>
  </si>
  <si>
    <t>932</t>
  </si>
  <si>
    <t>1.1.8.9.4.1.5</t>
  </si>
  <si>
    <t>933</t>
  </si>
  <si>
    <t>1.1.8.9.4.1.6</t>
  </si>
  <si>
    <t>934</t>
  </si>
  <si>
    <t>1.1.8.9.4.1.7</t>
  </si>
  <si>
    <t>935</t>
  </si>
  <si>
    <t>1.1.8.9.4.1.8</t>
  </si>
  <si>
    <t>936</t>
  </si>
  <si>
    <t>1.1.8.9.4.1.9</t>
  </si>
  <si>
    <t>937</t>
  </si>
  <si>
    <t>1.1.8.9.4.1.10</t>
  </si>
  <si>
    <t>938</t>
  </si>
  <si>
    <t>1.1.8.10</t>
  </si>
  <si>
    <t>3G Change-out RBS6601 with SSC-02 2x2 30Wpcc 1xDUW30(30HS codes) (Stand-Alone) Reuse RRUW</t>
  </si>
  <si>
    <t>940</t>
  </si>
  <si>
    <t>1.1.8.10.1</t>
  </si>
  <si>
    <t>941</t>
  </si>
  <si>
    <t>1.1.8.10.1.1</t>
  </si>
  <si>
    <t>942</t>
  </si>
  <si>
    <t>1.1.8.10.2</t>
  </si>
  <si>
    <t>944</t>
  </si>
  <si>
    <t>1.1.8.10.2.1</t>
  </si>
  <si>
    <t>945</t>
  </si>
  <si>
    <t>1.1.8.10.3</t>
  </si>
  <si>
    <t>RBS6601 WCDMA No RRUW DUW30 (0UL/0DL/30Code)_IPRAN_Rev A</t>
  </si>
  <si>
    <t>947</t>
  </si>
  <si>
    <t>1.1.8.10.3.1</t>
  </si>
  <si>
    <t>948</t>
  </si>
  <si>
    <t>1.1.8.10.3.2</t>
  </si>
  <si>
    <t>949</t>
  </si>
  <si>
    <t>1.1.8.10.3.3</t>
  </si>
  <si>
    <t>950</t>
  </si>
  <si>
    <t>1.1.8.10.3.4</t>
  </si>
  <si>
    <t>951</t>
  </si>
  <si>
    <t>1.1.8.10.3.5</t>
  </si>
  <si>
    <t>952</t>
  </si>
  <si>
    <t>1.1.8.10.3.6</t>
  </si>
  <si>
    <t>953</t>
  </si>
  <si>
    <t>1.1.8.10.3.7</t>
  </si>
  <si>
    <t>954</t>
  </si>
  <si>
    <t>1.1.8.10.3.8</t>
  </si>
  <si>
    <t>955</t>
  </si>
  <si>
    <t>1.1.8.10.4</t>
  </si>
  <si>
    <t>957</t>
  </si>
  <si>
    <t>1.1.8.10.4.1</t>
  </si>
  <si>
    <t>958</t>
  </si>
  <si>
    <t>1.1.8.10.4.1.1</t>
  </si>
  <si>
    <t>960</t>
  </si>
  <si>
    <t>1.1.8.10.4.1.2</t>
  </si>
  <si>
    <t>961</t>
  </si>
  <si>
    <t>1.1.8.10.4.1.3</t>
  </si>
  <si>
    <t>962</t>
  </si>
  <si>
    <t>1.1.8.10.4.1.4</t>
  </si>
  <si>
    <t>963</t>
  </si>
  <si>
    <t>1.1.8.10.4.1.5</t>
  </si>
  <si>
    <t>964</t>
  </si>
  <si>
    <t>1.1.8.10.4.1.6</t>
  </si>
  <si>
    <t>965</t>
  </si>
  <si>
    <t>1.1.8.10.4.1.7</t>
  </si>
  <si>
    <t>966</t>
  </si>
  <si>
    <t>1.1.8.10.4.1.8</t>
  </si>
  <si>
    <t>967</t>
  </si>
  <si>
    <t>1.1.8.10.4.1.9</t>
  </si>
  <si>
    <t>968</t>
  </si>
  <si>
    <t>1.1.8.10.4.1.10</t>
  </si>
  <si>
    <t>969</t>
  </si>
  <si>
    <t>1.1.8.11</t>
  </si>
  <si>
    <t>3G Change-out RBS6601 with SSC-02 3x2 30Wpcc 1xDUW30(45HS codes) (Stand-Alone) Reuse RRUW</t>
  </si>
  <si>
    <t>971</t>
  </si>
  <si>
    <t>1.1.8.11.1</t>
  </si>
  <si>
    <t>972</t>
  </si>
  <si>
    <t>1.1.8.11.1.1</t>
  </si>
  <si>
    <t>973</t>
  </si>
  <si>
    <t>1.1.8.11.2</t>
  </si>
  <si>
    <t>975</t>
  </si>
  <si>
    <t>1.1.8.11.2.1</t>
  </si>
  <si>
    <t>976</t>
  </si>
  <si>
    <t>1.1.8.11.3</t>
  </si>
  <si>
    <t>RBS6601 WCDMA No RRUW DUW30 (0UL/0DL/45Code)_IPRAN_Rev A</t>
  </si>
  <si>
    <t>978</t>
  </si>
  <si>
    <t>1.1.8.11.3.1</t>
  </si>
  <si>
    <t>979</t>
  </si>
  <si>
    <t>1.1.8.11.3.2</t>
  </si>
  <si>
    <t>980</t>
  </si>
  <si>
    <t>1.1.8.11.3.3</t>
  </si>
  <si>
    <t>981</t>
  </si>
  <si>
    <t>1.1.8.11.3.4</t>
  </si>
  <si>
    <t>982</t>
  </si>
  <si>
    <t>1.1.8.11.3.5</t>
  </si>
  <si>
    <t>983</t>
  </si>
  <si>
    <t>1.1.8.11.3.6</t>
  </si>
  <si>
    <t>984</t>
  </si>
  <si>
    <t>1.1.8.11.3.7</t>
  </si>
  <si>
    <t>985</t>
  </si>
  <si>
    <t>1.1.8.11.3.8</t>
  </si>
  <si>
    <t>986</t>
  </si>
  <si>
    <t>1.1.8.11.4</t>
  </si>
  <si>
    <t>988</t>
  </si>
  <si>
    <t>1.1.8.11.4.1</t>
  </si>
  <si>
    <t>989</t>
  </si>
  <si>
    <t>1.1.8.11.4.1.1</t>
  </si>
  <si>
    <t>991</t>
  </si>
  <si>
    <t>1.1.8.11.4.1.2</t>
  </si>
  <si>
    <t>992</t>
  </si>
  <si>
    <t>1.1.8.11.4.1.3</t>
  </si>
  <si>
    <t>993</t>
  </si>
  <si>
    <t>1.1.8.11.4.1.4</t>
  </si>
  <si>
    <t>994</t>
  </si>
  <si>
    <t>1.1.8.11.4.1.5</t>
  </si>
  <si>
    <t>995</t>
  </si>
  <si>
    <t>1.1.8.11.4.1.6</t>
  </si>
  <si>
    <t>996</t>
  </si>
  <si>
    <t>1.1.8.11.4.1.7</t>
  </si>
  <si>
    <t>997</t>
  </si>
  <si>
    <t>1.1.8.11.4.1.8</t>
  </si>
  <si>
    <t>998</t>
  </si>
  <si>
    <t>1.1.8.11.4.1.9</t>
  </si>
  <si>
    <t>999</t>
  </si>
  <si>
    <t>1.1.8.11.4.1.10</t>
  </si>
  <si>
    <t>1000</t>
  </si>
  <si>
    <t>1.1.8.12</t>
  </si>
  <si>
    <t>3G Change-out RBS6101 1x2 30Wpcc 1xDUW20(15HS codes) (Co-site 2G)</t>
  </si>
  <si>
    <t>1002</t>
  </si>
  <si>
    <t>1.1.8.12.1</t>
  </si>
  <si>
    <t>1003</t>
  </si>
  <si>
    <t>1.1.8.12.1.1</t>
  </si>
  <si>
    <t>1004</t>
  </si>
  <si>
    <t>1.1.8.12.2</t>
  </si>
  <si>
    <t>1006</t>
  </si>
  <si>
    <t>1.1.8.12.2.1</t>
  </si>
  <si>
    <t>1007</t>
  </si>
  <si>
    <t>1.1.8.12.3</t>
  </si>
  <si>
    <t>RBS6101 WCDMA 1x2 30Wpcc_DUW20(0UL/0DL/15Code)_Rev A (Exclude Cabinet)</t>
  </si>
  <si>
    <t>1009</t>
  </si>
  <si>
    <t>1.1.8.12.3.1</t>
  </si>
  <si>
    <t>1010</t>
  </si>
  <si>
    <t>1.1.8.12.3.2</t>
  </si>
  <si>
    <t>1011</t>
  </si>
  <si>
    <t>1.1.8.12.3.3</t>
  </si>
  <si>
    <t>1012</t>
  </si>
  <si>
    <t>1.1.8.12.3.4</t>
  </si>
  <si>
    <t>1013</t>
  </si>
  <si>
    <t>1.1.8.12.3.5</t>
  </si>
  <si>
    <t>1014</t>
  </si>
  <si>
    <t>1.1.8.12.3.6</t>
  </si>
  <si>
    <t>1015</t>
  </si>
  <si>
    <t>1.1.8.12.3.7</t>
  </si>
  <si>
    <t>1016</t>
  </si>
  <si>
    <t>1.1.8.12.3.8</t>
  </si>
  <si>
    <t>1017</t>
  </si>
  <si>
    <t>1.1.8.12.3.9</t>
  </si>
  <si>
    <t>1018</t>
  </si>
  <si>
    <t>1.1.8.12.3.10</t>
  </si>
  <si>
    <t>1019</t>
  </si>
  <si>
    <t>1.1.8.12.3.11</t>
  </si>
  <si>
    <t>1020</t>
  </si>
  <si>
    <t>1.1.8.12.3.12</t>
  </si>
  <si>
    <t>1021</t>
  </si>
  <si>
    <t>1.1.8.12.3.13</t>
  </si>
  <si>
    <t>1022</t>
  </si>
  <si>
    <t>1.1.8.12.3.14</t>
  </si>
  <si>
    <t>1023</t>
  </si>
  <si>
    <t>1.1.8.12.3.15</t>
  </si>
  <si>
    <t>1024</t>
  </si>
  <si>
    <t>1.1.8.12.3.16</t>
  </si>
  <si>
    <t>1025</t>
  </si>
  <si>
    <t>1.1.8.12.3.17</t>
  </si>
  <si>
    <t>1026</t>
  </si>
  <si>
    <t>1.1.8.12.3.18</t>
  </si>
  <si>
    <t>1027</t>
  </si>
  <si>
    <t>1.1.8.12.3.19</t>
  </si>
  <si>
    <t>1028</t>
  </si>
  <si>
    <t>1.1.8.12.3.20</t>
  </si>
  <si>
    <t>1029</t>
  </si>
  <si>
    <t>1.1.8.12.3.21</t>
  </si>
  <si>
    <t>1030</t>
  </si>
  <si>
    <t>1.1.8.12.3.22</t>
  </si>
  <si>
    <t>1031</t>
  </si>
  <si>
    <t>1.1.8.13</t>
  </si>
  <si>
    <t>3G Change-out RBS6102 1x2 30Wpcc 1xDUW20(15HS codes) (Co-site 2G)</t>
  </si>
  <si>
    <t>1033</t>
  </si>
  <si>
    <t>1.1.8.13.1</t>
  </si>
  <si>
    <t>1034</t>
  </si>
  <si>
    <t>1.1.8.13.1.1</t>
  </si>
  <si>
    <t>1035</t>
  </si>
  <si>
    <t>1.1.8.13.2</t>
  </si>
  <si>
    <t>1037</t>
  </si>
  <si>
    <t>1.1.8.13.2.1</t>
  </si>
  <si>
    <t>1038</t>
  </si>
  <si>
    <t>1.1.8.13.3</t>
  </si>
  <si>
    <t>RBS6102 WCDMA 1x2 30Wpcc_DUW20(0UL/0DL/15Code)_Rev A (Exclude Cabinet)</t>
  </si>
  <si>
    <t>1040</t>
  </si>
  <si>
    <t>1.1.8.13.3.1</t>
  </si>
  <si>
    <t>1041</t>
  </si>
  <si>
    <t>1.1.8.13.3.2</t>
  </si>
  <si>
    <t>1042</t>
  </si>
  <si>
    <t>1.1.8.13.3.3</t>
  </si>
  <si>
    <t>Extended Cimate System</t>
  </si>
  <si>
    <t>1043</t>
  </si>
  <si>
    <t>1.1.8.13.3.4</t>
  </si>
  <si>
    <t>1044</t>
  </si>
  <si>
    <t>1.1.8.13.3.5</t>
  </si>
  <si>
    <t>1045</t>
  </si>
  <si>
    <t>1.1.8.13.3.6</t>
  </si>
  <si>
    <t>1046</t>
  </si>
  <si>
    <t>1.1.8.13.3.7</t>
  </si>
  <si>
    <t>Cabinet Expansion kit from 6 RU to 12 RU (no RU incl.)</t>
  </si>
  <si>
    <t>1047</t>
  </si>
  <si>
    <t>1.1.8.13.3.8</t>
  </si>
  <si>
    <t>1048</t>
  </si>
  <si>
    <t>1.1.8.13.3.9</t>
  </si>
  <si>
    <t>1049</t>
  </si>
  <si>
    <t>1.1.8.13.3.10</t>
  </si>
  <si>
    <t>1050</t>
  </si>
  <si>
    <t>1.1.8.13.3.11</t>
  </si>
  <si>
    <t>1051</t>
  </si>
  <si>
    <t>1.1.8.13.3.12</t>
  </si>
  <si>
    <t>1052</t>
  </si>
  <si>
    <t>1.1.8.13.3.13</t>
  </si>
  <si>
    <t>1053</t>
  </si>
  <si>
    <t>1.1.8.13.3.14</t>
  </si>
  <si>
    <t>1054</t>
  </si>
  <si>
    <t>1.1.8.13.3.15</t>
  </si>
  <si>
    <t>1055</t>
  </si>
  <si>
    <t>1.1.8.13.3.16</t>
  </si>
  <si>
    <t>1056</t>
  </si>
  <si>
    <t>1.1.8.13.3.17</t>
  </si>
  <si>
    <t>1057</t>
  </si>
  <si>
    <t>1.1.8.13.3.18</t>
  </si>
  <si>
    <t>1058</t>
  </si>
  <si>
    <t>1.1.8.13.3.19</t>
  </si>
  <si>
    <t>1059</t>
  </si>
  <si>
    <t>1.1.8.13.3.20</t>
  </si>
  <si>
    <t>1060</t>
  </si>
  <si>
    <t>1.1.8.13.3.21</t>
  </si>
  <si>
    <t>1061</t>
  </si>
  <si>
    <t>1.1.8.13.3.22</t>
  </si>
  <si>
    <t>1062</t>
  </si>
  <si>
    <t>1.1.8.13.3.23</t>
  </si>
  <si>
    <t>1063</t>
  </si>
  <si>
    <t>1.1.8.13.3.24</t>
  </si>
  <si>
    <t>1064</t>
  </si>
  <si>
    <t>1.1.8.13.3.25</t>
  </si>
  <si>
    <t>1065</t>
  </si>
  <si>
    <t>1.1.8.13.3.26</t>
  </si>
  <si>
    <t>1066</t>
  </si>
  <si>
    <t>1.1.8.13.3.27</t>
  </si>
  <si>
    <t>1067</t>
  </si>
  <si>
    <t>1.1.8.13.3.28</t>
  </si>
  <si>
    <t>1068</t>
  </si>
  <si>
    <t>1.1.8.14</t>
  </si>
  <si>
    <t>3G Change-out RBS6201 1x2 30Wpcc 1xDUW20(15HS codes) (Co-site 2G)</t>
  </si>
  <si>
    <t>1070</t>
  </si>
  <si>
    <t>1.1.8.14.1</t>
  </si>
  <si>
    <t>1071</t>
  </si>
  <si>
    <t>1.1.8.14.1.1</t>
  </si>
  <si>
    <t>1072</t>
  </si>
  <si>
    <t>1.1.8.14.2</t>
  </si>
  <si>
    <t>1074</t>
  </si>
  <si>
    <t>1.1.8.14.2.1</t>
  </si>
  <si>
    <t>1075</t>
  </si>
  <si>
    <t>1.1.8.14.3</t>
  </si>
  <si>
    <t>RBS6201 WCDMA 1x2 30Wpcc_DUW20(0UL/0DL/15Code)_Rev A (Exclude Cabinet)</t>
  </si>
  <si>
    <t>1077</t>
  </si>
  <si>
    <t>1.1.8.14.3.1</t>
  </si>
  <si>
    <t>1078</t>
  </si>
  <si>
    <t>1.1.8.14.3.2</t>
  </si>
  <si>
    <t>1079</t>
  </si>
  <si>
    <t>1.1.8.14.3.3</t>
  </si>
  <si>
    <t>1080</t>
  </si>
  <si>
    <t>1.1.8.14.3.4</t>
  </si>
  <si>
    <t>1081</t>
  </si>
  <si>
    <t>1.1.8.14.3.5</t>
  </si>
  <si>
    <t>1082</t>
  </si>
  <si>
    <t>1.1.8.14.3.6</t>
  </si>
  <si>
    <t>1083</t>
  </si>
  <si>
    <t>1.1.8.14.3.7</t>
  </si>
  <si>
    <t>1084</t>
  </si>
  <si>
    <t>1.1.8.14.3.8</t>
  </si>
  <si>
    <t>1085</t>
  </si>
  <si>
    <t>1.1.8.14.3.9</t>
  </si>
  <si>
    <t>1086</t>
  </si>
  <si>
    <t>1.1.8.14.3.10</t>
  </si>
  <si>
    <t>1087</t>
  </si>
  <si>
    <t>1.1.8.14.3.11</t>
  </si>
  <si>
    <t>1088</t>
  </si>
  <si>
    <t>1.1.8.14.3.12</t>
  </si>
  <si>
    <t>1089</t>
  </si>
  <si>
    <t>1.1.8.14.3.13</t>
  </si>
  <si>
    <t>1090</t>
  </si>
  <si>
    <t>1.1.8.14.3.14</t>
  </si>
  <si>
    <t>1091</t>
  </si>
  <si>
    <t>1.1.8.14.3.15</t>
  </si>
  <si>
    <t>1092</t>
  </si>
  <si>
    <t>1.1.8.14.3.16</t>
  </si>
  <si>
    <t>1093</t>
  </si>
  <si>
    <t>1.1.8.14.3.17</t>
  </si>
  <si>
    <t>1094</t>
  </si>
  <si>
    <t>1.1.8.15</t>
  </si>
  <si>
    <t>3G Change-out RBS6601 1x2 30Wpcc 1xDUW20(15HS codes) (Co-site 2G)</t>
  </si>
  <si>
    <t>1096</t>
  </si>
  <si>
    <t>1.1.8.15.1</t>
  </si>
  <si>
    <t>1097</t>
  </si>
  <si>
    <t>1.1.8.15.1.1</t>
  </si>
  <si>
    <t>1098</t>
  </si>
  <si>
    <t>1.1.8.15.2</t>
  </si>
  <si>
    <t>1100</t>
  </si>
  <si>
    <t>1.1.8.15.2.1</t>
  </si>
  <si>
    <t>1101</t>
  </si>
  <si>
    <t>1.1.8.15.3</t>
  </si>
  <si>
    <t>1103</t>
  </si>
  <si>
    <t>1.1.8.15.3.1</t>
  </si>
  <si>
    <t>1104</t>
  </si>
  <si>
    <t>1.1.8.15.3.2</t>
  </si>
  <si>
    <t>1105</t>
  </si>
  <si>
    <t>1.1.8.15.3.3</t>
  </si>
  <si>
    <t>1106</t>
  </si>
  <si>
    <t>1.1.8.15.3.4</t>
  </si>
  <si>
    <t>1107</t>
  </si>
  <si>
    <t>1.1.8.15.3.5</t>
  </si>
  <si>
    <t>1108</t>
  </si>
  <si>
    <t>1.1.8.15.3.6</t>
  </si>
  <si>
    <t>1109</t>
  </si>
  <si>
    <t>1.1.8.15.3.7</t>
  </si>
  <si>
    <t>1110</t>
  </si>
  <si>
    <t>1.1.8.15.3.8</t>
  </si>
  <si>
    <t>1111</t>
  </si>
  <si>
    <t>1.1.8.15.3.9</t>
  </si>
  <si>
    <t>1112</t>
  </si>
  <si>
    <t>1.1.8.16</t>
  </si>
  <si>
    <t>3G Change-out RBS6102 3x2 30Wpcc 1xDUW30(45HS codes) (Co-site 2G)</t>
  </si>
  <si>
    <t>1114</t>
  </si>
  <si>
    <t>1.1.8.16.1</t>
  </si>
  <si>
    <t>1115</t>
  </si>
  <si>
    <t>1.1.8.16.1.1</t>
  </si>
  <si>
    <t>1116</t>
  </si>
  <si>
    <t>1.1.8.16.2</t>
  </si>
  <si>
    <t>1118</t>
  </si>
  <si>
    <t>1.1.8.16.2.1</t>
  </si>
  <si>
    <t>1119</t>
  </si>
  <si>
    <t>1.1.8.16.3</t>
  </si>
  <si>
    <t>RBS6102 WCDMA 3x2 30Wpcc_DUW30(0UL/0DL/45Code)_Rev A (Exclude Cabinet)</t>
  </si>
  <si>
    <t>1121</t>
  </si>
  <si>
    <t>1.1.8.16.3.1</t>
  </si>
  <si>
    <t>1122</t>
  </si>
  <si>
    <t>1.1.8.16.3.2</t>
  </si>
  <si>
    <t>1123</t>
  </si>
  <si>
    <t>1.1.8.16.3.3</t>
  </si>
  <si>
    <t>1124</t>
  </si>
  <si>
    <t>1.1.8.16.3.4</t>
  </si>
  <si>
    <t>1125</t>
  </si>
  <si>
    <t>1.1.8.16.3.5</t>
  </si>
  <si>
    <t>1126</t>
  </si>
  <si>
    <t>1.1.8.16.3.6</t>
  </si>
  <si>
    <t>1127</t>
  </si>
  <si>
    <t>1.1.8.16.3.7</t>
  </si>
  <si>
    <t>1128</t>
  </si>
  <si>
    <t>1.1.8.16.3.8</t>
  </si>
  <si>
    <t>1129</t>
  </si>
  <si>
    <t>1.1.8.16.3.9</t>
  </si>
  <si>
    <t>1130</t>
  </si>
  <si>
    <t>1.1.8.16.3.10</t>
  </si>
  <si>
    <t>1131</t>
  </si>
  <si>
    <t>1.1.8.16.3.11</t>
  </si>
  <si>
    <t>1132</t>
  </si>
  <si>
    <t>1.1.8.16.3.12</t>
  </si>
  <si>
    <t>1133</t>
  </si>
  <si>
    <t>1.1.8.16.3.13</t>
  </si>
  <si>
    <t>1134</t>
  </si>
  <si>
    <t>1.1.8.16.3.14</t>
  </si>
  <si>
    <t>1135</t>
  </si>
  <si>
    <t>1.1.8.16.3.15</t>
  </si>
  <si>
    <t>1136</t>
  </si>
  <si>
    <t>1.1.8.16.3.16</t>
  </si>
  <si>
    <t>1137</t>
  </si>
  <si>
    <t>1.1.8.16.3.17</t>
  </si>
  <si>
    <t>1138</t>
  </si>
  <si>
    <t>1.1.8.16.3.18</t>
  </si>
  <si>
    <t>1139</t>
  </si>
  <si>
    <t>1.1.8.16.3.19</t>
  </si>
  <si>
    <t>1140</t>
  </si>
  <si>
    <t>1.1.8.16.3.20</t>
  </si>
  <si>
    <t>1141</t>
  </si>
  <si>
    <t>1.1.8.16.3.21</t>
  </si>
  <si>
    <t>1142</t>
  </si>
  <si>
    <t>1.1.8.16.3.22</t>
  </si>
  <si>
    <t>1143</t>
  </si>
  <si>
    <t>1.1.8.16.3.23</t>
  </si>
  <si>
    <t>1144</t>
  </si>
  <si>
    <t>1.1.8.16.3.24</t>
  </si>
  <si>
    <t>1145</t>
  </si>
  <si>
    <t>1.1.8.16.3.25</t>
  </si>
  <si>
    <t>1146</t>
  </si>
  <si>
    <t>1.1.8.16.3.26</t>
  </si>
  <si>
    <t>1147</t>
  </si>
  <si>
    <t>1.1.8.16.3.27</t>
  </si>
  <si>
    <t>1148</t>
  </si>
  <si>
    <t>1.1.8.16.3.28</t>
  </si>
  <si>
    <t>1149</t>
  </si>
  <si>
    <t>1.1.8.16.3.29</t>
  </si>
  <si>
    <t>1150</t>
  </si>
  <si>
    <t>1.1.8.17</t>
  </si>
  <si>
    <t>3G Change-out RBS6102 2x2 30Wpcc 1xDUW30(30HS codes) (Co-site 2G)</t>
  </si>
  <si>
    <t>1152</t>
  </si>
  <si>
    <t>1.1.8.17.1</t>
  </si>
  <si>
    <t>1153</t>
  </si>
  <si>
    <t>1.1.8.17.1.1</t>
  </si>
  <si>
    <t>1154</t>
  </si>
  <si>
    <t>1.1.8.17.2</t>
  </si>
  <si>
    <t>1156</t>
  </si>
  <si>
    <t>1.1.8.17.2.1</t>
  </si>
  <si>
    <t>1157</t>
  </si>
  <si>
    <t>1.1.8.17.3</t>
  </si>
  <si>
    <t>RBS6102 WCDMA 2x2 30Wpcc_DUW30(0UL/0DL/30Code)_Rev A (Exclude Cabinet)</t>
  </si>
  <si>
    <t>1159</t>
  </si>
  <si>
    <t>1.1.8.17.3.1</t>
  </si>
  <si>
    <t>1160</t>
  </si>
  <si>
    <t>1.1.8.17.3.2</t>
  </si>
  <si>
    <t>1161</t>
  </si>
  <si>
    <t>1.1.8.17.3.3</t>
  </si>
  <si>
    <t>1162</t>
  </si>
  <si>
    <t>1.1.8.17.3.4</t>
  </si>
  <si>
    <t>1163</t>
  </si>
  <si>
    <t>1.1.8.17.3.5</t>
  </si>
  <si>
    <t>1164</t>
  </si>
  <si>
    <t>1.1.8.17.3.6</t>
  </si>
  <si>
    <t>1165</t>
  </si>
  <si>
    <t>1.1.8.17.3.7</t>
  </si>
  <si>
    <t>1166</t>
  </si>
  <si>
    <t>1.1.8.17.3.8</t>
  </si>
  <si>
    <t>1167</t>
  </si>
  <si>
    <t>1.1.8.17.3.9</t>
  </si>
  <si>
    <t>1168</t>
  </si>
  <si>
    <t>1.1.8.17.3.10</t>
  </si>
  <si>
    <t>1169</t>
  </si>
  <si>
    <t>1.1.8.17.3.11</t>
  </si>
  <si>
    <t>1170</t>
  </si>
  <si>
    <t>1.1.8.17.3.12</t>
  </si>
  <si>
    <t>1171</t>
  </si>
  <si>
    <t>1.1.8.17.3.13</t>
  </si>
  <si>
    <t>1172</t>
  </si>
  <si>
    <t>1.1.8.17.3.14</t>
  </si>
  <si>
    <t>1173</t>
  </si>
  <si>
    <t>1.1.8.17.3.15</t>
  </si>
  <si>
    <t>1174</t>
  </si>
  <si>
    <t>1.1.8.17.3.16</t>
  </si>
  <si>
    <t>1175</t>
  </si>
  <si>
    <t>1.1.8.17.3.17</t>
  </si>
  <si>
    <t>1176</t>
  </si>
  <si>
    <t>1.1.8.17.3.18</t>
  </si>
  <si>
    <t>1177</t>
  </si>
  <si>
    <t>1.1.8.17.3.19</t>
  </si>
  <si>
    <t>1178</t>
  </si>
  <si>
    <t>1.1.8.17.3.20</t>
  </si>
  <si>
    <t>1179</t>
  </si>
  <si>
    <t>1.1.8.17.3.21</t>
  </si>
  <si>
    <t>1180</t>
  </si>
  <si>
    <t>1.1.8.17.3.22</t>
  </si>
  <si>
    <t>1181</t>
  </si>
  <si>
    <t>1.1.8.17.3.23</t>
  </si>
  <si>
    <t>1182</t>
  </si>
  <si>
    <t>1.1.8.17.3.24</t>
  </si>
  <si>
    <t>1183</t>
  </si>
  <si>
    <t>1.1.8.17.3.25</t>
  </si>
  <si>
    <t>1184</t>
  </si>
  <si>
    <t>1.1.8.17.3.26</t>
  </si>
  <si>
    <t>1185</t>
  </si>
  <si>
    <t>1.1.8.17.3.27</t>
  </si>
  <si>
    <t>1186</t>
  </si>
  <si>
    <t>1.1.8.17.3.28</t>
  </si>
  <si>
    <t>1187</t>
  </si>
  <si>
    <t>7</t>
  </si>
  <si>
    <t>8</t>
  </si>
  <si>
    <t>9</t>
  </si>
  <si>
    <t>10</t>
  </si>
  <si>
    <t>=SUM(K303)</t>
  </si>
  <si>
    <t>=SUM(K305,K306,K307,K308,K309,K310,K311)</t>
  </si>
  <si>
    <t>=SUM(K314)</t>
  </si>
  <si>
    <t>=SUM(K316,K317,K318,K319,K320,K321,K322)</t>
  </si>
  <si>
    <t>=SUM(K325)</t>
  </si>
  <si>
    <t>=SUM(K327,K328,K329,K330)</t>
  </si>
  <si>
    <t>=SUM(K333)</t>
  </si>
  <si>
    <t>=SUM(K335,K336,K337,K338,K339,K340)</t>
  </si>
  <si>
    <t>=SUM(K343)</t>
  </si>
  <si>
    <t>=SUM(K345,K346,K347)</t>
  </si>
  <si>
    <t>=SUM(K350)</t>
  </si>
  <si>
    <t>=SUM(K352,K353,K354,K355,K356,K357)</t>
  </si>
  <si>
    <t>=SUM(K360)</t>
  </si>
  <si>
    <t>=SUM(K362,K363,K364,K365,K366,K367)</t>
  </si>
  <si>
    <t>=SUM(K370)</t>
  </si>
  <si>
    <t>=SUM(K372,K373,K374)</t>
  </si>
  <si>
    <t>=SUM(K377)</t>
  </si>
  <si>
    <t>=SUM(K379,K380,K381)</t>
  </si>
  <si>
    <t>=SUM(K384)</t>
  </si>
  <si>
    <t>=SUM(K386,K387,K388,K389,K390,K391,K392)</t>
  </si>
  <si>
    <t>=SUM(K395)</t>
  </si>
  <si>
    <t>=SUM(K397,K398,K399,K400,K401,K402,K403)</t>
  </si>
  <si>
    <t>=SUM(K406)</t>
  </si>
  <si>
    <t>=SUM(K409,K410,K411)</t>
  </si>
  <si>
    <t>=SUM(K413,K414,K415,K416,K417,K418,K419,K420,K421,K422)</t>
  </si>
  <si>
    <t>=SUM(K425)</t>
  </si>
  <si>
    <t>=SUM(K428,K429,K430)</t>
  </si>
  <si>
    <t>=SUM(K432,K433,K434,K435,K436,K437,K438,K439,K440,K441)</t>
  </si>
  <si>
    <t>=SUM(K444)</t>
  </si>
  <si>
    <t>=SUM(K447,K448,K449)</t>
  </si>
  <si>
    <t>=SUM(K451,K452,K453,K454,K455,K456,K457,K458,K459,K460)</t>
  </si>
  <si>
    <t>=SUM(K463,K464)</t>
  </si>
  <si>
    <t>=SUM(K467)</t>
  </si>
  <si>
    <t>=SUM(K469,K470,K471,K472,K473,K474,K475,K476)</t>
  </si>
  <si>
    <t>=SUM(K479)</t>
  </si>
  <si>
    <t>=SUM(K481,K482,K483,K484,K485,K486,K487,K488)</t>
  </si>
  <si>
    <t>=SUM(K283)</t>
  </si>
  <si>
    <t>=SUM(K285,K286,K287,K288,K289,K290,K291)</t>
  </si>
  <si>
    <t>=SUM(K294)</t>
  </si>
  <si>
    <t>=SUM(K296,K297,K298,K299,K300)</t>
  </si>
  <si>
    <t>=SUM(K492)</t>
  </si>
  <si>
    <t>=SUM(K494)</t>
  </si>
  <si>
    <t>=SUM(K497)</t>
  </si>
  <si>
    <t>=SUM(K499)</t>
  </si>
  <si>
    <t>=SUM(K502,K503)</t>
  </si>
  <si>
    <t>=SUM(K507,K508)</t>
  </si>
  <si>
    <t>=SUM(K510)</t>
  </si>
  <si>
    <t>=SUM(K512)</t>
  </si>
  <si>
    <t>=SUM(K514)</t>
  </si>
  <si>
    <t>=SUM(K517,K518)</t>
  </si>
  <si>
    <t>=SUM(K520)</t>
  </si>
  <si>
    <t>=SUM(K522)</t>
  </si>
  <si>
    <t>=SUM(K524)</t>
  </si>
  <si>
    <t>=SUM(K526)</t>
  </si>
  <si>
    <t>=SUM(K529)</t>
  </si>
  <si>
    <t>=SUM(K532)</t>
  </si>
  <si>
    <t>=SUM(K535)</t>
  </si>
  <si>
    <t>=SUM(K538)</t>
  </si>
  <si>
    <t>=SUM(K541)</t>
  </si>
  <si>
    <t>=SUM(K544)</t>
  </si>
  <si>
    <t>=SUM(K548)</t>
  </si>
  <si>
    <t>=SUM(K550)</t>
  </si>
  <si>
    <t>=SUM(K552,K553,K554,K555)</t>
  </si>
  <si>
    <t>=SUM(K557,K558,K559)</t>
  </si>
  <si>
    <t>=SUM(K561)</t>
  </si>
  <si>
    <t>=SUM(K563)</t>
  </si>
  <si>
    <t>=SUM(K784)</t>
  </si>
  <si>
    <t>=SUM(K786)</t>
  </si>
  <si>
    <t>=SUM(K788,K789,K790,K791,K792,K793,K794,K795)</t>
  </si>
  <si>
    <t>=SUM(K798,K799,K800,K801,K802,K803,K804,K805,K806,K807)</t>
  </si>
  <si>
    <t>=SUM(K810)</t>
  </si>
  <si>
    <t>=SUM(K812)</t>
  </si>
  <si>
    <t>=SUM(K814,K815,K816,K817,K818,K819,K820,K821)</t>
  </si>
  <si>
    <t>=SUM(K824,K825,K826,K827,K828,K829,K830,K831,K832,K833)</t>
  </si>
  <si>
    <t>=SUM(K836)</t>
  </si>
  <si>
    <t>=SUM(K838)</t>
  </si>
  <si>
    <t>=SUM(K840,K841,K842,K843,K844,K845,K846,K847,K848,K849,K850,K851,K852,K853,K854,K855,K856,K857,K858,K859,K860,K861)</t>
  </si>
  <si>
    <t>=SUM(K864)</t>
  </si>
  <si>
    <t>=SUM(K866)</t>
  </si>
  <si>
    <t>=SUM(K868,K869,K870,K871,K872,K873,K874,K875,K876,K877,K878,K879,K880,K881,K882,K883,K884,K885,K886,K887,K888,K889,K890,K891,K892,K893,K894,K895)</t>
  </si>
  <si>
    <t>=SUM(K898)</t>
  </si>
  <si>
    <t>=SUM(K900)</t>
  </si>
  <si>
    <t>=SUM(K902,K903,K904,K905,K906,K907,K908,K909,K910,K911,K912,K913,K914,K915,K916,K917,K918)</t>
  </si>
  <si>
    <t>=SUM(K921)</t>
  </si>
  <si>
    <t>=SUM(K923)</t>
  </si>
  <si>
    <t>=SUM(K925,K926,K927,K928,K929,K930,K931,K932,K933)</t>
  </si>
  <si>
    <t>=SUM(K936)</t>
  </si>
  <si>
    <t>=SUM(K938)</t>
  </si>
  <si>
    <t>=SUM(K940,K941,K942,K943,K944,K945,K946,K947,K948,K949,K950,K951,K952,K953,K954,K955,K956,K957,K958,K959,K960,K961,K962,K963,K964,K965,K966,K967,K968)</t>
  </si>
  <si>
    <t>=SUM(K971)</t>
  </si>
  <si>
    <t>=SUM(K973)</t>
  </si>
  <si>
    <t>=SUM(K975,K976,K977,K978,K979,K980,K981,K982,K983,K984,K985,K986,K987,K988,K989,K990,K991,K992,K993,K994,K995,K996,K997,K998,K999,K1000,K1001,K1002)</t>
  </si>
  <si>
    <t>=SUM(K566)</t>
  </si>
  <si>
    <t>=SUM(K568)</t>
  </si>
  <si>
    <t>=SUM(K570,K571,K572,K573,K574,K575,K576,K577,K578,K579,K580,K581,K582,K583,K584,K585,K586,K587,K588,K589,K590,K591)</t>
  </si>
  <si>
    <t>=SUM(K594)</t>
  </si>
  <si>
    <t>=SUM(K596)</t>
  </si>
  <si>
    <t>=SUM(K598,K599,K600,K601,K602,K603,K604,K605,K606,K607,K608,K609,K610,K611,K612,K613,K614,K615,K616,K617,K618,K619,K620,K621,K622,K623)</t>
  </si>
  <si>
    <t>=SUM(K626)</t>
  </si>
  <si>
    <t>=SUM(K628)</t>
  </si>
  <si>
    <t>=SUM(K630,K631,K632,K633,K634,K635,K636,K637,K638,K639,K640,K641,K642,K643,K644,K645,K646,K647,K648,K649,K650,K651,K652,K653,K654,K655)</t>
  </si>
  <si>
    <t>=SUM(K658)</t>
  </si>
  <si>
    <t>=SUM(K660)</t>
  </si>
  <si>
    <t>=SUM(K662,K663,K664,K665,K666,K667,K668,K669,K670,K671,K672,K673,K674,K675,K676,K677,K678,K679,K680,K681,K682,K683,K684,K685,K686,K687)</t>
  </si>
  <si>
    <t>=SUM(K690)</t>
  </si>
  <si>
    <t>=SUM(K692)</t>
  </si>
  <si>
    <t>=SUM(K694,K695,K696,K697,K698,K699,K700,K701,K702,K703,K704,K705,K706,K707,K708,K709,K710)</t>
  </si>
  <si>
    <t>=SUM(K713)</t>
  </si>
  <si>
    <t>=SUM(K715)</t>
  </si>
  <si>
    <t>=SUM(K717,K718,K719,K720,K721,K722,K723,K724,K725,K726,K727,K728,K729,K730,K731,K732)</t>
  </si>
  <si>
    <t>=SUM(K735)</t>
  </si>
  <si>
    <t>=SUM(K737)</t>
  </si>
  <si>
    <t>=SUM(K739,K740,K741,K742,K743,K744,K745,K746,K747,K748,K749,K750,K751,K752,K753,K754)</t>
  </si>
  <si>
    <t>=SUM(K757)</t>
  </si>
  <si>
    <t>=SUM(K759)</t>
  </si>
  <si>
    <t>=SUM(K761,K762,K763,K764,K765,K766,K767,K768,K769)</t>
  </si>
  <si>
    <t>=SUM(K772,K773,K774,K775,K776,K777,K778,K779,K780,K781)</t>
  </si>
  <si>
    <t>=I302*SUM(M303)</t>
  </si>
  <si>
    <t>=I304*SUM(M305,M306,M307,M308,M309,M310,M311)</t>
  </si>
  <si>
    <t>=I313*SUM(M314)</t>
  </si>
  <si>
    <t>=I315*SUM(M316,M317,M318,M319,M320,M321,M322)</t>
  </si>
  <si>
    <t>=I324*SUM(M325)</t>
  </si>
  <si>
    <t>=I326*SUM(M327,M328,M329,M330)</t>
  </si>
  <si>
    <t>=I332*SUM(M333)</t>
  </si>
  <si>
    <t>=I334*SUM(M335,M336,M337,M338,M339,M340)</t>
  </si>
  <si>
    <t>=I342*SUM(M343)</t>
  </si>
  <si>
    <t>=I344*SUM(M345,M346,M347)</t>
  </si>
  <si>
    <t>=I349*SUM(M350)</t>
  </si>
  <si>
    <t>=I351*SUM(M352,M353,M354,M355,M356,M357)</t>
  </si>
  <si>
    <t>=I359*SUM(M360)</t>
  </si>
  <si>
    <t>=I361*SUM(M362,M363,M364,M365,M366,M367)</t>
  </si>
  <si>
    <t>=I369*SUM(M370)</t>
  </si>
  <si>
    <t>=I371*SUM(M372,M373,M374)</t>
  </si>
  <si>
    <t>=I376*SUM(M377)</t>
  </si>
  <si>
    <t>=I378*SUM(M379,M380,M381)</t>
  </si>
  <si>
    <t>=I383*SUM(M384)</t>
  </si>
  <si>
    <t>=I385*SUM(M386,M387,M388,M389,M390,M391,M392)</t>
  </si>
  <si>
    <t>=I394*SUM(M395)</t>
  </si>
  <si>
    <t>=I396*SUM(M397,M398,M399,M400,M401,M402,M403)</t>
  </si>
  <si>
    <t>=I405*SUM(M406)</t>
  </si>
  <si>
    <t>=I408*SUM(M409,M410,M411)</t>
  </si>
  <si>
    <t>=I412*SUM(M413,M414,M415,M416,M417,M418,M419,M420,M421,M422)</t>
  </si>
  <si>
    <t>=I424*SUM(M425)</t>
  </si>
  <si>
    <t>=I427*SUM(M428,M429,M430)</t>
  </si>
  <si>
    <t>=I431*SUM(M432,M433,M434,M435,M436,M437,M438,M439,M440,M441)</t>
  </si>
  <si>
    <t>=I443*SUM(M444)</t>
  </si>
  <si>
    <t>=I446*SUM(M447,M448,M449)</t>
  </si>
  <si>
    <t>=I450*SUM(M451,M452,M453,M454,M455,M456,M457,M458,M459,M460)</t>
  </si>
  <si>
    <t>=I462*SUM(M463,M464)</t>
  </si>
  <si>
    <t>=I466*SUM(M467)</t>
  </si>
  <si>
    <t>=I468*SUM(M469,M470,M471,M472,M473,M474,M475,M476)</t>
  </si>
  <si>
    <t>=I478*SUM(M479)</t>
  </si>
  <si>
    <t>=I480*SUM(M481,M482,M483,M484,M485,M486,M487,M488)</t>
  </si>
  <si>
    <t>=I282*SUM(M283)</t>
  </si>
  <si>
    <t>=I284*SUM(M285,M286,M287,M288,M289,M290,M291)</t>
  </si>
  <si>
    <t>=I293*SUM(M294)</t>
  </si>
  <si>
    <t>=I295*SUM(M296,M297,M298,M299,M300)</t>
  </si>
  <si>
    <t>=I491*SUM(M492)</t>
  </si>
  <si>
    <t>=I493*SUM(M494)</t>
  </si>
  <si>
    <t>=I496*SUM(M497)</t>
  </si>
  <si>
    <t>=I498*SUM(M499)</t>
  </si>
  <si>
    <t>=I501*SUM(M502,M503)</t>
  </si>
  <si>
    <t>=I506*SUM(M507,M508)</t>
  </si>
  <si>
    <t>=I509*SUM(M510)</t>
  </si>
  <si>
    <t>=I511*SUM(M512)</t>
  </si>
  <si>
    <t>=I513*SUM(M514)</t>
  </si>
  <si>
    <t>=I516*SUM(M517,M518)</t>
  </si>
  <si>
    <t>=I519*SUM(M520)</t>
  </si>
  <si>
    <t>=I521*SUM(M522)</t>
  </si>
  <si>
    <t>=I523*SUM(M524)</t>
  </si>
  <si>
    <t>=I525*SUM(M526)</t>
  </si>
  <si>
    <t>=I528*SUM(M529)</t>
  </si>
  <si>
    <t>=I531*SUM(M532)</t>
  </si>
  <si>
    <t>=I534*SUM(M535)</t>
  </si>
  <si>
    <t>=I537*SUM(M538)</t>
  </si>
  <si>
    <t>=I540*SUM(M541)</t>
  </si>
  <si>
    <t>=I543*SUM(M544)</t>
  </si>
  <si>
    <t>=I547*SUM(M548)</t>
  </si>
  <si>
    <t>=I549*SUM(M550)</t>
  </si>
  <si>
    <t>=I551*SUM(M552,M553,M554,M555)</t>
  </si>
  <si>
    <t>=I556*SUM(M557,M558,M559)</t>
  </si>
  <si>
    <t>=I560*SUM(M561)</t>
  </si>
  <si>
    <t>=I562*SUM(M563)</t>
  </si>
  <si>
    <t>=I783*SUM(M784)</t>
  </si>
  <si>
    <t>=I785*SUM(M786)</t>
  </si>
  <si>
    <t>=I787*SUM(M788,M789,M790,M791,M792,M793,M794,M795)</t>
  </si>
  <si>
    <t>=I797*SUM(M798,M799,M800,M801,M802,M803,M804,M805,M806,M807)</t>
  </si>
  <si>
    <t>=I809*SUM(M810)</t>
  </si>
  <si>
    <t>=I811*SUM(M812)</t>
  </si>
  <si>
    <t>=I813*SUM(M814,M815,M816,M817,M818,M819,M820,M821)</t>
  </si>
  <si>
    <t>=I823*SUM(M824,M825,M826,M827,M828,M829,M830,M831,M832,M833)</t>
  </si>
  <si>
    <t>=I835*SUM(M836)</t>
  </si>
  <si>
    <t>=I837*SUM(M838)</t>
  </si>
  <si>
    <t>=I839*SUM(M840,M841,M842,M843,M844,M845,M846,M847,M848,M849,M850,M851,M852,M853,M854,M855,M856,M857,M858,M859,M860,M861)</t>
  </si>
  <si>
    <t>=I863*SUM(M864)</t>
  </si>
  <si>
    <t>=I865*SUM(M866)</t>
  </si>
  <si>
    <t>=I867*SUM(M868,M869,M870,M871,M872,M873,M874,M875,M876,M877,M878,M879,M880,M881,M882,M883,M884,M885,M886,M887,M888,M889,M890,M891,M892,M893,M894,M895)</t>
  </si>
  <si>
    <t>=I897*SUM(M898)</t>
  </si>
  <si>
    <t>=I899*SUM(M900)</t>
  </si>
  <si>
    <t>=I901*SUM(M902,M903,M904,M905,M906,M907,M908,M909,M910,M911,M912,M913,M914,M915,M916,M917,M918)</t>
  </si>
  <si>
    <t>=I920*SUM(M921)</t>
  </si>
  <si>
    <t>=I922*SUM(M923)</t>
  </si>
  <si>
    <t>=I924*SUM(M925,M926,M927,M928,M929,M930,M931,M932,M933)</t>
  </si>
  <si>
    <t>=I935*SUM(M936)</t>
  </si>
  <si>
    <t>=I937*SUM(M938)</t>
  </si>
  <si>
    <t>=I939*SUM(M940,M941,M942,M943,M944,M945,M946,M947,M948,M949,M950,M951,M952,M953,M954,M955,M956,M957,M958,M959,M960,M961,M962,M963,M964,M965,M966,M967,M968)</t>
  </si>
  <si>
    <t>=I970*SUM(M971)</t>
  </si>
  <si>
    <t>=I972*SUM(M973)</t>
  </si>
  <si>
    <t>=I974*SUM(M975,M976,M977,M978,M979,M980,M981,M982,M983,M984,M985,M986,M987,M988,M989,M990,M991,M992,M993,M994,M995,M996,M997,M998,M999,M1000,M1001,M1002)</t>
  </si>
  <si>
    <t>=I565*SUM(M566)</t>
  </si>
  <si>
    <t>=I567*SUM(M568)</t>
  </si>
  <si>
    <t>=I569*SUM(M570,M571,M572,M573,M574,M575,M576,M577,M578,M579,M580,M581,M582,M583,M584,M585,M586,M587,M588,M589,M590,M591)</t>
  </si>
  <si>
    <t>=I593*SUM(M594)</t>
  </si>
  <si>
    <t>=I595*SUM(M596)</t>
  </si>
  <si>
    <t>=I597*SUM(M598,M599,M600,M601,M602,M603,M604,M605,M606,M607,M608,M609,M610,M611,M612,M613,M614,M615,M616,M617,M618,M619,M620,M621,M622,M623)</t>
  </si>
  <si>
    <t>=I625*SUM(M626)</t>
  </si>
  <si>
    <t>=I627*SUM(M628)</t>
  </si>
  <si>
    <t>=I629*SUM(M630,M631,M632,M633,M634,M635,M636,M637,M638,M639,M640,M641,M642,M643,M644,M645,M646,M647,M648,M649,M650,M651,M652,M653,M654,M655)</t>
  </si>
  <si>
    <t>=I657*SUM(M658)</t>
  </si>
  <si>
    <t>=I659*SUM(M660)</t>
  </si>
  <si>
    <t>=I661*SUM(M662,M663,M664,M665,M666,M667,M668,M669,M670,M671,M672,M673,M674,M675,M676,M677,M678,M679,M680,M681,M682,M683,M684,M685,M686,M687)</t>
  </si>
  <si>
    <t>=I689*SUM(M690)</t>
  </si>
  <si>
    <t>=I691*SUM(M692)</t>
  </si>
  <si>
    <t>=I693*SUM(M694,M695,M696,M697,M698,M699,M700,M701,M702,M703,M704,M705,M706,M707,M708,M709,M710)</t>
  </si>
  <si>
    <t>=I712*SUM(M713)</t>
  </si>
  <si>
    <t>=I714*SUM(M715)</t>
  </si>
  <si>
    <t>=I716*SUM(M717,M718,M719,M720,M721,M722,M723,M724,M725,M726,M727,M728,M729,M730,M731,M732)</t>
  </si>
  <si>
    <t>=I734*SUM(M735)</t>
  </si>
  <si>
    <t>=I736*SUM(M737)</t>
  </si>
  <si>
    <t>=I738*SUM(M739,M740,M741,M742,M743,M744,M745,M746,M747,M748,M749,M750,M751,M752,M753,M754)</t>
  </si>
  <si>
    <t>=I756*SUM(M757)</t>
  </si>
  <si>
    <t>=I758*SUM(M759)</t>
  </si>
  <si>
    <t>=I760*SUM(M761,M762,M763,M764,M765,M766,M767,M768,M769)</t>
  </si>
  <si>
    <t>=I771*SUM(M772,M773,M774,M775,M776,M777,M778,M779,M780,M781)</t>
  </si>
  <si>
    <t>=I302*J302</t>
  </si>
  <si>
    <t>=I304*J304</t>
  </si>
  <si>
    <t>=I313*J313</t>
  </si>
  <si>
    <t>=I315*J315</t>
  </si>
  <si>
    <t>=I324*J324</t>
  </si>
  <si>
    <t>=I326*J326</t>
  </si>
  <si>
    <t>=I332*J332</t>
  </si>
  <si>
    <t>=I334*J334</t>
  </si>
  <si>
    <t>=I342*J342</t>
  </si>
  <si>
    <t>=I344*J344</t>
  </si>
  <si>
    <t>=I349*J349</t>
  </si>
  <si>
    <t>=I351*J351</t>
  </si>
  <si>
    <t>=I359*J359</t>
  </si>
  <si>
    <t>=I361*J361</t>
  </si>
  <si>
    <t>=I369*J369</t>
  </si>
  <si>
    <t>=I371*J371</t>
  </si>
  <si>
    <t>=I376*J376</t>
  </si>
  <si>
    <t>=I378*J378</t>
  </si>
  <si>
    <t>=I383*J383</t>
  </si>
  <si>
    <t>=I385*J385</t>
  </si>
  <si>
    <t>=I394*J394</t>
  </si>
  <si>
    <t>=I396*J396</t>
  </si>
  <si>
    <t>=I405*J405</t>
  </si>
  <si>
    <t>=I408*J408</t>
  </si>
  <si>
    <t>=I412*J412</t>
  </si>
  <si>
    <t>=I424*J424</t>
  </si>
  <si>
    <t>=I427*J427</t>
  </si>
  <si>
    <t>=I431*J431</t>
  </si>
  <si>
    <t>=I443*J443</t>
  </si>
  <si>
    <t>=I446*J446</t>
  </si>
  <si>
    <t>=I450*J450</t>
  </si>
  <si>
    <t>=I462*J462</t>
  </si>
  <si>
    <t>=I466*J466</t>
  </si>
  <si>
    <t>=I468*J468</t>
  </si>
  <si>
    <t>=I478*J478</t>
  </si>
  <si>
    <t>=I480*J480</t>
  </si>
  <si>
    <t>=I282*J282</t>
  </si>
  <si>
    <t>=I284*J284</t>
  </si>
  <si>
    <t>=I293*J293</t>
  </si>
  <si>
    <t>=I295*J295</t>
  </si>
  <si>
    <t>=I491*J491</t>
  </si>
  <si>
    <t>=I493*J493</t>
  </si>
  <si>
    <t>=I496*J496</t>
  </si>
  <si>
    <t>=I498*J498</t>
  </si>
  <si>
    <t>=I501*J501</t>
  </si>
  <si>
    <t>=I506*J506</t>
  </si>
  <si>
    <t>=I509*J509</t>
  </si>
  <si>
    <t>=I511*J511</t>
  </si>
  <si>
    <t>=I513*J513</t>
  </si>
  <si>
    <t>=I516*J516</t>
  </si>
  <si>
    <t>=I519*J519</t>
  </si>
  <si>
    <t>=I521*J521</t>
  </si>
  <si>
    <t>=I523*J523</t>
  </si>
  <si>
    <t>=I525*J525</t>
  </si>
  <si>
    <t>=I528*J528</t>
  </si>
  <si>
    <t>=I531*J531</t>
  </si>
  <si>
    <t>=I534*J534</t>
  </si>
  <si>
    <t>=I537*J537</t>
  </si>
  <si>
    <t>=I540*J540</t>
  </si>
  <si>
    <t>=I543*J543</t>
  </si>
  <si>
    <t>=I547*J547</t>
  </si>
  <si>
    <t>=I549*J549</t>
  </si>
  <si>
    <t>=I551*J551</t>
  </si>
  <si>
    <t>=I556*J556</t>
  </si>
  <si>
    <t>=I560*J560</t>
  </si>
  <si>
    <t>=I562*J562</t>
  </si>
  <si>
    <t>=I783*J783</t>
  </si>
  <si>
    <t>=I785*J785</t>
  </si>
  <si>
    <t>=I787*J787</t>
  </si>
  <si>
    <t>=I797*J797</t>
  </si>
  <si>
    <t>=I809*J809</t>
  </si>
  <si>
    <t>=I811*J811</t>
  </si>
  <si>
    <t>=I813*J813</t>
  </si>
  <si>
    <t>=I823*J823</t>
  </si>
  <si>
    <t>=I835*J835</t>
  </si>
  <si>
    <t>=I837*J837</t>
  </si>
  <si>
    <t>=I839*J839</t>
  </si>
  <si>
    <t>=I863*J863</t>
  </si>
  <si>
    <t>=I865*J865</t>
  </si>
  <si>
    <t>=I867*J867</t>
  </si>
  <si>
    <t>=I897*J897</t>
  </si>
  <si>
    <t>=I899*J899</t>
  </si>
  <si>
    <t>=I901*J901</t>
  </si>
  <si>
    <t>=I920*J920</t>
  </si>
  <si>
    <t>=I922*J922</t>
  </si>
  <si>
    <t>=I924*J924</t>
  </si>
  <si>
    <t>=I935*J935</t>
  </si>
  <si>
    <t>=I937*J937</t>
  </si>
  <si>
    <t>=I939*J939</t>
  </si>
  <si>
    <t>=I970*J970</t>
  </si>
  <si>
    <t>=I972*J972</t>
  </si>
  <si>
    <t>=I974*J974</t>
  </si>
  <si>
    <t>=I565*J565</t>
  </si>
  <si>
    <t>=I567*J567</t>
  </si>
  <si>
    <t>=I569*J569</t>
  </si>
  <si>
    <t>=I593*J593</t>
  </si>
  <si>
    <t>=I595*J595</t>
  </si>
  <si>
    <t>=I597*J597</t>
  </si>
  <si>
    <t>=I625*J625</t>
  </si>
  <si>
    <t>=I627*J627</t>
  </si>
  <si>
    <t>=I629*J629</t>
  </si>
  <si>
    <t>=I657*J657</t>
  </si>
  <si>
    <t>=I659*J659</t>
  </si>
  <si>
    <t>=I661*J661</t>
  </si>
  <si>
    <t>=I689*J689</t>
  </si>
  <si>
    <t>=I691*J691</t>
  </si>
  <si>
    <t>=I693*J693</t>
  </si>
  <si>
    <t>=I712*J712</t>
  </si>
  <si>
    <t>=I714*J714</t>
  </si>
  <si>
    <t>=I716*J716</t>
  </si>
  <si>
    <t>=I734*J734</t>
  </si>
  <si>
    <t>=I736*J736</t>
  </si>
  <si>
    <t>=I738*J738</t>
  </si>
  <si>
    <t>=I756*J756</t>
  </si>
  <si>
    <t>=I758*J758</t>
  </si>
  <si>
    <t>=I760*J760</t>
  </si>
  <si>
    <t>=I771*J771</t>
  </si>
  <si>
    <t>=100*(1-(M302/K302))</t>
  </si>
  <si>
    <t>=100*(1-(M304/K304))</t>
  </si>
  <si>
    <t>=100*(1-(M313/K313))</t>
  </si>
  <si>
    <t>=100*(1-(M315/K315))</t>
  </si>
  <si>
    <t>=100*(1-(M324/K324))</t>
  </si>
  <si>
    <t>=100*(1-(M326/K326))</t>
  </si>
  <si>
    <t>=100*(1-(M332/K332))</t>
  </si>
  <si>
    <t>=100*(1-(M334/K334))</t>
  </si>
  <si>
    <t>=100*(1-(M342/K342))</t>
  </si>
  <si>
    <t>=100*(1-(M344/K344))</t>
  </si>
  <si>
    <t>=100*(1-(M349/K349))</t>
  </si>
  <si>
    <t>=100*(1-(M351/K351))</t>
  </si>
  <si>
    <t>=100*(1-(M359/K359))</t>
  </si>
  <si>
    <t>=100*(1-(M361/K361))</t>
  </si>
  <si>
    <t>=100*(1-(M369/K369))</t>
  </si>
  <si>
    <t>=100*(1-(M371/K371))</t>
  </si>
  <si>
    <t>=100*(1-(M376/K376))</t>
  </si>
  <si>
    <t>=100*(1-(M378/K378))</t>
  </si>
  <si>
    <t>=100*(1-(M383/K383))</t>
  </si>
  <si>
    <t>=100*(1-(M385/K385))</t>
  </si>
  <si>
    <t>=100*(1-(M394/K394))</t>
  </si>
  <si>
    <t>=100*(1-(M396/K396))</t>
  </si>
  <si>
    <t>=100*(1-(M405/K405))</t>
  </si>
  <si>
    <t>=100*(1-(M408/K408))</t>
  </si>
  <si>
    <t>=100*(1-(M412/K412))</t>
  </si>
  <si>
    <t>=100*(1-(M424/K424))</t>
  </si>
  <si>
    <t>=100*(1-(M427/K427))</t>
  </si>
  <si>
    <t>=100*(1-(M431/K431))</t>
  </si>
  <si>
    <t>=100*(1-(M443/K443))</t>
  </si>
  <si>
    <t>=100*(1-(M446/K446))</t>
  </si>
  <si>
    <t>=100*(1-(M450/K450))</t>
  </si>
  <si>
    <t>=100*(1-(M462/K462))</t>
  </si>
  <si>
    <t>=100*(1-(M466/K466))</t>
  </si>
  <si>
    <t>=100*(1-(M468/K468))</t>
  </si>
  <si>
    <t>=100*(1-(M478/K478))</t>
  </si>
  <si>
    <t>=100*(1-(M480/K480))</t>
  </si>
  <si>
    <t>=100*(1-(M282/K282))</t>
  </si>
  <si>
    <t>=100*(1-(M284/K284))</t>
  </si>
  <si>
    <t>=100*(1-(M293/K293))</t>
  </si>
  <si>
    <t>=100*(1-(M295/K295))</t>
  </si>
  <si>
    <t>=100*(1-(M491/K491))</t>
  </si>
  <si>
    <t>=100*(1-(M493/K493))</t>
  </si>
  <si>
    <t>=100*(1-(M496/K496))</t>
  </si>
  <si>
    <t>=100*(1-(M498/K498))</t>
  </si>
  <si>
    <t>=100*(1-(M501/K501))</t>
  </si>
  <si>
    <t>=100*(1-(M506/K506))</t>
  </si>
  <si>
    <t>=100*(1-(M509/K509))</t>
  </si>
  <si>
    <t>=100*(1-(M511/K511))</t>
  </si>
  <si>
    <t>=100*(1-(M513/K513))</t>
  </si>
  <si>
    <t>=100*(1-(M516/K516))</t>
  </si>
  <si>
    <t>=100*(1-(M519/K519))</t>
  </si>
  <si>
    <t>=100*(1-(M521/K521))</t>
  </si>
  <si>
    <t>=100*(1-(M523/K523))</t>
  </si>
  <si>
    <t>=100*(1-(M525/K525))</t>
  </si>
  <si>
    <t>=100*(1-(M528/K528))</t>
  </si>
  <si>
    <t>=100*(1-(M531/K531))</t>
  </si>
  <si>
    <t>=100*(1-(M534/K534))</t>
  </si>
  <si>
    <t>=100*(1-(M537/K537))</t>
  </si>
  <si>
    <t>=100*(1-(M540/K540))</t>
  </si>
  <si>
    <t>=100*(1-(M543/K543))</t>
  </si>
  <si>
    <t>=100*(1-(M547/K547))</t>
  </si>
  <si>
    <t>=100*(1-(M549/K549))</t>
  </si>
  <si>
    <t>=100*(1-(M551/K551))</t>
  </si>
  <si>
    <t>=100*(1-(M556/K556))</t>
  </si>
  <si>
    <t>=100*(1-(M560/K560))</t>
  </si>
  <si>
    <t>=100*(1-(M562/K562))</t>
  </si>
  <si>
    <t>=100*(1-(M783/K783))</t>
  </si>
  <si>
    <t>=100*(1-(M785/K785))</t>
  </si>
  <si>
    <t>=100*(1-(M787/K787))</t>
  </si>
  <si>
    <t>=100*(1-(M797/K797))</t>
  </si>
  <si>
    <t>=100*(1-(M809/K809))</t>
  </si>
  <si>
    <t>=100*(1-(M811/K811))</t>
  </si>
  <si>
    <t>=100*(1-(M813/K813))</t>
  </si>
  <si>
    <t>=100*(1-(M823/K823))</t>
  </si>
  <si>
    <t>=100*(1-(M835/K835))</t>
  </si>
  <si>
    <t>=100*(1-(M837/K837))</t>
  </si>
  <si>
    <t>=100*(1-(M839/K839))</t>
  </si>
  <si>
    <t>=100*(1-(M863/K863))</t>
  </si>
  <si>
    <t>=100*(1-(M865/K865))</t>
  </si>
  <si>
    <t>=100*(1-(M867/K867))</t>
  </si>
  <si>
    <t>=100*(1-(M897/K897))</t>
  </si>
  <si>
    <t>=100*(1-(M899/K899))</t>
  </si>
  <si>
    <t>=100*(1-(M901/K901))</t>
  </si>
  <si>
    <t>=100*(1-(M920/K920))</t>
  </si>
  <si>
    <t>=100*(1-(M922/K922))</t>
  </si>
  <si>
    <t>=100*(1-(M924/K924))</t>
  </si>
  <si>
    <t>=100*(1-(M935/K935))</t>
  </si>
  <si>
    <t>=100*(1-(M937/K937))</t>
  </si>
  <si>
    <t>=100*(1-(M939/K939))</t>
  </si>
  <si>
    <t>=100*(1-(M970/K970))</t>
  </si>
  <si>
    <t>=100*(1-(M972/K972))</t>
  </si>
  <si>
    <t>=100*(1-(M974/K974))</t>
  </si>
  <si>
    <t>=100*(1-(M565/K565))</t>
  </si>
  <si>
    <t>=100*(1-(M567/K567))</t>
  </si>
  <si>
    <t>=100*(1-(M569/K569))</t>
  </si>
  <si>
    <t>=100*(1-(M593/K593))</t>
  </si>
  <si>
    <t>=100*(1-(M595/K595))</t>
  </si>
  <si>
    <t>=100*(1-(M597/K597))</t>
  </si>
  <si>
    <t>=100*(1-(M625/K625))</t>
  </si>
  <si>
    <t>=100*(1-(M627/K627))</t>
  </si>
  <si>
    <t>=100*(1-(M629/K629))</t>
  </si>
  <si>
    <t>=100*(1-(M657/K657))</t>
  </si>
  <si>
    <t>=100*(1-(M659/K659))</t>
  </si>
  <si>
    <t>=100*(1-(M661/K661))</t>
  </si>
  <si>
    <t>=100*(1-(M689/K689))</t>
  </si>
  <si>
    <t>=100*(1-(M691/K691))</t>
  </si>
  <si>
    <t>=100*(1-(M693/K693))</t>
  </si>
  <si>
    <t>=100*(1-(M712/K712))</t>
  </si>
  <si>
    <t>=100*(1-(M714/K714))</t>
  </si>
  <si>
    <t>=100*(1-(M716/K716))</t>
  </si>
  <si>
    <t>=100*(1-(M734/K734))</t>
  </si>
  <si>
    <t>=100*(1-(M736/K736))</t>
  </si>
  <si>
    <t>=100*(1-(M738/K738))</t>
  </si>
  <si>
    <t>=100*(1-(M756/K756))</t>
  </si>
  <si>
    <t>=100*(1-(M758/K758))</t>
  </si>
  <si>
    <t>=100*(1-(M760/K760))</t>
  </si>
  <si>
    <t>=100*(1-(M771/K771))</t>
  </si>
  <si>
    <t>=SUM(K302,K304)</t>
  </si>
  <si>
    <t>=SUM(K313,K315)</t>
  </si>
  <si>
    <t>=SUM(K324,K326)</t>
  </si>
  <si>
    <t>=SUM(K332,K334)</t>
  </si>
  <si>
    <t>=SUM(K342,K344)</t>
  </si>
  <si>
    <t>=SUM(K349,K351)</t>
  </si>
  <si>
    <t>=SUM(K359,K361)</t>
  </si>
  <si>
    <t>=SUM(K369,K371)</t>
  </si>
  <si>
    <t>=SUM(K376,K378)</t>
  </si>
  <si>
    <t>=SUM(K383,K385)</t>
  </si>
  <si>
    <t>=SUM(K394,K396)</t>
  </si>
  <si>
    <t>=SUM(K405,K407,K412)</t>
  </si>
  <si>
    <t>=SUM(K408)</t>
  </si>
  <si>
    <t>=SUM(K424,K426,K431)</t>
  </si>
  <si>
    <t>=SUM(K427)</t>
  </si>
  <si>
    <t>=SUM(K443,K445,K450,K461)</t>
  </si>
  <si>
    <t>=SUM(K446)</t>
  </si>
  <si>
    <t>=SUM(K462)</t>
  </si>
  <si>
    <t>=SUM(K466,K468)</t>
  </si>
  <si>
    <t>=SUM(K478,K480)</t>
  </si>
  <si>
    <t>=SUM(K293,K295)</t>
  </si>
  <si>
    <t>=SUM(K491,K493)</t>
  </si>
  <si>
    <t>=SUM(K496,K498)</t>
  </si>
  <si>
    <t>=SUM(K501)</t>
  </si>
  <si>
    <t>=SUM(K506,K509,K511,K513)</t>
  </si>
  <si>
    <t>=SUM(K516,K519,K521,K523,K525)</t>
  </si>
  <si>
    <t>=SUM(K528)</t>
  </si>
  <si>
    <t>=SUM(K531)</t>
  </si>
  <si>
    <t>=SUM(K534)</t>
  </si>
  <si>
    <t>=SUM(K537)</t>
  </si>
  <si>
    <t>=SUM(K540)</t>
  </si>
  <si>
    <t>=SUM(K543)</t>
  </si>
  <si>
    <t>=SUM(K547,K549,K551,K556,K560,K562)</t>
  </si>
  <si>
    <t>=SUM(K783,K785,K787,K796)</t>
  </si>
  <si>
    <t>=SUM(K797)</t>
  </si>
  <si>
    <t>=SUM(K809,K811,K813,K822)</t>
  </si>
  <si>
    <t>=SUM(K823)</t>
  </si>
  <si>
    <t>=SUM(K835,K837,K839)</t>
  </si>
  <si>
    <t>=SUM(K863,K865,K867)</t>
  </si>
  <si>
    <t>=SUM(K897,K899,K901)</t>
  </si>
  <si>
    <t>=SUM(K920,K922,K924)</t>
  </si>
  <si>
    <t>=SUM(K935,K937,K939)</t>
  </si>
  <si>
    <t>=SUM(K970,K972,K974)</t>
  </si>
  <si>
    <t>=SUM(K565,K567,K569)</t>
  </si>
  <si>
    <t>=SUM(K593,K595,K597)</t>
  </si>
  <si>
    <t>=SUM(K625,K627,K629)</t>
  </si>
  <si>
    <t>=SUM(K657,K659,K661)</t>
  </si>
  <si>
    <t>=SUM(K689,K691,K693)</t>
  </si>
  <si>
    <t>=SUM(K712,K714,K716)</t>
  </si>
  <si>
    <t>=SUM(K734,K736,K738)</t>
  </si>
  <si>
    <t>=SUM(K756,K758,K760,K770)</t>
  </si>
  <si>
    <t>=SUM(K771)</t>
  </si>
  <si>
    <t>=I301*SUM(M302,M304)</t>
  </si>
  <si>
    <t>=I312*SUM(M313,M315)</t>
  </si>
  <si>
    <t>=I323*SUM(M324,M326)</t>
  </si>
  <si>
    <t>=I331*SUM(M332,M334)</t>
  </si>
  <si>
    <t>=I341*SUM(M342,M344)</t>
  </si>
  <si>
    <t>=I348*SUM(M349,M351)</t>
  </si>
  <si>
    <t>=I358*SUM(M359,M361)</t>
  </si>
  <si>
    <t>=I368*SUM(M369,M371)</t>
  </si>
  <si>
    <t>=I375*SUM(M376,M378)</t>
  </si>
  <si>
    <t>=I382*SUM(M383,M385)</t>
  </si>
  <si>
    <t>=I393*SUM(M394,M396)</t>
  </si>
  <si>
    <t>=I404*SUM(M405,M407,M412)</t>
  </si>
  <si>
    <t>=I407*SUM(M408)</t>
  </si>
  <si>
    <t>=I423*SUM(M424,M426,M431)</t>
  </si>
  <si>
    <t>=I426*SUM(M427)</t>
  </si>
  <si>
    <t>=I442*SUM(M443,M445,M450,M461)</t>
  </si>
  <si>
    <t>=I445*SUM(M446)</t>
  </si>
  <si>
    <t>=I461*SUM(M462)</t>
  </si>
  <si>
    <t>=I465*SUM(M466,M468)</t>
  </si>
  <si>
    <t>=I477*SUM(M478,M480)</t>
  </si>
  <si>
    <t>=I292*SUM(M293,M295)</t>
  </si>
  <si>
    <t>=I490*SUM(M491,M493)</t>
  </si>
  <si>
    <t>=I495*SUM(M496,M498)</t>
  </si>
  <si>
    <t>=I500*SUM(M501)</t>
  </si>
  <si>
    <t>=I505*SUM(M506,M509,M511,M513)</t>
  </si>
  <si>
    <t>=I515*SUM(M516,M519,M521,M523,M525)</t>
  </si>
  <si>
    <t>=I527*SUM(M528)</t>
  </si>
  <si>
    <t>=I530*SUM(M531)</t>
  </si>
  <si>
    <t>=I533*SUM(M534)</t>
  </si>
  <si>
    <t>=I536*SUM(M537)</t>
  </si>
  <si>
    <t>=I539*SUM(M540)</t>
  </si>
  <si>
    <t>=I542*SUM(M543)</t>
  </si>
  <si>
    <t>=I546*SUM(M547,M549,M551,M556,M560,M562)</t>
  </si>
  <si>
    <t>=I782*SUM(M783,M785,M787,M796)</t>
  </si>
  <si>
    <t>=I796*SUM(M797)</t>
  </si>
  <si>
    <t>=I808*SUM(M809,M811,M813,M822)</t>
  </si>
  <si>
    <t>=I822*SUM(M823)</t>
  </si>
  <si>
    <t>=I834*SUM(M835,M837,M839)</t>
  </si>
  <si>
    <t>=I862*SUM(M863,M865,M867)</t>
  </si>
  <si>
    <t>=I896*SUM(M897,M899,M901)</t>
  </si>
  <si>
    <t>=I919*SUM(M920,M922,M924)</t>
  </si>
  <si>
    <t>=I934*SUM(M935,M937,M939)</t>
  </si>
  <si>
    <t>=I969*SUM(M970,M972,M974)</t>
  </si>
  <si>
    <t>=I564*SUM(M565,M567,M569)</t>
  </si>
  <si>
    <t>=I592*SUM(M593,M595,M597)</t>
  </si>
  <si>
    <t>=I624*SUM(M625,M627,M629)</t>
  </si>
  <si>
    <t>=I656*SUM(M657,M659,M661)</t>
  </si>
  <si>
    <t>=I688*SUM(M689,M691,M693)</t>
  </si>
  <si>
    <t>=I711*SUM(M712,M714,M716)</t>
  </si>
  <si>
    <t>=I733*SUM(M734,M736,M738)</t>
  </si>
  <si>
    <t>=I755*SUM(M756,M758,M760,M770)</t>
  </si>
  <si>
    <t>=I770*SUM(M771)</t>
  </si>
  <si>
    <t>=I301*J301</t>
  </si>
  <si>
    <t>=I312*J312</t>
  </si>
  <si>
    <t>=I323*J323</t>
  </si>
  <si>
    <t>=I331*J331</t>
  </si>
  <si>
    <t>=I341*J341</t>
  </si>
  <si>
    <t>=I348*J348</t>
  </si>
  <si>
    <t>=I358*J358</t>
  </si>
  <si>
    <t>=I368*J368</t>
  </si>
  <si>
    <t>=I375*J375</t>
  </si>
  <si>
    <t>=I382*J382</t>
  </si>
  <si>
    <t>=I393*J393</t>
  </si>
  <si>
    <t>=I404*J404</t>
  </si>
  <si>
    <t>=I407*J407</t>
  </si>
  <si>
    <t>=I423*J423</t>
  </si>
  <si>
    <t>=I426*J426</t>
  </si>
  <si>
    <t>=I442*J442</t>
  </si>
  <si>
    <t>=I445*J445</t>
  </si>
  <si>
    <t>=I461*J461</t>
  </si>
  <si>
    <t>=I465*J465</t>
  </si>
  <si>
    <t>=I477*J477</t>
  </si>
  <si>
    <t>=I292*J292</t>
  </si>
  <si>
    <t>=I490*J490</t>
  </si>
  <si>
    <t>=I495*J495</t>
  </si>
  <si>
    <t>=I500*J500</t>
  </si>
  <si>
    <t>=I505*J505</t>
  </si>
  <si>
    <t>=I515*J515</t>
  </si>
  <si>
    <t>=I527*J527</t>
  </si>
  <si>
    <t>=I530*J530</t>
  </si>
  <si>
    <t>=I533*J533</t>
  </si>
  <si>
    <t>=I536*J536</t>
  </si>
  <si>
    <t>=I539*J539</t>
  </si>
  <si>
    <t>=I542*J542</t>
  </si>
  <si>
    <t>=I546*J546</t>
  </si>
  <si>
    <t>=I782*J782</t>
  </si>
  <si>
    <t>=I796*J796</t>
  </si>
  <si>
    <t>=I808*J808</t>
  </si>
  <si>
    <t>=I822*J822</t>
  </si>
  <si>
    <t>=I834*J834</t>
  </si>
  <si>
    <t>=I862*J862</t>
  </si>
  <si>
    <t>=I896*J896</t>
  </si>
  <si>
    <t>=I919*J919</t>
  </si>
  <si>
    <t>=I934*J934</t>
  </si>
  <si>
    <t>=I969*J969</t>
  </si>
  <si>
    <t>=I564*J564</t>
  </si>
  <si>
    <t>=I592*J592</t>
  </si>
  <si>
    <t>=I624*J624</t>
  </si>
  <si>
    <t>=I656*J656</t>
  </si>
  <si>
    <t>=I688*J688</t>
  </si>
  <si>
    <t>=I711*J711</t>
  </si>
  <si>
    <t>=I733*J733</t>
  </si>
  <si>
    <t>=I755*J755</t>
  </si>
  <si>
    <t>=I770*J770</t>
  </si>
  <si>
    <t>=100*(1-(M301/K301))</t>
  </si>
  <si>
    <t>=100*(1-(M312/K312))</t>
  </si>
  <si>
    <t>=100*(1-(M323/K323))</t>
  </si>
  <si>
    <t>=100*(1-(M331/K331))</t>
  </si>
  <si>
    <t>=100*(1-(M341/K341))</t>
  </si>
  <si>
    <t>=100*(1-(M348/K348))</t>
  </si>
  <si>
    <t>=100*(1-(M358/K358))</t>
  </si>
  <si>
    <t>=100*(1-(M368/K368))</t>
  </si>
  <si>
    <t>=100*(1-(M375/K375))</t>
  </si>
  <si>
    <t>=100*(1-(M382/K382))</t>
  </si>
  <si>
    <t>=100*(1-(M393/K393))</t>
  </si>
  <si>
    <t>=100*(1-(M404/K404))</t>
  </si>
  <si>
    <t>=100*(1-(M407/K407))</t>
  </si>
  <si>
    <t>=100*(1-(M423/K423))</t>
  </si>
  <si>
    <t>=100*(1-(M426/K426))</t>
  </si>
  <si>
    <t>=100*(1-(M442/K442))</t>
  </si>
  <si>
    <t>=100*(1-(M445/K445))</t>
  </si>
  <si>
    <t>=100*(1-(M461/K461))</t>
  </si>
  <si>
    <t>=100*(1-(M465/K465))</t>
  </si>
  <si>
    <t>=100*(1-(M477/K477))</t>
  </si>
  <si>
    <t>=100*(1-(M292/K292))</t>
  </si>
  <si>
    <t>=100*(1-(M490/K490))</t>
  </si>
  <si>
    <t>=100*(1-(M495/K495))</t>
  </si>
  <si>
    <t>=100*(1-(M500/K500))</t>
  </si>
  <si>
    <t>=100*(1-(M505/K505))</t>
  </si>
  <si>
    <t>=100*(1-(M515/K515))</t>
  </si>
  <si>
    <t>=100*(1-(M527/K527))</t>
  </si>
  <si>
    <t>=100*(1-(M530/K530))</t>
  </si>
  <si>
    <t>=100*(1-(M533/K533))</t>
  </si>
  <si>
    <t>=100*(1-(M536/K536))</t>
  </si>
  <si>
    <t>=100*(1-(M539/K539))</t>
  </si>
  <si>
    <t>=100*(1-(M542/K542))</t>
  </si>
  <si>
    <t>=100*(1-(M546/K546))</t>
  </si>
  <si>
    <t>=100*(1-(M782/K782))</t>
  </si>
  <si>
    <t>=100*(1-(M796/K796))</t>
  </si>
  <si>
    <t>=100*(1-(M808/K808))</t>
  </si>
  <si>
    <t>=100*(1-(M822/K822))</t>
  </si>
  <si>
    <t>=100*(1-(M834/K834))</t>
  </si>
  <si>
    <t>=100*(1-(M862/K862))</t>
  </si>
  <si>
    <t>=100*(1-(M896/K896))</t>
  </si>
  <si>
    <t>=100*(1-(M919/K919))</t>
  </si>
  <si>
    <t>=100*(1-(M934/K934))</t>
  </si>
  <si>
    <t>=100*(1-(M969/K969))</t>
  </si>
  <si>
    <t>=100*(1-(M564/K564))</t>
  </si>
  <si>
    <t>=100*(1-(M592/K592))</t>
  </si>
  <si>
    <t>=100*(1-(M624/K624))</t>
  </si>
  <si>
    <t>=100*(1-(M656/K656))</t>
  </si>
  <si>
    <t>=100*(1-(M688/K688))</t>
  </si>
  <si>
    <t>=100*(1-(M711/K711))</t>
  </si>
  <si>
    <t>=100*(1-(M733/K733))</t>
  </si>
  <si>
    <t>=100*(1-(M755/K755))</t>
  </si>
  <si>
    <t>=100*(1-(M770/K770))</t>
  </si>
  <si>
    <t>=SUM(K490,K495,K500)</t>
  </si>
  <si>
    <t>=SUM(K505,K515,K527,K530,K533,K536,K539,K542)</t>
  </si>
  <si>
    <t>=SUM(K546,K564,K592,K624,K656,K688,K711,K733,K755,K782,K808,K834,K862,K896,K919,K934,K969)</t>
  </si>
  <si>
    <t>=I489*SUM(M490,M495,M500)</t>
  </si>
  <si>
    <t>=I504*SUM(M505,M515,M527,M530,M533,M536,M539,M542)</t>
  </si>
  <si>
    <t>=I545*SUM(M546,M564,M592,M624,M656,M688,M711,M733,M755,M782,M808,M834,M862,M896,M919,M934,M969)</t>
  </si>
  <si>
    <t>=I489*J489</t>
  </si>
  <si>
    <t>=I504*J504</t>
  </si>
  <si>
    <t>=I545*J545</t>
  </si>
  <si>
    <t>=100*(1-(M489/K489))</t>
  </si>
  <si>
    <t>=100*(1-(M504/K504))</t>
  </si>
  <si>
    <t>=100*(1-(M545/K545))</t>
  </si>
  <si>
    <t>289</t>
  </si>
  <si>
    <t>295</t>
  </si>
  <si>
    <t>299</t>
  </si>
  <si>
    <t>305</t>
  </si>
  <si>
    <t>309</t>
  </si>
  <si>
    <t>311</t>
  </si>
  <si>
    <t>314</t>
  </si>
  <si>
    <t>320</t>
  </si>
  <si>
    <t>324</t>
  </si>
  <si>
    <t>330</t>
  </si>
  <si>
    <t>334</t>
  </si>
  <si>
    <t>342</t>
  </si>
  <si>
    <t>346</t>
  </si>
  <si>
    <t>355</t>
  </si>
  <si>
    <t>359</t>
  </si>
  <si>
    <t>366</t>
  </si>
  <si>
    <t>370</t>
  </si>
  <si>
    <t>379</t>
  </si>
  <si>
    <t>383</t>
  </si>
  <si>
    <t>392</t>
  </si>
  <si>
    <t>396</t>
  </si>
  <si>
    <t>402</t>
  </si>
  <si>
    <t>406</t>
  </si>
  <si>
    <t>414</t>
  </si>
  <si>
    <t>418</t>
  </si>
  <si>
    <t>423</t>
  </si>
  <si>
    <t>427</t>
  </si>
  <si>
    <t>435</t>
  </si>
  <si>
    <t>439</t>
  </si>
  <si>
    <t>447</t>
  </si>
  <si>
    <t>451</t>
  </si>
  <si>
    <t>456</t>
  </si>
  <si>
    <t>460</t>
  </si>
  <si>
    <t>465</t>
  </si>
  <si>
    <t>469</t>
  </si>
  <si>
    <t>478</t>
  </si>
  <si>
    <t>482</t>
  </si>
  <si>
    <t>491</t>
  </si>
  <si>
    <t>495</t>
  </si>
  <si>
    <t>498</t>
  </si>
  <si>
    <t>502</t>
  </si>
  <si>
    <t>514</t>
  </si>
  <si>
    <t>518</t>
  </si>
  <si>
    <t>521</t>
  </si>
  <si>
    <t>525</t>
  </si>
  <si>
    <t>537</t>
  </si>
  <si>
    <t>541</t>
  </si>
  <si>
    <t>544</t>
  </si>
  <si>
    <t>548</t>
  </si>
  <si>
    <t>560</t>
  </si>
  <si>
    <t>563</t>
  </si>
  <si>
    <t>566</t>
  </si>
  <si>
    <t>570</t>
  </si>
  <si>
    <t>580</t>
  </si>
  <si>
    <t>584</t>
  </si>
  <si>
    <t>594</t>
  </si>
  <si>
    <t>599</t>
  </si>
  <si>
    <t>602</t>
  </si>
  <si>
    <t>606</t>
  </si>
  <si>
    <t>609</t>
  </si>
  <si>
    <t>614</t>
  </si>
  <si>
    <t>620</t>
  </si>
  <si>
    <t>623</t>
  </si>
  <si>
    <t>626</t>
  </si>
  <si>
    <t>629</t>
  </si>
  <si>
    <t>634</t>
  </si>
  <si>
    <t>637</t>
  </si>
  <si>
    <t>640</t>
  </si>
  <si>
    <t>643</t>
  </si>
  <si>
    <t>646</t>
  </si>
  <si>
    <t>650</t>
  </si>
  <si>
    <t>654</t>
  </si>
  <si>
    <t>658</t>
  </si>
  <si>
    <t>662</t>
  </si>
  <si>
    <t>666</t>
  </si>
  <si>
    <t>670</t>
  </si>
  <si>
    <t>675</t>
  </si>
  <si>
    <t>678</t>
  </si>
  <si>
    <t>684</t>
  </si>
  <si>
    <t>689</t>
  </si>
  <si>
    <t>692</t>
  </si>
  <si>
    <t>695</t>
  </si>
  <si>
    <t>699</t>
  </si>
  <si>
    <t>702</t>
  </si>
  <si>
    <t>726</t>
  </si>
  <si>
    <t>730</t>
  </si>
  <si>
    <t>733</t>
  </si>
  <si>
    <t>761</t>
  </si>
  <si>
    <t>765</t>
  </si>
  <si>
    <t>768</t>
  </si>
  <si>
    <t>796</t>
  </si>
  <si>
    <t>800</t>
  </si>
  <si>
    <t>803</t>
  </si>
  <si>
    <t>831</t>
  </si>
  <si>
    <t>835</t>
  </si>
  <si>
    <t>838</t>
  </si>
  <si>
    <t>857</t>
  </si>
  <si>
    <t>861</t>
  </si>
  <si>
    <t>864</t>
  </si>
  <si>
    <t>882</t>
  </si>
  <si>
    <t>886</t>
  </si>
  <si>
    <t>889</t>
  </si>
  <si>
    <t>907</t>
  </si>
  <si>
    <t>911</t>
  </si>
  <si>
    <t>914</t>
  </si>
  <si>
    <t>925</t>
  </si>
  <si>
    <t>928</t>
  </si>
  <si>
    <t>939</t>
  </si>
  <si>
    <t>943</t>
  </si>
  <si>
    <t>946</t>
  </si>
  <si>
    <t>956</t>
  </si>
  <si>
    <t>959</t>
  </si>
  <si>
    <t>970</t>
  </si>
  <si>
    <t>974</t>
  </si>
  <si>
    <t>977</t>
  </si>
  <si>
    <t>987</t>
  </si>
  <si>
    <t>990</t>
  </si>
  <si>
    <t>1001</t>
  </si>
  <si>
    <t>1005</t>
  </si>
  <si>
    <t>1008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</si>
</sst>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A15" sqref="A15"/>
    </sheetView>
  </sheetViews>
  <sheetFormatPr defaultRowHeight="15" x14ac:dyDescent="0.25"/>
  <cols>
    <col min="1" max="1" width="17" customWidth="1"/>
  </cols>
  <sheetData>
    <row r="1" spans="1:6" x14ac:dyDescent="0.25">
      <c r="A1" s="27"/>
    </row>
    <row r="2" spans="1:6" x14ac:dyDescent="0.25">
      <c r="A2" t="s">
        <v>0</v>
      </c>
    </row>
    <row r="4" spans="1:6" x14ac:dyDescent="0.25">
      <c r="F4" s="26"/>
    </row>
    <row r="5" spans="1:6" x14ac:dyDescent="0.25">
      <c r="F5" s="26"/>
    </row>
    <row r="6" spans="1:6" x14ac:dyDescent="0.25">
      <c r="F6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1002"/>
  <sheetViews>
    <sheetView tabSelected="1" zoomScale="70" zoomScaleNormal="70" workbookViewId="0">
      <selection activeCell="H19" sqref="H19"/>
    </sheetView>
  </sheetViews>
  <sheetFormatPr defaultRowHeight="15" x14ac:dyDescent="0.25"/>
  <cols>
    <col min="1" max="1" width="12.7109375" style="90" bestFit="1" customWidth="1"/>
    <col min="2" max="2" width="28.42578125" style="119" customWidth="1"/>
    <col min="3" max="3" width="10.85546875" style="90" bestFit="1" customWidth="1"/>
    <col min="4" max="4" width="19.28515625" style="90" customWidth="1"/>
    <col min="5" max="5" width="8.28515625" bestFit="1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90" customWidth="1"/>
    <col min="15" max="15" width="4.7109375" style="90" customWidth="1"/>
    <col min="16" max="16" width="4.28515625" style="90" customWidth="1"/>
    <col min="17" max="17" width="73.42578125" style="90" customWidth="1"/>
    <col min="18" max="18" width="16.5703125" style="90" customWidth="1"/>
    <col min="19" max="19" width="10.28515625" style="90" customWidth="1"/>
    <col min="20" max="20" width="18.5703125" style="90" bestFit="1" customWidth="1"/>
    <col min="21" max="21" width="14.140625" style="90" customWidth="1"/>
    <col min="22" max="22" width="16.28515625" bestFit="1" customWidth="1"/>
    <col min="23" max="23" width="11.7109375" bestFit="1" customWidth="1"/>
  </cols>
  <sheetData>
    <row r="1" spans="1:25" x14ac:dyDescent="0.25">
      <c r="A1" s="89" t="s">
        <v>46</v>
      </c>
      <c r="B1" s="88" t="s">
        <v>57</v>
      </c>
      <c r="C1" s="82" t="s">
        <v>47</v>
      </c>
      <c r="D1" s="82" t="s">
        <v>52</v>
      </c>
      <c r="E1" s="81" t="s">
        <v>56</v>
      </c>
      <c r="F1" s="81" t="s">
        <v>48</v>
      </c>
      <c r="G1" s="81" t="s">
        <v>49</v>
      </c>
      <c r="H1" s="81" t="s">
        <v>58</v>
      </c>
      <c r="I1" s="81" t="s">
        <v>50</v>
      </c>
      <c r="J1" s="81" t="s">
        <v>51</v>
      </c>
      <c r="K1" s="81" t="s">
        <v>53</v>
      </c>
      <c r="L1" s="81" t="s">
        <v>54</v>
      </c>
      <c r="M1" s="81" t="s">
        <v>55</v>
      </c>
      <c r="N1" s="82" t="s">
        <v>59</v>
      </c>
      <c r="O1" s="82" t="s">
        <v>69</v>
      </c>
      <c r="P1" s="82" t="s">
        <v>70</v>
      </c>
      <c r="Q1" s="82" t="s">
        <v>71</v>
      </c>
      <c r="R1" s="82" t="s">
        <v>72</v>
      </c>
      <c r="S1" s="82" t="s">
        <v>73</v>
      </c>
      <c r="T1" s="82" t="s">
        <v>74</v>
      </c>
      <c r="U1" s="82" t="s">
        <v>75</v>
      </c>
      <c r="V1" s="82" t="s">
        <v>76</v>
      </c>
      <c r="W1" s="82" t="s">
        <v>77</v>
      </c>
    </row>
    <row r="2" spans="1:25" x14ac:dyDescent="0.25">
      <c r="A2" s="89" t="s">
        <v>68</v>
      </c>
      <c r="B2" s="88">
        <v>0</v>
      </c>
      <c r="C2" s="82"/>
      <c r="D2" s="82"/>
      <c r="E2" s="81">
        <v>1</v>
      </c>
      <c r="F2" s="81">
        <v>2002</v>
      </c>
      <c r="G2" s="92" t="s">
        <v>68</v>
      </c>
      <c r="H2" s="81"/>
      <c r="I2" s="81"/>
      <c r="J2" s="81"/>
      <c r="K2" s="81"/>
      <c r="L2" s="81"/>
      <c r="M2" s="81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</row>
    <row r="3" spans="1:25" x14ac:dyDescent="0.25">
      <c r="A3" s="89"/>
      <c r="B3" s="88"/>
      <c r="C3" s="82"/>
      <c r="D3" s="82"/>
      <c r="E3" s="81"/>
      <c r="F3" s="81"/>
      <c r="G3" s="92"/>
      <c r="H3" s="81"/>
      <c r="I3" s="81"/>
      <c r="J3" s="81"/>
      <c r="K3" s="81"/>
      <c r="L3" s="81"/>
      <c r="M3" s="81"/>
      <c r="N3" s="82"/>
      <c r="O3" s="82"/>
      <c r="P3" s="82"/>
      <c r="Q3" s="82"/>
      <c r="R3" s="82"/>
      <c r="S3" s="82"/>
      <c r="T3" s="82"/>
      <c r="U3" s="82"/>
      <c r="V3" s="93"/>
      <c r="W3" s="93"/>
    </row>
    <row r="4" spans="1:25" x14ac:dyDescent="0.25">
      <c r="A4" s="82"/>
      <c r="B4" s="120"/>
      <c r="C4" s="85"/>
      <c r="D4" s="82"/>
      <c r="E4" s="87"/>
      <c r="F4" s="87"/>
      <c r="G4" s="92"/>
      <c r="H4" s="81"/>
      <c r="I4" s="81"/>
      <c r="J4" s="81"/>
      <c r="K4" s="81"/>
      <c r="L4" s="81"/>
      <c r="M4" s="81"/>
      <c r="P4" s="118"/>
      <c r="Q4" s="118"/>
      <c r="V4" s="93"/>
      <c r="W4" s="93"/>
    </row>
    <row r="5" spans="1:25" x14ac:dyDescent="0.25">
      <c r="A5" s="83"/>
      <c r="B5" s="88"/>
      <c r="C5" s="86"/>
      <c r="D5" s="82"/>
      <c r="E5" s="88"/>
      <c r="F5" s="88"/>
      <c r="G5" s="92"/>
      <c r="H5" s="81"/>
      <c r="P5" s="118"/>
      <c r="Q5" s="118"/>
      <c r="V5" s="93"/>
      <c r="W5" s="93"/>
    </row>
    <row r="6" spans="1:25" x14ac:dyDescent="0.25">
      <c r="A6" s="84"/>
      <c r="B6" s="88"/>
      <c r="C6" s="83"/>
      <c r="D6" s="82"/>
      <c r="E6" s="87"/>
      <c r="F6" s="87"/>
      <c r="G6" s="92"/>
      <c r="H6" s="81"/>
      <c r="P6" s="118"/>
      <c r="Q6" s="118"/>
      <c r="V6" s="93"/>
      <c r="W6" s="93"/>
    </row>
    <row r="7" spans="1:25" x14ac:dyDescent="0.25">
      <c r="A7" s="84"/>
      <c r="B7" s="88"/>
      <c r="C7" s="83"/>
      <c r="D7" s="82"/>
      <c r="E7" s="87"/>
      <c r="F7" s="87"/>
      <c r="G7" s="92"/>
      <c r="H7" s="81"/>
      <c r="P7" s="118"/>
      <c r="Q7" s="118"/>
      <c r="V7" s="93"/>
      <c r="W7" s="93"/>
    </row>
    <row r="8" spans="1:25" x14ac:dyDescent="0.25">
      <c r="A8" s="84"/>
      <c r="B8" s="88"/>
      <c r="C8" s="84"/>
      <c r="D8" s="82"/>
      <c r="E8" s="87"/>
      <c r="F8" s="87"/>
      <c r="G8" s="92"/>
      <c r="H8" s="81"/>
      <c r="P8" s="118"/>
      <c r="Q8" s="118"/>
      <c r="V8" s="93"/>
      <c r="W8" s="93"/>
    </row>
    <row r="9" spans="1:25" x14ac:dyDescent="0.25">
      <c r="A9" s="84"/>
      <c r="B9" s="88"/>
      <c r="C9" s="84"/>
      <c r="D9" s="82"/>
      <c r="E9" s="87"/>
      <c r="F9" s="87"/>
      <c r="G9" s="92"/>
      <c r="H9" s="81"/>
      <c r="P9" s="118"/>
      <c r="Q9" s="118"/>
      <c r="V9" s="93"/>
      <c r="W9" s="93"/>
    </row>
    <row r="10" spans="1:25" x14ac:dyDescent="0.25">
      <c r="A10" s="84"/>
      <c r="B10" s="88"/>
      <c r="C10" s="84"/>
      <c r="D10" s="82"/>
      <c r="E10" s="87"/>
      <c r="F10" s="87"/>
      <c r="G10" s="92"/>
      <c r="H10" s="81"/>
      <c r="P10" s="118"/>
      <c r="Q10" s="118"/>
      <c r="V10" s="93"/>
      <c r="W10" s="93"/>
    </row>
    <row r="11" spans="1:25" x14ac:dyDescent="0.25">
      <c r="A11" s="84"/>
      <c r="B11" s="88"/>
      <c r="C11" s="84"/>
      <c r="D11" s="82"/>
      <c r="E11" s="87"/>
      <c r="F11" s="87"/>
      <c r="G11" s="92"/>
      <c r="H11" s="81"/>
      <c r="P11" s="118"/>
      <c r="Q11" s="118"/>
      <c r="V11" s="93"/>
      <c r="W11" s="93"/>
    </row>
    <row r="12" spans="1:25" x14ac:dyDescent="0.25">
      <c r="A12" s="84"/>
      <c r="B12" s="88"/>
      <c r="C12" s="84"/>
      <c r="D12" s="82"/>
      <c r="E12" s="87"/>
      <c r="F12" s="87"/>
      <c r="G12" s="92"/>
      <c r="H12" s="81"/>
      <c r="P12" s="118"/>
      <c r="Q12" s="118"/>
      <c r="V12" s="93"/>
      <c r="W12" s="93"/>
    </row>
    <row r="13" spans="1:25" x14ac:dyDescent="0.25">
      <c r="A13" s="84"/>
      <c r="B13" s="88"/>
      <c r="C13" s="84"/>
      <c r="D13" s="82"/>
      <c r="E13" s="87"/>
      <c r="F13" s="87"/>
      <c r="G13" s="92"/>
      <c r="H13" s="81"/>
      <c r="P13" s="118"/>
      <c r="Q13" s="118"/>
      <c r="V13" s="93"/>
      <c r="W13" s="93"/>
    </row>
    <row r="14" spans="1:25" x14ac:dyDescent="0.25">
      <c r="A14" s="84"/>
      <c r="B14" s="88"/>
      <c r="C14" s="84"/>
      <c r="D14" s="82"/>
      <c r="E14" s="87"/>
      <c r="F14" s="87"/>
      <c r="G14" s="92"/>
      <c r="H14" s="81"/>
      <c r="P14" s="118"/>
      <c r="Q14" s="118"/>
      <c r="V14" s="93"/>
      <c r="W14" s="93"/>
    </row>
    <row r="15" spans="1:25" x14ac:dyDescent="0.25">
      <c r="A15" s="83"/>
      <c r="B15" s="88"/>
      <c r="C15" s="86"/>
      <c r="D15" s="82"/>
      <c r="E15" s="88"/>
      <c r="F15" s="88"/>
      <c r="G15" s="92"/>
      <c r="H15" s="81"/>
      <c r="P15" s="118"/>
      <c r="Q15" s="118"/>
      <c r="V15" s="93"/>
      <c r="W15" s="93"/>
    </row>
    <row r="16" spans="1:25" x14ac:dyDescent="0.25">
      <c r="A16" s="84"/>
      <c r="B16" s="88"/>
      <c r="C16" s="84"/>
      <c r="D16" s="82"/>
      <c r="E16" s="87"/>
      <c r="F16" s="87"/>
      <c r="G16" s="92"/>
      <c r="H16" s="81"/>
      <c r="P16" s="118"/>
      <c r="Q16" s="118"/>
      <c r="V16" s="93"/>
      <c r="W16" s="93"/>
    </row>
    <row r="17" spans="1:23" x14ac:dyDescent="0.25">
      <c r="A17" s="84"/>
      <c r="B17" s="88"/>
      <c r="C17" s="84"/>
      <c r="D17" s="82"/>
      <c r="E17" s="87"/>
      <c r="F17" s="87"/>
      <c r="G17" s="92"/>
      <c r="H17" s="81"/>
      <c r="P17" s="118"/>
      <c r="Q17" s="118"/>
      <c r="V17" s="93"/>
      <c r="W17" s="93"/>
    </row>
    <row r="18" spans="1:23" x14ac:dyDescent="0.25">
      <c r="A18" s="84"/>
      <c r="B18" s="88"/>
      <c r="C18" s="84"/>
      <c r="D18" s="82"/>
      <c r="E18" s="87"/>
      <c r="F18" s="87"/>
      <c r="G18" s="92"/>
      <c r="H18" s="81"/>
      <c r="P18" s="118"/>
      <c r="Q18" s="118"/>
      <c r="V18" s="93"/>
      <c r="W18" s="93"/>
    </row>
    <row r="19" spans="1:23" x14ac:dyDescent="0.25">
      <c r="A19" s="84"/>
      <c r="B19" s="88"/>
      <c r="C19" s="84"/>
      <c r="D19" s="82"/>
      <c r="E19" s="81"/>
      <c r="F19" s="81"/>
      <c r="G19" s="92"/>
      <c r="H19" s="81"/>
      <c r="P19" s="118"/>
      <c r="Q19" s="118"/>
      <c r="V19" s="93"/>
      <c r="W19" s="93"/>
    </row>
    <row r="20" spans="1:23" x14ac:dyDescent="0.25">
      <c r="A20" s="89"/>
      <c r="B20" s="88"/>
      <c r="C20" s="82"/>
      <c r="D20" s="82"/>
      <c r="E20" s="81"/>
      <c r="F20" s="81"/>
      <c r="G20" s="92"/>
      <c r="H20" s="81"/>
      <c r="P20" s="118"/>
      <c r="Q20" s="118"/>
      <c r="V20" s="93"/>
      <c r="W20" s="93"/>
    </row>
    <row r="21" spans="1:23" x14ac:dyDescent="0.25">
      <c r="A21" s="89"/>
      <c r="B21" s="88"/>
      <c r="C21" s="82"/>
      <c r="D21" s="82"/>
      <c r="E21" s="81"/>
      <c r="F21" s="81"/>
      <c r="G21" s="92"/>
      <c r="H21" s="81"/>
      <c r="P21" s="118"/>
      <c r="Q21" s="118"/>
      <c r="V21" s="93"/>
      <c r="W21" s="93"/>
    </row>
    <row r="22" spans="1:23" x14ac:dyDescent="0.25">
      <c r="A22" s="89"/>
      <c r="B22" s="88"/>
      <c r="C22" s="82"/>
      <c r="D22" s="82"/>
      <c r="E22" s="81"/>
      <c r="F22" s="81"/>
      <c r="G22" s="92"/>
      <c r="H22" s="81"/>
      <c r="P22" s="118"/>
      <c r="Q22" s="118"/>
      <c r="V22" s="93"/>
      <c r="W22" s="93"/>
    </row>
    <row r="23" spans="1:23" x14ac:dyDescent="0.25">
      <c r="A23" s="82"/>
      <c r="B23" s="88"/>
      <c r="C23" s="82"/>
      <c r="D23" s="82"/>
      <c r="E23" s="81"/>
      <c r="F23" s="81"/>
      <c r="G23" s="92"/>
      <c r="H23" s="81"/>
      <c r="P23" s="118"/>
      <c r="Q23" s="118"/>
      <c r="V23" s="93"/>
      <c r="W23" s="93"/>
    </row>
    <row r="24" spans="1:23" x14ac:dyDescent="0.25">
      <c r="G24" s="93"/>
      <c r="P24" s="118"/>
      <c r="Q24" s="118"/>
      <c r="V24" s="93"/>
      <c r="W24" s="93"/>
    </row>
    <row r="25" spans="1:23" x14ac:dyDescent="0.25">
      <c r="A25" s="84"/>
      <c r="B25" s="88"/>
      <c r="C25" s="91"/>
      <c r="D25" s="82"/>
      <c r="E25" s="81"/>
      <c r="F25" s="81"/>
      <c r="G25" s="92"/>
      <c r="H25" s="81"/>
      <c r="P25" s="118"/>
      <c r="Q25" s="118"/>
      <c r="V25" s="93"/>
      <c r="W25" s="93"/>
    </row>
    <row r="26" spans="1:23" x14ac:dyDescent="0.25">
      <c r="A26" s="89"/>
      <c r="B26" s="88"/>
      <c r="C26" s="82"/>
      <c r="D26" s="82"/>
      <c r="E26" s="81"/>
      <c r="F26" s="81"/>
      <c r="G26" s="92"/>
      <c r="H26" s="81"/>
      <c r="P26" s="118"/>
      <c r="Q26" s="118"/>
      <c r="V26" s="93"/>
      <c r="W26" s="93"/>
    </row>
    <row r="27" spans="1:23" x14ac:dyDescent="0.25">
      <c r="A27" s="89"/>
      <c r="B27" s="88"/>
      <c r="C27" s="82"/>
      <c r="D27" s="82"/>
      <c r="E27" s="81"/>
      <c r="F27" s="81"/>
      <c r="G27" s="92"/>
      <c r="H27" s="81"/>
      <c r="P27" s="118"/>
      <c r="Q27" s="118"/>
      <c r="V27" s="93"/>
      <c r="W27" s="93"/>
    </row>
    <row r="28" spans="1:23" x14ac:dyDescent="0.25">
      <c r="A28" s="89"/>
      <c r="B28" s="88"/>
      <c r="C28" s="82"/>
      <c r="D28" s="82"/>
      <c r="E28" s="81"/>
      <c r="F28" s="81"/>
      <c r="G28" s="92"/>
      <c r="H28" s="81"/>
      <c r="P28" s="118"/>
      <c r="Q28" s="118"/>
      <c r="V28" s="93"/>
      <c r="W28" s="93"/>
    </row>
    <row r="29" spans="1:23" x14ac:dyDescent="0.25">
      <c r="G29" s="93"/>
      <c r="P29" s="118"/>
      <c r="Q29" s="118"/>
      <c r="V29" s="93"/>
      <c r="W29" s="93"/>
    </row>
    <row r="30" spans="1:23" x14ac:dyDescent="0.25">
      <c r="G30" s="93"/>
      <c r="P30" s="118"/>
      <c r="Q30" s="118"/>
      <c r="V30" s="93"/>
      <c r="W30" s="93"/>
    </row>
    <row r="31" spans="1:23" x14ac:dyDescent="0.25">
      <c r="G31" s="93"/>
      <c r="P31" s="118"/>
      <c r="Q31" s="118"/>
      <c r="V31" s="93"/>
      <c r="W31" s="93"/>
    </row>
    <row r="32" spans="1:23" x14ac:dyDescent="0.25">
      <c r="G32" s="93"/>
      <c r="P32" s="118"/>
      <c r="Q32" s="118"/>
      <c r="V32" s="93"/>
      <c r="W32" s="93"/>
    </row>
    <row r="33" spans="7:23" x14ac:dyDescent="0.25">
      <c r="G33" s="93"/>
      <c r="P33" s="118"/>
      <c r="Q33" s="118"/>
      <c r="V33" s="93"/>
      <c r="W33" s="93"/>
    </row>
    <row r="34" spans="7:23" x14ac:dyDescent="0.25">
      <c r="G34" s="93"/>
      <c r="P34" s="118"/>
      <c r="Q34" s="118"/>
      <c r="V34" s="93"/>
      <c r="W34" s="93"/>
    </row>
    <row r="35" spans="7:23" x14ac:dyDescent="0.25">
      <c r="G35" s="93"/>
      <c r="P35" s="118"/>
      <c r="Q35" s="118"/>
      <c r="V35" s="93"/>
      <c r="W35" s="93"/>
    </row>
    <row r="36" spans="7:23" x14ac:dyDescent="0.25">
      <c r="G36" s="93"/>
      <c r="P36" s="118"/>
      <c r="Q36" s="118"/>
      <c r="V36" s="93"/>
      <c r="W36" s="93"/>
    </row>
    <row r="37" spans="7:23" x14ac:dyDescent="0.25">
      <c r="G37" s="93"/>
      <c r="P37" s="118"/>
      <c r="Q37" s="118"/>
      <c r="V37" s="93"/>
      <c r="W37" s="93"/>
    </row>
    <row r="38" spans="7:23" x14ac:dyDescent="0.25">
      <c r="G38" s="93"/>
      <c r="P38" s="118"/>
      <c r="Q38" s="118"/>
      <c r="V38" s="93"/>
      <c r="W38" s="93"/>
    </row>
    <row r="39" spans="7:23" x14ac:dyDescent="0.25">
      <c r="G39" s="93"/>
      <c r="P39" s="118"/>
      <c r="Q39" s="118"/>
      <c r="V39" s="93"/>
      <c r="W39" s="93"/>
    </row>
    <row r="40" spans="7:23" x14ac:dyDescent="0.25">
      <c r="G40" s="93"/>
      <c r="P40" s="118"/>
      <c r="Q40" s="118"/>
      <c r="V40" s="93"/>
      <c r="W40" s="93"/>
    </row>
    <row r="41" spans="7:23" x14ac:dyDescent="0.25">
      <c r="G41" s="93"/>
      <c r="P41" s="118"/>
      <c r="Q41" s="118"/>
      <c r="V41" s="93"/>
      <c r="W41" s="93"/>
    </row>
    <row r="42" spans="7:23" x14ac:dyDescent="0.25">
      <c r="G42" s="93"/>
      <c r="P42" s="118"/>
      <c r="Q42" s="118"/>
      <c r="V42" s="93"/>
      <c r="W42" s="93"/>
    </row>
    <row r="43" spans="7:23" x14ac:dyDescent="0.25">
      <c r="G43" s="93"/>
      <c r="P43" s="118"/>
      <c r="Q43" s="118"/>
      <c r="V43" s="93"/>
      <c r="W43" s="93"/>
    </row>
    <row r="44" spans="7:23" x14ac:dyDescent="0.25">
      <c r="G44" s="93"/>
      <c r="P44" s="118"/>
      <c r="Q44" s="118"/>
      <c r="V44" s="93"/>
      <c r="W44" s="93"/>
    </row>
    <row r="45" spans="7:23" x14ac:dyDescent="0.25">
      <c r="G45" s="93"/>
      <c r="P45" s="118"/>
      <c r="Q45" s="118"/>
      <c r="V45" s="93"/>
      <c r="W45" s="93"/>
    </row>
    <row r="46" spans="7:23" x14ac:dyDescent="0.25">
      <c r="G46" s="93"/>
      <c r="P46" s="118"/>
      <c r="Q46" s="118"/>
      <c r="V46" s="93"/>
      <c r="W46" s="93"/>
    </row>
    <row r="47" spans="7:23" x14ac:dyDescent="0.25">
      <c r="G47" s="93"/>
      <c r="P47" s="118"/>
      <c r="Q47" s="118"/>
      <c r="V47" s="93"/>
      <c r="W47" s="93"/>
    </row>
    <row r="48" spans="7:23" x14ac:dyDescent="0.25">
      <c r="G48" s="93"/>
      <c r="P48" s="118"/>
      <c r="Q48" s="118"/>
      <c r="V48" s="93"/>
      <c r="W48" s="93"/>
    </row>
    <row r="49" spans="7:23" x14ac:dyDescent="0.25">
      <c r="G49" s="93"/>
      <c r="P49" s="118"/>
      <c r="Q49" s="118"/>
      <c r="V49" s="93"/>
      <c r="W49" s="93"/>
    </row>
    <row r="50" spans="7:23" x14ac:dyDescent="0.25">
      <c r="G50" s="93"/>
      <c r="P50" s="118"/>
      <c r="Q50" s="118"/>
      <c r="V50" s="93"/>
      <c r="W50" s="93"/>
    </row>
    <row r="51" spans="7:23" x14ac:dyDescent="0.25">
      <c r="G51" s="93"/>
      <c r="P51" s="118"/>
      <c r="Q51" s="118"/>
      <c r="V51" s="93"/>
      <c r="W51" s="93"/>
    </row>
    <row r="52" spans="7:23" x14ac:dyDescent="0.25">
      <c r="G52" s="93"/>
      <c r="P52" s="118"/>
      <c r="Q52" s="118"/>
      <c r="V52" s="93"/>
      <c r="W52" s="93"/>
    </row>
    <row r="53" spans="7:23" x14ac:dyDescent="0.25">
      <c r="G53" s="93"/>
      <c r="P53" s="118"/>
      <c r="Q53" s="118"/>
      <c r="V53" s="93"/>
      <c r="W53" s="93"/>
    </row>
    <row r="54" spans="7:23" x14ac:dyDescent="0.25">
      <c r="G54" s="93"/>
      <c r="P54" s="118"/>
      <c r="Q54" s="118"/>
      <c r="V54" s="93"/>
      <c r="W54" s="93"/>
    </row>
    <row r="55" spans="7:23" x14ac:dyDescent="0.25">
      <c r="G55" s="93"/>
      <c r="P55" s="118"/>
      <c r="Q55" s="118"/>
      <c r="V55" s="93"/>
      <c r="W55" s="93"/>
    </row>
    <row r="56" spans="7:23" x14ac:dyDescent="0.25">
      <c r="G56" s="93"/>
      <c r="P56" s="118"/>
      <c r="Q56" s="118"/>
      <c r="V56" s="93"/>
      <c r="W56" s="93"/>
    </row>
    <row r="57" spans="7:23" x14ac:dyDescent="0.25">
      <c r="G57" s="93"/>
      <c r="P57" s="118"/>
      <c r="Q57" s="118"/>
      <c r="V57" s="93"/>
      <c r="W57" s="93"/>
    </row>
    <row r="58" spans="7:23" x14ac:dyDescent="0.25">
      <c r="G58" s="93"/>
      <c r="P58" s="118"/>
      <c r="Q58" s="118"/>
      <c r="V58" s="93"/>
      <c r="W58" s="93"/>
    </row>
    <row r="59" spans="7:23" x14ac:dyDescent="0.25">
      <c r="G59" s="93"/>
      <c r="P59" s="118"/>
      <c r="Q59" s="118"/>
      <c r="V59" s="93"/>
      <c r="W59" s="93"/>
    </row>
    <row r="60" spans="7:23" x14ac:dyDescent="0.25">
      <c r="G60" s="93"/>
      <c r="P60" s="118"/>
      <c r="Q60" s="118"/>
      <c r="V60" s="93"/>
      <c r="W60" s="93"/>
    </row>
    <row r="61" spans="7:23" x14ac:dyDescent="0.25">
      <c r="G61" s="93"/>
      <c r="P61" s="118"/>
      <c r="Q61" s="118"/>
      <c r="V61" s="93"/>
      <c r="W61" s="93"/>
    </row>
    <row r="62" spans="7:23" x14ac:dyDescent="0.25">
      <c r="G62" s="93"/>
      <c r="P62" s="118"/>
      <c r="Q62" s="118"/>
      <c r="V62" s="93"/>
      <c r="W62" s="93"/>
    </row>
    <row r="63" spans="7:23" x14ac:dyDescent="0.25">
      <c r="G63" s="93"/>
      <c r="P63" s="118"/>
      <c r="Q63" s="118"/>
      <c r="V63" s="93"/>
      <c r="W63" s="93"/>
    </row>
    <row r="64" spans="7:23" x14ac:dyDescent="0.25">
      <c r="G64" s="93"/>
      <c r="P64" s="118"/>
      <c r="Q64" s="118"/>
      <c r="V64" s="93"/>
      <c r="W64" s="93"/>
    </row>
    <row r="65" spans="7:23" x14ac:dyDescent="0.25">
      <c r="G65" s="93"/>
      <c r="P65" s="118"/>
      <c r="Q65" s="118"/>
      <c r="V65" s="93"/>
      <c r="W65" s="93"/>
    </row>
    <row r="66" spans="7:23" x14ac:dyDescent="0.25">
      <c r="G66" s="93"/>
      <c r="P66" s="118"/>
      <c r="Q66" s="118"/>
      <c r="V66" s="93"/>
      <c r="W66" s="93"/>
    </row>
    <row r="67" spans="7:23" x14ac:dyDescent="0.25">
      <c r="G67" s="93"/>
      <c r="P67" s="118"/>
      <c r="Q67" s="118"/>
      <c r="V67" s="93"/>
      <c r="W67" s="93"/>
    </row>
    <row r="68" spans="7:23" x14ac:dyDescent="0.25">
      <c r="G68" s="93"/>
      <c r="P68" s="118"/>
      <c r="Q68" s="118"/>
      <c r="V68" s="93"/>
      <c r="W68" s="93"/>
    </row>
    <row r="69" spans="7:23" x14ac:dyDescent="0.25">
      <c r="G69" s="93"/>
      <c r="P69" s="118"/>
      <c r="Q69" s="118"/>
      <c r="V69" s="93"/>
      <c r="W69" s="93"/>
    </row>
    <row r="70" spans="7:23" x14ac:dyDescent="0.25">
      <c r="G70" s="93"/>
      <c r="P70" s="118"/>
      <c r="Q70" s="118"/>
      <c r="V70" s="93"/>
      <c r="W70" s="93"/>
    </row>
    <row r="71" spans="7:23" x14ac:dyDescent="0.25">
      <c r="G71" s="93"/>
      <c r="P71" s="118"/>
      <c r="Q71" s="118"/>
      <c r="V71" s="93"/>
      <c r="W71" s="93"/>
    </row>
    <row r="72" spans="7:23" x14ac:dyDescent="0.25">
      <c r="G72" s="93"/>
      <c r="P72" s="118"/>
      <c r="Q72" s="118"/>
      <c r="V72" s="93"/>
      <c r="W72" s="93"/>
    </row>
    <row r="73" spans="7:23" x14ac:dyDescent="0.25">
      <c r="G73" s="93"/>
      <c r="P73" s="118"/>
      <c r="Q73" s="118"/>
      <c r="V73" s="93"/>
      <c r="W73" s="93"/>
    </row>
    <row r="74" spans="7:23" x14ac:dyDescent="0.25">
      <c r="G74" s="93"/>
      <c r="P74" s="118"/>
      <c r="Q74" s="118"/>
      <c r="V74" s="93"/>
      <c r="W74" s="93"/>
    </row>
    <row r="75" spans="7:23" x14ac:dyDescent="0.25">
      <c r="G75" s="93"/>
      <c r="P75" s="118"/>
      <c r="Q75" s="118"/>
      <c r="V75" s="93"/>
      <c r="W75" s="93"/>
    </row>
    <row r="76" spans="7:23" x14ac:dyDescent="0.25">
      <c r="G76" s="93"/>
      <c r="P76" s="118"/>
      <c r="Q76" s="118"/>
      <c r="V76" s="93"/>
      <c r="W76" s="93"/>
    </row>
    <row r="77" spans="7:23" x14ac:dyDescent="0.25">
      <c r="G77" s="93"/>
      <c r="P77" s="118"/>
      <c r="Q77" s="118"/>
      <c r="V77" s="93"/>
      <c r="W77" s="93"/>
    </row>
    <row r="78" spans="7:23" x14ac:dyDescent="0.25">
      <c r="G78" s="93"/>
      <c r="P78" s="118"/>
      <c r="Q78" s="118"/>
      <c r="V78" s="93"/>
      <c r="W78" s="93"/>
    </row>
    <row r="79" spans="7:23" x14ac:dyDescent="0.25">
      <c r="G79" s="93"/>
      <c r="P79" s="118"/>
      <c r="Q79" s="118"/>
      <c r="V79" s="93"/>
      <c r="W79" s="93"/>
    </row>
    <row r="80" spans="7:23" x14ac:dyDescent="0.25">
      <c r="G80" s="93"/>
      <c r="P80" s="118"/>
      <c r="Q80" s="118"/>
      <c r="V80" s="93"/>
      <c r="W80" s="93"/>
    </row>
    <row r="81" spans="7:23" x14ac:dyDescent="0.25">
      <c r="G81" s="93"/>
      <c r="P81" s="118"/>
      <c r="Q81" s="118"/>
      <c r="V81" s="93"/>
      <c r="W81" s="93"/>
    </row>
    <row r="82" spans="7:23" x14ac:dyDescent="0.25">
      <c r="G82" s="93"/>
      <c r="P82" s="118"/>
      <c r="Q82" s="118"/>
      <c r="V82" s="93"/>
      <c r="W82" s="93"/>
    </row>
    <row r="83" spans="7:23" x14ac:dyDescent="0.25">
      <c r="G83" s="93"/>
      <c r="P83" s="118"/>
      <c r="Q83" s="118"/>
      <c r="V83" s="93"/>
      <c r="W83" s="93"/>
    </row>
    <row r="84" spans="7:23" x14ac:dyDescent="0.25">
      <c r="G84" s="93"/>
      <c r="P84" s="118"/>
      <c r="Q84" s="118"/>
      <c r="V84" s="93"/>
      <c r="W84" s="93"/>
    </row>
    <row r="85" spans="7:23" x14ac:dyDescent="0.25">
      <c r="G85" s="93"/>
      <c r="P85" s="118"/>
      <c r="Q85" s="118"/>
      <c r="V85" s="93"/>
      <c r="W85" s="93"/>
    </row>
    <row r="86" spans="7:23" x14ac:dyDescent="0.25">
      <c r="G86" s="93"/>
      <c r="P86" s="118"/>
      <c r="Q86" s="118"/>
      <c r="V86" s="93"/>
      <c r="W86" s="93"/>
    </row>
    <row r="87" spans="7:23" x14ac:dyDescent="0.25">
      <c r="G87" s="93"/>
      <c r="P87" s="118"/>
      <c r="Q87" s="118"/>
      <c r="V87" s="93"/>
      <c r="W87" s="93"/>
    </row>
    <row r="88" spans="7:23" x14ac:dyDescent="0.25">
      <c r="G88" s="93"/>
      <c r="P88" s="118"/>
      <c r="Q88" s="118"/>
      <c r="V88" s="93"/>
      <c r="W88" s="93"/>
    </row>
    <row r="89" spans="7:23" x14ac:dyDescent="0.25">
      <c r="G89" s="93"/>
      <c r="P89" s="118"/>
      <c r="Q89" s="118"/>
      <c r="V89" s="93"/>
      <c r="W89" s="93"/>
    </row>
    <row r="90" spans="7:23" x14ac:dyDescent="0.25">
      <c r="G90" s="93"/>
      <c r="P90" s="118"/>
      <c r="Q90" s="118"/>
      <c r="V90" s="93"/>
      <c r="W90" s="93"/>
    </row>
    <row r="91" spans="7:23" x14ac:dyDescent="0.25">
      <c r="G91" s="93"/>
      <c r="P91" s="118"/>
      <c r="Q91" s="118"/>
      <c r="V91" s="93"/>
      <c r="W91" s="93"/>
    </row>
    <row r="92" spans="7:23" x14ac:dyDescent="0.25">
      <c r="G92" s="93"/>
      <c r="P92" s="118"/>
      <c r="Q92" s="118"/>
      <c r="V92" s="93"/>
      <c r="W92" s="93"/>
    </row>
    <row r="93" spans="7:23" x14ac:dyDescent="0.25">
      <c r="G93" s="93"/>
      <c r="P93" s="118"/>
      <c r="Q93" s="118"/>
      <c r="V93" s="93"/>
      <c r="W93" s="93"/>
    </row>
    <row r="94" spans="7:23" x14ac:dyDescent="0.25">
      <c r="G94" s="93"/>
      <c r="P94" s="118"/>
      <c r="Q94" s="118"/>
      <c r="V94" s="93"/>
      <c r="W94" s="93"/>
    </row>
    <row r="95" spans="7:23" x14ac:dyDescent="0.25">
      <c r="G95" s="93"/>
      <c r="P95" s="118"/>
      <c r="Q95" s="118"/>
      <c r="V95" s="93"/>
      <c r="W95" s="93"/>
    </row>
    <row r="96" spans="7:23" x14ac:dyDescent="0.25">
      <c r="G96" s="93"/>
      <c r="P96" s="118"/>
      <c r="Q96" s="118"/>
      <c r="V96" s="93"/>
      <c r="W96" s="93"/>
    </row>
    <row r="97" spans="7:23" x14ac:dyDescent="0.25">
      <c r="G97" s="93"/>
      <c r="P97" s="118"/>
      <c r="Q97" s="118"/>
      <c r="V97" s="93"/>
      <c r="W97" s="93"/>
    </row>
    <row r="98" spans="7:23" x14ac:dyDescent="0.25">
      <c r="G98" s="93"/>
      <c r="P98" s="118"/>
      <c r="Q98" s="118"/>
      <c r="V98" s="93"/>
      <c r="W98" s="93"/>
    </row>
    <row r="99" spans="7:23" x14ac:dyDescent="0.25">
      <c r="G99" s="93"/>
      <c r="P99" s="118"/>
      <c r="Q99" s="118"/>
      <c r="V99" s="93"/>
      <c r="W99" s="93"/>
    </row>
    <row r="100" spans="7:23" x14ac:dyDescent="0.25">
      <c r="G100" s="93"/>
      <c r="P100" s="118"/>
      <c r="Q100" s="118"/>
      <c r="V100" s="93"/>
      <c r="W100" s="93"/>
    </row>
    <row r="101" spans="7:23" x14ac:dyDescent="0.25">
      <c r="G101" s="93"/>
      <c r="P101" s="118"/>
      <c r="Q101" s="118"/>
      <c r="V101" s="93"/>
      <c r="W101" s="93"/>
    </row>
    <row r="102" spans="7:23" x14ac:dyDescent="0.25">
      <c r="G102" s="93"/>
      <c r="P102" s="118"/>
      <c r="Q102" s="118"/>
      <c r="V102" s="93"/>
      <c r="W102" s="93"/>
    </row>
    <row r="103" spans="7:23" x14ac:dyDescent="0.25">
      <c r="G103" s="93"/>
      <c r="P103" s="118"/>
      <c r="Q103" s="118"/>
      <c r="V103" s="93"/>
      <c r="W103" s="93"/>
    </row>
    <row r="104" spans="7:23" x14ac:dyDescent="0.25">
      <c r="G104" s="93"/>
      <c r="P104" s="118"/>
      <c r="Q104" s="118"/>
      <c r="V104" s="93"/>
      <c r="W104" s="93"/>
    </row>
    <row r="105" spans="7:23" x14ac:dyDescent="0.25">
      <c r="G105" s="93"/>
      <c r="P105" s="118"/>
      <c r="Q105" s="118"/>
      <c r="V105" s="93"/>
      <c r="W105" s="93"/>
    </row>
    <row r="106" spans="7:23" x14ac:dyDescent="0.25">
      <c r="G106" s="93"/>
      <c r="P106" s="118"/>
      <c r="Q106" s="118"/>
      <c r="V106" s="93"/>
      <c r="W106" s="93"/>
    </row>
    <row r="107" spans="7:23" x14ac:dyDescent="0.25">
      <c r="G107" s="93"/>
      <c r="P107" s="118"/>
      <c r="Q107" s="118"/>
      <c r="V107" s="93"/>
      <c r="W107" s="93"/>
    </row>
    <row r="108" spans="7:23" x14ac:dyDescent="0.25">
      <c r="G108" s="93"/>
      <c r="P108" s="118"/>
      <c r="Q108" s="118"/>
      <c r="V108" s="93"/>
      <c r="W108" s="93"/>
    </row>
    <row r="109" spans="7:23" x14ac:dyDescent="0.25">
      <c r="G109" s="93"/>
      <c r="P109" s="118"/>
      <c r="Q109" s="118"/>
      <c r="V109" s="93"/>
      <c r="W109" s="93"/>
    </row>
    <row r="110" spans="7:23" x14ac:dyDescent="0.25">
      <c r="G110" s="93"/>
      <c r="P110" s="118"/>
      <c r="Q110" s="118"/>
      <c r="V110" s="93"/>
      <c r="W110" s="93"/>
    </row>
    <row r="111" spans="7:23" x14ac:dyDescent="0.25">
      <c r="G111" s="93"/>
      <c r="P111" s="118"/>
      <c r="Q111" s="118"/>
      <c r="V111" s="93"/>
      <c r="W111" s="93"/>
    </row>
    <row r="112" spans="7:23" x14ac:dyDescent="0.25">
      <c r="G112" s="93"/>
      <c r="P112" s="118"/>
      <c r="Q112" s="118"/>
      <c r="V112" s="93"/>
      <c r="W112" s="93"/>
    </row>
    <row r="113" spans="7:23" x14ac:dyDescent="0.25">
      <c r="G113" s="93"/>
      <c r="P113" s="118"/>
      <c r="Q113" s="118"/>
      <c r="V113" s="93"/>
      <c r="W113" s="93"/>
    </row>
    <row r="114" spans="7:23" x14ac:dyDescent="0.25">
      <c r="G114" s="93"/>
      <c r="P114" s="118"/>
      <c r="Q114" s="118"/>
      <c r="V114" s="93"/>
      <c r="W114" s="93"/>
    </row>
    <row r="115" spans="7:23" x14ac:dyDescent="0.25">
      <c r="G115" s="93"/>
      <c r="P115" s="118"/>
      <c r="Q115" s="118"/>
      <c r="V115" s="93"/>
      <c r="W115" s="93"/>
    </row>
    <row r="116" spans="7:23" x14ac:dyDescent="0.25">
      <c r="G116" s="93"/>
      <c r="P116" s="118"/>
      <c r="Q116" s="118"/>
      <c r="V116" s="93"/>
      <c r="W116" s="93"/>
    </row>
    <row r="117" spans="7:23" x14ac:dyDescent="0.25">
      <c r="G117" s="93"/>
      <c r="P117" s="118"/>
      <c r="Q117" s="118"/>
      <c r="V117" s="93"/>
      <c r="W117" s="93"/>
    </row>
    <row r="118" spans="7:23" x14ac:dyDescent="0.25">
      <c r="G118" s="93"/>
      <c r="P118" s="118"/>
      <c r="Q118" s="118"/>
      <c r="V118" s="93"/>
      <c r="W118" s="93"/>
    </row>
    <row r="119" spans="7:23" x14ac:dyDescent="0.25">
      <c r="G119" s="93"/>
      <c r="P119" s="118"/>
      <c r="Q119" s="118"/>
      <c r="V119" s="93"/>
      <c r="W119" s="93"/>
    </row>
    <row r="120" spans="7:23" x14ac:dyDescent="0.25">
      <c r="G120" s="93"/>
      <c r="P120" s="118"/>
      <c r="Q120" s="118"/>
      <c r="V120" s="93"/>
      <c r="W120" s="93"/>
    </row>
    <row r="121" spans="7:23" x14ac:dyDescent="0.25">
      <c r="G121" s="93"/>
      <c r="P121" s="118"/>
      <c r="Q121" s="118"/>
      <c r="V121" s="93"/>
      <c r="W121" s="93"/>
    </row>
    <row r="122" spans="7:23" x14ac:dyDescent="0.25">
      <c r="G122" s="93"/>
      <c r="P122" s="118"/>
      <c r="Q122" s="118"/>
      <c r="V122" s="93"/>
      <c r="W122" s="93"/>
    </row>
    <row r="123" spans="7:23" x14ac:dyDescent="0.25">
      <c r="G123" s="93"/>
      <c r="P123" s="118"/>
      <c r="Q123" s="118"/>
      <c r="V123" s="93"/>
      <c r="W123" s="93"/>
    </row>
    <row r="124" spans="7:23" x14ac:dyDescent="0.25">
      <c r="G124" s="93"/>
      <c r="P124" s="118"/>
      <c r="Q124" s="118"/>
      <c r="V124" s="93"/>
      <c r="W124" s="93"/>
    </row>
    <row r="125" spans="7:23" x14ac:dyDescent="0.25">
      <c r="G125" s="93"/>
      <c r="P125" s="118"/>
      <c r="Q125" s="118"/>
      <c r="V125" s="93"/>
      <c r="W125" s="93"/>
    </row>
    <row r="126" spans="7:23" x14ac:dyDescent="0.25">
      <c r="G126" s="93"/>
      <c r="P126" s="118"/>
      <c r="Q126" s="118"/>
      <c r="V126" s="93"/>
      <c r="W126" s="93"/>
    </row>
    <row r="127" spans="7:23" x14ac:dyDescent="0.25">
      <c r="G127" s="93"/>
      <c r="P127" s="118"/>
      <c r="Q127" s="118"/>
      <c r="V127" s="93"/>
      <c r="W127" s="93"/>
    </row>
    <row r="128" spans="7:23" x14ac:dyDescent="0.25">
      <c r="G128" s="93"/>
      <c r="P128" s="118"/>
      <c r="Q128" s="118"/>
      <c r="V128" s="93"/>
      <c r="W128" s="93"/>
    </row>
    <row r="129" spans="7:23" x14ac:dyDescent="0.25">
      <c r="G129" s="93"/>
      <c r="P129" s="118"/>
      <c r="Q129" s="118"/>
      <c r="V129" s="93"/>
      <c r="W129" s="93"/>
    </row>
    <row r="130" spans="7:23" x14ac:dyDescent="0.25">
      <c r="G130" s="93"/>
      <c r="P130" s="118"/>
      <c r="Q130" s="118"/>
      <c r="V130" s="93"/>
      <c r="W130" s="93"/>
    </row>
    <row r="131" spans="7:23" x14ac:dyDescent="0.25">
      <c r="G131" s="93"/>
      <c r="P131" s="118"/>
      <c r="Q131" s="118"/>
      <c r="V131" s="93"/>
      <c r="W131" s="93"/>
    </row>
    <row r="132" spans="7:23" x14ac:dyDescent="0.25">
      <c r="G132" s="93"/>
      <c r="P132" s="118"/>
      <c r="Q132" s="118"/>
      <c r="V132" s="93"/>
      <c r="W132" s="93"/>
    </row>
    <row r="133" spans="7:23" x14ac:dyDescent="0.25">
      <c r="G133" s="93"/>
      <c r="P133" s="118"/>
      <c r="Q133" s="118"/>
      <c r="V133" s="93"/>
      <c r="W133" s="93"/>
    </row>
    <row r="134" spans="7:23" x14ac:dyDescent="0.25">
      <c r="G134" s="93"/>
      <c r="P134" s="118"/>
      <c r="Q134" s="118"/>
      <c r="V134" s="93"/>
      <c r="W134" s="93"/>
    </row>
    <row r="135" spans="7:23" x14ac:dyDescent="0.25">
      <c r="G135" s="93"/>
      <c r="P135" s="118"/>
      <c r="Q135" s="118"/>
      <c r="V135" s="93"/>
      <c r="W135" s="93"/>
    </row>
    <row r="136" spans="7:23" x14ac:dyDescent="0.25">
      <c r="G136" s="93"/>
      <c r="P136" s="118"/>
      <c r="Q136" s="118"/>
      <c r="V136" s="93"/>
      <c r="W136" s="93"/>
    </row>
    <row r="137" spans="7:23" x14ac:dyDescent="0.25">
      <c r="G137" s="93"/>
      <c r="P137" s="118"/>
      <c r="Q137" s="118"/>
      <c r="V137" s="93"/>
      <c r="W137" s="93"/>
    </row>
    <row r="138" spans="7:23" x14ac:dyDescent="0.25">
      <c r="G138" s="93"/>
      <c r="P138" s="118"/>
      <c r="Q138" s="118"/>
      <c r="V138" s="93"/>
      <c r="W138" s="93"/>
    </row>
    <row r="139" spans="7:23" x14ac:dyDescent="0.25">
      <c r="G139" s="93"/>
      <c r="P139" s="118"/>
      <c r="Q139" s="118"/>
      <c r="V139" s="93"/>
      <c r="W139" s="93"/>
    </row>
    <row r="140" spans="7:23" x14ac:dyDescent="0.25">
      <c r="G140" s="93"/>
      <c r="P140" s="118"/>
      <c r="Q140" s="118"/>
      <c r="V140" s="93"/>
      <c r="W140" s="93"/>
    </row>
    <row r="141" spans="7:23" x14ac:dyDescent="0.25">
      <c r="G141" s="93"/>
      <c r="P141" s="118"/>
      <c r="Q141" s="118"/>
      <c r="V141" s="93"/>
      <c r="W141" s="93"/>
    </row>
    <row r="142" spans="7:23" x14ac:dyDescent="0.25">
      <c r="G142" s="93"/>
      <c r="P142" s="118"/>
      <c r="Q142" s="118"/>
      <c r="V142" s="93"/>
      <c r="W142" s="93"/>
    </row>
    <row r="143" spans="7:23" x14ac:dyDescent="0.25">
      <c r="G143" s="93"/>
      <c r="P143" s="118"/>
      <c r="Q143" s="118"/>
      <c r="V143" s="93"/>
      <c r="W143" s="93"/>
    </row>
    <row r="144" spans="7:23" x14ac:dyDescent="0.25">
      <c r="G144" s="93"/>
      <c r="P144" s="118"/>
      <c r="Q144" s="118"/>
      <c r="V144" s="93"/>
      <c r="W144" s="93"/>
    </row>
    <row r="145" spans="7:23" x14ac:dyDescent="0.25">
      <c r="G145" s="93"/>
      <c r="P145" s="118"/>
      <c r="Q145" s="118"/>
      <c r="V145" s="93"/>
      <c r="W145" s="93"/>
    </row>
    <row r="146" spans="7:23" x14ac:dyDescent="0.25">
      <c r="G146" s="93"/>
      <c r="P146" s="118"/>
      <c r="Q146" s="118"/>
      <c r="V146" s="93"/>
      <c r="W146" s="93"/>
    </row>
    <row r="147" spans="7:23" x14ac:dyDescent="0.25">
      <c r="G147" s="93"/>
      <c r="P147" s="118"/>
      <c r="Q147" s="118"/>
      <c r="V147" s="93"/>
      <c r="W147" s="93"/>
    </row>
    <row r="148" spans="7:23" x14ac:dyDescent="0.25">
      <c r="G148" s="93"/>
      <c r="P148" s="118"/>
      <c r="Q148" s="118"/>
      <c r="V148" s="93"/>
      <c r="W148" s="93"/>
    </row>
    <row r="149" spans="7:23" x14ac:dyDescent="0.25">
      <c r="G149" s="93"/>
      <c r="P149" s="118"/>
      <c r="Q149" s="118"/>
      <c r="V149" s="93"/>
      <c r="W149" s="93"/>
    </row>
    <row r="150" spans="7:23" x14ac:dyDescent="0.25">
      <c r="G150" s="93"/>
      <c r="P150" s="118"/>
      <c r="Q150" s="118"/>
      <c r="V150" s="93"/>
      <c r="W150" s="93"/>
    </row>
    <row r="151" spans="7:23" x14ac:dyDescent="0.25">
      <c r="G151" s="93"/>
      <c r="P151" s="118"/>
      <c r="Q151" s="118"/>
      <c r="V151" s="93"/>
      <c r="W151" s="93"/>
    </row>
    <row r="152" spans="7:23" x14ac:dyDescent="0.25">
      <c r="G152" s="93"/>
      <c r="P152" s="118"/>
      <c r="Q152" s="118"/>
      <c r="V152" s="93"/>
      <c r="W152" s="93"/>
    </row>
    <row r="153" spans="7:23" x14ac:dyDescent="0.25">
      <c r="G153" s="93"/>
      <c r="P153" s="118"/>
      <c r="Q153" s="118"/>
      <c r="V153" s="93"/>
      <c r="W153" s="93"/>
    </row>
    <row r="154" spans="7:23" x14ac:dyDescent="0.25">
      <c r="G154" s="93"/>
      <c r="P154" s="118"/>
      <c r="Q154" s="118"/>
      <c r="V154" s="93"/>
      <c r="W154" s="93"/>
    </row>
    <row r="155" spans="7:23" x14ac:dyDescent="0.25">
      <c r="G155" s="93"/>
      <c r="P155" s="118"/>
      <c r="Q155" s="118"/>
      <c r="V155" s="93"/>
      <c r="W155" s="93"/>
    </row>
    <row r="156" spans="7:23" x14ac:dyDescent="0.25">
      <c r="G156" s="93"/>
      <c r="P156" s="118"/>
      <c r="Q156" s="118"/>
      <c r="V156" s="93"/>
      <c r="W156" s="93"/>
    </row>
    <row r="157" spans="7:23" x14ac:dyDescent="0.25">
      <c r="G157" s="93"/>
      <c r="P157" s="118"/>
      <c r="Q157" s="118"/>
      <c r="V157" s="93"/>
      <c r="W157" s="93"/>
    </row>
    <row r="158" spans="7:23" x14ac:dyDescent="0.25">
      <c r="G158" s="93"/>
      <c r="P158" s="118"/>
      <c r="Q158" s="118"/>
      <c r="V158" s="93"/>
      <c r="W158" s="93"/>
    </row>
    <row r="159" spans="7:23" x14ac:dyDescent="0.25">
      <c r="G159" s="93"/>
      <c r="P159" s="118"/>
      <c r="Q159" s="118"/>
      <c r="V159" s="93"/>
      <c r="W159" s="93"/>
    </row>
    <row r="160" spans="7:23" x14ac:dyDescent="0.25">
      <c r="G160" s="93"/>
      <c r="P160" s="118"/>
      <c r="Q160" s="118"/>
      <c r="V160" s="93"/>
      <c r="W160" s="93"/>
    </row>
    <row r="161" spans="7:23" x14ac:dyDescent="0.25">
      <c r="G161" s="93"/>
      <c r="P161" s="118"/>
      <c r="Q161" s="118"/>
      <c r="V161" s="93"/>
      <c r="W161" s="93"/>
    </row>
    <row r="162" spans="7:23" x14ac:dyDescent="0.25">
      <c r="G162" s="93"/>
      <c r="P162" s="118"/>
      <c r="Q162" s="118"/>
      <c r="V162" s="93"/>
      <c r="W162" s="93"/>
    </row>
    <row r="163" spans="7:23" x14ac:dyDescent="0.25">
      <c r="G163" s="93"/>
      <c r="P163" s="118"/>
      <c r="Q163" s="118"/>
      <c r="V163" s="93"/>
      <c r="W163" s="93"/>
    </row>
    <row r="164" spans="7:23" x14ac:dyDescent="0.25">
      <c r="G164" s="93"/>
      <c r="P164" s="118"/>
      <c r="Q164" s="118"/>
      <c r="V164" s="93"/>
      <c r="W164" s="93"/>
    </row>
    <row r="165" spans="7:23" x14ac:dyDescent="0.25">
      <c r="G165" s="93"/>
      <c r="P165" s="118"/>
      <c r="Q165" s="118"/>
      <c r="V165" s="93"/>
      <c r="W165" s="93"/>
    </row>
    <row r="166" spans="7:23" x14ac:dyDescent="0.25">
      <c r="G166" s="93"/>
      <c r="P166" s="118"/>
      <c r="Q166" s="118"/>
      <c r="V166" s="93"/>
      <c r="W166" s="93"/>
    </row>
    <row r="167" spans="7:23" x14ac:dyDescent="0.25">
      <c r="G167" s="93"/>
      <c r="P167" s="118"/>
      <c r="Q167" s="118"/>
      <c r="V167" s="93"/>
      <c r="W167" s="93"/>
    </row>
    <row r="168" spans="7:23" x14ac:dyDescent="0.25">
      <c r="G168" s="93"/>
      <c r="P168" s="118"/>
      <c r="Q168" s="118"/>
      <c r="V168" s="93"/>
      <c r="W168" s="93"/>
    </row>
    <row r="169" spans="7:23" x14ac:dyDescent="0.25">
      <c r="G169" s="93"/>
      <c r="P169" s="118"/>
      <c r="Q169" s="118"/>
      <c r="V169" s="93"/>
      <c r="W169" s="93"/>
    </row>
    <row r="170" spans="7:23" x14ac:dyDescent="0.25">
      <c r="G170" s="93"/>
      <c r="P170" s="118"/>
      <c r="Q170" s="118"/>
      <c r="V170" s="93"/>
      <c r="W170" s="93"/>
    </row>
    <row r="171" spans="7:23" x14ac:dyDescent="0.25">
      <c r="G171" s="93"/>
      <c r="P171" s="118"/>
      <c r="Q171" s="118"/>
      <c r="V171" s="93"/>
      <c r="W171" s="93"/>
    </row>
    <row r="172" spans="7:23" x14ac:dyDescent="0.25">
      <c r="G172" s="93"/>
      <c r="P172" s="118"/>
      <c r="Q172" s="118"/>
      <c r="V172" s="93"/>
      <c r="W172" s="93"/>
    </row>
    <row r="173" spans="7:23" x14ac:dyDescent="0.25">
      <c r="G173" s="93"/>
      <c r="P173" s="118"/>
      <c r="Q173" s="118"/>
      <c r="V173" s="93"/>
      <c r="W173" s="93"/>
    </row>
    <row r="174" spans="7:23" x14ac:dyDescent="0.25">
      <c r="G174" s="93"/>
      <c r="P174" s="118"/>
      <c r="Q174" s="118"/>
      <c r="V174" s="93"/>
      <c r="W174" s="93"/>
    </row>
    <row r="175" spans="7:23" x14ac:dyDescent="0.25">
      <c r="G175" s="93"/>
      <c r="P175" s="118"/>
      <c r="Q175" s="118"/>
      <c r="V175" s="93"/>
      <c r="W175" s="93"/>
    </row>
    <row r="176" spans="7:23" x14ac:dyDescent="0.25">
      <c r="G176" s="93"/>
      <c r="P176" s="118"/>
      <c r="Q176" s="118"/>
      <c r="V176" s="93"/>
      <c r="W176" s="93"/>
    </row>
    <row r="177" spans="7:23" x14ac:dyDescent="0.25">
      <c r="G177" s="93"/>
      <c r="P177" s="118"/>
      <c r="Q177" s="118"/>
      <c r="V177" s="93"/>
      <c r="W177" s="93"/>
    </row>
    <row r="178" spans="7:23" x14ac:dyDescent="0.25">
      <c r="G178" s="93"/>
      <c r="P178" s="118"/>
      <c r="Q178" s="118"/>
      <c r="V178" s="93"/>
      <c r="W178" s="93"/>
    </row>
    <row r="179" spans="7:23" x14ac:dyDescent="0.25">
      <c r="G179" s="93"/>
      <c r="P179" s="118"/>
      <c r="Q179" s="118"/>
      <c r="V179" s="93"/>
      <c r="W179" s="93"/>
    </row>
    <row r="180" spans="7:23" x14ac:dyDescent="0.25">
      <c r="G180" s="93"/>
      <c r="P180" s="118"/>
      <c r="Q180" s="118"/>
      <c r="V180" s="93"/>
      <c r="W180" s="93"/>
    </row>
    <row r="181" spans="7:23" x14ac:dyDescent="0.25">
      <c r="G181" s="93"/>
      <c r="P181" s="118"/>
      <c r="Q181" s="118"/>
      <c r="V181" s="93"/>
      <c r="W181" s="93"/>
    </row>
    <row r="182" spans="7:23" x14ac:dyDescent="0.25">
      <c r="G182" s="93"/>
      <c r="P182" s="118"/>
      <c r="Q182" s="118"/>
      <c r="V182" s="93"/>
      <c r="W182" s="93"/>
    </row>
    <row r="183" spans="7:23" x14ac:dyDescent="0.25">
      <c r="G183" s="93"/>
      <c r="P183" s="118"/>
      <c r="Q183" s="118"/>
      <c r="V183" s="93"/>
      <c r="W183" s="93"/>
    </row>
    <row r="184" spans="7:23" x14ac:dyDescent="0.25">
      <c r="G184" s="93"/>
      <c r="P184" s="118"/>
      <c r="Q184" s="118"/>
      <c r="V184" s="93"/>
      <c r="W184" s="93"/>
    </row>
    <row r="185" spans="7:23" x14ac:dyDescent="0.25">
      <c r="G185" s="93"/>
      <c r="P185" s="118"/>
      <c r="Q185" s="118"/>
      <c r="V185" s="93"/>
      <c r="W185" s="93"/>
    </row>
    <row r="186" spans="7:23" x14ac:dyDescent="0.25">
      <c r="G186" s="93"/>
      <c r="P186" s="118"/>
      <c r="Q186" s="118"/>
      <c r="V186" s="93"/>
      <c r="W186" s="93"/>
    </row>
    <row r="187" spans="7:23" x14ac:dyDescent="0.25">
      <c r="G187" s="93"/>
      <c r="P187" s="118"/>
      <c r="Q187" s="118"/>
      <c r="V187" s="93"/>
      <c r="W187" s="93"/>
    </row>
    <row r="188" spans="7:23" x14ac:dyDescent="0.25">
      <c r="G188" s="93"/>
      <c r="P188" s="118"/>
      <c r="Q188" s="118"/>
      <c r="V188" s="93"/>
      <c r="W188" s="93"/>
    </row>
    <row r="189" spans="7:23" x14ac:dyDescent="0.25">
      <c r="G189" s="93"/>
      <c r="P189" s="118"/>
      <c r="Q189" s="118"/>
      <c r="V189" s="93"/>
      <c r="W189" s="93"/>
    </row>
    <row r="190" spans="7:23" x14ac:dyDescent="0.25">
      <c r="G190" s="93"/>
      <c r="P190" s="118"/>
      <c r="Q190" s="118"/>
      <c r="V190" s="93"/>
      <c r="W190" s="93"/>
    </row>
    <row r="191" spans="7:23" x14ac:dyDescent="0.25">
      <c r="G191" s="93"/>
      <c r="P191" s="118"/>
      <c r="Q191" s="118"/>
      <c r="V191" s="93"/>
      <c r="W191" s="93"/>
    </row>
    <row r="192" spans="7:23" x14ac:dyDescent="0.25">
      <c r="G192" s="93"/>
      <c r="P192" s="118"/>
      <c r="Q192" s="118"/>
      <c r="V192" s="93"/>
      <c r="W192" s="93"/>
    </row>
    <row r="193" spans="7:23" x14ac:dyDescent="0.25">
      <c r="G193" s="93"/>
      <c r="P193" s="118"/>
      <c r="Q193" s="118"/>
      <c r="V193" s="93"/>
      <c r="W193" s="93"/>
    </row>
    <row r="194" spans="7:23" x14ac:dyDescent="0.25">
      <c r="G194" s="93"/>
      <c r="P194" s="118"/>
      <c r="Q194" s="118"/>
      <c r="V194" s="93"/>
      <c r="W194" s="93"/>
    </row>
    <row r="195" spans="7:23" x14ac:dyDescent="0.25">
      <c r="G195" s="93"/>
      <c r="P195" s="118"/>
      <c r="Q195" s="118"/>
      <c r="V195" s="93"/>
      <c r="W195" s="93"/>
    </row>
    <row r="196" spans="7:23" x14ac:dyDescent="0.25">
      <c r="G196" s="93"/>
      <c r="P196" s="118"/>
      <c r="Q196" s="118"/>
      <c r="V196" s="93"/>
      <c r="W196" s="93"/>
    </row>
    <row r="197" spans="7:23" x14ac:dyDescent="0.25">
      <c r="G197" s="93"/>
      <c r="P197" s="118"/>
      <c r="Q197" s="118"/>
      <c r="V197" s="93"/>
      <c r="W197" s="93"/>
    </row>
    <row r="198" spans="7:23" x14ac:dyDescent="0.25">
      <c r="G198" s="93"/>
      <c r="P198" s="118"/>
      <c r="Q198" s="118"/>
      <c r="V198" s="93"/>
      <c r="W198" s="93"/>
    </row>
    <row r="199" spans="7:23" x14ac:dyDescent="0.25">
      <c r="G199" s="93"/>
      <c r="P199" s="118"/>
      <c r="Q199" s="118"/>
      <c r="V199" s="93"/>
      <c r="W199" s="93"/>
    </row>
    <row r="200" spans="7:23" x14ac:dyDescent="0.25">
      <c r="G200" s="93"/>
      <c r="P200" s="118"/>
      <c r="Q200" s="118"/>
      <c r="V200" s="93"/>
      <c r="W200" s="93"/>
    </row>
    <row r="201" spans="7:23" x14ac:dyDescent="0.25">
      <c r="G201" s="93"/>
      <c r="P201" s="118"/>
      <c r="Q201" s="118"/>
      <c r="V201" s="93"/>
      <c r="W201" s="93"/>
    </row>
    <row r="202" spans="7:23" x14ac:dyDescent="0.25">
      <c r="G202" s="93"/>
      <c r="P202" s="118"/>
      <c r="Q202" s="118"/>
      <c r="V202" s="93"/>
      <c r="W202" s="93"/>
    </row>
    <row r="203" spans="7:23" x14ac:dyDescent="0.25">
      <c r="G203" s="93"/>
      <c r="P203" s="118"/>
      <c r="Q203" s="118"/>
      <c r="V203" s="93"/>
      <c r="W203" s="93"/>
    </row>
    <row r="204" spans="7:23" x14ac:dyDescent="0.25">
      <c r="G204" s="93"/>
      <c r="P204" s="118"/>
      <c r="Q204" s="118"/>
      <c r="V204" s="93"/>
      <c r="W204" s="93"/>
    </row>
    <row r="205" spans="7:23" x14ac:dyDescent="0.25">
      <c r="G205" s="93"/>
      <c r="P205" s="118"/>
      <c r="Q205" s="118"/>
      <c r="V205" s="93"/>
      <c r="W205" s="93"/>
    </row>
    <row r="206" spans="7:23" x14ac:dyDescent="0.25">
      <c r="G206" s="93"/>
      <c r="P206" s="118"/>
      <c r="Q206" s="118"/>
      <c r="V206" s="93"/>
      <c r="W206" s="93"/>
    </row>
    <row r="207" spans="7:23" x14ac:dyDescent="0.25">
      <c r="G207" s="93"/>
      <c r="P207" s="118"/>
      <c r="Q207" s="118"/>
      <c r="V207" s="93"/>
      <c r="W207" s="93"/>
    </row>
    <row r="208" spans="7:23" x14ac:dyDescent="0.25">
      <c r="G208" s="93"/>
      <c r="P208" s="118"/>
      <c r="Q208" s="118"/>
      <c r="V208" s="93"/>
      <c r="W208" s="93"/>
    </row>
    <row r="209" spans="7:23" x14ac:dyDescent="0.25">
      <c r="G209" s="93"/>
      <c r="P209" s="118"/>
      <c r="Q209" s="118"/>
      <c r="V209" s="93"/>
      <c r="W209" s="93"/>
    </row>
    <row r="210" spans="7:23" x14ac:dyDescent="0.25">
      <c r="G210" s="93"/>
      <c r="P210" s="118"/>
      <c r="Q210" s="118"/>
      <c r="V210" s="93"/>
      <c r="W210" s="93"/>
    </row>
    <row r="211" spans="7:23" x14ac:dyDescent="0.25">
      <c r="G211" s="93"/>
      <c r="P211" s="118"/>
      <c r="Q211" s="118"/>
      <c r="V211" s="93"/>
      <c r="W211" s="93"/>
    </row>
    <row r="212" spans="7:23" x14ac:dyDescent="0.25">
      <c r="G212" s="93"/>
      <c r="P212" s="118"/>
      <c r="Q212" s="118"/>
      <c r="V212" s="93"/>
      <c r="W212" s="93"/>
    </row>
    <row r="213" spans="7:23" x14ac:dyDescent="0.25">
      <c r="G213" s="93"/>
      <c r="P213" s="118"/>
      <c r="Q213" s="118"/>
      <c r="V213" s="93"/>
      <c r="W213" s="93"/>
    </row>
    <row r="214" spans="7:23" x14ac:dyDescent="0.25">
      <c r="G214" s="93"/>
      <c r="P214" s="118"/>
      <c r="Q214" s="118"/>
      <c r="V214" s="93"/>
      <c r="W214" s="93"/>
    </row>
    <row r="215" spans="7:23" x14ac:dyDescent="0.25">
      <c r="G215" s="93"/>
      <c r="P215" s="118"/>
      <c r="Q215" s="118"/>
      <c r="V215" s="93"/>
      <c r="W215" s="93"/>
    </row>
    <row r="216" spans="7:23" x14ac:dyDescent="0.25">
      <c r="G216" s="93"/>
      <c r="P216" s="118"/>
      <c r="Q216" s="118"/>
      <c r="V216" s="93"/>
      <c r="W216" s="93"/>
    </row>
    <row r="217" spans="7:23" x14ac:dyDescent="0.25">
      <c r="G217" s="93"/>
      <c r="P217" s="118"/>
      <c r="Q217" s="118"/>
      <c r="V217" s="93"/>
      <c r="W217" s="93"/>
    </row>
    <row r="218" spans="7:23" x14ac:dyDescent="0.25">
      <c r="G218" s="93"/>
      <c r="P218" s="118"/>
      <c r="Q218" s="118"/>
      <c r="V218" s="93"/>
      <c r="W218" s="93"/>
    </row>
    <row r="219" spans="7:23" x14ac:dyDescent="0.25">
      <c r="G219" s="93"/>
      <c r="P219" s="118"/>
      <c r="Q219" s="118"/>
      <c r="V219" s="93"/>
      <c r="W219" s="93"/>
    </row>
    <row r="220" spans="7:23" x14ac:dyDescent="0.25">
      <c r="G220" s="93"/>
      <c r="P220" s="118"/>
      <c r="Q220" s="118"/>
      <c r="V220" s="93"/>
      <c r="W220" s="93"/>
    </row>
    <row r="221" spans="7:23" x14ac:dyDescent="0.25">
      <c r="G221" s="93"/>
      <c r="P221" s="118"/>
      <c r="Q221" s="118"/>
      <c r="V221" s="93"/>
      <c r="W221" s="93"/>
    </row>
    <row r="222" spans="7:23" x14ac:dyDescent="0.25">
      <c r="G222" s="93"/>
      <c r="P222" s="118"/>
      <c r="Q222" s="118"/>
      <c r="V222" s="93"/>
      <c r="W222" s="93"/>
    </row>
    <row r="223" spans="7:23" x14ac:dyDescent="0.25">
      <c r="G223" s="93"/>
      <c r="P223" s="118"/>
      <c r="Q223" s="118"/>
      <c r="V223" s="93"/>
      <c r="W223" s="93"/>
    </row>
    <row r="224" spans="7:23" x14ac:dyDescent="0.25">
      <c r="G224" s="93"/>
      <c r="P224" s="118"/>
      <c r="Q224" s="118"/>
      <c r="V224" s="93"/>
      <c r="W224" s="93"/>
    </row>
    <row r="225" spans="7:23" x14ac:dyDescent="0.25">
      <c r="G225" s="93"/>
      <c r="P225" s="118"/>
      <c r="Q225" s="118"/>
      <c r="V225" s="93"/>
      <c r="W225" s="93"/>
    </row>
    <row r="226" spans="7:23" x14ac:dyDescent="0.25">
      <c r="G226" s="93"/>
      <c r="P226" s="118"/>
      <c r="Q226" s="118"/>
      <c r="V226" s="93"/>
      <c r="W226" s="93"/>
    </row>
    <row r="227" spans="7:23" x14ac:dyDescent="0.25">
      <c r="G227" s="93"/>
      <c r="P227" s="118"/>
      <c r="Q227" s="118"/>
      <c r="V227" s="93"/>
      <c r="W227" s="93"/>
    </row>
    <row r="228" spans="7:23" x14ac:dyDescent="0.25">
      <c r="G228" s="93"/>
      <c r="P228" s="118"/>
      <c r="Q228" s="118"/>
      <c r="V228" s="93"/>
      <c r="W228" s="93"/>
    </row>
    <row r="229" spans="7:23" x14ac:dyDescent="0.25">
      <c r="G229" s="93"/>
      <c r="P229" s="118"/>
      <c r="Q229" s="118"/>
      <c r="V229" s="93"/>
      <c r="W229" s="93"/>
    </row>
    <row r="230" spans="7:23" x14ac:dyDescent="0.25">
      <c r="G230" s="93"/>
      <c r="P230" s="118"/>
      <c r="Q230" s="118"/>
      <c r="V230" s="93"/>
      <c r="W230" s="93"/>
    </row>
    <row r="231" spans="7:23" x14ac:dyDescent="0.25">
      <c r="G231" s="93"/>
      <c r="P231" s="118"/>
      <c r="Q231" s="118"/>
      <c r="V231" s="93"/>
      <c r="W231" s="93"/>
    </row>
    <row r="232" spans="7:23" x14ac:dyDescent="0.25">
      <c r="G232" s="93"/>
      <c r="P232" s="118"/>
      <c r="Q232" s="118"/>
      <c r="V232" s="93"/>
      <c r="W232" s="93"/>
    </row>
    <row r="233" spans="7:23" x14ac:dyDescent="0.25">
      <c r="G233" s="93"/>
      <c r="P233" s="118"/>
      <c r="Q233" s="118"/>
      <c r="V233" s="93"/>
      <c r="W233" s="93"/>
    </row>
    <row r="234" spans="7:23" x14ac:dyDescent="0.25">
      <c r="G234" s="93"/>
      <c r="P234" s="118"/>
      <c r="Q234" s="118"/>
      <c r="V234" s="93"/>
      <c r="W234" s="93"/>
    </row>
    <row r="235" spans="7:23" x14ac:dyDescent="0.25">
      <c r="G235" s="93"/>
      <c r="P235" s="118"/>
      <c r="Q235" s="118"/>
      <c r="V235" s="93"/>
      <c r="W235" s="93"/>
    </row>
    <row r="236" spans="7:23" x14ac:dyDescent="0.25">
      <c r="G236" s="93"/>
      <c r="P236" s="118"/>
      <c r="Q236" s="118"/>
      <c r="V236" s="93"/>
      <c r="W236" s="93"/>
    </row>
    <row r="237" spans="7:23" x14ac:dyDescent="0.25">
      <c r="G237" s="93"/>
      <c r="P237" s="118"/>
      <c r="Q237" s="118"/>
      <c r="V237" s="93"/>
      <c r="W237" s="93"/>
    </row>
    <row r="238" spans="7:23" x14ac:dyDescent="0.25">
      <c r="G238" s="93"/>
      <c r="P238" s="118"/>
      <c r="Q238" s="118"/>
      <c r="V238" s="93"/>
      <c r="W238" s="93"/>
    </row>
    <row r="239" spans="7:23" x14ac:dyDescent="0.25">
      <c r="G239" s="93"/>
      <c r="P239" s="118"/>
      <c r="Q239" s="118"/>
      <c r="V239" s="93"/>
      <c r="W239" s="93"/>
    </row>
    <row r="240" spans="7:23" x14ac:dyDescent="0.25">
      <c r="G240" s="93"/>
      <c r="P240" s="118"/>
      <c r="Q240" s="118"/>
      <c r="V240" s="93"/>
      <c r="W240" s="93"/>
    </row>
    <row r="241" spans="7:23" x14ac:dyDescent="0.25">
      <c r="G241" s="93"/>
      <c r="P241" s="118"/>
      <c r="Q241" s="118"/>
      <c r="V241" s="93"/>
      <c r="W241" s="93"/>
    </row>
    <row r="242" spans="7:23" x14ac:dyDescent="0.25">
      <c r="G242" s="93"/>
      <c r="P242" s="118"/>
      <c r="Q242" s="118"/>
      <c r="V242" s="93"/>
      <c r="W242" s="93"/>
    </row>
    <row r="243" spans="7:23" x14ac:dyDescent="0.25">
      <c r="G243" s="93"/>
      <c r="P243" s="118"/>
      <c r="Q243" s="118"/>
      <c r="V243" s="93"/>
      <c r="W243" s="93"/>
    </row>
    <row r="244" spans="7:23" x14ac:dyDescent="0.25">
      <c r="G244" s="93"/>
      <c r="P244" s="118"/>
      <c r="Q244" s="118"/>
      <c r="V244" s="93"/>
      <c r="W244" s="93"/>
    </row>
    <row r="245" spans="7:23" x14ac:dyDescent="0.25">
      <c r="G245" s="93"/>
      <c r="P245" s="118"/>
      <c r="Q245" s="118"/>
      <c r="V245" s="93"/>
      <c r="W245" s="93"/>
    </row>
    <row r="246" spans="7:23" x14ac:dyDescent="0.25">
      <c r="G246" s="93"/>
      <c r="P246" s="118"/>
      <c r="Q246" s="118"/>
      <c r="V246" s="93"/>
      <c r="W246" s="93"/>
    </row>
    <row r="247" spans="7:23" x14ac:dyDescent="0.25">
      <c r="G247" s="93"/>
      <c r="P247" s="118"/>
      <c r="Q247" s="118"/>
      <c r="V247" s="93"/>
      <c r="W247" s="93"/>
    </row>
    <row r="248" spans="7:23" x14ac:dyDescent="0.25">
      <c r="G248" s="93"/>
      <c r="P248" s="118"/>
      <c r="Q248" s="118"/>
      <c r="V248" s="93"/>
      <c r="W248" s="93"/>
    </row>
    <row r="249" spans="7:23" x14ac:dyDescent="0.25">
      <c r="G249" s="93"/>
      <c r="P249" s="118"/>
      <c r="Q249" s="118"/>
      <c r="V249" s="93"/>
      <c r="W249" s="93"/>
    </row>
    <row r="250" spans="7:23" x14ac:dyDescent="0.25">
      <c r="G250" s="93"/>
      <c r="P250" s="118"/>
      <c r="Q250" s="118"/>
      <c r="V250" s="93"/>
      <c r="W250" s="93"/>
    </row>
    <row r="251" spans="7:23" x14ac:dyDescent="0.25">
      <c r="G251" s="93"/>
      <c r="P251" s="118"/>
      <c r="Q251" s="118"/>
      <c r="V251" s="93"/>
      <c r="W251" s="93"/>
    </row>
    <row r="252" spans="7:23" x14ac:dyDescent="0.25">
      <c r="G252" s="93"/>
      <c r="P252" s="118"/>
      <c r="Q252" s="118"/>
      <c r="V252" s="93"/>
      <c r="W252" s="93"/>
    </row>
    <row r="253" spans="7:23" x14ac:dyDescent="0.25">
      <c r="G253" s="93"/>
      <c r="P253" s="118"/>
      <c r="Q253" s="118"/>
      <c r="V253" s="93"/>
      <c r="W253" s="93"/>
    </row>
    <row r="254" spans="7:23" x14ac:dyDescent="0.25">
      <c r="G254" s="93"/>
      <c r="P254" s="118"/>
      <c r="Q254" s="118"/>
      <c r="V254" s="93"/>
      <c r="W254" s="93"/>
    </row>
    <row r="255" spans="7:23" x14ac:dyDescent="0.25">
      <c r="G255" s="93"/>
      <c r="P255" s="118"/>
      <c r="Q255" s="118"/>
      <c r="V255" s="93"/>
      <c r="W255" s="93"/>
    </row>
    <row r="256" spans="7:23" x14ac:dyDescent="0.25">
      <c r="G256" s="93"/>
      <c r="P256" s="118"/>
      <c r="Q256" s="118"/>
      <c r="V256" s="93"/>
      <c r="W256" s="93"/>
    </row>
    <row r="257" spans="7:23" x14ac:dyDescent="0.25">
      <c r="G257" s="93"/>
      <c r="P257" s="118"/>
      <c r="Q257" s="118"/>
      <c r="V257" s="93"/>
      <c r="W257" s="93"/>
    </row>
    <row r="258" spans="7:23" x14ac:dyDescent="0.25">
      <c r="G258" s="93"/>
      <c r="P258" s="118"/>
      <c r="Q258" s="118"/>
      <c r="V258" s="93"/>
      <c r="W258" s="93"/>
    </row>
    <row r="259" spans="7:23" x14ac:dyDescent="0.25">
      <c r="G259" s="93"/>
      <c r="P259" s="118"/>
      <c r="Q259" s="118"/>
      <c r="V259" s="93"/>
      <c r="W259" s="93"/>
    </row>
    <row r="260" spans="7:23" x14ac:dyDescent="0.25">
      <c r="G260" s="93"/>
      <c r="P260" s="118"/>
      <c r="Q260" s="118"/>
      <c r="V260" s="93"/>
      <c r="W260" s="93"/>
    </row>
    <row r="261" spans="7:23" x14ac:dyDescent="0.25">
      <c r="G261" s="93"/>
      <c r="P261" s="118"/>
      <c r="Q261" s="118"/>
      <c r="V261" s="93"/>
      <c r="W261" s="93"/>
    </row>
    <row r="262" spans="7:23" x14ac:dyDescent="0.25">
      <c r="G262" s="93"/>
      <c r="P262" s="118"/>
      <c r="Q262" s="118"/>
      <c r="V262" s="93"/>
      <c r="W262" s="93"/>
    </row>
    <row r="263" spans="7:23" x14ac:dyDescent="0.25">
      <c r="G263" s="93"/>
      <c r="P263" s="118"/>
      <c r="Q263" s="118"/>
      <c r="V263" s="93"/>
      <c r="W263" s="93"/>
    </row>
    <row r="264" spans="7:23" x14ac:dyDescent="0.25">
      <c r="G264" s="93"/>
      <c r="P264" s="118"/>
      <c r="Q264" s="118"/>
    </row>
    <row r="265" spans="7:23" x14ac:dyDescent="0.25">
      <c r="G265" s="93"/>
      <c r="P265" s="118"/>
      <c r="Q265" s="118"/>
    </row>
    <row r="266" spans="7:23" x14ac:dyDescent="0.25">
      <c r="G266" s="93"/>
      <c r="P266" s="118"/>
      <c r="Q266" s="118"/>
    </row>
    <row r="267" spans="7:23" x14ac:dyDescent="0.25">
      <c r="G267" s="93"/>
      <c r="P267" s="118"/>
      <c r="Q267" s="118"/>
    </row>
    <row r="268" spans="7:23" x14ac:dyDescent="0.25">
      <c r="G268" s="93"/>
      <c r="P268" s="118"/>
      <c r="Q268" s="118"/>
    </row>
    <row r="269" spans="7:23" x14ac:dyDescent="0.25">
      <c r="G269" s="93"/>
      <c r="P269" s="118"/>
      <c r="Q269" s="118"/>
    </row>
    <row r="270" spans="7:23" x14ac:dyDescent="0.25">
      <c r="G270" s="93"/>
      <c r="P270" s="118"/>
      <c r="Q270" s="118"/>
    </row>
    <row r="271" spans="7:23" x14ac:dyDescent="0.25">
      <c r="G271" s="93"/>
      <c r="P271" s="118"/>
      <c r="Q271" s="118"/>
    </row>
    <row r="272" spans="7:23" x14ac:dyDescent="0.25">
      <c r="G272" s="93"/>
      <c r="P272" s="118"/>
      <c r="Q272" s="118"/>
    </row>
    <row r="273" spans="1:21" x14ac:dyDescent="0.25">
      <c r="G273" s="93"/>
      <c r="P273" s="118"/>
      <c r="Q273" s="118"/>
    </row>
    <row r="274" spans="1:21" x14ac:dyDescent="0.25">
      <c r="G274" s="93"/>
      <c r="P274" s="118"/>
      <c r="Q274" s="118"/>
    </row>
    <row r="275" spans="1:21" x14ac:dyDescent="0.25">
      <c r="G275" s="93"/>
      <c r="P275" s="118"/>
      <c r="Q275" s="118"/>
    </row>
    <row r="276" spans="1:21" x14ac:dyDescent="0.25">
      <c r="G276" s="93"/>
      <c r="P276" s="118"/>
      <c r="Q276" s="118"/>
    </row>
    <row r="277" spans="1:21" x14ac:dyDescent="0.25">
      <c r="G277" s="93"/>
      <c r="P277" s="118"/>
      <c r="Q277" s="118"/>
    </row>
    <row r="278" spans="1:21" x14ac:dyDescent="0.25">
      <c r="G278" s="93"/>
      <c r="P278" s="118"/>
      <c r="Q278" s="118"/>
    </row>
    <row r="279" spans="1:21" x14ac:dyDescent="0.25">
      <c r="G279" s="93"/>
      <c r="P279" s="118"/>
      <c r="Q279" s="118"/>
    </row>
    <row r="280" spans="1:21" x14ac:dyDescent="0.25">
      <c r="G280" s="93"/>
      <c r="P280" s="118"/>
      <c r="Q280" s="118"/>
    </row>
    <row r="281" spans="1:21" x14ac:dyDescent="0.25">
      <c r="G281" s="93"/>
      <c r="P281" s="118"/>
      <c r="Q281" s="118"/>
    </row>
    <row r="282" spans="1:21" x14ac:dyDescent="0.25">
      <c r="A282" s="90" t="s">
        <v>210</v>
      </c>
      <c r="B282" s="119">
        <v>5</v>
      </c>
      <c r="C282" s="90" t="s">
        <v>208</v>
      </c>
      <c r="D282" s="90" t="s">
        <v>78</v>
      </c>
      <c r="E282">
        <v>556</v>
      </c>
      <c r="F282">
        <v>559</v>
      </c>
      <c r="G282" s="93" t="s">
        <v>68</v>
      </c>
      <c r="H282" t="s">
        <v>192</v>
      </c>
      <c r="I282">
        <v>6</v>
      </c>
      <c r="J282">
        <f>SUM(K283)</f>
        <v>256.72991214000001</v>
      </c>
      <c r="K282">
        <f t="shared" ref="K259:K322" si="0">I282*J282</f>
        <v>1540.3794728400001</v>
      </c>
      <c r="L282">
        <f>100*(1-(M282/K282))</f>
        <v>39.999999999999993</v>
      </c>
      <c r="M282">
        <f>I282*SUM(M283)</f>
        <v>924.22768370400013</v>
      </c>
      <c r="N282" s="90">
        <v>282</v>
      </c>
      <c r="O282" s="90" t="s">
        <v>211</v>
      </c>
      <c r="P282" s="118" t="s">
        <v>2461</v>
      </c>
      <c r="Q282" s="118" t="s">
        <v>125</v>
      </c>
      <c r="R282" s="90" t="s">
        <v>1809</v>
      </c>
      <c r="S282" s="90" t="s">
        <v>2043</v>
      </c>
      <c r="T282" s="90" t="s">
        <v>2160</v>
      </c>
      <c r="U282" s="90" t="s">
        <v>1926</v>
      </c>
    </row>
    <row r="283" spans="1:21" x14ac:dyDescent="0.25">
      <c r="A283" s="90" t="s">
        <v>212</v>
      </c>
      <c r="B283" s="119">
        <v>6</v>
      </c>
      <c r="C283" s="90" t="s">
        <v>210</v>
      </c>
      <c r="D283" s="90" t="s">
        <v>78</v>
      </c>
      <c r="E283">
        <v>557</v>
      </c>
      <c r="F283">
        <v>558</v>
      </c>
      <c r="G283" s="93" t="s">
        <v>78</v>
      </c>
      <c r="H283" t="s">
        <v>194</v>
      </c>
      <c r="I283">
        <v>1</v>
      </c>
      <c r="J283">
        <v>256.72991214000001</v>
      </c>
      <c r="K283">
        <f t="shared" si="0"/>
        <v>256.72991214000001</v>
      </c>
      <c r="L283">
        <v>40</v>
      </c>
      <c r="M283">
        <f>(1-(L283/100))*K283</f>
        <v>154.03794728400001</v>
      </c>
      <c r="N283" s="90">
        <v>283</v>
      </c>
      <c r="O283" s="90" t="s">
        <v>213</v>
      </c>
      <c r="P283" s="118" t="s">
        <v>159</v>
      </c>
      <c r="Q283" s="118" t="s">
        <v>125</v>
      </c>
    </row>
    <row r="284" spans="1:21" x14ac:dyDescent="0.25">
      <c r="A284" s="90" t="s">
        <v>214</v>
      </c>
      <c r="B284" s="119">
        <v>5</v>
      </c>
      <c r="C284" s="90" t="s">
        <v>208</v>
      </c>
      <c r="D284" s="90" t="s">
        <v>79</v>
      </c>
      <c r="E284">
        <v>560</v>
      </c>
      <c r="F284">
        <v>575</v>
      </c>
      <c r="G284" s="93" t="s">
        <v>68</v>
      </c>
      <c r="H284" t="s">
        <v>215</v>
      </c>
      <c r="I284">
        <v>2</v>
      </c>
      <c r="J284">
        <f>SUM(K285,K286,K287,K288,K289,K290,K291)</f>
        <v>15808.901056930001</v>
      </c>
      <c r="K284">
        <f t="shared" si="0"/>
        <v>31617.802113860002</v>
      </c>
      <c r="L284">
        <f>100*(1-(M284/K284))</f>
        <v>40</v>
      </c>
      <c r="M284">
        <f>I284*SUM(M285,M286,M287,M288,M289,M290,M291)</f>
        <v>18970.681268315999</v>
      </c>
      <c r="N284" s="90">
        <v>284</v>
      </c>
      <c r="O284" s="90" t="s">
        <v>216</v>
      </c>
      <c r="P284" s="118" t="s">
        <v>160</v>
      </c>
      <c r="Q284" s="118" t="s">
        <v>125</v>
      </c>
      <c r="R284" s="90" t="s">
        <v>1810</v>
      </c>
      <c r="S284" s="90" t="s">
        <v>2044</v>
      </c>
      <c r="T284" s="90" t="s">
        <v>2161</v>
      </c>
      <c r="U284" s="90" t="s">
        <v>1927</v>
      </c>
    </row>
    <row r="285" spans="1:21" x14ac:dyDescent="0.25">
      <c r="A285" s="90" t="s">
        <v>217</v>
      </c>
      <c r="B285" s="119">
        <v>6</v>
      </c>
      <c r="C285" s="90" t="s">
        <v>214</v>
      </c>
      <c r="D285" s="90" t="s">
        <v>78</v>
      </c>
      <c r="E285">
        <v>561</v>
      </c>
      <c r="F285">
        <v>562</v>
      </c>
      <c r="G285" s="93" t="s">
        <v>78</v>
      </c>
      <c r="H285" t="s">
        <v>197</v>
      </c>
      <c r="I285">
        <v>1</v>
      </c>
      <c r="J285">
        <v>10880.466063919999</v>
      </c>
      <c r="K285">
        <f t="shared" si="0"/>
        <v>10880.466063919999</v>
      </c>
      <c r="L285">
        <v>40</v>
      </c>
      <c r="M285">
        <f t="shared" ref="M285:M291" si="1">(1-(L285/100))*K285</f>
        <v>6528.279638351999</v>
      </c>
      <c r="N285" s="90">
        <v>285</v>
      </c>
      <c r="O285" s="90" t="s">
        <v>218</v>
      </c>
      <c r="P285" s="118" t="s">
        <v>161</v>
      </c>
      <c r="Q285" s="118" t="s">
        <v>125</v>
      </c>
    </row>
    <row r="286" spans="1:21" x14ac:dyDescent="0.25">
      <c r="A286" s="90" t="s">
        <v>219</v>
      </c>
      <c r="B286" s="119">
        <v>6</v>
      </c>
      <c r="C286" s="90" t="s">
        <v>214</v>
      </c>
      <c r="D286" s="90" t="s">
        <v>79</v>
      </c>
      <c r="E286">
        <v>563</v>
      </c>
      <c r="F286">
        <v>564</v>
      </c>
      <c r="G286" s="93" t="s">
        <v>78</v>
      </c>
      <c r="H286" t="s">
        <v>120</v>
      </c>
      <c r="I286">
        <v>1</v>
      </c>
      <c r="J286">
        <v>1231.376544</v>
      </c>
      <c r="K286">
        <f t="shared" si="0"/>
        <v>1231.376544</v>
      </c>
      <c r="L286">
        <v>40</v>
      </c>
      <c r="M286">
        <f t="shared" si="1"/>
        <v>738.82592639999996</v>
      </c>
      <c r="N286" s="90">
        <v>286</v>
      </c>
      <c r="O286" s="90" t="s">
        <v>220</v>
      </c>
      <c r="P286" s="118" t="s">
        <v>162</v>
      </c>
      <c r="Q286" s="118" t="s">
        <v>125</v>
      </c>
    </row>
    <row r="287" spans="1:21" x14ac:dyDescent="0.25">
      <c r="A287" s="90" t="s">
        <v>221</v>
      </c>
      <c r="B287" s="119">
        <v>6</v>
      </c>
      <c r="C287" s="90" t="s">
        <v>214</v>
      </c>
      <c r="D287" s="90" t="s">
        <v>80</v>
      </c>
      <c r="E287">
        <v>565</v>
      </c>
      <c r="F287">
        <v>566</v>
      </c>
      <c r="G287" s="93" t="s">
        <v>78</v>
      </c>
      <c r="H287" t="s">
        <v>199</v>
      </c>
      <c r="I287">
        <v>1</v>
      </c>
      <c r="J287">
        <v>862.86769387000004</v>
      </c>
      <c r="K287">
        <f t="shared" si="0"/>
        <v>862.86769387000004</v>
      </c>
      <c r="L287">
        <v>40</v>
      </c>
      <c r="M287">
        <f t="shared" si="1"/>
        <v>517.72061632199996</v>
      </c>
      <c r="N287" s="90">
        <v>287</v>
      </c>
      <c r="O287" s="90" t="s">
        <v>222</v>
      </c>
      <c r="P287" s="118" t="s">
        <v>163</v>
      </c>
      <c r="Q287" s="118" t="s">
        <v>125</v>
      </c>
    </row>
    <row r="288" spans="1:21" x14ac:dyDescent="0.25">
      <c r="A288" s="90" t="s">
        <v>223</v>
      </c>
      <c r="B288" s="119">
        <v>6</v>
      </c>
      <c r="C288" s="90" t="s">
        <v>214</v>
      </c>
      <c r="D288" s="90" t="s">
        <v>95</v>
      </c>
      <c r="E288">
        <v>567</v>
      </c>
      <c r="F288">
        <v>568</v>
      </c>
      <c r="G288" s="93" t="s">
        <v>78</v>
      </c>
      <c r="H288" t="s">
        <v>224</v>
      </c>
      <c r="I288">
        <v>1</v>
      </c>
      <c r="J288">
        <v>2064.00101872</v>
      </c>
      <c r="K288">
        <f t="shared" si="0"/>
        <v>2064.00101872</v>
      </c>
      <c r="L288">
        <v>40</v>
      </c>
      <c r="M288">
        <f t="shared" si="1"/>
        <v>1238.4006112320001</v>
      </c>
      <c r="N288" s="90">
        <v>288</v>
      </c>
      <c r="O288" s="90" t="s">
        <v>225</v>
      </c>
      <c r="P288" s="118" t="s">
        <v>2462</v>
      </c>
      <c r="Q288" s="118" t="s">
        <v>125</v>
      </c>
    </row>
    <row r="289" spans="1:21" x14ac:dyDescent="0.25">
      <c r="A289" s="90" t="s">
        <v>226</v>
      </c>
      <c r="B289" s="119">
        <v>6</v>
      </c>
      <c r="C289" s="90" t="s">
        <v>214</v>
      </c>
      <c r="D289" s="90" t="s">
        <v>96</v>
      </c>
      <c r="E289">
        <v>569</v>
      </c>
      <c r="F289">
        <v>570</v>
      </c>
      <c r="G289" s="93" t="s">
        <v>78</v>
      </c>
      <c r="H289" t="s">
        <v>201</v>
      </c>
      <c r="I289">
        <v>0</v>
      </c>
      <c r="J289">
        <v>7211.7152680500003</v>
      </c>
      <c r="K289">
        <f t="shared" si="0"/>
        <v>0</v>
      </c>
      <c r="L289">
        <v>40</v>
      </c>
      <c r="M289">
        <f t="shared" si="1"/>
        <v>0</v>
      </c>
      <c r="N289" s="90">
        <v>289</v>
      </c>
      <c r="O289" s="90" t="s">
        <v>227</v>
      </c>
      <c r="P289" s="118" t="s">
        <v>164</v>
      </c>
      <c r="Q289" s="118" t="s">
        <v>125</v>
      </c>
    </row>
    <row r="290" spans="1:21" x14ac:dyDescent="0.25">
      <c r="A290" s="90" t="s">
        <v>228</v>
      </c>
      <c r="B290" s="119">
        <v>6</v>
      </c>
      <c r="C290" s="90" t="s">
        <v>214</v>
      </c>
      <c r="D290" s="90" t="s">
        <v>103</v>
      </c>
      <c r="E290">
        <v>571</v>
      </c>
      <c r="F290">
        <v>572</v>
      </c>
      <c r="G290" s="93" t="s">
        <v>78</v>
      </c>
      <c r="H290" t="s">
        <v>205</v>
      </c>
      <c r="I290">
        <v>0</v>
      </c>
      <c r="J290">
        <v>214.52947918000001</v>
      </c>
      <c r="K290">
        <f t="shared" si="0"/>
        <v>0</v>
      </c>
      <c r="L290">
        <v>40</v>
      </c>
      <c r="M290">
        <f t="shared" si="1"/>
        <v>0</v>
      </c>
      <c r="N290" s="90">
        <v>290</v>
      </c>
      <c r="O290" s="90" t="s">
        <v>229</v>
      </c>
      <c r="P290" s="118" t="s">
        <v>165</v>
      </c>
      <c r="Q290" s="118" t="s">
        <v>125</v>
      </c>
    </row>
    <row r="291" spans="1:21" x14ac:dyDescent="0.25">
      <c r="A291" s="90" t="s">
        <v>230</v>
      </c>
      <c r="B291" s="119">
        <v>6</v>
      </c>
      <c r="C291" s="90" t="s">
        <v>214</v>
      </c>
      <c r="D291" s="90" t="s">
        <v>1769</v>
      </c>
      <c r="E291">
        <v>573</v>
      </c>
      <c r="F291">
        <v>574</v>
      </c>
      <c r="G291" s="93" t="s">
        <v>78</v>
      </c>
      <c r="H291" t="s">
        <v>194</v>
      </c>
      <c r="I291">
        <v>3</v>
      </c>
      <c r="J291">
        <v>256.72991214000001</v>
      </c>
      <c r="K291">
        <f t="shared" si="0"/>
        <v>770.18973642000003</v>
      </c>
      <c r="L291">
        <v>40</v>
      </c>
      <c r="M291">
        <f t="shared" si="1"/>
        <v>462.11384185200001</v>
      </c>
      <c r="N291" s="90">
        <v>291</v>
      </c>
      <c r="O291" s="90" t="s">
        <v>231</v>
      </c>
      <c r="P291" s="118" t="s">
        <v>166</v>
      </c>
      <c r="Q291" s="118" t="s">
        <v>125</v>
      </c>
    </row>
    <row r="292" spans="1:21" x14ac:dyDescent="0.25">
      <c r="A292" s="90" t="s">
        <v>232</v>
      </c>
      <c r="B292" s="119">
        <v>4</v>
      </c>
      <c r="C292" s="90" t="s">
        <v>158</v>
      </c>
      <c r="D292" s="90" t="s">
        <v>1771</v>
      </c>
      <c r="E292">
        <v>577</v>
      </c>
      <c r="F292">
        <v>594</v>
      </c>
      <c r="G292" s="93" t="s">
        <v>68</v>
      </c>
      <c r="H292" t="s">
        <v>233</v>
      </c>
      <c r="I292">
        <v>1</v>
      </c>
      <c r="J292">
        <f>SUM(K293,K295)</f>
        <v>31373.920794680002</v>
      </c>
      <c r="K292">
        <f t="shared" si="0"/>
        <v>31373.920794680002</v>
      </c>
      <c r="L292">
        <f>100*(1-(M292/K292))</f>
        <v>40</v>
      </c>
      <c r="M292">
        <f>I292*SUM(M293,M295)</f>
        <v>18824.352476807999</v>
      </c>
      <c r="N292" s="90">
        <v>292</v>
      </c>
      <c r="O292" s="90" t="s">
        <v>234</v>
      </c>
      <c r="P292" s="118" t="s">
        <v>2463</v>
      </c>
      <c r="Q292" s="118" t="s">
        <v>125</v>
      </c>
      <c r="R292" s="90" t="s">
        <v>2261</v>
      </c>
      <c r="S292" s="90" t="s">
        <v>2365</v>
      </c>
      <c r="T292" s="90" t="s">
        <v>2417</v>
      </c>
      <c r="U292" s="90" t="s">
        <v>2313</v>
      </c>
    </row>
    <row r="293" spans="1:21" x14ac:dyDescent="0.25">
      <c r="A293" s="90" t="s">
        <v>235</v>
      </c>
      <c r="B293" s="119">
        <v>5</v>
      </c>
      <c r="C293" s="90" t="s">
        <v>232</v>
      </c>
      <c r="D293" s="90" t="s">
        <v>78</v>
      </c>
      <c r="E293">
        <v>578</v>
      </c>
      <c r="F293">
        <v>581</v>
      </c>
      <c r="G293" s="93" t="s">
        <v>68</v>
      </c>
      <c r="H293" t="s">
        <v>192</v>
      </c>
      <c r="I293">
        <v>12</v>
      </c>
      <c r="J293">
        <f>SUM(K294)</f>
        <v>256.72991214000001</v>
      </c>
      <c r="K293">
        <f t="shared" si="0"/>
        <v>3080.7589456800001</v>
      </c>
      <c r="L293">
        <f>100*(1-(M293/K293))</f>
        <v>39.999999999999993</v>
      </c>
      <c r="M293">
        <f>I293*SUM(M294)</f>
        <v>1848.4553674080003</v>
      </c>
      <c r="N293" s="90">
        <v>293</v>
      </c>
      <c r="O293" s="90" t="s">
        <v>236</v>
      </c>
      <c r="P293" s="118" t="s">
        <v>167</v>
      </c>
      <c r="Q293" s="118" t="s">
        <v>125</v>
      </c>
      <c r="R293" s="90" t="s">
        <v>1811</v>
      </c>
      <c r="S293" s="90" t="s">
        <v>2045</v>
      </c>
      <c r="T293" s="90" t="s">
        <v>2162</v>
      </c>
      <c r="U293" s="90" t="s">
        <v>1928</v>
      </c>
    </row>
    <row r="294" spans="1:21" x14ac:dyDescent="0.25">
      <c r="A294" s="90" t="s">
        <v>237</v>
      </c>
      <c r="B294" s="119">
        <v>6</v>
      </c>
      <c r="C294" s="90" t="s">
        <v>235</v>
      </c>
      <c r="D294" s="90" t="s">
        <v>78</v>
      </c>
      <c r="E294">
        <v>579</v>
      </c>
      <c r="F294">
        <v>580</v>
      </c>
      <c r="G294" s="93" t="s">
        <v>78</v>
      </c>
      <c r="H294" t="s">
        <v>194</v>
      </c>
      <c r="I294">
        <v>1</v>
      </c>
      <c r="J294">
        <v>256.72991214000001</v>
      </c>
      <c r="K294">
        <f t="shared" si="0"/>
        <v>256.72991214000001</v>
      </c>
      <c r="L294">
        <v>40</v>
      </c>
      <c r="M294">
        <f>(1-(L294/100))*K294</f>
        <v>154.03794728400001</v>
      </c>
      <c r="N294" s="90">
        <v>294</v>
      </c>
      <c r="O294" s="90" t="s">
        <v>238</v>
      </c>
      <c r="P294" s="118" t="s">
        <v>168</v>
      </c>
      <c r="Q294" s="118" t="s">
        <v>125</v>
      </c>
    </row>
    <row r="295" spans="1:21" x14ac:dyDescent="0.25">
      <c r="A295" s="90" t="s">
        <v>239</v>
      </c>
      <c r="B295" s="119">
        <v>5</v>
      </c>
      <c r="C295" s="90" t="s">
        <v>232</v>
      </c>
      <c r="D295" s="90" t="s">
        <v>79</v>
      </c>
      <c r="E295">
        <v>582</v>
      </c>
      <c r="F295">
        <v>593</v>
      </c>
      <c r="G295" s="93" t="s">
        <v>68</v>
      </c>
      <c r="H295" t="s">
        <v>240</v>
      </c>
      <c r="I295">
        <v>2</v>
      </c>
      <c r="J295">
        <f>SUM(K296,K297,K298,K299,K300)</f>
        <v>14146.5809245</v>
      </c>
      <c r="K295">
        <f t="shared" si="0"/>
        <v>28293.161849</v>
      </c>
      <c r="L295">
        <f>100*(1-(M295/K295))</f>
        <v>40.000000000000014</v>
      </c>
      <c r="M295">
        <f>I295*SUM(M296,M297,M298,M299,M300)</f>
        <v>16975.897109399997</v>
      </c>
      <c r="N295" s="90">
        <v>295</v>
      </c>
      <c r="O295" s="90" t="s">
        <v>241</v>
      </c>
      <c r="P295" s="118" t="s">
        <v>169</v>
      </c>
      <c r="Q295" s="118" t="s">
        <v>125</v>
      </c>
      <c r="R295" s="90" t="s">
        <v>1812</v>
      </c>
      <c r="S295" s="90" t="s">
        <v>2046</v>
      </c>
      <c r="T295" s="90" t="s">
        <v>2163</v>
      </c>
      <c r="U295" s="90" t="s">
        <v>1929</v>
      </c>
    </row>
    <row r="296" spans="1:21" x14ac:dyDescent="0.25">
      <c r="A296" s="90" t="s">
        <v>242</v>
      </c>
      <c r="B296" s="119">
        <v>6</v>
      </c>
      <c r="C296" s="90" t="s">
        <v>239</v>
      </c>
      <c r="D296" s="90" t="s">
        <v>78</v>
      </c>
      <c r="E296">
        <v>583</v>
      </c>
      <c r="F296">
        <v>584</v>
      </c>
      <c r="G296" s="93" t="s">
        <v>78</v>
      </c>
      <c r="H296" t="s">
        <v>197</v>
      </c>
      <c r="I296">
        <v>1</v>
      </c>
      <c r="J296">
        <v>10880.466063919999</v>
      </c>
      <c r="K296">
        <f t="shared" si="0"/>
        <v>10880.466063919999</v>
      </c>
      <c r="L296">
        <v>40</v>
      </c>
      <c r="M296">
        <f>(1-(L296/100))*K296</f>
        <v>6528.279638351999</v>
      </c>
      <c r="N296" s="90">
        <v>296</v>
      </c>
      <c r="O296" s="90" t="s">
        <v>243</v>
      </c>
      <c r="P296" s="118" t="s">
        <v>170</v>
      </c>
      <c r="Q296" s="118" t="s">
        <v>125</v>
      </c>
    </row>
    <row r="297" spans="1:21" x14ac:dyDescent="0.25">
      <c r="A297" s="90" t="s">
        <v>244</v>
      </c>
      <c r="B297" s="119">
        <v>6</v>
      </c>
      <c r="C297" s="90" t="s">
        <v>239</v>
      </c>
      <c r="D297" s="90" t="s">
        <v>79</v>
      </c>
      <c r="E297">
        <v>585</v>
      </c>
      <c r="F297">
        <v>586</v>
      </c>
      <c r="G297" s="93" t="s">
        <v>78</v>
      </c>
      <c r="H297" t="s">
        <v>199</v>
      </c>
      <c r="I297">
        <v>2</v>
      </c>
      <c r="J297">
        <v>862.86769387000004</v>
      </c>
      <c r="K297">
        <f t="shared" si="0"/>
        <v>1725.7353877400001</v>
      </c>
      <c r="L297">
        <v>40</v>
      </c>
      <c r="M297">
        <f>(1-(L297/100))*K297</f>
        <v>1035.4412326439999</v>
      </c>
      <c r="N297" s="90">
        <v>297</v>
      </c>
      <c r="O297" s="90" t="s">
        <v>245</v>
      </c>
      <c r="P297" s="118" t="s">
        <v>171</v>
      </c>
      <c r="Q297" s="118" t="s">
        <v>125</v>
      </c>
    </row>
    <row r="298" spans="1:21" x14ac:dyDescent="0.25">
      <c r="A298" s="90" t="s">
        <v>246</v>
      </c>
      <c r="B298" s="119">
        <v>6</v>
      </c>
      <c r="C298" s="90" t="s">
        <v>239</v>
      </c>
      <c r="D298" s="90" t="s">
        <v>80</v>
      </c>
      <c r="E298">
        <v>587</v>
      </c>
      <c r="F298">
        <v>588</v>
      </c>
      <c r="G298" s="93" t="s">
        <v>78</v>
      </c>
      <c r="H298" t="s">
        <v>203</v>
      </c>
      <c r="I298">
        <v>0</v>
      </c>
      <c r="J298">
        <v>214.52947918000001</v>
      </c>
      <c r="K298">
        <f t="shared" si="0"/>
        <v>0</v>
      </c>
      <c r="L298">
        <v>40</v>
      </c>
      <c r="M298">
        <f>(1-(L298/100))*K298</f>
        <v>0</v>
      </c>
      <c r="N298" s="90">
        <v>298</v>
      </c>
      <c r="O298" s="90" t="s">
        <v>247</v>
      </c>
      <c r="P298" s="118" t="s">
        <v>2464</v>
      </c>
      <c r="Q298" s="118" t="s">
        <v>125</v>
      </c>
    </row>
    <row r="299" spans="1:21" x14ac:dyDescent="0.25">
      <c r="A299" s="90" t="s">
        <v>248</v>
      </c>
      <c r="B299" s="119">
        <v>6</v>
      </c>
      <c r="C299" s="90" t="s">
        <v>239</v>
      </c>
      <c r="D299" s="90" t="s">
        <v>95</v>
      </c>
      <c r="E299">
        <v>589</v>
      </c>
      <c r="F299">
        <v>590</v>
      </c>
      <c r="G299" s="93" t="s">
        <v>78</v>
      </c>
      <c r="H299" t="s">
        <v>205</v>
      </c>
      <c r="I299">
        <v>0</v>
      </c>
      <c r="J299">
        <v>214.52947918000001</v>
      </c>
      <c r="K299">
        <f t="shared" si="0"/>
        <v>0</v>
      </c>
      <c r="L299">
        <v>40</v>
      </c>
      <c r="M299">
        <f>(1-(L299/100))*K299</f>
        <v>0</v>
      </c>
      <c r="N299" s="90">
        <v>299</v>
      </c>
      <c r="O299" s="90" t="s">
        <v>249</v>
      </c>
      <c r="P299" s="118" t="s">
        <v>172</v>
      </c>
      <c r="Q299" s="118" t="s">
        <v>125</v>
      </c>
    </row>
    <row r="300" spans="1:21" x14ac:dyDescent="0.25">
      <c r="A300" s="90" t="s">
        <v>250</v>
      </c>
      <c r="B300" s="119">
        <v>6</v>
      </c>
      <c r="C300" s="90" t="s">
        <v>239</v>
      </c>
      <c r="D300" s="90" t="s">
        <v>96</v>
      </c>
      <c r="E300">
        <v>591</v>
      </c>
      <c r="F300">
        <v>592</v>
      </c>
      <c r="G300" s="93" t="s">
        <v>78</v>
      </c>
      <c r="H300" t="s">
        <v>194</v>
      </c>
      <c r="I300">
        <v>6</v>
      </c>
      <c r="J300">
        <v>256.72991214000001</v>
      </c>
      <c r="K300">
        <f t="shared" si="0"/>
        <v>1540.3794728400001</v>
      </c>
      <c r="L300">
        <v>40</v>
      </c>
      <c r="M300">
        <f>(1-(L300/100))*K300</f>
        <v>924.22768370400001</v>
      </c>
      <c r="N300" s="90">
        <v>300</v>
      </c>
      <c r="O300" s="90" t="s">
        <v>251</v>
      </c>
      <c r="P300" s="118" t="s">
        <v>173</v>
      </c>
      <c r="Q300" s="118" t="s">
        <v>125</v>
      </c>
    </row>
    <row r="301" spans="1:21" x14ac:dyDescent="0.25">
      <c r="A301" s="90" t="s">
        <v>252</v>
      </c>
      <c r="B301" s="119">
        <v>4</v>
      </c>
      <c r="C301" s="90" t="s">
        <v>158</v>
      </c>
      <c r="D301" s="90" t="s">
        <v>1772</v>
      </c>
      <c r="E301">
        <v>595</v>
      </c>
      <c r="F301">
        <v>616</v>
      </c>
      <c r="G301" s="93" t="s">
        <v>68</v>
      </c>
      <c r="H301" t="s">
        <v>253</v>
      </c>
      <c r="I301">
        <v>1</v>
      </c>
      <c r="J301">
        <f>SUM(K302,K304)</f>
        <v>45182.961925479991</v>
      </c>
      <c r="K301">
        <f t="shared" si="0"/>
        <v>45182.961925479991</v>
      </c>
      <c r="L301">
        <f>100*(1-(M301/K301))</f>
        <v>39.999999999999993</v>
      </c>
      <c r="M301">
        <f>I301*SUM(M302,M304)</f>
        <v>27109.777155288</v>
      </c>
      <c r="N301" s="90">
        <v>301</v>
      </c>
      <c r="O301" s="90" t="s">
        <v>254</v>
      </c>
      <c r="P301" s="118" t="s">
        <v>174</v>
      </c>
      <c r="Q301" s="118" t="s">
        <v>125</v>
      </c>
      <c r="R301" s="90" t="s">
        <v>2241</v>
      </c>
      <c r="S301" s="90" t="s">
        <v>2345</v>
      </c>
      <c r="T301" s="90" t="s">
        <v>2397</v>
      </c>
      <c r="U301" s="90" t="s">
        <v>2293</v>
      </c>
    </row>
    <row r="302" spans="1:21" x14ac:dyDescent="0.25">
      <c r="A302" s="90" t="s">
        <v>255</v>
      </c>
      <c r="B302" s="119">
        <v>5</v>
      </c>
      <c r="C302" s="90" t="s">
        <v>252</v>
      </c>
      <c r="D302" s="90" t="s">
        <v>78</v>
      </c>
      <c r="E302">
        <v>596</v>
      </c>
      <c r="F302">
        <v>599</v>
      </c>
      <c r="G302" s="93" t="s">
        <v>68</v>
      </c>
      <c r="H302" t="s">
        <v>192</v>
      </c>
      <c r="I302">
        <v>12</v>
      </c>
      <c r="J302">
        <f>SUM(K303)</f>
        <v>256.72991214000001</v>
      </c>
      <c r="K302">
        <f t="shared" si="0"/>
        <v>3080.7589456800001</v>
      </c>
      <c r="L302">
        <f>100*(1-(M302/K302))</f>
        <v>39.999999999999993</v>
      </c>
      <c r="M302">
        <f>I302*SUM(M303)</f>
        <v>1848.4553674080003</v>
      </c>
      <c r="N302" s="90">
        <v>302</v>
      </c>
      <c r="O302" s="90" t="s">
        <v>256</v>
      </c>
      <c r="P302" s="118" t="s">
        <v>2465</v>
      </c>
      <c r="Q302" s="118" t="s">
        <v>125</v>
      </c>
      <c r="R302" s="90" t="s">
        <v>1773</v>
      </c>
      <c r="S302" s="90" t="s">
        <v>2007</v>
      </c>
      <c r="T302" s="90" t="s">
        <v>2124</v>
      </c>
      <c r="U302" s="90" t="s">
        <v>1890</v>
      </c>
    </row>
    <row r="303" spans="1:21" x14ac:dyDescent="0.25">
      <c r="A303" s="90" t="s">
        <v>257</v>
      </c>
      <c r="B303" s="119">
        <v>6</v>
      </c>
      <c r="C303" s="90" t="s">
        <v>255</v>
      </c>
      <c r="D303" s="90" t="s">
        <v>78</v>
      </c>
      <c r="E303">
        <v>597</v>
      </c>
      <c r="F303">
        <v>598</v>
      </c>
      <c r="G303" s="93" t="s">
        <v>78</v>
      </c>
      <c r="H303" t="s">
        <v>194</v>
      </c>
      <c r="I303">
        <v>1</v>
      </c>
      <c r="J303">
        <v>256.72991214000001</v>
      </c>
      <c r="K303">
        <f t="shared" si="0"/>
        <v>256.72991214000001</v>
      </c>
      <c r="L303">
        <v>40</v>
      </c>
      <c r="M303">
        <f>(1-(L303/100))*K303</f>
        <v>154.03794728400001</v>
      </c>
      <c r="N303" s="90">
        <v>303</v>
      </c>
      <c r="O303" s="90" t="s">
        <v>258</v>
      </c>
      <c r="P303" s="118" t="s">
        <v>175</v>
      </c>
      <c r="Q303" s="118" t="s">
        <v>125</v>
      </c>
    </row>
    <row r="304" spans="1:21" x14ac:dyDescent="0.25">
      <c r="A304" s="90" t="s">
        <v>259</v>
      </c>
      <c r="B304" s="119">
        <v>5</v>
      </c>
      <c r="C304" s="90" t="s">
        <v>252</v>
      </c>
      <c r="D304" s="90" t="s">
        <v>79</v>
      </c>
      <c r="E304">
        <v>600</v>
      </c>
      <c r="F304">
        <v>615</v>
      </c>
      <c r="G304" s="93" t="s">
        <v>68</v>
      </c>
      <c r="H304" t="s">
        <v>260</v>
      </c>
      <c r="I304">
        <v>2</v>
      </c>
      <c r="J304">
        <f>SUM(K305,K306,K307,K308,K309,K310,K311)</f>
        <v>21051.101489899997</v>
      </c>
      <c r="K304">
        <f t="shared" si="0"/>
        <v>42102.202979799993</v>
      </c>
      <c r="L304">
        <f>100*(1-(M304/K304))</f>
        <v>39.999999999999993</v>
      </c>
      <c r="M304">
        <f>I304*SUM(M305,M306,M307,M308,M309,M310,M311)</f>
        <v>25261.321787879999</v>
      </c>
      <c r="N304" s="90">
        <v>304</v>
      </c>
      <c r="O304" s="90" t="s">
        <v>261</v>
      </c>
      <c r="P304" s="118" t="s">
        <v>2466</v>
      </c>
      <c r="Q304" s="118" t="s">
        <v>125</v>
      </c>
      <c r="R304" s="90" t="s">
        <v>1774</v>
      </c>
      <c r="S304" s="90" t="s">
        <v>2008</v>
      </c>
      <c r="T304" s="90" t="s">
        <v>2125</v>
      </c>
      <c r="U304" s="90" t="s">
        <v>1891</v>
      </c>
    </row>
    <row r="305" spans="1:21" x14ac:dyDescent="0.25">
      <c r="A305" s="90" t="s">
        <v>262</v>
      </c>
      <c r="B305" s="119">
        <v>6</v>
      </c>
      <c r="C305" s="90" t="s">
        <v>259</v>
      </c>
      <c r="D305" s="90" t="s">
        <v>78</v>
      </c>
      <c r="E305">
        <v>601</v>
      </c>
      <c r="F305">
        <v>602</v>
      </c>
      <c r="G305" s="93" t="s">
        <v>78</v>
      </c>
      <c r="H305" t="s">
        <v>197</v>
      </c>
      <c r="I305">
        <v>1</v>
      </c>
      <c r="J305">
        <v>10880.466063919999</v>
      </c>
      <c r="K305">
        <f t="shared" si="0"/>
        <v>10880.466063919999</v>
      </c>
      <c r="L305">
        <v>40</v>
      </c>
      <c r="M305">
        <f t="shared" ref="M305:M311" si="2">(1-(L305/100))*K305</f>
        <v>6528.279638351999</v>
      </c>
      <c r="N305" s="90">
        <v>305</v>
      </c>
      <c r="O305" s="90" t="s">
        <v>263</v>
      </c>
      <c r="P305" s="118" t="s">
        <v>176</v>
      </c>
      <c r="Q305" s="118" t="s">
        <v>125</v>
      </c>
    </row>
    <row r="306" spans="1:21" x14ac:dyDescent="0.25">
      <c r="A306" s="90" t="s">
        <v>264</v>
      </c>
      <c r="B306" s="119">
        <v>6</v>
      </c>
      <c r="C306" s="90" t="s">
        <v>259</v>
      </c>
      <c r="D306" s="90" t="s">
        <v>79</v>
      </c>
      <c r="E306">
        <v>603</v>
      </c>
      <c r="F306">
        <v>604</v>
      </c>
      <c r="G306" s="93" t="s">
        <v>78</v>
      </c>
      <c r="H306" t="s">
        <v>123</v>
      </c>
      <c r="I306">
        <v>1</v>
      </c>
      <c r="J306">
        <v>313.76543995999998</v>
      </c>
      <c r="K306">
        <f t="shared" si="0"/>
        <v>313.76543995999998</v>
      </c>
      <c r="L306">
        <v>40</v>
      </c>
      <c r="M306">
        <f t="shared" si="2"/>
        <v>188.25926397599997</v>
      </c>
      <c r="N306" s="90">
        <v>306</v>
      </c>
      <c r="O306" s="90" t="s">
        <v>265</v>
      </c>
      <c r="P306" s="118" t="s">
        <v>177</v>
      </c>
      <c r="Q306" s="118" t="s">
        <v>125</v>
      </c>
    </row>
    <row r="307" spans="1:21" x14ac:dyDescent="0.25">
      <c r="A307" s="90" t="s">
        <v>266</v>
      </c>
      <c r="B307" s="119">
        <v>6</v>
      </c>
      <c r="C307" s="90" t="s">
        <v>259</v>
      </c>
      <c r="D307" s="90" t="s">
        <v>80</v>
      </c>
      <c r="E307">
        <v>605</v>
      </c>
      <c r="F307">
        <v>606</v>
      </c>
      <c r="G307" s="93" t="s">
        <v>78</v>
      </c>
      <c r="H307" t="s">
        <v>120</v>
      </c>
      <c r="I307">
        <v>2</v>
      </c>
      <c r="J307">
        <v>1231.376544</v>
      </c>
      <c r="K307">
        <f t="shared" si="0"/>
        <v>2462.7530879999999</v>
      </c>
      <c r="L307">
        <v>40</v>
      </c>
      <c r="M307">
        <f t="shared" si="2"/>
        <v>1477.6518527999999</v>
      </c>
      <c r="N307" s="90">
        <v>307</v>
      </c>
      <c r="O307" s="90" t="s">
        <v>267</v>
      </c>
      <c r="P307" s="118" t="s">
        <v>2467</v>
      </c>
      <c r="Q307" s="118" t="s">
        <v>125</v>
      </c>
    </row>
    <row r="308" spans="1:21" x14ac:dyDescent="0.25">
      <c r="A308" s="90" t="s">
        <v>268</v>
      </c>
      <c r="B308" s="119">
        <v>6</v>
      </c>
      <c r="C308" s="90" t="s">
        <v>259</v>
      </c>
      <c r="D308" s="90" t="s">
        <v>95</v>
      </c>
      <c r="E308">
        <v>607</v>
      </c>
      <c r="F308">
        <v>608</v>
      </c>
      <c r="G308" s="93" t="s">
        <v>78</v>
      </c>
      <c r="H308" t="s">
        <v>199</v>
      </c>
      <c r="I308">
        <v>2</v>
      </c>
      <c r="J308">
        <v>862.86769387000004</v>
      </c>
      <c r="K308">
        <f t="shared" si="0"/>
        <v>1725.7353877400001</v>
      </c>
      <c r="L308">
        <v>40</v>
      </c>
      <c r="M308">
        <f t="shared" si="2"/>
        <v>1035.4412326439999</v>
      </c>
      <c r="N308" s="90">
        <v>308</v>
      </c>
      <c r="O308" s="90" t="s">
        <v>269</v>
      </c>
      <c r="P308" s="118" t="s">
        <v>178</v>
      </c>
      <c r="Q308" s="118" t="s">
        <v>125</v>
      </c>
    </row>
    <row r="309" spans="1:21" x14ac:dyDescent="0.25">
      <c r="A309" s="90" t="s">
        <v>270</v>
      </c>
      <c r="B309" s="119">
        <v>6</v>
      </c>
      <c r="C309" s="90" t="s">
        <v>259</v>
      </c>
      <c r="D309" s="90" t="s">
        <v>96</v>
      </c>
      <c r="E309">
        <v>609</v>
      </c>
      <c r="F309">
        <v>610</v>
      </c>
      <c r="G309" s="93" t="s">
        <v>78</v>
      </c>
      <c r="H309" t="s">
        <v>224</v>
      </c>
      <c r="I309">
        <v>2</v>
      </c>
      <c r="J309">
        <v>2064.00101872</v>
      </c>
      <c r="K309">
        <f t="shared" si="0"/>
        <v>4128.0020374400001</v>
      </c>
      <c r="L309">
        <v>40</v>
      </c>
      <c r="M309">
        <f t="shared" si="2"/>
        <v>2476.8012224640001</v>
      </c>
      <c r="N309" s="90">
        <v>309</v>
      </c>
      <c r="O309" s="90" t="s">
        <v>271</v>
      </c>
      <c r="P309" s="118" t="s">
        <v>179</v>
      </c>
      <c r="Q309" s="118" t="s">
        <v>125</v>
      </c>
    </row>
    <row r="310" spans="1:21" x14ac:dyDescent="0.25">
      <c r="A310" s="90" t="s">
        <v>272</v>
      </c>
      <c r="B310" s="119">
        <v>6</v>
      </c>
      <c r="C310" s="90" t="s">
        <v>259</v>
      </c>
      <c r="D310" s="90" t="s">
        <v>103</v>
      </c>
      <c r="E310">
        <v>611</v>
      </c>
      <c r="F310">
        <v>612</v>
      </c>
      <c r="G310" s="93" t="s">
        <v>78</v>
      </c>
      <c r="H310" t="s">
        <v>205</v>
      </c>
      <c r="I310">
        <v>0</v>
      </c>
      <c r="J310">
        <v>214.52947918000001</v>
      </c>
      <c r="K310">
        <f t="shared" si="0"/>
        <v>0</v>
      </c>
      <c r="L310">
        <v>40</v>
      </c>
      <c r="M310">
        <f t="shared" si="2"/>
        <v>0</v>
      </c>
      <c r="N310" s="90">
        <v>310</v>
      </c>
      <c r="O310" s="90" t="s">
        <v>273</v>
      </c>
      <c r="P310" s="118" t="s">
        <v>180</v>
      </c>
      <c r="Q310" s="118" t="s">
        <v>125</v>
      </c>
    </row>
    <row r="311" spans="1:21" x14ac:dyDescent="0.25">
      <c r="A311" s="90" t="s">
        <v>274</v>
      </c>
      <c r="B311" s="119">
        <v>6</v>
      </c>
      <c r="C311" s="90" t="s">
        <v>259</v>
      </c>
      <c r="D311" s="90" t="s">
        <v>1769</v>
      </c>
      <c r="E311">
        <v>613</v>
      </c>
      <c r="F311">
        <v>614</v>
      </c>
      <c r="G311" s="93" t="s">
        <v>78</v>
      </c>
      <c r="H311" t="s">
        <v>194</v>
      </c>
      <c r="I311">
        <v>6</v>
      </c>
      <c r="J311">
        <v>256.72991214000001</v>
      </c>
      <c r="K311">
        <f t="shared" si="0"/>
        <v>1540.3794728400001</v>
      </c>
      <c r="L311">
        <v>40</v>
      </c>
      <c r="M311">
        <f t="shared" si="2"/>
        <v>924.22768370400001</v>
      </c>
      <c r="N311" s="90">
        <v>311</v>
      </c>
      <c r="O311" s="90" t="s">
        <v>275</v>
      </c>
      <c r="P311" s="118" t="s">
        <v>181</v>
      </c>
      <c r="Q311" s="118" t="s">
        <v>125</v>
      </c>
    </row>
    <row r="312" spans="1:21" x14ac:dyDescent="0.25">
      <c r="A312" s="90" t="s">
        <v>276</v>
      </c>
      <c r="B312" s="119">
        <v>4</v>
      </c>
      <c r="C312" s="90" t="s">
        <v>158</v>
      </c>
      <c r="D312" s="90" t="s">
        <v>97</v>
      </c>
      <c r="E312">
        <v>617</v>
      </c>
      <c r="F312">
        <v>638</v>
      </c>
      <c r="G312" s="93" t="s">
        <v>68</v>
      </c>
      <c r="H312" t="s">
        <v>277</v>
      </c>
      <c r="I312">
        <v>1</v>
      </c>
      <c r="J312">
        <f>SUM(K313,K315)</f>
        <v>26944.352476830001</v>
      </c>
      <c r="K312">
        <f t="shared" si="0"/>
        <v>26944.352476830001</v>
      </c>
      <c r="L312">
        <f>100*(1-(M312/K312))</f>
        <v>40.000000000000014</v>
      </c>
      <c r="M312">
        <f>I312*SUM(M313,M315)</f>
        <v>16166.611486097996</v>
      </c>
      <c r="N312" s="90">
        <v>312</v>
      </c>
      <c r="O312" s="90" t="s">
        <v>278</v>
      </c>
      <c r="P312" s="118" t="s">
        <v>182</v>
      </c>
      <c r="Q312" s="118" t="s">
        <v>125</v>
      </c>
      <c r="R312" s="90" t="s">
        <v>2242</v>
      </c>
      <c r="S312" s="90" t="s">
        <v>2346</v>
      </c>
      <c r="T312" s="90" t="s">
        <v>2398</v>
      </c>
      <c r="U312" s="90" t="s">
        <v>2294</v>
      </c>
    </row>
    <row r="313" spans="1:21" x14ac:dyDescent="0.25">
      <c r="A313" s="90" t="s">
        <v>279</v>
      </c>
      <c r="B313" s="119">
        <v>5</v>
      </c>
      <c r="C313" s="90" t="s">
        <v>276</v>
      </c>
      <c r="D313" s="90" t="s">
        <v>78</v>
      </c>
      <c r="E313">
        <v>618</v>
      </c>
      <c r="F313">
        <v>621</v>
      </c>
      <c r="G313" s="93" t="s">
        <v>68</v>
      </c>
      <c r="H313" t="s">
        <v>192</v>
      </c>
      <c r="I313">
        <v>9</v>
      </c>
      <c r="J313">
        <f>SUM(K314)</f>
        <v>256.72991214000001</v>
      </c>
      <c r="K313">
        <f t="shared" si="0"/>
        <v>2310.5692092600002</v>
      </c>
      <c r="L313">
        <f>100*(1-(M313/K313))</f>
        <v>40</v>
      </c>
      <c r="M313">
        <f>I313*SUM(M314)</f>
        <v>1386.3415255560001</v>
      </c>
      <c r="N313" s="90">
        <v>313</v>
      </c>
      <c r="O313" s="90" t="s">
        <v>280</v>
      </c>
      <c r="P313" s="118" t="s">
        <v>2468</v>
      </c>
      <c r="Q313" s="118" t="s">
        <v>125</v>
      </c>
      <c r="R313" s="90" t="s">
        <v>1775</v>
      </c>
      <c r="S313" s="90" t="s">
        <v>2009</v>
      </c>
      <c r="T313" s="90" t="s">
        <v>2126</v>
      </c>
      <c r="U313" s="90" t="s">
        <v>1892</v>
      </c>
    </row>
    <row r="314" spans="1:21" x14ac:dyDescent="0.25">
      <c r="A314" s="90" t="s">
        <v>281</v>
      </c>
      <c r="B314" s="119">
        <v>6</v>
      </c>
      <c r="C314" s="90" t="s">
        <v>279</v>
      </c>
      <c r="D314" s="90" t="s">
        <v>78</v>
      </c>
      <c r="E314">
        <v>619</v>
      </c>
      <c r="F314">
        <v>620</v>
      </c>
      <c r="G314" s="93" t="s">
        <v>78</v>
      </c>
      <c r="H314" t="s">
        <v>194</v>
      </c>
      <c r="I314">
        <v>1</v>
      </c>
      <c r="J314">
        <v>256.72991214000001</v>
      </c>
      <c r="K314">
        <f t="shared" si="0"/>
        <v>256.72991214000001</v>
      </c>
      <c r="L314">
        <v>40</v>
      </c>
      <c r="M314">
        <f>(1-(L314/100))*K314</f>
        <v>154.03794728400001</v>
      </c>
      <c r="N314" s="90">
        <v>314</v>
      </c>
      <c r="O314" s="90" t="s">
        <v>282</v>
      </c>
      <c r="P314" s="118" t="s">
        <v>183</v>
      </c>
      <c r="Q314" s="118" t="s">
        <v>125</v>
      </c>
    </row>
    <row r="315" spans="1:21" x14ac:dyDescent="0.25">
      <c r="A315" s="90" t="s">
        <v>283</v>
      </c>
      <c r="B315" s="119">
        <v>5</v>
      </c>
      <c r="C315" s="90" t="s">
        <v>276</v>
      </c>
      <c r="D315" s="90" t="s">
        <v>79</v>
      </c>
      <c r="E315">
        <v>622</v>
      </c>
      <c r="F315">
        <v>637</v>
      </c>
      <c r="G315" s="93" t="s">
        <v>68</v>
      </c>
      <c r="H315" t="s">
        <v>284</v>
      </c>
      <c r="I315">
        <v>1</v>
      </c>
      <c r="J315">
        <f>SUM(K316,K317,K318,K319,K320,K321,K322)</f>
        <v>24633.783267570001</v>
      </c>
      <c r="K315">
        <f t="shared" si="0"/>
        <v>24633.783267570001</v>
      </c>
      <c r="L315">
        <f>100*(1-(M315/K315))</f>
        <v>40.000000000000014</v>
      </c>
      <c r="M315">
        <f>I315*SUM(M316,M317,M318,M319,M320,M321,M322)</f>
        <v>14780.269960541997</v>
      </c>
      <c r="N315" s="90">
        <v>315</v>
      </c>
      <c r="O315" s="90" t="s">
        <v>285</v>
      </c>
      <c r="P315" s="118" t="s">
        <v>184</v>
      </c>
      <c r="Q315" s="118" t="s">
        <v>125</v>
      </c>
      <c r="R315" s="90" t="s">
        <v>1776</v>
      </c>
      <c r="S315" s="90" t="s">
        <v>2010</v>
      </c>
      <c r="T315" s="90" t="s">
        <v>2127</v>
      </c>
      <c r="U315" s="90" t="s">
        <v>1893</v>
      </c>
    </row>
    <row r="316" spans="1:21" x14ac:dyDescent="0.25">
      <c r="A316" s="90" t="s">
        <v>286</v>
      </c>
      <c r="B316" s="119">
        <v>6</v>
      </c>
      <c r="C316" s="90" t="s">
        <v>283</v>
      </c>
      <c r="D316" s="90" t="s">
        <v>78</v>
      </c>
      <c r="E316">
        <v>623</v>
      </c>
      <c r="F316">
        <v>624</v>
      </c>
      <c r="G316" s="93" t="s">
        <v>78</v>
      </c>
      <c r="H316" t="s">
        <v>197</v>
      </c>
      <c r="I316">
        <v>1</v>
      </c>
      <c r="J316">
        <v>10880.466063919999</v>
      </c>
      <c r="K316">
        <f t="shared" si="0"/>
        <v>10880.466063919999</v>
      </c>
      <c r="L316">
        <v>40</v>
      </c>
      <c r="M316">
        <f t="shared" ref="M316:M322" si="3">(1-(L316/100))*K316</f>
        <v>6528.279638351999</v>
      </c>
      <c r="N316" s="90">
        <v>316</v>
      </c>
      <c r="O316" s="90" t="s">
        <v>287</v>
      </c>
      <c r="P316" s="118" t="s">
        <v>185</v>
      </c>
      <c r="Q316" s="118" t="s">
        <v>125</v>
      </c>
    </row>
    <row r="317" spans="1:21" x14ac:dyDescent="0.25">
      <c r="A317" s="90" t="s">
        <v>288</v>
      </c>
      <c r="B317" s="119">
        <v>6</v>
      </c>
      <c r="C317" s="90" t="s">
        <v>283</v>
      </c>
      <c r="D317" s="90" t="s">
        <v>79</v>
      </c>
      <c r="E317">
        <v>625</v>
      </c>
      <c r="F317">
        <v>626</v>
      </c>
      <c r="G317" s="93" t="s">
        <v>78</v>
      </c>
      <c r="H317" t="s">
        <v>123</v>
      </c>
      <c r="I317">
        <v>0</v>
      </c>
      <c r="J317">
        <v>313.76543995999998</v>
      </c>
      <c r="K317">
        <f t="shared" si="0"/>
        <v>0</v>
      </c>
      <c r="L317">
        <v>40</v>
      </c>
      <c r="M317">
        <f t="shared" si="3"/>
        <v>0</v>
      </c>
      <c r="N317" s="90">
        <v>317</v>
      </c>
      <c r="O317" s="90" t="s">
        <v>289</v>
      </c>
      <c r="P317" s="118" t="s">
        <v>2469</v>
      </c>
      <c r="Q317" s="118" t="s">
        <v>125</v>
      </c>
    </row>
    <row r="318" spans="1:21" x14ac:dyDescent="0.25">
      <c r="A318" s="90" t="s">
        <v>290</v>
      </c>
      <c r="B318" s="119">
        <v>6</v>
      </c>
      <c r="C318" s="90" t="s">
        <v>283</v>
      </c>
      <c r="D318" s="90" t="s">
        <v>80</v>
      </c>
      <c r="E318">
        <v>627</v>
      </c>
      <c r="F318">
        <v>628</v>
      </c>
      <c r="G318" s="93" t="s">
        <v>78</v>
      </c>
      <c r="H318" t="s">
        <v>120</v>
      </c>
      <c r="I318">
        <v>3</v>
      </c>
      <c r="J318">
        <v>1231.376544</v>
      </c>
      <c r="K318">
        <f t="shared" si="0"/>
        <v>3694.1296320000001</v>
      </c>
      <c r="L318">
        <v>40</v>
      </c>
      <c r="M318">
        <f t="shared" si="3"/>
        <v>2216.4777792</v>
      </c>
      <c r="N318" s="90">
        <v>318</v>
      </c>
      <c r="O318" s="90" t="s">
        <v>291</v>
      </c>
      <c r="P318" s="118" t="s">
        <v>186</v>
      </c>
      <c r="Q318" s="118" t="s">
        <v>125</v>
      </c>
    </row>
    <row r="319" spans="1:21" x14ac:dyDescent="0.25">
      <c r="A319" s="90" t="s">
        <v>292</v>
      </c>
      <c r="B319" s="119">
        <v>6</v>
      </c>
      <c r="C319" s="90" t="s">
        <v>283</v>
      </c>
      <c r="D319" s="90" t="s">
        <v>95</v>
      </c>
      <c r="E319">
        <v>629</v>
      </c>
      <c r="F319">
        <v>630</v>
      </c>
      <c r="G319" s="93" t="s">
        <v>78</v>
      </c>
      <c r="H319" t="s">
        <v>199</v>
      </c>
      <c r="I319">
        <v>3</v>
      </c>
      <c r="J319">
        <v>862.86769387000004</v>
      </c>
      <c r="K319">
        <f t="shared" si="0"/>
        <v>2588.6030816100001</v>
      </c>
      <c r="L319">
        <v>40</v>
      </c>
      <c r="M319">
        <f t="shared" si="3"/>
        <v>1553.161848966</v>
      </c>
      <c r="N319" s="90">
        <v>319</v>
      </c>
      <c r="O319" s="90" t="s">
        <v>293</v>
      </c>
      <c r="P319" s="118" t="s">
        <v>187</v>
      </c>
      <c r="Q319" s="118" t="s">
        <v>125</v>
      </c>
    </row>
    <row r="320" spans="1:21" x14ac:dyDescent="0.25">
      <c r="A320" s="90" t="s">
        <v>294</v>
      </c>
      <c r="B320" s="119">
        <v>6</v>
      </c>
      <c r="C320" s="90" t="s">
        <v>283</v>
      </c>
      <c r="D320" s="90" t="s">
        <v>96</v>
      </c>
      <c r="E320">
        <v>631</v>
      </c>
      <c r="F320">
        <v>632</v>
      </c>
      <c r="G320" s="93" t="s">
        <v>78</v>
      </c>
      <c r="H320" t="s">
        <v>205</v>
      </c>
      <c r="I320">
        <v>0</v>
      </c>
      <c r="J320">
        <v>214.52947918000001</v>
      </c>
      <c r="K320">
        <f t="shared" si="0"/>
        <v>0</v>
      </c>
      <c r="L320">
        <v>40</v>
      </c>
      <c r="M320">
        <f t="shared" si="3"/>
        <v>0</v>
      </c>
      <c r="N320" s="90">
        <v>320</v>
      </c>
      <c r="O320" s="90" t="s">
        <v>295</v>
      </c>
      <c r="P320" s="118" t="s">
        <v>188</v>
      </c>
      <c r="Q320" s="118" t="s">
        <v>125</v>
      </c>
    </row>
    <row r="321" spans="1:21" x14ac:dyDescent="0.25">
      <c r="A321" s="90" t="s">
        <v>296</v>
      </c>
      <c r="B321" s="119">
        <v>6</v>
      </c>
      <c r="C321" s="90" t="s">
        <v>283</v>
      </c>
      <c r="D321" s="90" t="s">
        <v>103</v>
      </c>
      <c r="E321">
        <v>633</v>
      </c>
      <c r="F321">
        <v>634</v>
      </c>
      <c r="G321" s="93" t="s">
        <v>78</v>
      </c>
      <c r="H321" t="s">
        <v>194</v>
      </c>
      <c r="I321">
        <v>9</v>
      </c>
      <c r="J321">
        <v>256.72991214000001</v>
      </c>
      <c r="K321">
        <f t="shared" si="0"/>
        <v>2310.5692092600002</v>
      </c>
      <c r="L321">
        <v>40</v>
      </c>
      <c r="M321">
        <f t="shared" si="3"/>
        <v>1386.3415255560001</v>
      </c>
      <c r="N321" s="90">
        <v>321</v>
      </c>
      <c r="O321" s="90" t="s">
        <v>297</v>
      </c>
      <c r="P321" s="118" t="s">
        <v>189</v>
      </c>
      <c r="Q321" s="118" t="s">
        <v>125</v>
      </c>
    </row>
    <row r="322" spans="1:21" x14ac:dyDescent="0.25">
      <c r="A322" s="90" t="s">
        <v>298</v>
      </c>
      <c r="B322" s="119">
        <v>6</v>
      </c>
      <c r="C322" s="90" t="s">
        <v>283</v>
      </c>
      <c r="D322" s="90" t="s">
        <v>1769</v>
      </c>
      <c r="E322">
        <v>635</v>
      </c>
      <c r="F322">
        <v>636</v>
      </c>
      <c r="G322" s="93" t="s">
        <v>78</v>
      </c>
      <c r="H322" t="s">
        <v>299</v>
      </c>
      <c r="I322">
        <v>1</v>
      </c>
      <c r="J322">
        <v>5160.0152807799996</v>
      </c>
      <c r="K322">
        <f t="shared" si="0"/>
        <v>5160.0152807799996</v>
      </c>
      <c r="L322">
        <v>40</v>
      </c>
      <c r="M322">
        <f t="shared" si="3"/>
        <v>3096.0091684679996</v>
      </c>
      <c r="N322" s="90">
        <v>322</v>
      </c>
      <c r="O322" s="90" t="s">
        <v>300</v>
      </c>
      <c r="P322" s="118" t="s">
        <v>190</v>
      </c>
      <c r="Q322" s="118" t="s">
        <v>125</v>
      </c>
    </row>
    <row r="323" spans="1:21" x14ac:dyDescent="0.25">
      <c r="A323" s="90" t="s">
        <v>301</v>
      </c>
      <c r="B323" s="119">
        <v>4</v>
      </c>
      <c r="C323" s="90" t="s">
        <v>158</v>
      </c>
      <c r="D323" s="90" t="s">
        <v>98</v>
      </c>
      <c r="E323">
        <v>639</v>
      </c>
      <c r="F323">
        <v>654</v>
      </c>
      <c r="G323" s="93" t="s">
        <v>68</v>
      </c>
      <c r="H323" t="s">
        <v>302</v>
      </c>
      <c r="I323">
        <v>1</v>
      </c>
      <c r="J323">
        <f>SUM(K324,K326)</f>
        <v>411795.11014952994</v>
      </c>
      <c r="K323">
        <f t="shared" ref="K323:K386" si="4">I323*J323</f>
        <v>411795.11014952994</v>
      </c>
      <c r="L323">
        <f>100*(1-(M323/K323))</f>
        <v>39.999999999999993</v>
      </c>
      <c r="M323">
        <f>I323*SUM(M324,M326)</f>
        <v>247077.06608971799</v>
      </c>
      <c r="N323" s="90">
        <v>323</v>
      </c>
      <c r="O323" s="90" t="s">
        <v>303</v>
      </c>
      <c r="P323" s="118" t="s">
        <v>2470</v>
      </c>
      <c r="Q323" s="118" t="s">
        <v>125</v>
      </c>
      <c r="R323" s="90" t="s">
        <v>2243</v>
      </c>
      <c r="S323" s="90" t="s">
        <v>2347</v>
      </c>
      <c r="T323" s="90" t="s">
        <v>2399</v>
      </c>
      <c r="U323" s="90" t="s">
        <v>2295</v>
      </c>
    </row>
    <row r="324" spans="1:21" x14ac:dyDescent="0.25">
      <c r="A324" s="90" t="s">
        <v>304</v>
      </c>
      <c r="B324" s="119">
        <v>5</v>
      </c>
      <c r="C324" s="90" t="s">
        <v>301</v>
      </c>
      <c r="D324" s="90" t="s">
        <v>78</v>
      </c>
      <c r="E324">
        <v>640</v>
      </c>
      <c r="F324">
        <v>643</v>
      </c>
      <c r="G324" s="93" t="s">
        <v>68</v>
      </c>
      <c r="H324" t="s">
        <v>192</v>
      </c>
      <c r="I324">
        <v>93</v>
      </c>
      <c r="J324">
        <f>SUM(K325)</f>
        <v>256.72991214000001</v>
      </c>
      <c r="K324">
        <f t="shared" si="4"/>
        <v>23875.88182902</v>
      </c>
      <c r="L324">
        <f>100*(1-(M324/K324))</f>
        <v>39.999999999999993</v>
      </c>
      <c r="M324">
        <f>I324*SUM(M325)</f>
        <v>14325.529097412002</v>
      </c>
      <c r="N324" s="90">
        <v>324</v>
      </c>
      <c r="O324" s="90" t="s">
        <v>305</v>
      </c>
      <c r="P324" s="118" t="s">
        <v>191</v>
      </c>
      <c r="Q324" s="118" t="s">
        <v>125</v>
      </c>
      <c r="R324" s="90" t="s">
        <v>1777</v>
      </c>
      <c r="S324" s="90" t="s">
        <v>2011</v>
      </c>
      <c r="T324" s="90" t="s">
        <v>2128</v>
      </c>
      <c r="U324" s="90" t="s">
        <v>1894</v>
      </c>
    </row>
    <row r="325" spans="1:21" x14ac:dyDescent="0.25">
      <c r="A325" s="90" t="s">
        <v>306</v>
      </c>
      <c r="B325" s="119">
        <v>6</v>
      </c>
      <c r="C325" s="90" t="s">
        <v>304</v>
      </c>
      <c r="D325" s="90" t="s">
        <v>78</v>
      </c>
      <c r="E325">
        <v>641</v>
      </c>
      <c r="F325">
        <v>642</v>
      </c>
      <c r="G325" s="93" t="s">
        <v>78</v>
      </c>
      <c r="H325" t="s">
        <v>194</v>
      </c>
      <c r="I325">
        <v>1</v>
      </c>
      <c r="J325">
        <v>256.72991214000001</v>
      </c>
      <c r="K325">
        <f t="shared" si="4"/>
        <v>256.72991214000001</v>
      </c>
      <c r="L325">
        <v>40</v>
      </c>
      <c r="M325">
        <f>(1-(L325/100))*K325</f>
        <v>154.03794728400001</v>
      </c>
      <c r="N325" s="90">
        <v>325</v>
      </c>
      <c r="O325" s="90" t="s">
        <v>307</v>
      </c>
      <c r="P325" s="118" t="s">
        <v>193</v>
      </c>
      <c r="Q325" s="118" t="s">
        <v>125</v>
      </c>
    </row>
    <row r="326" spans="1:21" x14ac:dyDescent="0.25">
      <c r="A326" s="90" t="s">
        <v>308</v>
      </c>
      <c r="B326" s="119">
        <v>5</v>
      </c>
      <c r="C326" s="90" t="s">
        <v>301</v>
      </c>
      <c r="D326" s="90" t="s">
        <v>79</v>
      </c>
      <c r="E326">
        <v>644</v>
      </c>
      <c r="F326">
        <v>653</v>
      </c>
      <c r="G326" s="93" t="s">
        <v>68</v>
      </c>
      <c r="H326" t="s">
        <v>309</v>
      </c>
      <c r="I326">
        <v>31</v>
      </c>
      <c r="J326">
        <f>SUM(K327,K328,K329,K330)</f>
        <v>12513.523494209998</v>
      </c>
      <c r="K326">
        <f t="shared" si="4"/>
        <v>387919.22832050995</v>
      </c>
      <c r="L326">
        <f>100*(1-(M326/K326))</f>
        <v>40</v>
      </c>
      <c r="M326">
        <f>I326*SUM(M327,M328,M329,M330)</f>
        <v>232751.53699230598</v>
      </c>
      <c r="N326" s="90">
        <v>326</v>
      </c>
      <c r="O326" s="90" t="s">
        <v>310</v>
      </c>
      <c r="P326" s="118" t="s">
        <v>195</v>
      </c>
      <c r="Q326" s="118" t="s">
        <v>125</v>
      </c>
      <c r="R326" s="90" t="s">
        <v>1778</v>
      </c>
      <c r="S326" s="90" t="s">
        <v>2012</v>
      </c>
      <c r="T326" s="90" t="s">
        <v>2129</v>
      </c>
      <c r="U326" s="90" t="s">
        <v>1895</v>
      </c>
    </row>
    <row r="327" spans="1:21" x14ac:dyDescent="0.25">
      <c r="A327" s="90" t="s">
        <v>311</v>
      </c>
      <c r="B327" s="119">
        <v>6</v>
      </c>
      <c r="C327" s="90" t="s">
        <v>308</v>
      </c>
      <c r="D327" s="90" t="s">
        <v>78</v>
      </c>
      <c r="E327">
        <v>645</v>
      </c>
      <c r="F327">
        <v>646</v>
      </c>
      <c r="G327" s="93" t="s">
        <v>78</v>
      </c>
      <c r="H327" t="s">
        <v>197</v>
      </c>
      <c r="I327">
        <v>1</v>
      </c>
      <c r="J327">
        <v>10880.466063919999</v>
      </c>
      <c r="K327">
        <f t="shared" si="4"/>
        <v>10880.466063919999</v>
      </c>
      <c r="L327">
        <v>40</v>
      </c>
      <c r="M327">
        <f>(1-(L327/100))*K327</f>
        <v>6528.279638351999</v>
      </c>
      <c r="N327" s="90">
        <v>327</v>
      </c>
      <c r="O327" s="90" t="s">
        <v>312</v>
      </c>
      <c r="P327" s="118" t="s">
        <v>2471</v>
      </c>
      <c r="Q327" s="118" t="s">
        <v>125</v>
      </c>
    </row>
    <row r="328" spans="1:21" x14ac:dyDescent="0.25">
      <c r="A328" s="90" t="s">
        <v>313</v>
      </c>
      <c r="B328" s="119">
        <v>6</v>
      </c>
      <c r="C328" s="90" t="s">
        <v>308</v>
      </c>
      <c r="D328" s="90" t="s">
        <v>79</v>
      </c>
      <c r="E328">
        <v>647</v>
      </c>
      <c r="F328">
        <v>648</v>
      </c>
      <c r="G328" s="93" t="s">
        <v>78</v>
      </c>
      <c r="H328" t="s">
        <v>199</v>
      </c>
      <c r="I328">
        <v>1</v>
      </c>
      <c r="J328">
        <v>862.86769387000004</v>
      </c>
      <c r="K328">
        <f t="shared" si="4"/>
        <v>862.86769387000004</v>
      </c>
      <c r="L328">
        <v>40</v>
      </c>
      <c r="M328">
        <f>(1-(L328/100))*K328</f>
        <v>517.72061632199996</v>
      </c>
      <c r="N328" s="90">
        <v>328</v>
      </c>
      <c r="O328" s="90" t="s">
        <v>314</v>
      </c>
      <c r="P328" s="118" t="s">
        <v>196</v>
      </c>
      <c r="Q328" s="118" t="s">
        <v>125</v>
      </c>
    </row>
    <row r="329" spans="1:21" x14ac:dyDescent="0.25">
      <c r="A329" s="90" t="s">
        <v>315</v>
      </c>
      <c r="B329" s="119">
        <v>6</v>
      </c>
      <c r="C329" s="90" t="s">
        <v>308</v>
      </c>
      <c r="D329" s="90" t="s">
        <v>80</v>
      </c>
      <c r="E329">
        <v>649</v>
      </c>
      <c r="F329">
        <v>650</v>
      </c>
      <c r="G329" s="93" t="s">
        <v>78</v>
      </c>
      <c r="H329" t="s">
        <v>201</v>
      </c>
      <c r="I329">
        <v>0</v>
      </c>
      <c r="J329">
        <v>7211.7152680500003</v>
      </c>
      <c r="K329">
        <f t="shared" si="4"/>
        <v>0</v>
      </c>
      <c r="L329">
        <v>40</v>
      </c>
      <c r="M329">
        <f>(1-(L329/100))*K329</f>
        <v>0</v>
      </c>
      <c r="N329" s="90">
        <v>329</v>
      </c>
      <c r="O329" s="90" t="s">
        <v>316</v>
      </c>
      <c r="P329" s="118" t="s">
        <v>198</v>
      </c>
      <c r="Q329" s="118" t="s">
        <v>125</v>
      </c>
    </row>
    <row r="330" spans="1:21" x14ac:dyDescent="0.25">
      <c r="A330" s="90" t="s">
        <v>317</v>
      </c>
      <c r="B330" s="119">
        <v>6</v>
      </c>
      <c r="C330" s="90" t="s">
        <v>308</v>
      </c>
      <c r="D330" s="90" t="s">
        <v>95</v>
      </c>
      <c r="E330">
        <v>651</v>
      </c>
      <c r="F330">
        <v>652</v>
      </c>
      <c r="G330" s="93" t="s">
        <v>78</v>
      </c>
      <c r="H330" t="s">
        <v>194</v>
      </c>
      <c r="I330">
        <v>3</v>
      </c>
      <c r="J330">
        <v>256.72991214000001</v>
      </c>
      <c r="K330">
        <f t="shared" si="4"/>
        <v>770.18973642000003</v>
      </c>
      <c r="L330">
        <v>40</v>
      </c>
      <c r="M330">
        <f>(1-(L330/100))*K330</f>
        <v>462.11384185200001</v>
      </c>
      <c r="N330" s="90">
        <v>330</v>
      </c>
      <c r="O330" s="90" t="s">
        <v>318</v>
      </c>
      <c r="P330" s="118" t="s">
        <v>200</v>
      </c>
      <c r="Q330" s="118" t="s">
        <v>125</v>
      </c>
    </row>
    <row r="331" spans="1:21" x14ac:dyDescent="0.25">
      <c r="A331" s="90" t="s">
        <v>319</v>
      </c>
      <c r="B331" s="119">
        <v>4</v>
      </c>
      <c r="C331" s="90" t="s">
        <v>158</v>
      </c>
      <c r="D331" s="90" t="s">
        <v>99</v>
      </c>
      <c r="E331">
        <v>655</v>
      </c>
      <c r="F331">
        <v>674</v>
      </c>
      <c r="G331" s="93" t="s">
        <v>68</v>
      </c>
      <c r="H331" t="s">
        <v>320</v>
      </c>
      <c r="I331">
        <v>1</v>
      </c>
      <c r="J331">
        <f>SUM(K332,K334)</f>
        <v>248686.36190024999</v>
      </c>
      <c r="K331">
        <f t="shared" si="4"/>
        <v>248686.36190024999</v>
      </c>
      <c r="L331">
        <f>100*(1-(M331/K331))</f>
        <v>40</v>
      </c>
      <c r="M331">
        <f>I331*SUM(M332,M334)</f>
        <v>149211.81714015</v>
      </c>
      <c r="N331" s="90">
        <v>331</v>
      </c>
      <c r="O331" s="90" t="s">
        <v>321</v>
      </c>
      <c r="P331" s="118" t="s">
        <v>202</v>
      </c>
      <c r="Q331" s="118" t="s">
        <v>125</v>
      </c>
      <c r="R331" s="90" t="s">
        <v>2244</v>
      </c>
      <c r="S331" s="90" t="s">
        <v>2348</v>
      </c>
      <c r="T331" s="90" t="s">
        <v>2400</v>
      </c>
      <c r="U331" s="90" t="s">
        <v>2296</v>
      </c>
    </row>
    <row r="332" spans="1:21" x14ac:dyDescent="0.25">
      <c r="A332" s="90" t="s">
        <v>322</v>
      </c>
      <c r="B332" s="119">
        <v>5</v>
      </c>
      <c r="C332" s="90" t="s">
        <v>319</v>
      </c>
      <c r="D332" s="90" t="s">
        <v>78</v>
      </c>
      <c r="E332">
        <v>656</v>
      </c>
      <c r="F332">
        <v>659</v>
      </c>
      <c r="G332" s="93" t="s">
        <v>68</v>
      </c>
      <c r="H332" t="s">
        <v>192</v>
      </c>
      <c r="I332">
        <v>45</v>
      </c>
      <c r="J332">
        <f>SUM(K333)</f>
        <v>256.72991214000001</v>
      </c>
      <c r="K332">
        <f t="shared" si="4"/>
        <v>11552.846046300001</v>
      </c>
      <c r="L332">
        <f>100*(1-(M332/K332))</f>
        <v>40</v>
      </c>
      <c r="M332">
        <f>I332*SUM(M333)</f>
        <v>6931.7076277800006</v>
      </c>
      <c r="N332" s="90">
        <v>332</v>
      </c>
      <c r="O332" s="90" t="s">
        <v>323</v>
      </c>
      <c r="P332" s="118" t="s">
        <v>204</v>
      </c>
      <c r="Q332" s="118" t="s">
        <v>125</v>
      </c>
      <c r="R332" s="90" t="s">
        <v>1779</v>
      </c>
      <c r="S332" s="90" t="s">
        <v>2013</v>
      </c>
      <c r="T332" s="90" t="s">
        <v>2130</v>
      </c>
      <c r="U332" s="90" t="s">
        <v>1896</v>
      </c>
    </row>
    <row r="333" spans="1:21" x14ac:dyDescent="0.25">
      <c r="A333" s="90" t="s">
        <v>324</v>
      </c>
      <c r="B333" s="119">
        <v>6</v>
      </c>
      <c r="C333" s="90" t="s">
        <v>322</v>
      </c>
      <c r="D333" s="90" t="s">
        <v>78</v>
      </c>
      <c r="E333">
        <v>657</v>
      </c>
      <c r="F333">
        <v>658</v>
      </c>
      <c r="G333" s="93" t="s">
        <v>78</v>
      </c>
      <c r="H333" t="s">
        <v>194</v>
      </c>
      <c r="I333">
        <v>1</v>
      </c>
      <c r="J333">
        <v>256.72991214000001</v>
      </c>
      <c r="K333">
        <f t="shared" si="4"/>
        <v>256.72991214000001</v>
      </c>
      <c r="L333">
        <v>40</v>
      </c>
      <c r="M333">
        <f>(1-(L333/100))*K333</f>
        <v>154.03794728400001</v>
      </c>
      <c r="N333" s="90">
        <v>333</v>
      </c>
      <c r="O333" s="90" t="s">
        <v>325</v>
      </c>
      <c r="P333" s="118" t="s">
        <v>206</v>
      </c>
      <c r="Q333" s="118" t="s">
        <v>125</v>
      </c>
    </row>
    <row r="334" spans="1:21" x14ac:dyDescent="0.25">
      <c r="A334" s="90" t="s">
        <v>326</v>
      </c>
      <c r="B334" s="119">
        <v>5</v>
      </c>
      <c r="C334" s="90" t="s">
        <v>319</v>
      </c>
      <c r="D334" s="90" t="s">
        <v>79</v>
      </c>
      <c r="E334">
        <v>660</v>
      </c>
      <c r="F334">
        <v>673</v>
      </c>
      <c r="G334" s="93" t="s">
        <v>68</v>
      </c>
      <c r="H334" t="s">
        <v>327</v>
      </c>
      <c r="I334">
        <v>15</v>
      </c>
      <c r="J334">
        <f>SUM(K335,K336,K337,K338,K339,K340)</f>
        <v>15808.901056930001</v>
      </c>
      <c r="K334">
        <f t="shared" si="4"/>
        <v>237133.51585395</v>
      </c>
      <c r="L334">
        <f>100*(1-(M334/K334))</f>
        <v>40</v>
      </c>
      <c r="M334">
        <f>I334*SUM(M335,M336,M337,M338,M339,M340)</f>
        <v>142280.10951236999</v>
      </c>
      <c r="N334" s="90">
        <v>334</v>
      </c>
      <c r="O334" s="90" t="s">
        <v>328</v>
      </c>
      <c r="P334" s="118" t="s">
        <v>207</v>
      </c>
      <c r="Q334" s="118" t="s">
        <v>125</v>
      </c>
      <c r="R334" s="90" t="s">
        <v>1780</v>
      </c>
      <c r="S334" s="90" t="s">
        <v>2014</v>
      </c>
      <c r="T334" s="90" t="s">
        <v>2131</v>
      </c>
      <c r="U334" s="90" t="s">
        <v>1897</v>
      </c>
    </row>
    <row r="335" spans="1:21" x14ac:dyDescent="0.25">
      <c r="A335" s="90" t="s">
        <v>329</v>
      </c>
      <c r="B335" s="119">
        <v>6</v>
      </c>
      <c r="C335" s="90" t="s">
        <v>326</v>
      </c>
      <c r="D335" s="90" t="s">
        <v>78</v>
      </c>
      <c r="E335">
        <v>661</v>
      </c>
      <c r="F335">
        <v>662</v>
      </c>
      <c r="G335" s="93" t="s">
        <v>78</v>
      </c>
      <c r="H335" t="s">
        <v>197</v>
      </c>
      <c r="I335">
        <v>1</v>
      </c>
      <c r="J335">
        <v>10880.466063919999</v>
      </c>
      <c r="K335">
        <f t="shared" si="4"/>
        <v>10880.466063919999</v>
      </c>
      <c r="L335">
        <v>40</v>
      </c>
      <c r="M335">
        <f t="shared" ref="M335:M340" si="5">(1-(L335/100))*K335</f>
        <v>6528.279638351999</v>
      </c>
      <c r="N335" s="90">
        <v>335</v>
      </c>
      <c r="O335" s="90" t="s">
        <v>330</v>
      </c>
      <c r="P335" s="118" t="s">
        <v>2472</v>
      </c>
      <c r="Q335" s="118" t="s">
        <v>125</v>
      </c>
    </row>
    <row r="336" spans="1:21" x14ac:dyDescent="0.25">
      <c r="A336" s="90" t="s">
        <v>331</v>
      </c>
      <c r="B336" s="119">
        <v>6</v>
      </c>
      <c r="C336" s="90" t="s">
        <v>326</v>
      </c>
      <c r="D336" s="90" t="s">
        <v>79</v>
      </c>
      <c r="E336">
        <v>663</v>
      </c>
      <c r="F336">
        <v>664</v>
      </c>
      <c r="G336" s="93" t="s">
        <v>78</v>
      </c>
      <c r="H336" t="s">
        <v>120</v>
      </c>
      <c r="I336">
        <v>1</v>
      </c>
      <c r="J336">
        <v>1231.376544</v>
      </c>
      <c r="K336">
        <f t="shared" si="4"/>
        <v>1231.376544</v>
      </c>
      <c r="L336">
        <v>40</v>
      </c>
      <c r="M336">
        <f t="shared" si="5"/>
        <v>738.82592639999996</v>
      </c>
      <c r="N336" s="90">
        <v>336</v>
      </c>
      <c r="O336" s="90" t="s">
        <v>332</v>
      </c>
      <c r="P336" s="118" t="s">
        <v>209</v>
      </c>
      <c r="Q336" s="118" t="s">
        <v>125</v>
      </c>
    </row>
    <row r="337" spans="1:21" x14ac:dyDescent="0.25">
      <c r="A337" s="90" t="s">
        <v>333</v>
      </c>
      <c r="B337" s="119">
        <v>6</v>
      </c>
      <c r="C337" s="90" t="s">
        <v>326</v>
      </c>
      <c r="D337" s="90" t="s">
        <v>80</v>
      </c>
      <c r="E337">
        <v>665</v>
      </c>
      <c r="F337">
        <v>666</v>
      </c>
      <c r="G337" s="93" t="s">
        <v>78</v>
      </c>
      <c r="H337" t="s">
        <v>199</v>
      </c>
      <c r="I337">
        <v>1</v>
      </c>
      <c r="J337">
        <v>862.86769387000004</v>
      </c>
      <c r="K337">
        <f t="shared" si="4"/>
        <v>862.86769387000004</v>
      </c>
      <c r="L337">
        <v>40</v>
      </c>
      <c r="M337">
        <f t="shared" si="5"/>
        <v>517.72061632199996</v>
      </c>
      <c r="N337" s="90">
        <v>337</v>
      </c>
      <c r="O337" s="90" t="s">
        <v>334</v>
      </c>
      <c r="P337" s="118" t="s">
        <v>211</v>
      </c>
      <c r="Q337" s="118" t="s">
        <v>125</v>
      </c>
    </row>
    <row r="338" spans="1:21" x14ac:dyDescent="0.25">
      <c r="A338" s="90" t="s">
        <v>335</v>
      </c>
      <c r="B338" s="119">
        <v>6</v>
      </c>
      <c r="C338" s="90" t="s">
        <v>326</v>
      </c>
      <c r="D338" s="90" t="s">
        <v>95</v>
      </c>
      <c r="E338">
        <v>667</v>
      </c>
      <c r="F338">
        <v>668</v>
      </c>
      <c r="G338" s="93" t="s">
        <v>78</v>
      </c>
      <c r="H338" t="s">
        <v>224</v>
      </c>
      <c r="I338">
        <v>1</v>
      </c>
      <c r="J338">
        <v>2064.00101872</v>
      </c>
      <c r="K338">
        <f t="shared" si="4"/>
        <v>2064.00101872</v>
      </c>
      <c r="L338">
        <v>40</v>
      </c>
      <c r="M338">
        <f t="shared" si="5"/>
        <v>1238.4006112320001</v>
      </c>
      <c r="N338" s="90">
        <v>338</v>
      </c>
      <c r="O338" s="90" t="s">
        <v>336</v>
      </c>
      <c r="P338" s="118" t="s">
        <v>213</v>
      </c>
      <c r="Q338" s="118" t="s">
        <v>125</v>
      </c>
    </row>
    <row r="339" spans="1:21" x14ac:dyDescent="0.25">
      <c r="A339" s="90" t="s">
        <v>337</v>
      </c>
      <c r="B339" s="119">
        <v>6</v>
      </c>
      <c r="C339" s="90" t="s">
        <v>326</v>
      </c>
      <c r="D339" s="90" t="s">
        <v>96</v>
      </c>
      <c r="E339">
        <v>669</v>
      </c>
      <c r="F339">
        <v>670</v>
      </c>
      <c r="G339" s="93" t="s">
        <v>78</v>
      </c>
      <c r="H339" t="s">
        <v>201</v>
      </c>
      <c r="I339">
        <v>0</v>
      </c>
      <c r="J339">
        <v>7211.7152680500003</v>
      </c>
      <c r="K339">
        <f t="shared" si="4"/>
        <v>0</v>
      </c>
      <c r="L339">
        <v>40</v>
      </c>
      <c r="M339">
        <f t="shared" si="5"/>
        <v>0</v>
      </c>
      <c r="N339" s="90">
        <v>339</v>
      </c>
      <c r="O339" s="90" t="s">
        <v>338</v>
      </c>
      <c r="P339" s="118" t="s">
        <v>2473</v>
      </c>
      <c r="Q339" s="118" t="s">
        <v>125</v>
      </c>
    </row>
    <row r="340" spans="1:21" x14ac:dyDescent="0.25">
      <c r="A340" s="90" t="s">
        <v>339</v>
      </c>
      <c r="B340" s="119">
        <v>6</v>
      </c>
      <c r="C340" s="90" t="s">
        <v>326</v>
      </c>
      <c r="D340" s="90" t="s">
        <v>103</v>
      </c>
      <c r="E340">
        <v>671</v>
      </c>
      <c r="F340">
        <v>672</v>
      </c>
      <c r="G340" s="93" t="s">
        <v>78</v>
      </c>
      <c r="H340" t="s">
        <v>194</v>
      </c>
      <c r="I340">
        <v>3</v>
      </c>
      <c r="J340">
        <v>256.72991214000001</v>
      </c>
      <c r="K340">
        <f t="shared" si="4"/>
        <v>770.18973642000003</v>
      </c>
      <c r="L340">
        <v>40</v>
      </c>
      <c r="M340">
        <f t="shared" si="5"/>
        <v>462.11384185200001</v>
      </c>
      <c r="N340" s="90">
        <v>340</v>
      </c>
      <c r="O340" s="90" t="s">
        <v>340</v>
      </c>
      <c r="P340" s="118" t="s">
        <v>216</v>
      </c>
      <c r="Q340" s="118" t="s">
        <v>125</v>
      </c>
    </row>
    <row r="341" spans="1:21" x14ac:dyDescent="0.25">
      <c r="A341" s="90" t="s">
        <v>341</v>
      </c>
      <c r="B341" s="119">
        <v>4</v>
      </c>
      <c r="C341" s="90" t="s">
        <v>158</v>
      </c>
      <c r="D341" s="90" t="s">
        <v>100</v>
      </c>
      <c r="E341">
        <v>675</v>
      </c>
      <c r="F341">
        <v>688</v>
      </c>
      <c r="G341" s="93" t="s">
        <v>68</v>
      </c>
      <c r="H341" t="s">
        <v>342</v>
      </c>
      <c r="I341">
        <v>1</v>
      </c>
      <c r="J341">
        <f>SUM(K342,K344)</f>
        <v>47060.881192020002</v>
      </c>
      <c r="K341">
        <f t="shared" si="4"/>
        <v>47060.881192020002</v>
      </c>
      <c r="L341">
        <f>100*(1-(M341/K341))</f>
        <v>40.000000000000014</v>
      </c>
      <c r="M341">
        <f>I341*SUM(M342,M344)</f>
        <v>28236.528715211993</v>
      </c>
      <c r="N341" s="90">
        <v>341</v>
      </c>
      <c r="O341" s="90" t="s">
        <v>343</v>
      </c>
      <c r="P341" s="118" t="s">
        <v>218</v>
      </c>
      <c r="Q341" s="118" t="s">
        <v>125</v>
      </c>
      <c r="R341" s="90" t="s">
        <v>2245</v>
      </c>
      <c r="S341" s="90" t="s">
        <v>2349</v>
      </c>
      <c r="T341" s="90" t="s">
        <v>2401</v>
      </c>
      <c r="U341" s="90" t="s">
        <v>2297</v>
      </c>
    </row>
    <row r="342" spans="1:21" x14ac:dyDescent="0.25">
      <c r="A342" s="90" t="s">
        <v>344</v>
      </c>
      <c r="B342" s="119">
        <v>5</v>
      </c>
      <c r="C342" s="90" t="s">
        <v>341</v>
      </c>
      <c r="D342" s="90" t="s">
        <v>78</v>
      </c>
      <c r="E342">
        <v>676</v>
      </c>
      <c r="F342">
        <v>679</v>
      </c>
      <c r="G342" s="93" t="s">
        <v>68</v>
      </c>
      <c r="H342" t="s">
        <v>192</v>
      </c>
      <c r="I342">
        <v>18</v>
      </c>
      <c r="J342">
        <f>SUM(K343)</f>
        <v>256.72991214000001</v>
      </c>
      <c r="K342">
        <f t="shared" si="4"/>
        <v>4621.1384185200004</v>
      </c>
      <c r="L342">
        <f>100*(1-(M342/K342))</f>
        <v>40</v>
      </c>
      <c r="M342">
        <f>I342*SUM(M343)</f>
        <v>2772.6830511120002</v>
      </c>
      <c r="N342" s="90">
        <v>342</v>
      </c>
      <c r="O342" s="90" t="s">
        <v>345</v>
      </c>
      <c r="P342" s="118" t="s">
        <v>220</v>
      </c>
      <c r="Q342" s="118" t="s">
        <v>125</v>
      </c>
      <c r="R342" s="90" t="s">
        <v>1781</v>
      </c>
      <c r="S342" s="90" t="s">
        <v>2015</v>
      </c>
      <c r="T342" s="90" t="s">
        <v>2132</v>
      </c>
      <c r="U342" s="90" t="s">
        <v>1898</v>
      </c>
    </row>
    <row r="343" spans="1:21" x14ac:dyDescent="0.25">
      <c r="A343" s="90" t="s">
        <v>346</v>
      </c>
      <c r="B343" s="119">
        <v>6</v>
      </c>
      <c r="C343" s="90" t="s">
        <v>344</v>
      </c>
      <c r="D343" s="90" t="s">
        <v>78</v>
      </c>
      <c r="E343">
        <v>677</v>
      </c>
      <c r="F343">
        <v>678</v>
      </c>
      <c r="G343" s="93" t="s">
        <v>78</v>
      </c>
      <c r="H343" t="s">
        <v>194</v>
      </c>
      <c r="I343">
        <v>1</v>
      </c>
      <c r="J343">
        <v>256.72991214000001</v>
      </c>
      <c r="K343">
        <f t="shared" si="4"/>
        <v>256.72991214000001</v>
      </c>
      <c r="L343">
        <v>40</v>
      </c>
      <c r="M343">
        <f>(1-(L343/100))*K343</f>
        <v>154.03794728400001</v>
      </c>
      <c r="N343" s="90">
        <v>343</v>
      </c>
      <c r="O343" s="90" t="s">
        <v>347</v>
      </c>
      <c r="P343" s="118" t="s">
        <v>222</v>
      </c>
      <c r="Q343" s="118" t="s">
        <v>125</v>
      </c>
    </row>
    <row r="344" spans="1:21" x14ac:dyDescent="0.25">
      <c r="A344" s="90" t="s">
        <v>348</v>
      </c>
      <c r="B344" s="119">
        <v>5</v>
      </c>
      <c r="C344" s="90" t="s">
        <v>341</v>
      </c>
      <c r="D344" s="90" t="s">
        <v>79</v>
      </c>
      <c r="E344">
        <v>680</v>
      </c>
      <c r="F344">
        <v>687</v>
      </c>
      <c r="G344" s="93" t="s">
        <v>68</v>
      </c>
      <c r="H344" t="s">
        <v>349</v>
      </c>
      <c r="I344">
        <v>3</v>
      </c>
      <c r="J344">
        <f>SUM(K345,K346,K347)</f>
        <v>14146.5809245</v>
      </c>
      <c r="K344">
        <f t="shared" si="4"/>
        <v>42439.742773500002</v>
      </c>
      <c r="L344">
        <f>100*(1-(M344/K344))</f>
        <v>40.000000000000014</v>
      </c>
      <c r="M344">
        <f>I344*SUM(M345,M346,M347)</f>
        <v>25463.845664099994</v>
      </c>
      <c r="N344" s="90">
        <v>344</v>
      </c>
      <c r="O344" s="90" t="s">
        <v>350</v>
      </c>
      <c r="P344" s="118" t="s">
        <v>225</v>
      </c>
      <c r="Q344" s="118" t="s">
        <v>125</v>
      </c>
      <c r="R344" s="90" t="s">
        <v>1782</v>
      </c>
      <c r="S344" s="90" t="s">
        <v>2016</v>
      </c>
      <c r="T344" s="90" t="s">
        <v>2133</v>
      </c>
      <c r="U344" s="90" t="s">
        <v>1899</v>
      </c>
    </row>
    <row r="345" spans="1:21" x14ac:dyDescent="0.25">
      <c r="A345" s="90" t="s">
        <v>351</v>
      </c>
      <c r="B345" s="119">
        <v>6</v>
      </c>
      <c r="C345" s="90" t="s">
        <v>348</v>
      </c>
      <c r="D345" s="90" t="s">
        <v>78</v>
      </c>
      <c r="E345">
        <v>681</v>
      </c>
      <c r="F345">
        <v>682</v>
      </c>
      <c r="G345" s="93" t="s">
        <v>78</v>
      </c>
      <c r="H345" t="s">
        <v>197</v>
      </c>
      <c r="I345">
        <v>1</v>
      </c>
      <c r="J345">
        <v>10880.466063919999</v>
      </c>
      <c r="K345">
        <f t="shared" si="4"/>
        <v>10880.466063919999</v>
      </c>
      <c r="L345">
        <v>40</v>
      </c>
      <c r="M345">
        <f>(1-(L345/100))*K345</f>
        <v>6528.279638351999</v>
      </c>
      <c r="N345" s="90">
        <v>345</v>
      </c>
      <c r="O345" s="90" t="s">
        <v>352</v>
      </c>
      <c r="P345" s="118" t="s">
        <v>227</v>
      </c>
      <c r="Q345" s="118" t="s">
        <v>125</v>
      </c>
    </row>
    <row r="346" spans="1:21" x14ac:dyDescent="0.25">
      <c r="A346" s="90" t="s">
        <v>353</v>
      </c>
      <c r="B346" s="119">
        <v>6</v>
      </c>
      <c r="C346" s="90" t="s">
        <v>348</v>
      </c>
      <c r="D346" s="90" t="s">
        <v>79</v>
      </c>
      <c r="E346">
        <v>683</v>
      </c>
      <c r="F346">
        <v>684</v>
      </c>
      <c r="G346" s="93" t="s">
        <v>78</v>
      </c>
      <c r="H346" t="s">
        <v>199</v>
      </c>
      <c r="I346">
        <v>2</v>
      </c>
      <c r="J346">
        <v>862.86769387000004</v>
      </c>
      <c r="K346">
        <f t="shared" si="4"/>
        <v>1725.7353877400001</v>
      </c>
      <c r="L346">
        <v>40</v>
      </c>
      <c r="M346">
        <f>(1-(L346/100))*K346</f>
        <v>1035.4412326439999</v>
      </c>
      <c r="N346" s="90">
        <v>346</v>
      </c>
      <c r="O346" s="90" t="s">
        <v>354</v>
      </c>
      <c r="P346" s="118" t="s">
        <v>229</v>
      </c>
      <c r="Q346" s="118" t="s">
        <v>125</v>
      </c>
    </row>
    <row r="347" spans="1:21" x14ac:dyDescent="0.25">
      <c r="A347" s="90" t="s">
        <v>355</v>
      </c>
      <c r="B347" s="119">
        <v>6</v>
      </c>
      <c r="C347" s="90" t="s">
        <v>348</v>
      </c>
      <c r="D347" s="90" t="s">
        <v>80</v>
      </c>
      <c r="E347">
        <v>685</v>
      </c>
      <c r="F347">
        <v>686</v>
      </c>
      <c r="G347" s="93" t="s">
        <v>78</v>
      </c>
      <c r="H347" t="s">
        <v>194</v>
      </c>
      <c r="I347">
        <v>6</v>
      </c>
      <c r="J347">
        <v>256.72991214000001</v>
      </c>
      <c r="K347">
        <f t="shared" si="4"/>
        <v>1540.3794728400001</v>
      </c>
      <c r="L347">
        <v>40</v>
      </c>
      <c r="M347">
        <f>(1-(L347/100))*K347</f>
        <v>924.22768370400001</v>
      </c>
      <c r="N347" s="90">
        <v>347</v>
      </c>
      <c r="O347" s="90" t="s">
        <v>356</v>
      </c>
      <c r="P347" s="118" t="s">
        <v>231</v>
      </c>
      <c r="Q347" s="118" t="s">
        <v>125</v>
      </c>
    </row>
    <row r="348" spans="1:21" x14ac:dyDescent="0.25">
      <c r="A348" s="90" t="s">
        <v>357</v>
      </c>
      <c r="B348" s="119">
        <v>4</v>
      </c>
      <c r="C348" s="90" t="s">
        <v>158</v>
      </c>
      <c r="D348" s="90" t="s">
        <v>81</v>
      </c>
      <c r="E348">
        <v>689</v>
      </c>
      <c r="F348">
        <v>708</v>
      </c>
      <c r="G348" s="93" t="s">
        <v>68</v>
      </c>
      <c r="H348" t="s">
        <v>358</v>
      </c>
      <c r="I348">
        <v>1</v>
      </c>
      <c r="J348">
        <f>SUM(K349,K351)</f>
        <v>846553.1898656399</v>
      </c>
      <c r="K348">
        <f t="shared" si="4"/>
        <v>846553.1898656399</v>
      </c>
      <c r="L348">
        <f>100*(1-(M348/K348))</f>
        <v>39.999999999999993</v>
      </c>
      <c r="M348">
        <f>I348*SUM(M349,M351)</f>
        <v>507931.91391938401</v>
      </c>
      <c r="N348" s="90">
        <v>348</v>
      </c>
      <c r="O348" s="90" t="s">
        <v>359</v>
      </c>
      <c r="P348" s="118" t="s">
        <v>2474</v>
      </c>
      <c r="Q348" s="118" t="s">
        <v>125</v>
      </c>
      <c r="R348" s="90" t="s">
        <v>2246</v>
      </c>
      <c r="S348" s="90" t="s">
        <v>2350</v>
      </c>
      <c r="T348" s="90" t="s">
        <v>2402</v>
      </c>
      <c r="U348" s="90" t="s">
        <v>2298</v>
      </c>
    </row>
    <row r="349" spans="1:21" x14ac:dyDescent="0.25">
      <c r="A349" s="90" t="s">
        <v>360</v>
      </c>
      <c r="B349" s="119">
        <v>5</v>
      </c>
      <c r="C349" s="90" t="s">
        <v>357</v>
      </c>
      <c r="D349" s="90" t="s">
        <v>78</v>
      </c>
      <c r="E349">
        <v>690</v>
      </c>
      <c r="F349">
        <v>693</v>
      </c>
      <c r="G349" s="93" t="s">
        <v>68</v>
      </c>
      <c r="H349" t="s">
        <v>192</v>
      </c>
      <c r="I349">
        <v>228</v>
      </c>
      <c r="J349">
        <f>SUM(K350)</f>
        <v>256.72991214000001</v>
      </c>
      <c r="K349">
        <f t="shared" si="4"/>
        <v>58534.419967920003</v>
      </c>
      <c r="L349">
        <f>100*(1-(M349/K349))</f>
        <v>40</v>
      </c>
      <c r="M349">
        <f>I349*SUM(M350)</f>
        <v>35120.651980752002</v>
      </c>
      <c r="N349" s="90">
        <v>349</v>
      </c>
      <c r="O349" s="90" t="s">
        <v>361</v>
      </c>
      <c r="P349" s="118" t="s">
        <v>234</v>
      </c>
      <c r="Q349" s="118" t="s">
        <v>125</v>
      </c>
      <c r="R349" s="90" t="s">
        <v>1783</v>
      </c>
      <c r="S349" s="90" t="s">
        <v>2017</v>
      </c>
      <c r="T349" s="90" t="s">
        <v>2134</v>
      </c>
      <c r="U349" s="90" t="s">
        <v>1900</v>
      </c>
    </row>
    <row r="350" spans="1:21" x14ac:dyDescent="0.25">
      <c r="A350" s="90" t="s">
        <v>362</v>
      </c>
      <c r="B350" s="119">
        <v>6</v>
      </c>
      <c r="C350" s="90" t="s">
        <v>360</v>
      </c>
      <c r="D350" s="90" t="s">
        <v>78</v>
      </c>
      <c r="E350">
        <v>691</v>
      </c>
      <c r="F350">
        <v>692</v>
      </c>
      <c r="G350" s="93" t="s">
        <v>78</v>
      </c>
      <c r="H350" t="s">
        <v>194</v>
      </c>
      <c r="I350">
        <v>1</v>
      </c>
      <c r="J350">
        <v>256.72991214000001</v>
      </c>
      <c r="K350">
        <f t="shared" si="4"/>
        <v>256.72991214000001</v>
      </c>
      <c r="L350">
        <v>40</v>
      </c>
      <c r="M350">
        <f>(1-(L350/100))*K350</f>
        <v>154.03794728400001</v>
      </c>
      <c r="N350" s="90">
        <v>350</v>
      </c>
      <c r="O350" s="90" t="s">
        <v>363</v>
      </c>
      <c r="P350" s="118" t="s">
        <v>236</v>
      </c>
      <c r="Q350" s="118" t="s">
        <v>125</v>
      </c>
    </row>
    <row r="351" spans="1:21" x14ac:dyDescent="0.25">
      <c r="A351" s="90" t="s">
        <v>364</v>
      </c>
      <c r="B351" s="119">
        <v>5</v>
      </c>
      <c r="C351" s="90" t="s">
        <v>357</v>
      </c>
      <c r="D351" s="90" t="s">
        <v>79</v>
      </c>
      <c r="E351">
        <v>694</v>
      </c>
      <c r="F351">
        <v>707</v>
      </c>
      <c r="G351" s="93" t="s">
        <v>68</v>
      </c>
      <c r="H351" t="s">
        <v>365</v>
      </c>
      <c r="I351">
        <v>38</v>
      </c>
      <c r="J351">
        <f>SUM(K352,K353,K354,K355,K356,K357)</f>
        <v>20737.336049939997</v>
      </c>
      <c r="K351">
        <f t="shared" si="4"/>
        <v>788018.76989771985</v>
      </c>
      <c r="L351">
        <f>100*(1-(M351/K351))</f>
        <v>39.999999999999993</v>
      </c>
      <c r="M351">
        <f>I351*SUM(M352,M353,M354,M355,M356,M357)</f>
        <v>472811.261938632</v>
      </c>
      <c r="N351" s="90">
        <v>351</v>
      </c>
      <c r="O351" s="90" t="s">
        <v>366</v>
      </c>
      <c r="P351" s="118" t="s">
        <v>238</v>
      </c>
      <c r="Q351" s="118" t="s">
        <v>125</v>
      </c>
      <c r="R351" s="90" t="s">
        <v>1784</v>
      </c>
      <c r="S351" s="90" t="s">
        <v>2018</v>
      </c>
      <c r="T351" s="90" t="s">
        <v>2135</v>
      </c>
      <c r="U351" s="90" t="s">
        <v>1901</v>
      </c>
    </row>
    <row r="352" spans="1:21" x14ac:dyDescent="0.25">
      <c r="A352" s="90" t="s">
        <v>367</v>
      </c>
      <c r="B352" s="119">
        <v>6</v>
      </c>
      <c r="C352" s="90" t="s">
        <v>364</v>
      </c>
      <c r="D352" s="90" t="s">
        <v>78</v>
      </c>
      <c r="E352">
        <v>695</v>
      </c>
      <c r="F352">
        <v>696</v>
      </c>
      <c r="G352" s="93" t="s">
        <v>78</v>
      </c>
      <c r="H352" t="s">
        <v>197</v>
      </c>
      <c r="I352">
        <v>1</v>
      </c>
      <c r="J352">
        <v>10880.466063919999</v>
      </c>
      <c r="K352">
        <f t="shared" si="4"/>
        <v>10880.466063919999</v>
      </c>
      <c r="L352">
        <v>40</v>
      </c>
      <c r="M352">
        <f t="shared" ref="M352:M357" si="6">(1-(L352/100))*K352</f>
        <v>6528.279638351999</v>
      </c>
      <c r="N352" s="90">
        <v>352</v>
      </c>
      <c r="O352" s="90" t="s">
        <v>368</v>
      </c>
      <c r="P352" s="118" t="s">
        <v>2475</v>
      </c>
      <c r="Q352" s="118" t="s">
        <v>125</v>
      </c>
    </row>
    <row r="353" spans="1:21" x14ac:dyDescent="0.25">
      <c r="A353" s="90" t="s">
        <v>369</v>
      </c>
      <c r="B353" s="119">
        <v>6</v>
      </c>
      <c r="C353" s="90" t="s">
        <v>364</v>
      </c>
      <c r="D353" s="90" t="s">
        <v>79</v>
      </c>
      <c r="E353">
        <v>697</v>
      </c>
      <c r="F353">
        <v>698</v>
      </c>
      <c r="G353" s="93" t="s">
        <v>78</v>
      </c>
      <c r="H353" t="s">
        <v>120</v>
      </c>
      <c r="I353">
        <v>2</v>
      </c>
      <c r="J353">
        <v>1231.376544</v>
      </c>
      <c r="K353">
        <f t="shared" si="4"/>
        <v>2462.7530879999999</v>
      </c>
      <c r="L353">
        <v>40</v>
      </c>
      <c r="M353">
        <f t="shared" si="6"/>
        <v>1477.6518527999999</v>
      </c>
      <c r="N353" s="90">
        <v>353</v>
      </c>
      <c r="O353" s="90" t="s">
        <v>370</v>
      </c>
      <c r="P353" s="118" t="s">
        <v>241</v>
      </c>
      <c r="Q353" s="118" t="s">
        <v>125</v>
      </c>
    </row>
    <row r="354" spans="1:21" x14ac:dyDescent="0.25">
      <c r="A354" s="90" t="s">
        <v>371</v>
      </c>
      <c r="B354" s="119">
        <v>6</v>
      </c>
      <c r="C354" s="90" t="s">
        <v>364</v>
      </c>
      <c r="D354" s="90" t="s">
        <v>80</v>
      </c>
      <c r="E354">
        <v>699</v>
      </c>
      <c r="F354">
        <v>700</v>
      </c>
      <c r="G354" s="93" t="s">
        <v>78</v>
      </c>
      <c r="H354" t="s">
        <v>199</v>
      </c>
      <c r="I354">
        <v>2</v>
      </c>
      <c r="J354">
        <v>862.86769387000004</v>
      </c>
      <c r="K354">
        <f t="shared" si="4"/>
        <v>1725.7353877400001</v>
      </c>
      <c r="L354">
        <v>40</v>
      </c>
      <c r="M354">
        <f t="shared" si="6"/>
        <v>1035.4412326439999</v>
      </c>
      <c r="N354" s="90">
        <v>354</v>
      </c>
      <c r="O354" s="90" t="s">
        <v>372</v>
      </c>
      <c r="P354" s="118" t="s">
        <v>243</v>
      </c>
      <c r="Q354" s="118" t="s">
        <v>125</v>
      </c>
    </row>
    <row r="355" spans="1:21" x14ac:dyDescent="0.25">
      <c r="A355" s="90" t="s">
        <v>373</v>
      </c>
      <c r="B355" s="119">
        <v>6</v>
      </c>
      <c r="C355" s="90" t="s">
        <v>364</v>
      </c>
      <c r="D355" s="90" t="s">
        <v>95</v>
      </c>
      <c r="E355">
        <v>701</v>
      </c>
      <c r="F355">
        <v>702</v>
      </c>
      <c r="G355" s="93" t="s">
        <v>78</v>
      </c>
      <c r="H355" t="s">
        <v>224</v>
      </c>
      <c r="I355">
        <v>2</v>
      </c>
      <c r="J355">
        <v>2064.00101872</v>
      </c>
      <c r="K355">
        <f t="shared" si="4"/>
        <v>4128.0020374400001</v>
      </c>
      <c r="L355">
        <v>40</v>
      </c>
      <c r="M355">
        <f t="shared" si="6"/>
        <v>2476.8012224640001</v>
      </c>
      <c r="N355" s="90">
        <v>355</v>
      </c>
      <c r="O355" s="90" t="s">
        <v>374</v>
      </c>
      <c r="P355" s="118" t="s">
        <v>245</v>
      </c>
      <c r="Q355" s="118" t="s">
        <v>125</v>
      </c>
    </row>
    <row r="356" spans="1:21" x14ac:dyDescent="0.25">
      <c r="A356" s="90" t="s">
        <v>375</v>
      </c>
      <c r="B356" s="119">
        <v>6</v>
      </c>
      <c r="C356" s="90" t="s">
        <v>364</v>
      </c>
      <c r="D356" s="90" t="s">
        <v>96</v>
      </c>
      <c r="E356">
        <v>703</v>
      </c>
      <c r="F356">
        <v>704</v>
      </c>
      <c r="G356" s="93" t="s">
        <v>78</v>
      </c>
      <c r="H356" t="s">
        <v>205</v>
      </c>
      <c r="I356">
        <v>0</v>
      </c>
      <c r="J356">
        <v>214.52947918000001</v>
      </c>
      <c r="K356">
        <f t="shared" si="4"/>
        <v>0</v>
      </c>
      <c r="L356">
        <v>40</v>
      </c>
      <c r="M356">
        <f t="shared" si="6"/>
        <v>0</v>
      </c>
      <c r="N356" s="90">
        <v>356</v>
      </c>
      <c r="O356" s="90" t="s">
        <v>376</v>
      </c>
      <c r="P356" s="118" t="s">
        <v>247</v>
      </c>
      <c r="Q356" s="118" t="s">
        <v>125</v>
      </c>
    </row>
    <row r="357" spans="1:21" x14ac:dyDescent="0.25">
      <c r="A357" s="90" t="s">
        <v>377</v>
      </c>
      <c r="B357" s="119">
        <v>6</v>
      </c>
      <c r="C357" s="90" t="s">
        <v>364</v>
      </c>
      <c r="D357" s="90" t="s">
        <v>103</v>
      </c>
      <c r="E357">
        <v>705</v>
      </c>
      <c r="F357">
        <v>706</v>
      </c>
      <c r="G357" s="93" t="s">
        <v>78</v>
      </c>
      <c r="H357" t="s">
        <v>194</v>
      </c>
      <c r="I357">
        <v>6</v>
      </c>
      <c r="J357">
        <v>256.72991214000001</v>
      </c>
      <c r="K357">
        <f t="shared" si="4"/>
        <v>1540.3794728400001</v>
      </c>
      <c r="L357">
        <v>40</v>
      </c>
      <c r="M357">
        <f t="shared" si="6"/>
        <v>924.22768370400001</v>
      </c>
      <c r="N357" s="90">
        <v>357</v>
      </c>
      <c r="O357" s="90" t="s">
        <v>378</v>
      </c>
      <c r="P357" s="118" t="s">
        <v>249</v>
      </c>
      <c r="Q357" s="118" t="s">
        <v>125</v>
      </c>
    </row>
    <row r="358" spans="1:21" x14ac:dyDescent="0.25">
      <c r="A358" s="90" t="s">
        <v>379</v>
      </c>
      <c r="B358" s="119">
        <v>4</v>
      </c>
      <c r="C358" s="90" t="s">
        <v>158</v>
      </c>
      <c r="D358" s="90" t="s">
        <v>83</v>
      </c>
      <c r="E358">
        <v>709</v>
      </c>
      <c r="F358">
        <v>728</v>
      </c>
      <c r="G358" s="93" t="s">
        <v>68</v>
      </c>
      <c r="H358" t="s">
        <v>380</v>
      </c>
      <c r="I358">
        <v>1</v>
      </c>
      <c r="J358">
        <f>SUM(K359,K361)</f>
        <v>4014708.5190476701</v>
      </c>
      <c r="K358">
        <f t="shared" si="4"/>
        <v>4014708.5190476701</v>
      </c>
      <c r="L358">
        <f>100*(1-(M358/K358))</f>
        <v>40.000000000000014</v>
      </c>
      <c r="M358">
        <f>I358*SUM(M359,M361)</f>
        <v>2408825.1114286017</v>
      </c>
      <c r="N358" s="90">
        <v>358</v>
      </c>
      <c r="O358" s="90" t="s">
        <v>381</v>
      </c>
      <c r="P358" s="118" t="s">
        <v>251</v>
      </c>
      <c r="Q358" s="118" t="s">
        <v>125</v>
      </c>
      <c r="R358" s="90" t="s">
        <v>2247</v>
      </c>
      <c r="S358" s="90" t="s">
        <v>2351</v>
      </c>
      <c r="T358" s="90" t="s">
        <v>2403</v>
      </c>
      <c r="U358" s="90" t="s">
        <v>2299</v>
      </c>
    </row>
    <row r="359" spans="1:21" x14ac:dyDescent="0.25">
      <c r="A359" s="90" t="s">
        <v>382</v>
      </c>
      <c r="B359" s="119">
        <v>5</v>
      </c>
      <c r="C359" s="90" t="s">
        <v>379</v>
      </c>
      <c r="D359" s="90" t="s">
        <v>78</v>
      </c>
      <c r="E359">
        <v>710</v>
      </c>
      <c r="F359">
        <v>713</v>
      </c>
      <c r="G359" s="93" t="s">
        <v>68</v>
      </c>
      <c r="H359" t="s">
        <v>192</v>
      </c>
      <c r="I359">
        <v>1341</v>
      </c>
      <c r="J359">
        <f>SUM(K360)</f>
        <v>256.72991214000001</v>
      </c>
      <c r="K359">
        <f t="shared" si="4"/>
        <v>344274.81217973999</v>
      </c>
      <c r="L359">
        <f>100*(1-(M359/K359))</f>
        <v>39.999999999999993</v>
      </c>
      <c r="M359">
        <f>I359*SUM(M360)</f>
        <v>206564.88730784401</v>
      </c>
      <c r="N359" s="90">
        <v>359</v>
      </c>
      <c r="O359" s="90" t="s">
        <v>383</v>
      </c>
      <c r="P359" s="118" t="s">
        <v>2476</v>
      </c>
      <c r="Q359" s="118" t="s">
        <v>125</v>
      </c>
      <c r="R359" s="90" t="s">
        <v>1785</v>
      </c>
      <c r="S359" s="90" t="s">
        <v>2019</v>
      </c>
      <c r="T359" s="90" t="s">
        <v>2136</v>
      </c>
      <c r="U359" s="90" t="s">
        <v>1902</v>
      </c>
    </row>
    <row r="360" spans="1:21" x14ac:dyDescent="0.25">
      <c r="A360" s="90" t="s">
        <v>384</v>
      </c>
      <c r="B360" s="119">
        <v>6</v>
      </c>
      <c r="C360" s="90" t="s">
        <v>382</v>
      </c>
      <c r="D360" s="90" t="s">
        <v>78</v>
      </c>
      <c r="E360">
        <v>711</v>
      </c>
      <c r="F360">
        <v>712</v>
      </c>
      <c r="G360" s="93" t="s">
        <v>78</v>
      </c>
      <c r="H360" t="s">
        <v>194</v>
      </c>
      <c r="I360">
        <v>1</v>
      </c>
      <c r="J360">
        <v>256.72991214000001</v>
      </c>
      <c r="K360">
        <f t="shared" si="4"/>
        <v>256.72991214000001</v>
      </c>
      <c r="L360">
        <v>40</v>
      </c>
      <c r="M360">
        <f>(1-(L360/100))*K360</f>
        <v>154.03794728400001</v>
      </c>
      <c r="N360" s="90">
        <v>360</v>
      </c>
      <c r="O360" s="90" t="s">
        <v>385</v>
      </c>
      <c r="P360" s="118" t="s">
        <v>254</v>
      </c>
      <c r="Q360" s="118" t="s">
        <v>125</v>
      </c>
    </row>
    <row r="361" spans="1:21" x14ac:dyDescent="0.25">
      <c r="A361" s="90" t="s">
        <v>386</v>
      </c>
      <c r="B361" s="119">
        <v>5</v>
      </c>
      <c r="C361" s="90" t="s">
        <v>379</v>
      </c>
      <c r="D361" s="90" t="s">
        <v>79</v>
      </c>
      <c r="E361">
        <v>714</v>
      </c>
      <c r="F361">
        <v>727</v>
      </c>
      <c r="G361" s="93" t="s">
        <v>68</v>
      </c>
      <c r="H361" t="s">
        <v>387</v>
      </c>
      <c r="I361">
        <v>149</v>
      </c>
      <c r="J361">
        <f>SUM(K362,K363,K364,K365,K366,K367)</f>
        <v>24633.783267570001</v>
      </c>
      <c r="K361">
        <f t="shared" si="4"/>
        <v>3670433.70686793</v>
      </c>
      <c r="L361">
        <f>100*(1-(M361/K361))</f>
        <v>40.000000000000014</v>
      </c>
      <c r="M361">
        <f>I361*SUM(M362,M363,M364,M365,M366,M367)</f>
        <v>2202260.2241207575</v>
      </c>
      <c r="N361" s="90">
        <v>361</v>
      </c>
      <c r="O361" s="90" t="s">
        <v>388</v>
      </c>
      <c r="P361" s="118" t="s">
        <v>256</v>
      </c>
      <c r="Q361" s="118" t="s">
        <v>125</v>
      </c>
      <c r="R361" s="90" t="s">
        <v>1786</v>
      </c>
      <c r="S361" s="90" t="s">
        <v>2020</v>
      </c>
      <c r="T361" s="90" t="s">
        <v>2137</v>
      </c>
      <c r="U361" s="90" t="s">
        <v>1903</v>
      </c>
    </row>
    <row r="362" spans="1:21" x14ac:dyDescent="0.25">
      <c r="A362" s="90" t="s">
        <v>389</v>
      </c>
      <c r="B362" s="119">
        <v>6</v>
      </c>
      <c r="C362" s="90" t="s">
        <v>386</v>
      </c>
      <c r="D362" s="90" t="s">
        <v>78</v>
      </c>
      <c r="E362">
        <v>715</v>
      </c>
      <c r="F362">
        <v>716</v>
      </c>
      <c r="G362" s="93" t="s">
        <v>78</v>
      </c>
      <c r="H362" t="s">
        <v>197</v>
      </c>
      <c r="I362">
        <v>1</v>
      </c>
      <c r="J362">
        <v>10880.466063919999</v>
      </c>
      <c r="K362">
        <f t="shared" si="4"/>
        <v>10880.466063919999</v>
      </c>
      <c r="L362">
        <v>40</v>
      </c>
      <c r="M362">
        <f t="shared" ref="M362:M367" si="7">(1-(L362/100))*K362</f>
        <v>6528.279638351999</v>
      </c>
      <c r="N362" s="90">
        <v>362</v>
      </c>
      <c r="O362" s="90" t="s">
        <v>390</v>
      </c>
      <c r="P362" s="118" t="s">
        <v>258</v>
      </c>
      <c r="Q362" s="118" t="s">
        <v>125</v>
      </c>
    </row>
    <row r="363" spans="1:21" x14ac:dyDescent="0.25">
      <c r="A363" s="90" t="s">
        <v>391</v>
      </c>
      <c r="B363" s="119">
        <v>6</v>
      </c>
      <c r="C363" s="90" t="s">
        <v>386</v>
      </c>
      <c r="D363" s="90" t="s">
        <v>79</v>
      </c>
      <c r="E363">
        <v>717</v>
      </c>
      <c r="F363">
        <v>718</v>
      </c>
      <c r="G363" s="93" t="s">
        <v>78</v>
      </c>
      <c r="H363" t="s">
        <v>120</v>
      </c>
      <c r="I363">
        <v>3</v>
      </c>
      <c r="J363">
        <v>1231.376544</v>
      </c>
      <c r="K363">
        <f t="shared" si="4"/>
        <v>3694.1296320000001</v>
      </c>
      <c r="L363">
        <v>40</v>
      </c>
      <c r="M363">
        <f t="shared" si="7"/>
        <v>2216.4777792</v>
      </c>
      <c r="N363" s="90">
        <v>363</v>
      </c>
      <c r="O363" s="90" t="s">
        <v>392</v>
      </c>
      <c r="P363" s="118" t="s">
        <v>2477</v>
      </c>
      <c r="Q363" s="118" t="s">
        <v>125</v>
      </c>
    </row>
    <row r="364" spans="1:21" x14ac:dyDescent="0.25">
      <c r="A364" s="90" t="s">
        <v>393</v>
      </c>
      <c r="B364" s="119">
        <v>6</v>
      </c>
      <c r="C364" s="90" t="s">
        <v>386</v>
      </c>
      <c r="D364" s="90" t="s">
        <v>80</v>
      </c>
      <c r="E364">
        <v>719</v>
      </c>
      <c r="F364">
        <v>720</v>
      </c>
      <c r="G364" s="93" t="s">
        <v>78</v>
      </c>
      <c r="H364" t="s">
        <v>199</v>
      </c>
      <c r="I364">
        <v>3</v>
      </c>
      <c r="J364">
        <v>862.86769387000004</v>
      </c>
      <c r="K364">
        <f t="shared" si="4"/>
        <v>2588.6030816100001</v>
      </c>
      <c r="L364">
        <v>40</v>
      </c>
      <c r="M364">
        <f t="shared" si="7"/>
        <v>1553.161848966</v>
      </c>
      <c r="N364" s="90">
        <v>364</v>
      </c>
      <c r="O364" s="90" t="s">
        <v>394</v>
      </c>
      <c r="P364" s="118" t="s">
        <v>261</v>
      </c>
      <c r="Q364" s="118" t="s">
        <v>125</v>
      </c>
    </row>
    <row r="365" spans="1:21" x14ac:dyDescent="0.25">
      <c r="A365" s="90" t="s">
        <v>395</v>
      </c>
      <c r="B365" s="119">
        <v>6</v>
      </c>
      <c r="C365" s="90" t="s">
        <v>386</v>
      </c>
      <c r="D365" s="90" t="s">
        <v>95</v>
      </c>
      <c r="E365">
        <v>721</v>
      </c>
      <c r="F365">
        <v>722</v>
      </c>
      <c r="G365" s="93" t="s">
        <v>78</v>
      </c>
      <c r="H365" t="s">
        <v>205</v>
      </c>
      <c r="I365">
        <v>0</v>
      </c>
      <c r="J365">
        <v>214.52947918000001</v>
      </c>
      <c r="K365">
        <f t="shared" si="4"/>
        <v>0</v>
      </c>
      <c r="L365">
        <v>40</v>
      </c>
      <c r="M365">
        <f t="shared" si="7"/>
        <v>0</v>
      </c>
      <c r="N365" s="90">
        <v>365</v>
      </c>
      <c r="O365" s="90" t="s">
        <v>396</v>
      </c>
      <c r="P365" s="118" t="s">
        <v>263</v>
      </c>
      <c r="Q365" s="118" t="s">
        <v>125</v>
      </c>
    </row>
    <row r="366" spans="1:21" x14ac:dyDescent="0.25">
      <c r="A366" s="90" t="s">
        <v>397</v>
      </c>
      <c r="B366" s="119">
        <v>6</v>
      </c>
      <c r="C366" s="90" t="s">
        <v>386</v>
      </c>
      <c r="D366" s="90" t="s">
        <v>96</v>
      </c>
      <c r="E366">
        <v>723</v>
      </c>
      <c r="F366">
        <v>724</v>
      </c>
      <c r="G366" s="93" t="s">
        <v>78</v>
      </c>
      <c r="H366" t="s">
        <v>194</v>
      </c>
      <c r="I366">
        <v>9</v>
      </c>
      <c r="J366">
        <v>256.72991214000001</v>
      </c>
      <c r="K366">
        <f t="shared" si="4"/>
        <v>2310.5692092600002</v>
      </c>
      <c r="L366">
        <v>40</v>
      </c>
      <c r="M366">
        <f t="shared" si="7"/>
        <v>1386.3415255560001</v>
      </c>
      <c r="N366" s="90">
        <v>366</v>
      </c>
      <c r="O366" s="90" t="s">
        <v>398</v>
      </c>
      <c r="P366" s="118" t="s">
        <v>265</v>
      </c>
      <c r="Q366" s="118" t="s">
        <v>125</v>
      </c>
    </row>
    <row r="367" spans="1:21" x14ac:dyDescent="0.25">
      <c r="A367" s="90" t="s">
        <v>399</v>
      </c>
      <c r="B367" s="119">
        <v>6</v>
      </c>
      <c r="C367" s="90" t="s">
        <v>386</v>
      </c>
      <c r="D367" s="90" t="s">
        <v>103</v>
      </c>
      <c r="E367">
        <v>725</v>
      </c>
      <c r="F367">
        <v>726</v>
      </c>
      <c r="G367" s="93" t="s">
        <v>78</v>
      </c>
      <c r="H367" t="s">
        <v>299</v>
      </c>
      <c r="I367">
        <v>1</v>
      </c>
      <c r="J367">
        <v>5160.0152807799996</v>
      </c>
      <c r="K367">
        <f t="shared" si="4"/>
        <v>5160.0152807799996</v>
      </c>
      <c r="L367">
        <v>40</v>
      </c>
      <c r="M367">
        <f t="shared" si="7"/>
        <v>3096.0091684679996</v>
      </c>
      <c r="N367" s="90">
        <v>367</v>
      </c>
      <c r="O367" s="90" t="s">
        <v>400</v>
      </c>
      <c r="P367" s="118" t="s">
        <v>267</v>
      </c>
      <c r="Q367" s="118" t="s">
        <v>125</v>
      </c>
    </row>
    <row r="368" spans="1:21" x14ac:dyDescent="0.25">
      <c r="A368" s="90" t="s">
        <v>401</v>
      </c>
      <c r="B368" s="119">
        <v>4</v>
      </c>
      <c r="C368" s="90" t="s">
        <v>158</v>
      </c>
      <c r="D368" s="90" t="s">
        <v>84</v>
      </c>
      <c r="E368">
        <v>729</v>
      </c>
      <c r="F368">
        <v>742</v>
      </c>
      <c r="G368" s="93" t="s">
        <v>68</v>
      </c>
      <c r="H368" t="s">
        <v>402</v>
      </c>
      <c r="I368">
        <v>1</v>
      </c>
      <c r="J368">
        <f>SUM(K369,K371)</f>
        <v>92985.992614409988</v>
      </c>
      <c r="K368">
        <f t="shared" si="4"/>
        <v>92985.992614409988</v>
      </c>
      <c r="L368">
        <f>100*(1-(M368/K368))</f>
        <v>40</v>
      </c>
      <c r="M368">
        <f>I368*SUM(M369,M371)</f>
        <v>55791.595568645993</v>
      </c>
      <c r="N368" s="90">
        <v>368</v>
      </c>
      <c r="O368" s="90" t="s">
        <v>403</v>
      </c>
      <c r="P368" s="118" t="s">
        <v>269</v>
      </c>
      <c r="Q368" s="118" t="s">
        <v>125</v>
      </c>
      <c r="R368" s="90" t="s">
        <v>2248</v>
      </c>
      <c r="S368" s="90" t="s">
        <v>2352</v>
      </c>
      <c r="T368" s="90" t="s">
        <v>2404</v>
      </c>
      <c r="U368" s="90" t="s">
        <v>2300</v>
      </c>
    </row>
    <row r="369" spans="1:21" x14ac:dyDescent="0.25">
      <c r="A369" s="90" t="s">
        <v>404</v>
      </c>
      <c r="B369" s="119">
        <v>5</v>
      </c>
      <c r="C369" s="90" t="s">
        <v>401</v>
      </c>
      <c r="D369" s="90" t="s">
        <v>78</v>
      </c>
      <c r="E369">
        <v>730</v>
      </c>
      <c r="F369">
        <v>733</v>
      </c>
      <c r="G369" s="93" t="s">
        <v>68</v>
      </c>
      <c r="H369" t="s">
        <v>192</v>
      </c>
      <c r="I369">
        <v>21</v>
      </c>
      <c r="J369">
        <f>SUM(K370)</f>
        <v>256.72991214000001</v>
      </c>
      <c r="K369">
        <f t="shared" si="4"/>
        <v>5391.3281549399999</v>
      </c>
      <c r="L369">
        <f>100*(1-(M369/K369))</f>
        <v>39.999999999999993</v>
      </c>
      <c r="M369">
        <f>I369*SUM(M370)</f>
        <v>3234.7968929640001</v>
      </c>
      <c r="N369" s="90">
        <v>369</v>
      </c>
      <c r="O369" s="90" t="s">
        <v>405</v>
      </c>
      <c r="P369" s="118" t="s">
        <v>271</v>
      </c>
      <c r="Q369" s="118" t="s">
        <v>125</v>
      </c>
      <c r="R369" s="90" t="s">
        <v>1787</v>
      </c>
      <c r="S369" s="90" t="s">
        <v>2021</v>
      </c>
      <c r="T369" s="90" t="s">
        <v>2138</v>
      </c>
      <c r="U369" s="90" t="s">
        <v>1904</v>
      </c>
    </row>
    <row r="370" spans="1:21" x14ac:dyDescent="0.25">
      <c r="A370" s="90" t="s">
        <v>406</v>
      </c>
      <c r="B370" s="119">
        <v>6</v>
      </c>
      <c r="C370" s="90" t="s">
        <v>404</v>
      </c>
      <c r="D370" s="90" t="s">
        <v>78</v>
      </c>
      <c r="E370">
        <v>731</v>
      </c>
      <c r="F370">
        <v>732</v>
      </c>
      <c r="G370" s="93" t="s">
        <v>78</v>
      </c>
      <c r="H370" t="s">
        <v>194</v>
      </c>
      <c r="I370">
        <v>1</v>
      </c>
      <c r="J370">
        <v>256.72991214000001</v>
      </c>
      <c r="K370">
        <f t="shared" si="4"/>
        <v>256.72991214000001</v>
      </c>
      <c r="L370">
        <v>40</v>
      </c>
      <c r="M370">
        <f>(1-(L370/100))*K370</f>
        <v>154.03794728400001</v>
      </c>
      <c r="N370" s="90">
        <v>370</v>
      </c>
      <c r="O370" s="90" t="s">
        <v>407</v>
      </c>
      <c r="P370" s="118" t="s">
        <v>273</v>
      </c>
      <c r="Q370" s="118" t="s">
        <v>125</v>
      </c>
    </row>
    <row r="371" spans="1:21" x14ac:dyDescent="0.25">
      <c r="A371" s="90" t="s">
        <v>408</v>
      </c>
      <c r="B371" s="119">
        <v>5</v>
      </c>
      <c r="C371" s="90" t="s">
        <v>401</v>
      </c>
      <c r="D371" s="90" t="s">
        <v>79</v>
      </c>
      <c r="E371">
        <v>734</v>
      </c>
      <c r="F371">
        <v>741</v>
      </c>
      <c r="G371" s="93" t="s">
        <v>68</v>
      </c>
      <c r="H371" t="s">
        <v>409</v>
      </c>
      <c r="I371">
        <v>7</v>
      </c>
      <c r="J371">
        <f>SUM(K372,K373,K374)</f>
        <v>12513.523494209998</v>
      </c>
      <c r="K371">
        <f t="shared" si="4"/>
        <v>87594.66445946999</v>
      </c>
      <c r="L371">
        <f>100*(1-(M371/K371))</f>
        <v>40</v>
      </c>
      <c r="M371">
        <f>I371*SUM(M372,M373,M374)</f>
        <v>52556.798675681996</v>
      </c>
      <c r="N371" s="90">
        <v>371</v>
      </c>
      <c r="O371" s="90" t="s">
        <v>410</v>
      </c>
      <c r="P371" s="118" t="s">
        <v>275</v>
      </c>
      <c r="Q371" s="118" t="s">
        <v>125</v>
      </c>
      <c r="R371" s="90" t="s">
        <v>1788</v>
      </c>
      <c r="S371" s="90" t="s">
        <v>2022</v>
      </c>
      <c r="T371" s="90" t="s">
        <v>2139</v>
      </c>
      <c r="U371" s="90" t="s">
        <v>1905</v>
      </c>
    </row>
    <row r="372" spans="1:21" x14ac:dyDescent="0.25">
      <c r="A372" s="90" t="s">
        <v>411</v>
      </c>
      <c r="B372" s="119">
        <v>6</v>
      </c>
      <c r="C372" s="90" t="s">
        <v>408</v>
      </c>
      <c r="D372" s="90" t="s">
        <v>78</v>
      </c>
      <c r="E372">
        <v>735</v>
      </c>
      <c r="F372">
        <v>736</v>
      </c>
      <c r="G372" s="93" t="s">
        <v>78</v>
      </c>
      <c r="H372" t="s">
        <v>197</v>
      </c>
      <c r="I372">
        <v>1</v>
      </c>
      <c r="J372">
        <v>10880.466063919999</v>
      </c>
      <c r="K372">
        <f t="shared" si="4"/>
        <v>10880.466063919999</v>
      </c>
      <c r="L372">
        <v>40</v>
      </c>
      <c r="M372">
        <f>(1-(L372/100))*K372</f>
        <v>6528.279638351999</v>
      </c>
      <c r="N372" s="90">
        <v>372</v>
      </c>
      <c r="O372" s="90" t="s">
        <v>412</v>
      </c>
      <c r="P372" s="118" t="s">
        <v>2478</v>
      </c>
      <c r="Q372" s="118" t="s">
        <v>125</v>
      </c>
    </row>
    <row r="373" spans="1:21" x14ac:dyDescent="0.25">
      <c r="A373" s="90" t="s">
        <v>413</v>
      </c>
      <c r="B373" s="119">
        <v>6</v>
      </c>
      <c r="C373" s="90" t="s">
        <v>408</v>
      </c>
      <c r="D373" s="90" t="s">
        <v>79</v>
      </c>
      <c r="E373">
        <v>737</v>
      </c>
      <c r="F373">
        <v>738</v>
      </c>
      <c r="G373" s="93" t="s">
        <v>78</v>
      </c>
      <c r="H373" t="s">
        <v>199</v>
      </c>
      <c r="I373">
        <v>1</v>
      </c>
      <c r="J373">
        <v>862.86769387000004</v>
      </c>
      <c r="K373">
        <f t="shared" si="4"/>
        <v>862.86769387000004</v>
      </c>
      <c r="L373">
        <v>40</v>
      </c>
      <c r="M373">
        <f>(1-(L373/100))*K373</f>
        <v>517.72061632199996</v>
      </c>
      <c r="N373" s="90">
        <v>373</v>
      </c>
      <c r="O373" s="90" t="s">
        <v>414</v>
      </c>
      <c r="P373" s="118" t="s">
        <v>278</v>
      </c>
      <c r="Q373" s="118" t="s">
        <v>125</v>
      </c>
    </row>
    <row r="374" spans="1:21" x14ac:dyDescent="0.25">
      <c r="A374" s="90" t="s">
        <v>415</v>
      </c>
      <c r="B374" s="119">
        <v>6</v>
      </c>
      <c r="C374" s="90" t="s">
        <v>408</v>
      </c>
      <c r="D374" s="90" t="s">
        <v>80</v>
      </c>
      <c r="E374">
        <v>739</v>
      </c>
      <c r="F374">
        <v>740</v>
      </c>
      <c r="G374" s="93" t="s">
        <v>78</v>
      </c>
      <c r="H374" t="s">
        <v>194</v>
      </c>
      <c r="I374">
        <v>3</v>
      </c>
      <c r="J374">
        <v>256.72991214000001</v>
      </c>
      <c r="K374">
        <f t="shared" si="4"/>
        <v>770.18973642000003</v>
      </c>
      <c r="L374">
        <v>40</v>
      </c>
      <c r="M374">
        <f>(1-(L374/100))*K374</f>
        <v>462.11384185200001</v>
      </c>
      <c r="N374" s="90">
        <v>374</v>
      </c>
      <c r="O374" s="90" t="s">
        <v>416</v>
      </c>
      <c r="P374" s="118" t="s">
        <v>280</v>
      </c>
      <c r="Q374" s="118" t="s">
        <v>125</v>
      </c>
    </row>
    <row r="375" spans="1:21" x14ac:dyDescent="0.25">
      <c r="A375" s="90" t="s">
        <v>417</v>
      </c>
      <c r="B375" s="119">
        <v>4</v>
      </c>
      <c r="C375" s="90" t="s">
        <v>158</v>
      </c>
      <c r="D375" s="90" t="s">
        <v>85</v>
      </c>
      <c r="E375">
        <v>743</v>
      </c>
      <c r="F375">
        <v>756</v>
      </c>
      <c r="G375" s="93" t="s">
        <v>68</v>
      </c>
      <c r="H375" t="s">
        <v>418</v>
      </c>
      <c r="I375">
        <v>1</v>
      </c>
      <c r="J375">
        <f>SUM(K376,K378)</f>
        <v>31373.920794680002</v>
      </c>
      <c r="K375">
        <f t="shared" si="4"/>
        <v>31373.920794680002</v>
      </c>
      <c r="L375">
        <f>100*(1-(M375/K375))</f>
        <v>40</v>
      </c>
      <c r="M375">
        <f>I375*SUM(M376,M378)</f>
        <v>18824.352476807999</v>
      </c>
      <c r="N375" s="90">
        <v>375</v>
      </c>
      <c r="O375" s="90" t="s">
        <v>419</v>
      </c>
      <c r="P375" s="118" t="s">
        <v>282</v>
      </c>
      <c r="Q375" s="118" t="s">
        <v>125</v>
      </c>
      <c r="R375" s="90" t="s">
        <v>2249</v>
      </c>
      <c r="S375" s="90" t="s">
        <v>2353</v>
      </c>
      <c r="T375" s="90" t="s">
        <v>2405</v>
      </c>
      <c r="U375" s="90" t="s">
        <v>2301</v>
      </c>
    </row>
    <row r="376" spans="1:21" x14ac:dyDescent="0.25">
      <c r="A376" s="90" t="s">
        <v>420</v>
      </c>
      <c r="B376" s="119">
        <v>5</v>
      </c>
      <c r="C376" s="90" t="s">
        <v>417</v>
      </c>
      <c r="D376" s="90" t="s">
        <v>78</v>
      </c>
      <c r="E376">
        <v>744</v>
      </c>
      <c r="F376">
        <v>747</v>
      </c>
      <c r="G376" s="93" t="s">
        <v>68</v>
      </c>
      <c r="H376" t="s">
        <v>192</v>
      </c>
      <c r="I376">
        <v>12</v>
      </c>
      <c r="J376">
        <f>SUM(K377)</f>
        <v>256.72991214000001</v>
      </c>
      <c r="K376">
        <f t="shared" si="4"/>
        <v>3080.7589456800001</v>
      </c>
      <c r="L376">
        <f>100*(1-(M376/K376))</f>
        <v>39.999999999999993</v>
      </c>
      <c r="M376">
        <f>I376*SUM(M377)</f>
        <v>1848.4553674080003</v>
      </c>
      <c r="N376" s="90">
        <v>376</v>
      </c>
      <c r="O376" s="90" t="s">
        <v>421</v>
      </c>
      <c r="P376" s="118" t="s">
        <v>2479</v>
      </c>
      <c r="Q376" s="118" t="s">
        <v>125</v>
      </c>
      <c r="R376" s="90" t="s">
        <v>1789</v>
      </c>
      <c r="S376" s="90" t="s">
        <v>2023</v>
      </c>
      <c r="T376" s="90" t="s">
        <v>2140</v>
      </c>
      <c r="U376" s="90" t="s">
        <v>1906</v>
      </c>
    </row>
    <row r="377" spans="1:21" x14ac:dyDescent="0.25">
      <c r="A377" s="90" t="s">
        <v>422</v>
      </c>
      <c r="B377" s="119">
        <v>6</v>
      </c>
      <c r="C377" s="90" t="s">
        <v>420</v>
      </c>
      <c r="D377" s="90" t="s">
        <v>78</v>
      </c>
      <c r="E377">
        <v>745</v>
      </c>
      <c r="F377">
        <v>746</v>
      </c>
      <c r="G377" s="93" t="s">
        <v>78</v>
      </c>
      <c r="H377" t="s">
        <v>194</v>
      </c>
      <c r="I377">
        <v>1</v>
      </c>
      <c r="J377">
        <v>256.72991214000001</v>
      </c>
      <c r="K377">
        <f t="shared" si="4"/>
        <v>256.72991214000001</v>
      </c>
      <c r="L377">
        <v>40</v>
      </c>
      <c r="M377">
        <f>(1-(L377/100))*K377</f>
        <v>154.03794728400001</v>
      </c>
      <c r="N377" s="90">
        <v>377</v>
      </c>
      <c r="O377" s="90" t="s">
        <v>423</v>
      </c>
      <c r="P377" s="118" t="s">
        <v>285</v>
      </c>
      <c r="Q377" s="118" t="s">
        <v>125</v>
      </c>
    </row>
    <row r="378" spans="1:21" x14ac:dyDescent="0.25">
      <c r="A378" s="90" t="s">
        <v>424</v>
      </c>
      <c r="B378" s="119">
        <v>5</v>
      </c>
      <c r="C378" s="90" t="s">
        <v>417</v>
      </c>
      <c r="D378" s="90" t="s">
        <v>79</v>
      </c>
      <c r="E378">
        <v>748</v>
      </c>
      <c r="F378">
        <v>755</v>
      </c>
      <c r="G378" s="93" t="s">
        <v>68</v>
      </c>
      <c r="H378" t="s">
        <v>425</v>
      </c>
      <c r="I378">
        <v>2</v>
      </c>
      <c r="J378">
        <f>SUM(K379,K380,K381)</f>
        <v>14146.5809245</v>
      </c>
      <c r="K378">
        <f t="shared" si="4"/>
        <v>28293.161849</v>
      </c>
      <c r="L378">
        <f>100*(1-(M378/K378))</f>
        <v>40.000000000000014</v>
      </c>
      <c r="M378">
        <f>I378*SUM(M379,M380,M381)</f>
        <v>16975.897109399997</v>
      </c>
      <c r="N378" s="90">
        <v>378</v>
      </c>
      <c r="O378" s="90" t="s">
        <v>426</v>
      </c>
      <c r="P378" s="118" t="s">
        <v>287</v>
      </c>
      <c r="Q378" s="118" t="s">
        <v>125</v>
      </c>
      <c r="R378" s="90" t="s">
        <v>1790</v>
      </c>
      <c r="S378" s="90" t="s">
        <v>2024</v>
      </c>
      <c r="T378" s="90" t="s">
        <v>2141</v>
      </c>
      <c r="U378" s="90" t="s">
        <v>1907</v>
      </c>
    </row>
    <row r="379" spans="1:21" x14ac:dyDescent="0.25">
      <c r="A379" s="90" t="s">
        <v>427</v>
      </c>
      <c r="B379" s="119">
        <v>6</v>
      </c>
      <c r="C379" s="90" t="s">
        <v>424</v>
      </c>
      <c r="D379" s="90" t="s">
        <v>78</v>
      </c>
      <c r="E379">
        <v>749</v>
      </c>
      <c r="F379">
        <v>750</v>
      </c>
      <c r="G379" s="93" t="s">
        <v>78</v>
      </c>
      <c r="H379" t="s">
        <v>197</v>
      </c>
      <c r="I379">
        <v>1</v>
      </c>
      <c r="J379">
        <v>10880.466063919999</v>
      </c>
      <c r="K379">
        <f t="shared" si="4"/>
        <v>10880.466063919999</v>
      </c>
      <c r="L379">
        <v>40</v>
      </c>
      <c r="M379">
        <f>(1-(L379/100))*K379</f>
        <v>6528.279638351999</v>
      </c>
      <c r="N379" s="90">
        <v>379</v>
      </c>
      <c r="O379" s="90" t="s">
        <v>428</v>
      </c>
      <c r="P379" s="118" t="s">
        <v>289</v>
      </c>
      <c r="Q379" s="118" t="s">
        <v>125</v>
      </c>
    </row>
    <row r="380" spans="1:21" x14ac:dyDescent="0.25">
      <c r="A380" s="90" t="s">
        <v>429</v>
      </c>
      <c r="B380" s="119">
        <v>6</v>
      </c>
      <c r="C380" s="90" t="s">
        <v>424</v>
      </c>
      <c r="D380" s="90" t="s">
        <v>79</v>
      </c>
      <c r="E380">
        <v>751</v>
      </c>
      <c r="F380">
        <v>752</v>
      </c>
      <c r="G380" s="93" t="s">
        <v>78</v>
      </c>
      <c r="H380" t="s">
        <v>199</v>
      </c>
      <c r="I380">
        <v>2</v>
      </c>
      <c r="J380">
        <v>862.86769387000004</v>
      </c>
      <c r="K380">
        <f t="shared" si="4"/>
        <v>1725.7353877400001</v>
      </c>
      <c r="L380">
        <v>40</v>
      </c>
      <c r="M380">
        <f>(1-(L380/100))*K380</f>
        <v>1035.4412326439999</v>
      </c>
      <c r="N380" s="90">
        <v>380</v>
      </c>
      <c r="O380" s="90" t="s">
        <v>430</v>
      </c>
      <c r="P380" s="118" t="s">
        <v>291</v>
      </c>
      <c r="Q380" s="118" t="s">
        <v>125</v>
      </c>
    </row>
    <row r="381" spans="1:21" x14ac:dyDescent="0.25">
      <c r="A381" s="90" t="s">
        <v>431</v>
      </c>
      <c r="B381" s="119">
        <v>6</v>
      </c>
      <c r="C381" s="90" t="s">
        <v>424</v>
      </c>
      <c r="D381" s="90" t="s">
        <v>80</v>
      </c>
      <c r="E381">
        <v>753</v>
      </c>
      <c r="F381">
        <v>754</v>
      </c>
      <c r="G381" s="93" t="s">
        <v>78</v>
      </c>
      <c r="H381" t="s">
        <v>194</v>
      </c>
      <c r="I381">
        <v>6</v>
      </c>
      <c r="J381">
        <v>256.72991214000001</v>
      </c>
      <c r="K381">
        <f t="shared" si="4"/>
        <v>1540.3794728400001</v>
      </c>
      <c r="L381">
        <v>40</v>
      </c>
      <c r="M381">
        <f>(1-(L381/100))*K381</f>
        <v>924.22768370400001</v>
      </c>
      <c r="N381" s="90">
        <v>381</v>
      </c>
      <c r="O381" s="90" t="s">
        <v>432</v>
      </c>
      <c r="P381" s="118" t="s">
        <v>293</v>
      </c>
      <c r="Q381" s="118" t="s">
        <v>125</v>
      </c>
    </row>
    <row r="382" spans="1:21" x14ac:dyDescent="0.25">
      <c r="A382" s="90" t="s">
        <v>433</v>
      </c>
      <c r="B382" s="119">
        <v>4</v>
      </c>
      <c r="C382" s="90" t="s">
        <v>158</v>
      </c>
      <c r="D382" s="90" t="s">
        <v>86</v>
      </c>
      <c r="E382">
        <v>757</v>
      </c>
      <c r="F382">
        <v>778</v>
      </c>
      <c r="G382" s="93" t="s">
        <v>68</v>
      </c>
      <c r="H382" t="s">
        <v>434</v>
      </c>
      <c r="I382">
        <v>1</v>
      </c>
      <c r="J382">
        <f>SUM(K383,K385)</f>
        <v>45182.961925479991</v>
      </c>
      <c r="K382">
        <f t="shared" si="4"/>
        <v>45182.961925479991</v>
      </c>
      <c r="L382">
        <f>100*(1-(M382/K382))</f>
        <v>39.999999999999993</v>
      </c>
      <c r="M382">
        <f>I382*SUM(M383,M385)</f>
        <v>27109.777155288</v>
      </c>
      <c r="N382" s="90">
        <v>382</v>
      </c>
      <c r="O382" s="90" t="s">
        <v>435</v>
      </c>
      <c r="P382" s="118" t="s">
        <v>295</v>
      </c>
      <c r="Q382" s="118" t="s">
        <v>125</v>
      </c>
      <c r="R382" s="90" t="s">
        <v>2250</v>
      </c>
      <c r="S382" s="90" t="s">
        <v>2354</v>
      </c>
      <c r="T382" s="90" t="s">
        <v>2406</v>
      </c>
      <c r="U382" s="90" t="s">
        <v>2302</v>
      </c>
    </row>
    <row r="383" spans="1:21" x14ac:dyDescent="0.25">
      <c r="A383" s="90" t="s">
        <v>436</v>
      </c>
      <c r="B383" s="119">
        <v>5</v>
      </c>
      <c r="C383" s="90" t="s">
        <v>433</v>
      </c>
      <c r="D383" s="90" t="s">
        <v>78</v>
      </c>
      <c r="E383">
        <v>758</v>
      </c>
      <c r="F383">
        <v>761</v>
      </c>
      <c r="G383" s="93" t="s">
        <v>68</v>
      </c>
      <c r="H383" t="s">
        <v>192</v>
      </c>
      <c r="I383">
        <v>12</v>
      </c>
      <c r="J383">
        <f>SUM(K384)</f>
        <v>256.72991214000001</v>
      </c>
      <c r="K383">
        <f t="shared" si="4"/>
        <v>3080.7589456800001</v>
      </c>
      <c r="L383">
        <f>100*(1-(M383/K383))</f>
        <v>39.999999999999993</v>
      </c>
      <c r="M383">
        <f>I383*SUM(M384)</f>
        <v>1848.4553674080003</v>
      </c>
      <c r="N383" s="90">
        <v>383</v>
      </c>
      <c r="O383" s="90" t="s">
        <v>437</v>
      </c>
      <c r="P383" s="118" t="s">
        <v>297</v>
      </c>
      <c r="Q383" s="118" t="s">
        <v>125</v>
      </c>
      <c r="R383" s="90" t="s">
        <v>1791</v>
      </c>
      <c r="S383" s="90" t="s">
        <v>2025</v>
      </c>
      <c r="T383" s="90" t="s">
        <v>2142</v>
      </c>
      <c r="U383" s="90" t="s">
        <v>1908</v>
      </c>
    </row>
    <row r="384" spans="1:21" x14ac:dyDescent="0.25">
      <c r="A384" s="90" t="s">
        <v>438</v>
      </c>
      <c r="B384" s="119">
        <v>6</v>
      </c>
      <c r="C384" s="90" t="s">
        <v>436</v>
      </c>
      <c r="D384" s="90" t="s">
        <v>78</v>
      </c>
      <c r="E384">
        <v>759</v>
      </c>
      <c r="F384">
        <v>760</v>
      </c>
      <c r="G384" s="93" t="s">
        <v>78</v>
      </c>
      <c r="H384" t="s">
        <v>194</v>
      </c>
      <c r="I384">
        <v>1</v>
      </c>
      <c r="J384">
        <v>256.72991214000001</v>
      </c>
      <c r="K384">
        <f t="shared" si="4"/>
        <v>256.72991214000001</v>
      </c>
      <c r="L384">
        <v>40</v>
      </c>
      <c r="M384">
        <f>(1-(L384/100))*K384</f>
        <v>154.03794728400001</v>
      </c>
      <c r="N384" s="90">
        <v>384</v>
      </c>
      <c r="O384" s="90" t="s">
        <v>439</v>
      </c>
      <c r="P384" s="118" t="s">
        <v>300</v>
      </c>
      <c r="Q384" s="118" t="s">
        <v>125</v>
      </c>
    </row>
    <row r="385" spans="1:21" x14ac:dyDescent="0.25">
      <c r="A385" s="90" t="s">
        <v>440</v>
      </c>
      <c r="B385" s="119">
        <v>5</v>
      </c>
      <c r="C385" s="90" t="s">
        <v>433</v>
      </c>
      <c r="D385" s="90" t="s">
        <v>79</v>
      </c>
      <c r="E385">
        <v>762</v>
      </c>
      <c r="F385">
        <v>777</v>
      </c>
      <c r="G385" s="93" t="s">
        <v>68</v>
      </c>
      <c r="H385" t="s">
        <v>441</v>
      </c>
      <c r="I385">
        <v>2</v>
      </c>
      <c r="J385">
        <f>SUM(K386,K387,K388,K389,K390,K391,K392)</f>
        <v>21051.101489899997</v>
      </c>
      <c r="K385">
        <f t="shared" si="4"/>
        <v>42102.202979799993</v>
      </c>
      <c r="L385">
        <f>100*(1-(M385/K385))</f>
        <v>39.999999999999993</v>
      </c>
      <c r="M385">
        <f>I385*SUM(M386,M387,M388,M389,M390,M391,M392)</f>
        <v>25261.321787879999</v>
      </c>
      <c r="N385" s="90">
        <v>385</v>
      </c>
      <c r="O385" s="90" t="s">
        <v>442</v>
      </c>
      <c r="P385" s="118" t="s">
        <v>2480</v>
      </c>
      <c r="Q385" s="118" t="s">
        <v>125</v>
      </c>
      <c r="R385" s="90" t="s">
        <v>1792</v>
      </c>
      <c r="S385" s="90" t="s">
        <v>2026</v>
      </c>
      <c r="T385" s="90" t="s">
        <v>2143</v>
      </c>
      <c r="U385" s="90" t="s">
        <v>1909</v>
      </c>
    </row>
    <row r="386" spans="1:21" x14ac:dyDescent="0.25">
      <c r="A386" s="90" t="s">
        <v>443</v>
      </c>
      <c r="B386" s="119">
        <v>6</v>
      </c>
      <c r="C386" s="90" t="s">
        <v>440</v>
      </c>
      <c r="D386" s="90" t="s">
        <v>78</v>
      </c>
      <c r="E386">
        <v>763</v>
      </c>
      <c r="F386">
        <v>764</v>
      </c>
      <c r="G386" s="93" t="s">
        <v>78</v>
      </c>
      <c r="H386" t="s">
        <v>197</v>
      </c>
      <c r="I386">
        <v>1</v>
      </c>
      <c r="J386">
        <v>10880.466063919999</v>
      </c>
      <c r="K386">
        <f t="shared" si="4"/>
        <v>10880.466063919999</v>
      </c>
      <c r="L386">
        <v>40</v>
      </c>
      <c r="M386">
        <f t="shared" ref="M386:M392" si="8">(1-(L386/100))*K386</f>
        <v>6528.279638351999</v>
      </c>
      <c r="N386" s="90">
        <v>386</v>
      </c>
      <c r="O386" s="90" t="s">
        <v>444</v>
      </c>
      <c r="P386" s="118" t="s">
        <v>303</v>
      </c>
      <c r="Q386" s="118" t="s">
        <v>125</v>
      </c>
    </row>
    <row r="387" spans="1:21" x14ac:dyDescent="0.25">
      <c r="A387" s="90" t="s">
        <v>445</v>
      </c>
      <c r="B387" s="119">
        <v>6</v>
      </c>
      <c r="C387" s="90" t="s">
        <v>440</v>
      </c>
      <c r="D387" s="90" t="s">
        <v>79</v>
      </c>
      <c r="E387">
        <v>765</v>
      </c>
      <c r="F387">
        <v>766</v>
      </c>
      <c r="G387" s="93" t="s">
        <v>78</v>
      </c>
      <c r="H387" t="s">
        <v>123</v>
      </c>
      <c r="I387">
        <v>1</v>
      </c>
      <c r="J387">
        <v>313.76543995999998</v>
      </c>
      <c r="K387">
        <f t="shared" ref="K387:K450" si="9">I387*J387</f>
        <v>313.76543995999998</v>
      </c>
      <c r="L387">
        <v>40</v>
      </c>
      <c r="M387">
        <f t="shared" si="8"/>
        <v>188.25926397599997</v>
      </c>
      <c r="N387" s="90">
        <v>387</v>
      </c>
      <c r="O387" s="90" t="s">
        <v>446</v>
      </c>
      <c r="P387" s="118" t="s">
        <v>305</v>
      </c>
      <c r="Q387" s="118" t="s">
        <v>125</v>
      </c>
    </row>
    <row r="388" spans="1:21" x14ac:dyDescent="0.25">
      <c r="A388" s="90" t="s">
        <v>447</v>
      </c>
      <c r="B388" s="119">
        <v>6</v>
      </c>
      <c r="C388" s="90" t="s">
        <v>440</v>
      </c>
      <c r="D388" s="90" t="s">
        <v>80</v>
      </c>
      <c r="E388">
        <v>767</v>
      </c>
      <c r="F388">
        <v>768</v>
      </c>
      <c r="G388" s="93" t="s">
        <v>78</v>
      </c>
      <c r="H388" t="s">
        <v>120</v>
      </c>
      <c r="I388">
        <v>2</v>
      </c>
      <c r="J388">
        <v>1231.376544</v>
      </c>
      <c r="K388">
        <f t="shared" si="9"/>
        <v>2462.7530879999999</v>
      </c>
      <c r="L388">
        <v>40</v>
      </c>
      <c r="M388">
        <f t="shared" si="8"/>
        <v>1477.6518527999999</v>
      </c>
      <c r="N388" s="90">
        <v>388</v>
      </c>
      <c r="O388" s="90" t="s">
        <v>448</v>
      </c>
      <c r="P388" s="118" t="s">
        <v>307</v>
      </c>
      <c r="Q388" s="118" t="s">
        <v>125</v>
      </c>
    </row>
    <row r="389" spans="1:21" x14ac:dyDescent="0.25">
      <c r="A389" s="90" t="s">
        <v>449</v>
      </c>
      <c r="B389" s="119">
        <v>6</v>
      </c>
      <c r="C389" s="90" t="s">
        <v>440</v>
      </c>
      <c r="D389" s="90" t="s">
        <v>95</v>
      </c>
      <c r="E389">
        <v>769</v>
      </c>
      <c r="F389">
        <v>770</v>
      </c>
      <c r="G389" s="93" t="s">
        <v>78</v>
      </c>
      <c r="H389" t="s">
        <v>199</v>
      </c>
      <c r="I389">
        <v>2</v>
      </c>
      <c r="J389">
        <v>862.86769387000004</v>
      </c>
      <c r="K389">
        <f t="shared" si="9"/>
        <v>1725.7353877400001</v>
      </c>
      <c r="L389">
        <v>40</v>
      </c>
      <c r="M389">
        <f t="shared" si="8"/>
        <v>1035.4412326439999</v>
      </c>
      <c r="N389" s="90">
        <v>389</v>
      </c>
      <c r="O389" s="90" t="s">
        <v>450</v>
      </c>
      <c r="P389" s="118" t="s">
        <v>2481</v>
      </c>
      <c r="Q389" s="118" t="s">
        <v>125</v>
      </c>
    </row>
    <row r="390" spans="1:21" x14ac:dyDescent="0.25">
      <c r="A390" s="90" t="s">
        <v>451</v>
      </c>
      <c r="B390" s="119">
        <v>6</v>
      </c>
      <c r="C390" s="90" t="s">
        <v>440</v>
      </c>
      <c r="D390" s="90" t="s">
        <v>96</v>
      </c>
      <c r="E390">
        <v>771</v>
      </c>
      <c r="F390">
        <v>772</v>
      </c>
      <c r="G390" s="93" t="s">
        <v>78</v>
      </c>
      <c r="H390" t="s">
        <v>224</v>
      </c>
      <c r="I390">
        <v>2</v>
      </c>
      <c r="J390">
        <v>2064.00101872</v>
      </c>
      <c r="K390">
        <f t="shared" si="9"/>
        <v>4128.0020374400001</v>
      </c>
      <c r="L390">
        <v>40</v>
      </c>
      <c r="M390">
        <f t="shared" si="8"/>
        <v>2476.8012224640001</v>
      </c>
      <c r="N390" s="90">
        <v>390</v>
      </c>
      <c r="O390" s="90" t="s">
        <v>452</v>
      </c>
      <c r="P390" s="118" t="s">
        <v>310</v>
      </c>
      <c r="Q390" s="118" t="s">
        <v>125</v>
      </c>
    </row>
    <row r="391" spans="1:21" x14ac:dyDescent="0.25">
      <c r="A391" s="90" t="s">
        <v>453</v>
      </c>
      <c r="B391" s="119">
        <v>6</v>
      </c>
      <c r="C391" s="90" t="s">
        <v>440</v>
      </c>
      <c r="D391" s="90" t="s">
        <v>103</v>
      </c>
      <c r="E391">
        <v>773</v>
      </c>
      <c r="F391">
        <v>774</v>
      </c>
      <c r="G391" s="93" t="s">
        <v>78</v>
      </c>
      <c r="H391" t="s">
        <v>205</v>
      </c>
      <c r="I391">
        <v>0</v>
      </c>
      <c r="J391">
        <v>214.52947918000001</v>
      </c>
      <c r="K391">
        <f t="shared" si="9"/>
        <v>0</v>
      </c>
      <c r="L391">
        <v>40</v>
      </c>
      <c r="M391">
        <f t="shared" si="8"/>
        <v>0</v>
      </c>
      <c r="N391" s="90">
        <v>391</v>
      </c>
      <c r="O391" s="90" t="s">
        <v>454</v>
      </c>
      <c r="P391" s="118" t="s">
        <v>312</v>
      </c>
      <c r="Q391" s="118" t="s">
        <v>125</v>
      </c>
    </row>
    <row r="392" spans="1:21" x14ac:dyDescent="0.25">
      <c r="A392" s="90" t="s">
        <v>455</v>
      </c>
      <c r="B392" s="119">
        <v>6</v>
      </c>
      <c r="C392" s="90" t="s">
        <v>440</v>
      </c>
      <c r="D392" s="90" t="s">
        <v>1769</v>
      </c>
      <c r="E392">
        <v>775</v>
      </c>
      <c r="F392">
        <v>776</v>
      </c>
      <c r="G392" s="93" t="s">
        <v>78</v>
      </c>
      <c r="H392" t="s">
        <v>194</v>
      </c>
      <c r="I392">
        <v>6</v>
      </c>
      <c r="J392">
        <v>256.72991214000001</v>
      </c>
      <c r="K392">
        <f t="shared" si="9"/>
        <v>1540.3794728400001</v>
      </c>
      <c r="L392">
        <v>40</v>
      </c>
      <c r="M392">
        <f t="shared" si="8"/>
        <v>924.22768370400001</v>
      </c>
      <c r="N392" s="90">
        <v>392</v>
      </c>
      <c r="O392" s="90" t="s">
        <v>456</v>
      </c>
      <c r="P392" s="118" t="s">
        <v>314</v>
      </c>
      <c r="Q392" s="118" t="s">
        <v>125</v>
      </c>
    </row>
    <row r="393" spans="1:21" x14ac:dyDescent="0.25">
      <c r="A393" s="90" t="s">
        <v>457</v>
      </c>
      <c r="B393" s="119">
        <v>4</v>
      </c>
      <c r="C393" s="90" t="s">
        <v>158</v>
      </c>
      <c r="D393" s="90" t="s">
        <v>87</v>
      </c>
      <c r="E393">
        <v>779</v>
      </c>
      <c r="F393">
        <v>800</v>
      </c>
      <c r="G393" s="93" t="s">
        <v>68</v>
      </c>
      <c r="H393" t="s">
        <v>458</v>
      </c>
      <c r="I393">
        <v>1</v>
      </c>
      <c r="J393">
        <f>SUM(K394,K396)</f>
        <v>490646.12250221998</v>
      </c>
      <c r="K393">
        <f t="shared" si="9"/>
        <v>490646.12250221998</v>
      </c>
      <c r="L393">
        <f>100*(1-(M393/K393))</f>
        <v>40.000000000000014</v>
      </c>
      <c r="M393">
        <f>I393*SUM(M394,M396)</f>
        <v>294387.67350133194</v>
      </c>
      <c r="N393" s="90">
        <v>393</v>
      </c>
      <c r="O393" s="90" t="s">
        <v>459</v>
      </c>
      <c r="P393" s="118" t="s">
        <v>316</v>
      </c>
      <c r="Q393" s="118" t="s">
        <v>125</v>
      </c>
      <c r="R393" s="90" t="s">
        <v>2251</v>
      </c>
      <c r="S393" s="90" t="s">
        <v>2355</v>
      </c>
      <c r="T393" s="90" t="s">
        <v>2407</v>
      </c>
      <c r="U393" s="90" t="s">
        <v>2303</v>
      </c>
    </row>
    <row r="394" spans="1:21" x14ac:dyDescent="0.25">
      <c r="A394" s="90" t="s">
        <v>460</v>
      </c>
      <c r="B394" s="119">
        <v>5</v>
      </c>
      <c r="C394" s="90" t="s">
        <v>457</v>
      </c>
      <c r="D394" s="90" t="s">
        <v>78</v>
      </c>
      <c r="E394">
        <v>780</v>
      </c>
      <c r="F394">
        <v>783</v>
      </c>
      <c r="G394" s="93" t="s">
        <v>68</v>
      </c>
      <c r="H394" t="s">
        <v>192</v>
      </c>
      <c r="I394">
        <v>162</v>
      </c>
      <c r="J394">
        <f>SUM(K395)</f>
        <v>256.72991214000001</v>
      </c>
      <c r="K394">
        <f t="shared" si="9"/>
        <v>41590.245766680004</v>
      </c>
      <c r="L394">
        <f>100*(1-(M394/K394))</f>
        <v>39.999999999999993</v>
      </c>
      <c r="M394">
        <f>I394*SUM(M395)</f>
        <v>24954.147460008004</v>
      </c>
      <c r="N394" s="90">
        <v>394</v>
      </c>
      <c r="O394" s="90" t="s">
        <v>461</v>
      </c>
      <c r="P394" s="118" t="s">
        <v>318</v>
      </c>
      <c r="Q394" s="118" t="s">
        <v>125</v>
      </c>
      <c r="R394" s="90" t="s">
        <v>1793</v>
      </c>
      <c r="S394" s="90" t="s">
        <v>2027</v>
      </c>
      <c r="T394" s="90" t="s">
        <v>2144</v>
      </c>
      <c r="U394" s="90" t="s">
        <v>1910</v>
      </c>
    </row>
    <row r="395" spans="1:21" x14ac:dyDescent="0.25">
      <c r="A395" s="90" t="s">
        <v>462</v>
      </c>
      <c r="B395" s="119">
        <v>6</v>
      </c>
      <c r="C395" s="90" t="s">
        <v>460</v>
      </c>
      <c r="D395" s="90" t="s">
        <v>78</v>
      </c>
      <c r="E395">
        <v>781</v>
      </c>
      <c r="F395">
        <v>782</v>
      </c>
      <c r="G395" s="93" t="s">
        <v>78</v>
      </c>
      <c r="H395" t="s">
        <v>194</v>
      </c>
      <c r="I395">
        <v>1</v>
      </c>
      <c r="J395">
        <v>256.72991214000001</v>
      </c>
      <c r="K395">
        <f t="shared" si="9"/>
        <v>256.72991214000001</v>
      </c>
      <c r="L395">
        <v>40</v>
      </c>
      <c r="M395">
        <f>(1-(L395/100))*K395</f>
        <v>154.03794728400001</v>
      </c>
      <c r="N395" s="90">
        <v>395</v>
      </c>
      <c r="O395" s="90" t="s">
        <v>463</v>
      </c>
      <c r="P395" s="118" t="s">
        <v>2482</v>
      </c>
      <c r="Q395" s="118" t="s">
        <v>125</v>
      </c>
    </row>
    <row r="396" spans="1:21" x14ac:dyDescent="0.25">
      <c r="A396" s="90" t="s">
        <v>464</v>
      </c>
      <c r="B396" s="119">
        <v>5</v>
      </c>
      <c r="C396" s="90" t="s">
        <v>457</v>
      </c>
      <c r="D396" s="90" t="s">
        <v>79</v>
      </c>
      <c r="E396">
        <v>784</v>
      </c>
      <c r="F396">
        <v>799</v>
      </c>
      <c r="G396" s="93" t="s">
        <v>68</v>
      </c>
      <c r="H396" t="s">
        <v>465</v>
      </c>
      <c r="I396">
        <v>18</v>
      </c>
      <c r="J396">
        <f>SUM(K397,K398,K399,K400,K401,K402,K403)</f>
        <v>24947.548707530001</v>
      </c>
      <c r="K396">
        <f t="shared" si="9"/>
        <v>449055.87673553999</v>
      </c>
      <c r="L396">
        <f>100*(1-(M396/K396))</f>
        <v>40.000000000000014</v>
      </c>
      <c r="M396">
        <f>I396*SUM(M397,M398,M399,M400,M401,M402,M403)</f>
        <v>269433.52604132396</v>
      </c>
      <c r="N396" s="90">
        <v>396</v>
      </c>
      <c r="O396" s="90" t="s">
        <v>466</v>
      </c>
      <c r="P396" s="118" t="s">
        <v>321</v>
      </c>
      <c r="Q396" s="118" t="s">
        <v>125</v>
      </c>
      <c r="R396" s="90" t="s">
        <v>1794</v>
      </c>
      <c r="S396" s="90" t="s">
        <v>2028</v>
      </c>
      <c r="T396" s="90" t="s">
        <v>2145</v>
      </c>
      <c r="U396" s="90" t="s">
        <v>1911</v>
      </c>
    </row>
    <row r="397" spans="1:21" x14ac:dyDescent="0.25">
      <c r="A397" s="90" t="s">
        <v>467</v>
      </c>
      <c r="B397" s="119">
        <v>6</v>
      </c>
      <c r="C397" s="90" t="s">
        <v>464</v>
      </c>
      <c r="D397" s="90" t="s">
        <v>78</v>
      </c>
      <c r="E397">
        <v>785</v>
      </c>
      <c r="F397">
        <v>786</v>
      </c>
      <c r="G397" s="93" t="s">
        <v>78</v>
      </c>
      <c r="H397" t="s">
        <v>197</v>
      </c>
      <c r="I397">
        <v>1</v>
      </c>
      <c r="J397">
        <v>10880.466063919999</v>
      </c>
      <c r="K397">
        <f t="shared" si="9"/>
        <v>10880.466063919999</v>
      </c>
      <c r="L397">
        <v>40</v>
      </c>
      <c r="M397">
        <f t="shared" ref="M397:M403" si="10">(1-(L397/100))*K397</f>
        <v>6528.279638351999</v>
      </c>
      <c r="N397" s="90">
        <v>397</v>
      </c>
      <c r="O397" s="90" t="s">
        <v>468</v>
      </c>
      <c r="P397" s="118" t="s">
        <v>323</v>
      </c>
      <c r="Q397" s="118" t="s">
        <v>125</v>
      </c>
    </row>
    <row r="398" spans="1:21" x14ac:dyDescent="0.25">
      <c r="A398" s="90" t="s">
        <v>469</v>
      </c>
      <c r="B398" s="119">
        <v>6</v>
      </c>
      <c r="C398" s="90" t="s">
        <v>464</v>
      </c>
      <c r="D398" s="90" t="s">
        <v>79</v>
      </c>
      <c r="E398">
        <v>787</v>
      </c>
      <c r="F398">
        <v>788</v>
      </c>
      <c r="G398" s="93" t="s">
        <v>78</v>
      </c>
      <c r="H398" t="s">
        <v>123</v>
      </c>
      <c r="I398">
        <v>1</v>
      </c>
      <c r="J398">
        <v>313.76543995999998</v>
      </c>
      <c r="K398">
        <f t="shared" si="9"/>
        <v>313.76543995999998</v>
      </c>
      <c r="L398">
        <v>40</v>
      </c>
      <c r="M398">
        <f t="shared" si="10"/>
        <v>188.25926397599997</v>
      </c>
      <c r="N398" s="90">
        <v>398</v>
      </c>
      <c r="O398" s="90" t="s">
        <v>470</v>
      </c>
      <c r="P398" s="118" t="s">
        <v>325</v>
      </c>
      <c r="Q398" s="118" t="s">
        <v>125</v>
      </c>
    </row>
    <row r="399" spans="1:21" x14ac:dyDescent="0.25">
      <c r="A399" s="90" t="s">
        <v>471</v>
      </c>
      <c r="B399" s="119">
        <v>6</v>
      </c>
      <c r="C399" s="90" t="s">
        <v>464</v>
      </c>
      <c r="D399" s="90" t="s">
        <v>80</v>
      </c>
      <c r="E399">
        <v>789</v>
      </c>
      <c r="F399">
        <v>790</v>
      </c>
      <c r="G399" s="93" t="s">
        <v>78</v>
      </c>
      <c r="H399" t="s">
        <v>120</v>
      </c>
      <c r="I399">
        <v>3</v>
      </c>
      <c r="J399">
        <v>1231.376544</v>
      </c>
      <c r="K399">
        <f t="shared" si="9"/>
        <v>3694.1296320000001</v>
      </c>
      <c r="L399">
        <v>40</v>
      </c>
      <c r="M399">
        <f t="shared" si="10"/>
        <v>2216.4777792</v>
      </c>
      <c r="N399" s="90">
        <v>399</v>
      </c>
      <c r="O399" s="90" t="s">
        <v>472</v>
      </c>
      <c r="P399" s="118" t="s">
        <v>2483</v>
      </c>
      <c r="Q399" s="118" t="s">
        <v>125</v>
      </c>
    </row>
    <row r="400" spans="1:21" x14ac:dyDescent="0.25">
      <c r="A400" s="90" t="s">
        <v>473</v>
      </c>
      <c r="B400" s="119">
        <v>6</v>
      </c>
      <c r="C400" s="90" t="s">
        <v>464</v>
      </c>
      <c r="D400" s="90" t="s">
        <v>95</v>
      </c>
      <c r="E400">
        <v>791</v>
      </c>
      <c r="F400">
        <v>792</v>
      </c>
      <c r="G400" s="93" t="s">
        <v>78</v>
      </c>
      <c r="H400" t="s">
        <v>199</v>
      </c>
      <c r="I400">
        <v>3</v>
      </c>
      <c r="J400">
        <v>862.86769387000004</v>
      </c>
      <c r="K400">
        <f t="shared" si="9"/>
        <v>2588.6030816100001</v>
      </c>
      <c r="L400">
        <v>40</v>
      </c>
      <c r="M400">
        <f t="shared" si="10"/>
        <v>1553.161848966</v>
      </c>
      <c r="N400" s="90">
        <v>400</v>
      </c>
      <c r="O400" s="90" t="s">
        <v>474</v>
      </c>
      <c r="P400" s="118" t="s">
        <v>328</v>
      </c>
      <c r="Q400" s="118" t="s">
        <v>125</v>
      </c>
    </row>
    <row r="401" spans="1:21" x14ac:dyDescent="0.25">
      <c r="A401" s="90" t="s">
        <v>475</v>
      </c>
      <c r="B401" s="119">
        <v>6</v>
      </c>
      <c r="C401" s="90" t="s">
        <v>464</v>
      </c>
      <c r="D401" s="90" t="s">
        <v>96</v>
      </c>
      <c r="E401">
        <v>793</v>
      </c>
      <c r="F401">
        <v>794</v>
      </c>
      <c r="G401" s="93" t="s">
        <v>78</v>
      </c>
      <c r="H401" t="s">
        <v>205</v>
      </c>
      <c r="I401">
        <v>0</v>
      </c>
      <c r="J401">
        <v>214.52947918000001</v>
      </c>
      <c r="K401">
        <f t="shared" si="9"/>
        <v>0</v>
      </c>
      <c r="L401">
        <v>40</v>
      </c>
      <c r="M401">
        <f t="shared" si="10"/>
        <v>0</v>
      </c>
      <c r="N401" s="90">
        <v>401</v>
      </c>
      <c r="O401" s="90" t="s">
        <v>476</v>
      </c>
      <c r="P401" s="118" t="s">
        <v>330</v>
      </c>
      <c r="Q401" s="118" t="s">
        <v>125</v>
      </c>
    </row>
    <row r="402" spans="1:21" x14ac:dyDescent="0.25">
      <c r="A402" s="90" t="s">
        <v>477</v>
      </c>
      <c r="B402" s="119">
        <v>6</v>
      </c>
      <c r="C402" s="90" t="s">
        <v>464</v>
      </c>
      <c r="D402" s="90" t="s">
        <v>103</v>
      </c>
      <c r="E402">
        <v>795</v>
      </c>
      <c r="F402">
        <v>796</v>
      </c>
      <c r="G402" s="93" t="s">
        <v>78</v>
      </c>
      <c r="H402" t="s">
        <v>194</v>
      </c>
      <c r="I402">
        <v>9</v>
      </c>
      <c r="J402">
        <v>256.72991214000001</v>
      </c>
      <c r="K402">
        <f t="shared" si="9"/>
        <v>2310.5692092600002</v>
      </c>
      <c r="L402">
        <v>40</v>
      </c>
      <c r="M402">
        <f t="shared" si="10"/>
        <v>1386.3415255560001</v>
      </c>
      <c r="N402" s="90">
        <v>402</v>
      </c>
      <c r="O402" s="90" t="s">
        <v>478</v>
      </c>
      <c r="P402" s="118" t="s">
        <v>332</v>
      </c>
      <c r="Q402" s="118" t="s">
        <v>125</v>
      </c>
    </row>
    <row r="403" spans="1:21" x14ac:dyDescent="0.25">
      <c r="A403" s="90" t="s">
        <v>479</v>
      </c>
      <c r="B403" s="119">
        <v>6</v>
      </c>
      <c r="C403" s="90" t="s">
        <v>464</v>
      </c>
      <c r="D403" s="90" t="s">
        <v>1769</v>
      </c>
      <c r="E403">
        <v>797</v>
      </c>
      <c r="F403">
        <v>798</v>
      </c>
      <c r="G403" s="93" t="s">
        <v>78</v>
      </c>
      <c r="H403" t="s">
        <v>299</v>
      </c>
      <c r="I403">
        <v>1</v>
      </c>
      <c r="J403">
        <v>5160.0152807799996</v>
      </c>
      <c r="K403">
        <f t="shared" si="9"/>
        <v>5160.0152807799996</v>
      </c>
      <c r="L403">
        <v>40</v>
      </c>
      <c r="M403">
        <f t="shared" si="10"/>
        <v>3096.0091684679996</v>
      </c>
      <c r="N403" s="90">
        <v>403</v>
      </c>
      <c r="O403" s="90" t="s">
        <v>480</v>
      </c>
      <c r="P403" s="118" t="s">
        <v>334</v>
      </c>
      <c r="Q403" s="118" t="s">
        <v>125</v>
      </c>
    </row>
    <row r="404" spans="1:21" x14ac:dyDescent="0.25">
      <c r="A404" s="90" t="s">
        <v>481</v>
      </c>
      <c r="B404" s="119">
        <v>4</v>
      </c>
      <c r="C404" s="90" t="s">
        <v>158</v>
      </c>
      <c r="D404" s="90" t="s">
        <v>101</v>
      </c>
      <c r="E404">
        <v>801</v>
      </c>
      <c r="F404">
        <v>838</v>
      </c>
      <c r="G404" s="93" t="s">
        <v>68</v>
      </c>
      <c r="H404" t="s">
        <v>482</v>
      </c>
      <c r="I404">
        <v>1</v>
      </c>
      <c r="J404">
        <f>SUM(K405,K407,K412)</f>
        <v>51884.749876559996</v>
      </c>
      <c r="K404">
        <f t="shared" si="9"/>
        <v>51884.749876559996</v>
      </c>
      <c r="L404">
        <f>100*(1-(M404/K404))</f>
        <v>39.999999999999993</v>
      </c>
      <c r="M404">
        <f>I404*SUM(M405,M407,M412)</f>
        <v>31130.849925936003</v>
      </c>
      <c r="N404" s="90">
        <v>404</v>
      </c>
      <c r="O404" s="90" t="s">
        <v>483</v>
      </c>
      <c r="P404" s="118" t="s">
        <v>336</v>
      </c>
      <c r="Q404" s="118" t="s">
        <v>125</v>
      </c>
      <c r="R404" s="90" t="s">
        <v>2252</v>
      </c>
      <c r="S404" s="90" t="s">
        <v>2356</v>
      </c>
      <c r="T404" s="90" t="s">
        <v>2408</v>
      </c>
      <c r="U404" s="90" t="s">
        <v>2304</v>
      </c>
    </row>
    <row r="405" spans="1:21" x14ac:dyDescent="0.25">
      <c r="A405" s="90" t="s">
        <v>484</v>
      </c>
      <c r="B405" s="119">
        <v>5</v>
      </c>
      <c r="C405" s="90" t="s">
        <v>481</v>
      </c>
      <c r="D405" s="90" t="s">
        <v>78</v>
      </c>
      <c r="E405">
        <v>802</v>
      </c>
      <c r="F405">
        <v>805</v>
      </c>
      <c r="G405" s="93" t="s">
        <v>68</v>
      </c>
      <c r="H405" t="s">
        <v>192</v>
      </c>
      <c r="I405">
        <v>9</v>
      </c>
      <c r="J405">
        <f>SUM(K406)</f>
        <v>256.72991214000001</v>
      </c>
      <c r="K405">
        <f t="shared" si="9"/>
        <v>2310.5692092600002</v>
      </c>
      <c r="L405">
        <f>100*(1-(M405/K405))</f>
        <v>40</v>
      </c>
      <c r="M405">
        <f>I405*SUM(M406)</f>
        <v>1386.3415255560001</v>
      </c>
      <c r="N405" s="90">
        <v>405</v>
      </c>
      <c r="O405" s="90" t="s">
        <v>485</v>
      </c>
      <c r="P405" s="118" t="s">
        <v>338</v>
      </c>
      <c r="Q405" s="118" t="s">
        <v>125</v>
      </c>
      <c r="R405" s="90" t="s">
        <v>1795</v>
      </c>
      <c r="S405" s="90" t="s">
        <v>2029</v>
      </c>
      <c r="T405" s="90" t="s">
        <v>2146</v>
      </c>
      <c r="U405" s="90" t="s">
        <v>1912</v>
      </c>
    </row>
    <row r="406" spans="1:21" x14ac:dyDescent="0.25">
      <c r="A406" s="90" t="s">
        <v>486</v>
      </c>
      <c r="B406" s="119">
        <v>6</v>
      </c>
      <c r="C406" s="90" t="s">
        <v>484</v>
      </c>
      <c r="D406" s="90" t="s">
        <v>78</v>
      </c>
      <c r="E406">
        <v>803</v>
      </c>
      <c r="F406">
        <v>804</v>
      </c>
      <c r="G406" s="93" t="s">
        <v>78</v>
      </c>
      <c r="H406" t="s">
        <v>194</v>
      </c>
      <c r="I406">
        <v>1</v>
      </c>
      <c r="J406">
        <v>256.72991214000001</v>
      </c>
      <c r="K406">
        <f t="shared" si="9"/>
        <v>256.72991214000001</v>
      </c>
      <c r="L406">
        <v>40</v>
      </c>
      <c r="M406">
        <f>(1-(L406/100))*K406</f>
        <v>154.03794728400001</v>
      </c>
      <c r="N406" s="90">
        <v>406</v>
      </c>
      <c r="O406" s="90" t="s">
        <v>487</v>
      </c>
      <c r="P406" s="118" t="s">
        <v>340</v>
      </c>
      <c r="Q406" s="118" t="s">
        <v>125</v>
      </c>
    </row>
    <row r="407" spans="1:21" x14ac:dyDescent="0.25">
      <c r="A407" s="90" t="s">
        <v>488</v>
      </c>
      <c r="B407" s="119">
        <v>5</v>
      </c>
      <c r="C407" s="90" t="s">
        <v>481</v>
      </c>
      <c r="D407" s="90" t="s">
        <v>79</v>
      </c>
      <c r="E407">
        <v>806</v>
      </c>
      <c r="F407">
        <v>815</v>
      </c>
      <c r="G407" s="93" t="s">
        <v>68</v>
      </c>
      <c r="H407" t="s">
        <v>143</v>
      </c>
      <c r="I407">
        <v>3</v>
      </c>
      <c r="J407">
        <f>SUM(K408)</f>
        <v>144.31728257</v>
      </c>
      <c r="K407">
        <f t="shared" si="9"/>
        <v>432.95184771000004</v>
      </c>
      <c r="L407">
        <f>100*(1-(M407/K407))</f>
        <v>40</v>
      </c>
      <c r="M407">
        <f>I407*SUM(M408)</f>
        <v>259.771108626</v>
      </c>
      <c r="N407" s="90">
        <v>407</v>
      </c>
      <c r="O407" s="90" t="s">
        <v>489</v>
      </c>
      <c r="P407" s="118" t="s">
        <v>2484</v>
      </c>
      <c r="Q407" s="118" t="s">
        <v>125</v>
      </c>
      <c r="R407" s="90" t="s">
        <v>2253</v>
      </c>
      <c r="S407" s="90" t="s">
        <v>2357</v>
      </c>
      <c r="T407" s="90" t="s">
        <v>2409</v>
      </c>
      <c r="U407" s="90" t="s">
        <v>2305</v>
      </c>
    </row>
    <row r="408" spans="1:21" x14ac:dyDescent="0.25">
      <c r="A408" s="90" t="s">
        <v>490</v>
      </c>
      <c r="B408" s="119">
        <v>6</v>
      </c>
      <c r="C408" s="90" t="s">
        <v>488</v>
      </c>
      <c r="D408" s="90" t="s">
        <v>78</v>
      </c>
      <c r="E408">
        <v>807</v>
      </c>
      <c r="F408">
        <v>814</v>
      </c>
      <c r="G408" s="93" t="s">
        <v>68</v>
      </c>
      <c r="H408" t="s">
        <v>144</v>
      </c>
      <c r="I408">
        <v>1</v>
      </c>
      <c r="J408">
        <f>SUM(K409,K410,K411)</f>
        <v>144.31728257</v>
      </c>
      <c r="K408">
        <f t="shared" si="9"/>
        <v>144.31728257</v>
      </c>
      <c r="L408">
        <f>100*(1-(M408/K408))</f>
        <v>40.000000000000014</v>
      </c>
      <c r="M408">
        <f>I408*SUM(M409,M410,M411)</f>
        <v>86.590369541999991</v>
      </c>
      <c r="N408" s="90">
        <v>408</v>
      </c>
      <c r="O408" s="90" t="s">
        <v>491</v>
      </c>
      <c r="P408" s="118" t="s">
        <v>343</v>
      </c>
      <c r="Q408" s="118" t="s">
        <v>125</v>
      </c>
      <c r="R408" s="90" t="s">
        <v>1796</v>
      </c>
      <c r="S408" s="90" t="s">
        <v>2030</v>
      </c>
      <c r="T408" s="90" t="s">
        <v>2147</v>
      </c>
      <c r="U408" s="90" t="s">
        <v>1913</v>
      </c>
    </row>
    <row r="409" spans="1:21" x14ac:dyDescent="0.25">
      <c r="A409" s="90" t="s">
        <v>492</v>
      </c>
      <c r="B409" s="119">
        <v>7</v>
      </c>
      <c r="C409" s="90" t="s">
        <v>490</v>
      </c>
      <c r="D409" s="90" t="s">
        <v>78</v>
      </c>
      <c r="E409">
        <v>808</v>
      </c>
      <c r="F409">
        <v>809</v>
      </c>
      <c r="G409" s="93" t="s">
        <v>78</v>
      </c>
      <c r="H409" t="s">
        <v>145</v>
      </c>
      <c r="I409">
        <v>2</v>
      </c>
      <c r="J409">
        <v>27.17</v>
      </c>
      <c r="K409">
        <f t="shared" si="9"/>
        <v>54.34</v>
      </c>
      <c r="L409">
        <v>40</v>
      </c>
      <c r="M409">
        <f>(1-(L409/100))*K409</f>
        <v>32.603999999999999</v>
      </c>
      <c r="N409" s="90">
        <v>409</v>
      </c>
      <c r="O409" s="90" t="s">
        <v>493</v>
      </c>
      <c r="P409" s="118" t="s">
        <v>345</v>
      </c>
      <c r="Q409" s="118" t="s">
        <v>125</v>
      </c>
    </row>
    <row r="410" spans="1:21" x14ac:dyDescent="0.25">
      <c r="A410" s="90" t="s">
        <v>494</v>
      </c>
      <c r="B410" s="119">
        <v>7</v>
      </c>
      <c r="C410" s="90" t="s">
        <v>490</v>
      </c>
      <c r="D410" s="90" t="s">
        <v>79</v>
      </c>
      <c r="E410">
        <v>810</v>
      </c>
      <c r="F410">
        <v>811</v>
      </c>
      <c r="G410" s="93" t="s">
        <v>78</v>
      </c>
      <c r="H410" t="s">
        <v>146</v>
      </c>
      <c r="I410">
        <v>1</v>
      </c>
      <c r="J410">
        <v>32.777282569999997</v>
      </c>
      <c r="K410">
        <f t="shared" si="9"/>
        <v>32.777282569999997</v>
      </c>
      <c r="L410">
        <v>40</v>
      </c>
      <c r="M410">
        <f>(1-(L410/100))*K410</f>
        <v>19.666369541999998</v>
      </c>
      <c r="N410" s="90">
        <v>410</v>
      </c>
      <c r="O410" s="90" t="s">
        <v>495</v>
      </c>
      <c r="P410" s="118" t="s">
        <v>347</v>
      </c>
      <c r="Q410" s="118" t="s">
        <v>125</v>
      </c>
    </row>
    <row r="411" spans="1:21" x14ac:dyDescent="0.25">
      <c r="A411" s="90" t="s">
        <v>496</v>
      </c>
      <c r="B411" s="119">
        <v>7</v>
      </c>
      <c r="C411" s="90" t="s">
        <v>490</v>
      </c>
      <c r="D411" s="90" t="s">
        <v>80</v>
      </c>
      <c r="E411">
        <v>812</v>
      </c>
      <c r="F411">
        <v>813</v>
      </c>
      <c r="G411" s="93" t="s">
        <v>78</v>
      </c>
      <c r="H411" t="s">
        <v>147</v>
      </c>
      <c r="I411">
        <v>2</v>
      </c>
      <c r="J411">
        <v>28.6</v>
      </c>
      <c r="K411">
        <f t="shared" si="9"/>
        <v>57.2</v>
      </c>
      <c r="L411">
        <v>40</v>
      </c>
      <c r="M411">
        <f>(1-(L411/100))*K411</f>
        <v>34.32</v>
      </c>
      <c r="N411" s="90">
        <v>411</v>
      </c>
      <c r="O411" s="90" t="s">
        <v>497</v>
      </c>
      <c r="P411" s="118" t="s">
        <v>2485</v>
      </c>
      <c r="Q411" s="118" t="s">
        <v>125</v>
      </c>
    </row>
    <row r="412" spans="1:21" x14ac:dyDescent="0.25">
      <c r="A412" s="90" t="s">
        <v>498</v>
      </c>
      <c r="B412" s="119">
        <v>5</v>
      </c>
      <c r="C412" s="90" t="s">
        <v>481</v>
      </c>
      <c r="D412" s="90" t="s">
        <v>80</v>
      </c>
      <c r="E412">
        <v>816</v>
      </c>
      <c r="F412">
        <v>837</v>
      </c>
      <c r="G412" s="93" t="s">
        <v>68</v>
      </c>
      <c r="H412" t="s">
        <v>499</v>
      </c>
      <c r="I412">
        <v>3</v>
      </c>
      <c r="J412">
        <f>SUM(K413,K414,K415,K416,K417,K418,K419,K420,K421,K422)</f>
        <v>16380.409606529998</v>
      </c>
      <c r="K412">
        <f t="shared" si="9"/>
        <v>49141.228819589996</v>
      </c>
      <c r="L412">
        <f>100*(1-(M412/K412))</f>
        <v>39.999999999999979</v>
      </c>
      <c r="M412">
        <f>I412*SUM(M413,M414,M415,M416,M417,M418,M419,M420,M421,M422)</f>
        <v>29484.737291754005</v>
      </c>
      <c r="N412" s="90">
        <v>412</v>
      </c>
      <c r="O412" s="90" t="s">
        <v>500</v>
      </c>
      <c r="P412" s="118" t="s">
        <v>350</v>
      </c>
      <c r="Q412" s="118" t="s">
        <v>125</v>
      </c>
      <c r="R412" s="90" t="s">
        <v>1797</v>
      </c>
      <c r="S412" s="90" t="s">
        <v>2031</v>
      </c>
      <c r="T412" s="90" t="s">
        <v>2148</v>
      </c>
      <c r="U412" s="90" t="s">
        <v>1914</v>
      </c>
    </row>
    <row r="413" spans="1:21" x14ac:dyDescent="0.25">
      <c r="A413" s="90" t="s">
        <v>501</v>
      </c>
      <c r="B413" s="119">
        <v>6</v>
      </c>
      <c r="C413" s="90" t="s">
        <v>498</v>
      </c>
      <c r="D413" s="90" t="s">
        <v>78</v>
      </c>
      <c r="E413">
        <v>817</v>
      </c>
      <c r="F413">
        <v>818</v>
      </c>
      <c r="G413" s="93" t="s">
        <v>78</v>
      </c>
      <c r="H413" t="s">
        <v>201</v>
      </c>
      <c r="I413">
        <v>1</v>
      </c>
      <c r="J413">
        <v>7211.7152680500003</v>
      </c>
      <c r="K413">
        <f t="shared" si="9"/>
        <v>7211.7152680500003</v>
      </c>
      <c r="L413">
        <v>40</v>
      </c>
      <c r="M413">
        <f t="shared" ref="M413:M422" si="11">(1-(L413/100))*K413</f>
        <v>4327.0291608300004</v>
      </c>
      <c r="N413" s="90">
        <v>413</v>
      </c>
      <c r="O413" s="90" t="s">
        <v>502</v>
      </c>
      <c r="P413" s="118" t="s">
        <v>352</v>
      </c>
      <c r="Q413" s="118" t="s">
        <v>125</v>
      </c>
    </row>
    <row r="414" spans="1:21" x14ac:dyDescent="0.25">
      <c r="A414" s="90" t="s">
        <v>503</v>
      </c>
      <c r="B414" s="119">
        <v>6</v>
      </c>
      <c r="C414" s="90" t="s">
        <v>498</v>
      </c>
      <c r="D414" s="90" t="s">
        <v>79</v>
      </c>
      <c r="E414">
        <v>819</v>
      </c>
      <c r="F414">
        <v>820</v>
      </c>
      <c r="G414" s="93" t="s">
        <v>78</v>
      </c>
      <c r="H414" t="s">
        <v>141</v>
      </c>
      <c r="I414">
        <v>1</v>
      </c>
      <c r="J414">
        <v>33.99</v>
      </c>
      <c r="K414">
        <f t="shared" si="9"/>
        <v>33.99</v>
      </c>
      <c r="L414">
        <v>40</v>
      </c>
      <c r="M414">
        <f t="shared" si="11"/>
        <v>20.394000000000002</v>
      </c>
      <c r="N414" s="90">
        <v>414</v>
      </c>
      <c r="O414" s="90" t="s">
        <v>504</v>
      </c>
      <c r="P414" s="118" t="s">
        <v>354</v>
      </c>
      <c r="Q414" s="118" t="s">
        <v>125</v>
      </c>
    </row>
    <row r="415" spans="1:21" x14ac:dyDescent="0.25">
      <c r="A415" s="90" t="s">
        <v>505</v>
      </c>
      <c r="B415" s="119">
        <v>6</v>
      </c>
      <c r="C415" s="90" t="s">
        <v>498</v>
      </c>
      <c r="D415" s="90" t="s">
        <v>80</v>
      </c>
      <c r="E415">
        <v>821</v>
      </c>
      <c r="F415">
        <v>822</v>
      </c>
      <c r="G415" s="93" t="s">
        <v>78</v>
      </c>
      <c r="H415" t="s">
        <v>142</v>
      </c>
      <c r="I415">
        <v>1</v>
      </c>
      <c r="J415">
        <v>1625.87546161</v>
      </c>
      <c r="K415">
        <f t="shared" si="9"/>
        <v>1625.87546161</v>
      </c>
      <c r="L415">
        <v>40</v>
      </c>
      <c r="M415">
        <f t="shared" si="11"/>
        <v>975.52527696599998</v>
      </c>
      <c r="N415" s="90">
        <v>415</v>
      </c>
      <c r="O415" s="90" t="s">
        <v>506</v>
      </c>
      <c r="P415" s="118" t="s">
        <v>356</v>
      </c>
      <c r="Q415" s="118" t="s">
        <v>125</v>
      </c>
    </row>
    <row r="416" spans="1:21" x14ac:dyDescent="0.25">
      <c r="A416" s="90" t="s">
        <v>507</v>
      </c>
      <c r="B416" s="119">
        <v>6</v>
      </c>
      <c r="C416" s="90" t="s">
        <v>498</v>
      </c>
      <c r="D416" s="90" t="s">
        <v>95</v>
      </c>
      <c r="E416">
        <v>823</v>
      </c>
      <c r="F416">
        <v>824</v>
      </c>
      <c r="G416" s="93" t="s">
        <v>78</v>
      </c>
      <c r="H416" t="s">
        <v>120</v>
      </c>
      <c r="I416">
        <v>1</v>
      </c>
      <c r="J416">
        <v>1231.376544</v>
      </c>
      <c r="K416">
        <f t="shared" si="9"/>
        <v>1231.376544</v>
      </c>
      <c r="L416">
        <v>40</v>
      </c>
      <c r="M416">
        <f t="shared" si="11"/>
        <v>738.82592639999996</v>
      </c>
      <c r="N416" s="90">
        <v>416</v>
      </c>
      <c r="O416" s="90" t="s">
        <v>508</v>
      </c>
      <c r="P416" s="118" t="s">
        <v>2486</v>
      </c>
      <c r="Q416" s="118" t="s">
        <v>125</v>
      </c>
    </row>
    <row r="417" spans="1:21" x14ac:dyDescent="0.25">
      <c r="A417" s="90" t="s">
        <v>509</v>
      </c>
      <c r="B417" s="119">
        <v>6</v>
      </c>
      <c r="C417" s="90" t="s">
        <v>498</v>
      </c>
      <c r="D417" s="90" t="s">
        <v>96</v>
      </c>
      <c r="E417">
        <v>825</v>
      </c>
      <c r="F417">
        <v>826</v>
      </c>
      <c r="G417" s="93" t="s">
        <v>78</v>
      </c>
      <c r="H417" t="s">
        <v>199</v>
      </c>
      <c r="I417">
        <v>1</v>
      </c>
      <c r="J417">
        <v>862.86769387000004</v>
      </c>
      <c r="K417">
        <f t="shared" si="9"/>
        <v>862.86769387000004</v>
      </c>
      <c r="L417">
        <v>40</v>
      </c>
      <c r="M417">
        <f t="shared" si="11"/>
        <v>517.72061632199996</v>
      </c>
      <c r="N417" s="90">
        <v>417</v>
      </c>
      <c r="O417" s="90" t="s">
        <v>510</v>
      </c>
      <c r="P417" s="118" t="s">
        <v>359</v>
      </c>
      <c r="Q417" s="118" t="s">
        <v>125</v>
      </c>
    </row>
    <row r="418" spans="1:21" x14ac:dyDescent="0.25">
      <c r="A418" s="90" t="s">
        <v>511</v>
      </c>
      <c r="B418" s="119">
        <v>6</v>
      </c>
      <c r="C418" s="90" t="s">
        <v>498</v>
      </c>
      <c r="D418" s="90" t="s">
        <v>103</v>
      </c>
      <c r="E418">
        <v>827</v>
      </c>
      <c r="F418">
        <v>828</v>
      </c>
      <c r="G418" s="93" t="s">
        <v>78</v>
      </c>
      <c r="H418" t="s">
        <v>512</v>
      </c>
      <c r="I418">
        <v>1</v>
      </c>
      <c r="J418">
        <v>4195.5049025799999</v>
      </c>
      <c r="K418">
        <f t="shared" si="9"/>
        <v>4195.5049025799999</v>
      </c>
      <c r="L418">
        <v>40</v>
      </c>
      <c r="M418">
        <f t="shared" si="11"/>
        <v>2517.302941548</v>
      </c>
      <c r="N418" s="90">
        <v>418</v>
      </c>
      <c r="O418" s="90" t="s">
        <v>513</v>
      </c>
      <c r="P418" s="118" t="s">
        <v>361</v>
      </c>
      <c r="Q418" s="118" t="s">
        <v>125</v>
      </c>
    </row>
    <row r="419" spans="1:21" x14ac:dyDescent="0.25">
      <c r="A419" s="90" t="s">
        <v>514</v>
      </c>
      <c r="B419" s="119">
        <v>6</v>
      </c>
      <c r="C419" s="90" t="s">
        <v>498</v>
      </c>
      <c r="D419" s="90" t="s">
        <v>1769</v>
      </c>
      <c r="E419">
        <v>829</v>
      </c>
      <c r="F419">
        <v>830</v>
      </c>
      <c r="G419" s="93" t="s">
        <v>78</v>
      </c>
      <c r="H419" t="s">
        <v>515</v>
      </c>
      <c r="I419">
        <v>1</v>
      </c>
      <c r="J419">
        <v>448.89</v>
      </c>
      <c r="K419">
        <f t="shared" si="9"/>
        <v>448.89</v>
      </c>
      <c r="L419">
        <v>40</v>
      </c>
      <c r="M419">
        <f t="shared" si="11"/>
        <v>269.334</v>
      </c>
      <c r="N419" s="90">
        <v>419</v>
      </c>
      <c r="O419" s="90" t="s">
        <v>516</v>
      </c>
      <c r="P419" s="118" t="s">
        <v>363</v>
      </c>
      <c r="Q419" s="118" t="s">
        <v>125</v>
      </c>
    </row>
    <row r="420" spans="1:21" x14ac:dyDescent="0.25">
      <c r="A420" s="90" t="s">
        <v>517</v>
      </c>
      <c r="B420" s="119">
        <v>6</v>
      </c>
      <c r="C420" s="90" t="s">
        <v>498</v>
      </c>
      <c r="D420" s="90" t="s">
        <v>1770</v>
      </c>
      <c r="E420">
        <v>831</v>
      </c>
      <c r="F420">
        <v>832</v>
      </c>
      <c r="G420" s="93" t="s">
        <v>78</v>
      </c>
      <c r="H420" t="s">
        <v>203</v>
      </c>
      <c r="I420">
        <v>0</v>
      </c>
      <c r="J420">
        <v>214.52947918000001</v>
      </c>
      <c r="K420">
        <f t="shared" si="9"/>
        <v>0</v>
      </c>
      <c r="L420">
        <v>40</v>
      </c>
      <c r="M420">
        <f t="shared" si="11"/>
        <v>0</v>
      </c>
      <c r="N420" s="90">
        <v>420</v>
      </c>
      <c r="O420" s="90" t="s">
        <v>518</v>
      </c>
      <c r="P420" s="118" t="s">
        <v>2487</v>
      </c>
      <c r="Q420" s="118" t="s">
        <v>125</v>
      </c>
    </row>
    <row r="421" spans="1:21" x14ac:dyDescent="0.25">
      <c r="A421" s="90" t="s">
        <v>519</v>
      </c>
      <c r="B421" s="119">
        <v>6</v>
      </c>
      <c r="C421" s="90" t="s">
        <v>498</v>
      </c>
      <c r="D421" s="90" t="s">
        <v>1771</v>
      </c>
      <c r="E421">
        <v>833</v>
      </c>
      <c r="F421">
        <v>834</v>
      </c>
      <c r="G421" s="93" t="s">
        <v>78</v>
      </c>
      <c r="H421" t="s">
        <v>205</v>
      </c>
      <c r="I421">
        <v>0</v>
      </c>
      <c r="J421">
        <v>214.52947918000001</v>
      </c>
      <c r="K421">
        <f t="shared" si="9"/>
        <v>0</v>
      </c>
      <c r="L421">
        <v>40</v>
      </c>
      <c r="M421">
        <f t="shared" si="11"/>
        <v>0</v>
      </c>
      <c r="N421" s="90">
        <v>421</v>
      </c>
      <c r="O421" s="90" t="s">
        <v>520</v>
      </c>
      <c r="P421" s="118" t="s">
        <v>366</v>
      </c>
      <c r="Q421" s="118" t="s">
        <v>125</v>
      </c>
    </row>
    <row r="422" spans="1:21" x14ac:dyDescent="0.25">
      <c r="A422" s="90" t="s">
        <v>521</v>
      </c>
      <c r="B422" s="119">
        <v>6</v>
      </c>
      <c r="C422" s="90" t="s">
        <v>498</v>
      </c>
      <c r="D422" s="90" t="s">
        <v>1772</v>
      </c>
      <c r="E422">
        <v>835</v>
      </c>
      <c r="F422">
        <v>836</v>
      </c>
      <c r="G422" s="93" t="s">
        <v>78</v>
      </c>
      <c r="H422" t="s">
        <v>194</v>
      </c>
      <c r="I422">
        <v>3</v>
      </c>
      <c r="J422">
        <v>256.72991214000001</v>
      </c>
      <c r="K422">
        <f t="shared" si="9"/>
        <v>770.18973642000003</v>
      </c>
      <c r="L422">
        <v>40</v>
      </c>
      <c r="M422">
        <f t="shared" si="11"/>
        <v>462.11384185200001</v>
      </c>
      <c r="N422" s="90">
        <v>422</v>
      </c>
      <c r="O422" s="90" t="s">
        <v>522</v>
      </c>
      <c r="P422" s="118" t="s">
        <v>368</v>
      </c>
      <c r="Q422" s="118" t="s">
        <v>125</v>
      </c>
    </row>
    <row r="423" spans="1:21" x14ac:dyDescent="0.25">
      <c r="A423" s="90" t="s">
        <v>523</v>
      </c>
      <c r="B423" s="119">
        <v>4</v>
      </c>
      <c r="C423" s="90" t="s">
        <v>158</v>
      </c>
      <c r="D423" s="90" t="s">
        <v>88</v>
      </c>
      <c r="E423">
        <v>839</v>
      </c>
      <c r="F423">
        <v>876</v>
      </c>
      <c r="G423" s="93" t="s">
        <v>68</v>
      </c>
      <c r="H423" t="s">
        <v>524</v>
      </c>
      <c r="I423">
        <v>1</v>
      </c>
      <c r="J423">
        <f>SUM(K424,K426,K431)</f>
        <v>115752.45326899998</v>
      </c>
      <c r="K423">
        <f t="shared" si="9"/>
        <v>115752.45326899998</v>
      </c>
      <c r="L423">
        <f>100*(1-(M423/K423))</f>
        <v>39.999999999999979</v>
      </c>
      <c r="M423">
        <f>I423*SUM(M424,M426,M431)</f>
        <v>69451.471961400006</v>
      </c>
      <c r="N423" s="90">
        <v>423</v>
      </c>
      <c r="O423" s="90" t="s">
        <v>525</v>
      </c>
      <c r="P423" s="118" t="s">
        <v>370</v>
      </c>
      <c r="Q423" s="118" t="s">
        <v>125</v>
      </c>
      <c r="R423" s="90" t="s">
        <v>2254</v>
      </c>
      <c r="S423" s="90" t="s">
        <v>2358</v>
      </c>
      <c r="T423" s="90" t="s">
        <v>2410</v>
      </c>
      <c r="U423" s="90" t="s">
        <v>2306</v>
      </c>
    </row>
    <row r="424" spans="1:21" x14ac:dyDescent="0.25">
      <c r="A424" s="90" t="s">
        <v>526</v>
      </c>
      <c r="B424" s="119">
        <v>5</v>
      </c>
      <c r="C424" s="90" t="s">
        <v>523</v>
      </c>
      <c r="D424" s="90" t="s">
        <v>78</v>
      </c>
      <c r="E424">
        <v>840</v>
      </c>
      <c r="F424">
        <v>843</v>
      </c>
      <c r="G424" s="93" t="s">
        <v>68</v>
      </c>
      <c r="H424" t="s">
        <v>192</v>
      </c>
      <c r="I424">
        <v>24</v>
      </c>
      <c r="J424">
        <f>SUM(K425)</f>
        <v>256.72991214000001</v>
      </c>
      <c r="K424">
        <f t="shared" si="9"/>
        <v>6161.5178913600002</v>
      </c>
      <c r="L424">
        <f>100*(1-(M424/K424))</f>
        <v>39.999999999999993</v>
      </c>
      <c r="M424">
        <f>I424*SUM(M425)</f>
        <v>3696.9107348160005</v>
      </c>
      <c r="N424" s="90">
        <v>424</v>
      </c>
      <c r="O424" s="90" t="s">
        <v>527</v>
      </c>
      <c r="P424" s="118" t="s">
        <v>372</v>
      </c>
      <c r="Q424" s="118" t="s">
        <v>125</v>
      </c>
      <c r="R424" s="90" t="s">
        <v>1798</v>
      </c>
      <c r="S424" s="90" t="s">
        <v>2032</v>
      </c>
      <c r="T424" s="90" t="s">
        <v>2149</v>
      </c>
      <c r="U424" s="90" t="s">
        <v>1915</v>
      </c>
    </row>
    <row r="425" spans="1:21" x14ac:dyDescent="0.25">
      <c r="A425" s="90" t="s">
        <v>528</v>
      </c>
      <c r="B425" s="119">
        <v>6</v>
      </c>
      <c r="C425" s="90" t="s">
        <v>526</v>
      </c>
      <c r="D425" s="90" t="s">
        <v>78</v>
      </c>
      <c r="E425">
        <v>841</v>
      </c>
      <c r="F425">
        <v>842</v>
      </c>
      <c r="G425" s="93" t="s">
        <v>78</v>
      </c>
      <c r="H425" t="s">
        <v>194</v>
      </c>
      <c r="I425">
        <v>1</v>
      </c>
      <c r="J425">
        <v>256.72991214000001</v>
      </c>
      <c r="K425">
        <f t="shared" si="9"/>
        <v>256.72991214000001</v>
      </c>
      <c r="L425">
        <v>40</v>
      </c>
      <c r="M425">
        <f>(1-(L425/100))*K425</f>
        <v>154.03794728400001</v>
      </c>
      <c r="N425" s="90">
        <v>425</v>
      </c>
      <c r="O425" s="90" t="s">
        <v>529</v>
      </c>
      <c r="P425" s="118" t="s">
        <v>374</v>
      </c>
      <c r="Q425" s="118" t="s">
        <v>125</v>
      </c>
    </row>
    <row r="426" spans="1:21" x14ac:dyDescent="0.25">
      <c r="A426" s="90" t="s">
        <v>530</v>
      </c>
      <c r="B426" s="119">
        <v>5</v>
      </c>
      <c r="C426" s="90" t="s">
        <v>523</v>
      </c>
      <c r="D426" s="90" t="s">
        <v>79</v>
      </c>
      <c r="E426">
        <v>844</v>
      </c>
      <c r="F426">
        <v>853</v>
      </c>
      <c r="G426" s="93" t="s">
        <v>68</v>
      </c>
      <c r="H426" t="s">
        <v>531</v>
      </c>
      <c r="I426">
        <v>4</v>
      </c>
      <c r="J426">
        <f>SUM(K427)</f>
        <v>288.63456514000001</v>
      </c>
      <c r="K426">
        <f t="shared" si="9"/>
        <v>1154.53826056</v>
      </c>
      <c r="L426">
        <f>100*(1-(M426/K426))</f>
        <v>40.000000000000014</v>
      </c>
      <c r="M426">
        <f>I426*SUM(M427)</f>
        <v>692.72295633599992</v>
      </c>
      <c r="N426" s="90">
        <v>426</v>
      </c>
      <c r="O426" s="90" t="s">
        <v>532</v>
      </c>
      <c r="P426" s="118" t="s">
        <v>376</v>
      </c>
      <c r="Q426" s="118" t="s">
        <v>125</v>
      </c>
      <c r="R426" s="90" t="s">
        <v>2255</v>
      </c>
      <c r="S426" s="90" t="s">
        <v>2359</v>
      </c>
      <c r="T426" s="90" t="s">
        <v>2411</v>
      </c>
      <c r="U426" s="90" t="s">
        <v>2307</v>
      </c>
    </row>
    <row r="427" spans="1:21" x14ac:dyDescent="0.25">
      <c r="A427" s="90" t="s">
        <v>533</v>
      </c>
      <c r="B427" s="119">
        <v>6</v>
      </c>
      <c r="C427" s="90" t="s">
        <v>530</v>
      </c>
      <c r="D427" s="90" t="s">
        <v>78</v>
      </c>
      <c r="E427">
        <v>845</v>
      </c>
      <c r="F427">
        <v>852</v>
      </c>
      <c r="G427" s="93" t="s">
        <v>68</v>
      </c>
      <c r="H427" t="s">
        <v>144</v>
      </c>
      <c r="I427">
        <v>1</v>
      </c>
      <c r="J427">
        <f>SUM(K428,K429,K430)</f>
        <v>288.63456514000001</v>
      </c>
      <c r="K427">
        <f t="shared" si="9"/>
        <v>288.63456514000001</v>
      </c>
      <c r="L427">
        <f>100*(1-(M427/K427))</f>
        <v>40.000000000000014</v>
      </c>
      <c r="M427">
        <f>I427*SUM(M428,M429,M430)</f>
        <v>173.18073908399998</v>
      </c>
      <c r="N427" s="90">
        <v>427</v>
      </c>
      <c r="O427" s="90" t="s">
        <v>534</v>
      </c>
      <c r="P427" s="118" t="s">
        <v>378</v>
      </c>
      <c r="Q427" s="118" t="s">
        <v>125</v>
      </c>
      <c r="R427" s="90" t="s">
        <v>1799</v>
      </c>
      <c r="S427" s="90" t="s">
        <v>2033</v>
      </c>
      <c r="T427" s="90" t="s">
        <v>2150</v>
      </c>
      <c r="U427" s="90" t="s">
        <v>1916</v>
      </c>
    </row>
    <row r="428" spans="1:21" x14ac:dyDescent="0.25">
      <c r="A428" s="90" t="s">
        <v>535</v>
      </c>
      <c r="B428" s="119">
        <v>7</v>
      </c>
      <c r="C428" s="90" t="s">
        <v>533</v>
      </c>
      <c r="D428" s="90" t="s">
        <v>78</v>
      </c>
      <c r="E428">
        <v>846</v>
      </c>
      <c r="F428">
        <v>847</v>
      </c>
      <c r="G428" s="93" t="s">
        <v>78</v>
      </c>
      <c r="H428" t="s">
        <v>145</v>
      </c>
      <c r="I428">
        <v>4</v>
      </c>
      <c r="J428">
        <v>27.17</v>
      </c>
      <c r="K428">
        <f t="shared" si="9"/>
        <v>108.68</v>
      </c>
      <c r="L428">
        <v>40</v>
      </c>
      <c r="M428">
        <f>(1-(L428/100))*K428</f>
        <v>65.207999999999998</v>
      </c>
      <c r="N428" s="90">
        <v>428</v>
      </c>
      <c r="O428" s="90" t="s">
        <v>536</v>
      </c>
      <c r="P428" s="118" t="s">
        <v>2488</v>
      </c>
      <c r="Q428" s="118" t="s">
        <v>125</v>
      </c>
    </row>
    <row r="429" spans="1:21" x14ac:dyDescent="0.25">
      <c r="A429" s="90" t="s">
        <v>537</v>
      </c>
      <c r="B429" s="119">
        <v>7</v>
      </c>
      <c r="C429" s="90" t="s">
        <v>533</v>
      </c>
      <c r="D429" s="90" t="s">
        <v>79</v>
      </c>
      <c r="E429">
        <v>848</v>
      </c>
      <c r="F429">
        <v>849</v>
      </c>
      <c r="G429" s="93" t="s">
        <v>78</v>
      </c>
      <c r="H429" t="s">
        <v>146</v>
      </c>
      <c r="I429">
        <v>2</v>
      </c>
      <c r="J429">
        <v>32.777282569999997</v>
      </c>
      <c r="K429">
        <f t="shared" si="9"/>
        <v>65.554565139999994</v>
      </c>
      <c r="L429">
        <v>40</v>
      </c>
      <c r="M429">
        <f>(1-(L429/100))*K429</f>
        <v>39.332739083999996</v>
      </c>
      <c r="N429" s="90">
        <v>429</v>
      </c>
      <c r="O429" s="90" t="s">
        <v>538</v>
      </c>
      <c r="P429" s="118" t="s">
        <v>381</v>
      </c>
      <c r="Q429" s="118" t="s">
        <v>125</v>
      </c>
    </row>
    <row r="430" spans="1:21" x14ac:dyDescent="0.25">
      <c r="A430" s="90" t="s">
        <v>539</v>
      </c>
      <c r="B430" s="119">
        <v>7</v>
      </c>
      <c r="C430" s="90" t="s">
        <v>533</v>
      </c>
      <c r="D430" s="90" t="s">
        <v>80</v>
      </c>
      <c r="E430">
        <v>850</v>
      </c>
      <c r="F430">
        <v>851</v>
      </c>
      <c r="G430" s="93" t="s">
        <v>78</v>
      </c>
      <c r="H430" t="s">
        <v>147</v>
      </c>
      <c r="I430">
        <v>4</v>
      </c>
      <c r="J430">
        <v>28.6</v>
      </c>
      <c r="K430">
        <f t="shared" si="9"/>
        <v>114.4</v>
      </c>
      <c r="L430">
        <v>40</v>
      </c>
      <c r="M430">
        <f>(1-(L430/100))*K430</f>
        <v>68.64</v>
      </c>
      <c r="N430" s="90">
        <v>430</v>
      </c>
      <c r="O430" s="90" t="s">
        <v>540</v>
      </c>
      <c r="P430" s="118" t="s">
        <v>383</v>
      </c>
      <c r="Q430" s="118" t="s">
        <v>125</v>
      </c>
    </row>
    <row r="431" spans="1:21" x14ac:dyDescent="0.25">
      <c r="A431" s="90" t="s">
        <v>541</v>
      </c>
      <c r="B431" s="119">
        <v>5</v>
      </c>
      <c r="C431" s="90" t="s">
        <v>523</v>
      </c>
      <c r="D431" s="90" t="s">
        <v>80</v>
      </c>
      <c r="E431">
        <v>854</v>
      </c>
      <c r="F431">
        <v>875</v>
      </c>
      <c r="G431" s="93" t="s">
        <v>68</v>
      </c>
      <c r="H431" t="s">
        <v>542</v>
      </c>
      <c r="I431">
        <v>4</v>
      </c>
      <c r="J431">
        <f>SUM(K432,K433,K434,K435,K436,K437,K438,K439,K440,K441)</f>
        <v>27109.099279269994</v>
      </c>
      <c r="K431">
        <f t="shared" si="9"/>
        <v>108436.39711707998</v>
      </c>
      <c r="L431">
        <f>100*(1-(M431/K431))</f>
        <v>39.999999999999979</v>
      </c>
      <c r="M431">
        <f>I431*SUM(M432,M433,M434,M435,M436,M437,M438,M439,M440,M441)</f>
        <v>65061.838270248008</v>
      </c>
      <c r="N431" s="90">
        <v>431</v>
      </c>
      <c r="O431" s="90" t="s">
        <v>543</v>
      </c>
      <c r="P431" s="118" t="s">
        <v>385</v>
      </c>
      <c r="Q431" s="118" t="s">
        <v>125</v>
      </c>
      <c r="R431" s="90" t="s">
        <v>1800</v>
      </c>
      <c r="S431" s="90" t="s">
        <v>2034</v>
      </c>
      <c r="T431" s="90" t="s">
        <v>2151</v>
      </c>
      <c r="U431" s="90" t="s">
        <v>1917</v>
      </c>
    </row>
    <row r="432" spans="1:21" x14ac:dyDescent="0.25">
      <c r="A432" s="90" t="s">
        <v>544</v>
      </c>
      <c r="B432" s="119">
        <v>6</v>
      </c>
      <c r="C432" s="90" t="s">
        <v>541</v>
      </c>
      <c r="D432" s="90" t="s">
        <v>78</v>
      </c>
      <c r="E432">
        <v>855</v>
      </c>
      <c r="F432">
        <v>856</v>
      </c>
      <c r="G432" s="93" t="s">
        <v>78</v>
      </c>
      <c r="H432" t="s">
        <v>197</v>
      </c>
      <c r="I432">
        <v>1</v>
      </c>
      <c r="J432">
        <v>10880.466063919999</v>
      </c>
      <c r="K432">
        <f t="shared" si="9"/>
        <v>10880.466063919999</v>
      </c>
      <c r="L432">
        <v>40</v>
      </c>
      <c r="M432">
        <f t="shared" ref="M432:M441" si="12">(1-(L432/100))*K432</f>
        <v>6528.279638351999</v>
      </c>
      <c r="N432" s="90">
        <v>432</v>
      </c>
      <c r="O432" s="90" t="s">
        <v>545</v>
      </c>
      <c r="P432" s="118" t="s">
        <v>2489</v>
      </c>
      <c r="Q432" s="118" t="s">
        <v>125</v>
      </c>
    </row>
    <row r="433" spans="1:21" x14ac:dyDescent="0.25">
      <c r="A433" s="90" t="s">
        <v>546</v>
      </c>
      <c r="B433" s="119">
        <v>6</v>
      </c>
      <c r="C433" s="90" t="s">
        <v>541</v>
      </c>
      <c r="D433" s="90" t="s">
        <v>79</v>
      </c>
      <c r="E433">
        <v>857</v>
      </c>
      <c r="F433">
        <v>858</v>
      </c>
      <c r="G433" s="93" t="s">
        <v>78</v>
      </c>
      <c r="H433" t="s">
        <v>141</v>
      </c>
      <c r="I433">
        <v>1</v>
      </c>
      <c r="J433">
        <v>33.99</v>
      </c>
      <c r="K433">
        <f t="shared" si="9"/>
        <v>33.99</v>
      </c>
      <c r="L433">
        <v>40</v>
      </c>
      <c r="M433">
        <f t="shared" si="12"/>
        <v>20.394000000000002</v>
      </c>
      <c r="N433" s="90">
        <v>433</v>
      </c>
      <c r="O433" s="90" t="s">
        <v>547</v>
      </c>
      <c r="P433" s="118" t="s">
        <v>388</v>
      </c>
      <c r="Q433" s="118" t="s">
        <v>125</v>
      </c>
    </row>
    <row r="434" spans="1:21" x14ac:dyDescent="0.25">
      <c r="A434" s="90" t="s">
        <v>548</v>
      </c>
      <c r="B434" s="119">
        <v>6</v>
      </c>
      <c r="C434" s="90" t="s">
        <v>541</v>
      </c>
      <c r="D434" s="90" t="s">
        <v>80</v>
      </c>
      <c r="E434">
        <v>859</v>
      </c>
      <c r="F434">
        <v>860</v>
      </c>
      <c r="G434" s="93" t="s">
        <v>78</v>
      </c>
      <c r="H434" t="s">
        <v>142</v>
      </c>
      <c r="I434">
        <v>1</v>
      </c>
      <c r="J434">
        <v>1625.87546161</v>
      </c>
      <c r="K434">
        <f t="shared" si="9"/>
        <v>1625.87546161</v>
      </c>
      <c r="L434">
        <v>40</v>
      </c>
      <c r="M434">
        <f t="shared" si="12"/>
        <v>975.52527696599998</v>
      </c>
      <c r="N434" s="90">
        <v>434</v>
      </c>
      <c r="O434" s="90" t="s">
        <v>549</v>
      </c>
      <c r="P434" s="118" t="s">
        <v>390</v>
      </c>
      <c r="Q434" s="118" t="s">
        <v>125</v>
      </c>
    </row>
    <row r="435" spans="1:21" x14ac:dyDescent="0.25">
      <c r="A435" s="90" t="s">
        <v>550</v>
      </c>
      <c r="B435" s="119">
        <v>6</v>
      </c>
      <c r="C435" s="90" t="s">
        <v>541</v>
      </c>
      <c r="D435" s="90" t="s">
        <v>95</v>
      </c>
      <c r="E435">
        <v>861</v>
      </c>
      <c r="F435">
        <v>862</v>
      </c>
      <c r="G435" s="93" t="s">
        <v>78</v>
      </c>
      <c r="H435" t="s">
        <v>120</v>
      </c>
      <c r="I435">
        <v>2</v>
      </c>
      <c r="J435">
        <v>1231.376544</v>
      </c>
      <c r="K435">
        <f t="shared" si="9"/>
        <v>2462.7530879999999</v>
      </c>
      <c r="L435">
        <v>40</v>
      </c>
      <c r="M435">
        <f t="shared" si="12"/>
        <v>1477.6518527999999</v>
      </c>
      <c r="N435" s="90">
        <v>435</v>
      </c>
      <c r="O435" s="90" t="s">
        <v>551</v>
      </c>
      <c r="P435" s="118" t="s">
        <v>392</v>
      </c>
      <c r="Q435" s="118" t="s">
        <v>125</v>
      </c>
    </row>
    <row r="436" spans="1:21" x14ac:dyDescent="0.25">
      <c r="A436" s="90" t="s">
        <v>552</v>
      </c>
      <c r="B436" s="119">
        <v>6</v>
      </c>
      <c r="C436" s="90" t="s">
        <v>541</v>
      </c>
      <c r="D436" s="90" t="s">
        <v>96</v>
      </c>
      <c r="E436">
        <v>863</v>
      </c>
      <c r="F436">
        <v>864</v>
      </c>
      <c r="G436" s="93" t="s">
        <v>78</v>
      </c>
      <c r="H436" t="s">
        <v>199</v>
      </c>
      <c r="I436">
        <v>2</v>
      </c>
      <c r="J436">
        <v>862.86769387000004</v>
      </c>
      <c r="K436">
        <f t="shared" si="9"/>
        <v>1725.7353877400001</v>
      </c>
      <c r="L436">
        <v>40</v>
      </c>
      <c r="M436">
        <f t="shared" si="12"/>
        <v>1035.4412326439999</v>
      </c>
      <c r="N436" s="90">
        <v>436</v>
      </c>
      <c r="O436" s="90" t="s">
        <v>553</v>
      </c>
      <c r="P436" s="118" t="s">
        <v>394</v>
      </c>
      <c r="Q436" s="118" t="s">
        <v>125</v>
      </c>
    </row>
    <row r="437" spans="1:21" x14ac:dyDescent="0.25">
      <c r="A437" s="90" t="s">
        <v>554</v>
      </c>
      <c r="B437" s="119">
        <v>6</v>
      </c>
      <c r="C437" s="90" t="s">
        <v>541</v>
      </c>
      <c r="D437" s="90" t="s">
        <v>103</v>
      </c>
      <c r="E437">
        <v>865</v>
      </c>
      <c r="F437">
        <v>866</v>
      </c>
      <c r="G437" s="93" t="s">
        <v>78</v>
      </c>
      <c r="H437" t="s">
        <v>512</v>
      </c>
      <c r="I437">
        <v>2</v>
      </c>
      <c r="J437">
        <v>4195.5049025799999</v>
      </c>
      <c r="K437">
        <f t="shared" si="9"/>
        <v>8391.0098051599998</v>
      </c>
      <c r="L437">
        <v>40</v>
      </c>
      <c r="M437">
        <f t="shared" si="12"/>
        <v>5034.6058830960001</v>
      </c>
      <c r="N437" s="90">
        <v>437</v>
      </c>
      <c r="O437" s="90" t="s">
        <v>555</v>
      </c>
      <c r="P437" s="118" t="s">
        <v>396</v>
      </c>
      <c r="Q437" s="118" t="s">
        <v>125</v>
      </c>
    </row>
    <row r="438" spans="1:21" x14ac:dyDescent="0.25">
      <c r="A438" s="90" t="s">
        <v>556</v>
      </c>
      <c r="B438" s="119">
        <v>6</v>
      </c>
      <c r="C438" s="90" t="s">
        <v>541</v>
      </c>
      <c r="D438" s="90" t="s">
        <v>1769</v>
      </c>
      <c r="E438">
        <v>867</v>
      </c>
      <c r="F438">
        <v>868</v>
      </c>
      <c r="G438" s="93" t="s">
        <v>78</v>
      </c>
      <c r="H438" t="s">
        <v>515</v>
      </c>
      <c r="I438">
        <v>1</v>
      </c>
      <c r="J438">
        <v>448.89</v>
      </c>
      <c r="K438">
        <f t="shared" si="9"/>
        <v>448.89</v>
      </c>
      <c r="L438">
        <v>40</v>
      </c>
      <c r="M438">
        <f t="shared" si="12"/>
        <v>269.334</v>
      </c>
      <c r="N438" s="90">
        <v>438</v>
      </c>
      <c r="O438" s="90" t="s">
        <v>557</v>
      </c>
      <c r="P438" s="118" t="s">
        <v>398</v>
      </c>
      <c r="Q438" s="118" t="s">
        <v>125</v>
      </c>
    </row>
    <row r="439" spans="1:21" x14ac:dyDescent="0.25">
      <c r="A439" s="90" t="s">
        <v>558</v>
      </c>
      <c r="B439" s="119">
        <v>6</v>
      </c>
      <c r="C439" s="90" t="s">
        <v>541</v>
      </c>
      <c r="D439" s="90" t="s">
        <v>1770</v>
      </c>
      <c r="E439">
        <v>869</v>
      </c>
      <c r="F439">
        <v>870</v>
      </c>
      <c r="G439" s="93" t="s">
        <v>78</v>
      </c>
      <c r="H439" t="s">
        <v>203</v>
      </c>
      <c r="I439">
        <v>0</v>
      </c>
      <c r="J439">
        <v>214.52947918000001</v>
      </c>
      <c r="K439">
        <f t="shared" si="9"/>
        <v>0</v>
      </c>
      <c r="L439">
        <v>40</v>
      </c>
      <c r="M439">
        <f t="shared" si="12"/>
        <v>0</v>
      </c>
      <c r="N439" s="90">
        <v>439</v>
      </c>
      <c r="O439" s="90" t="s">
        <v>559</v>
      </c>
      <c r="P439" s="118" t="s">
        <v>400</v>
      </c>
      <c r="Q439" s="118" t="s">
        <v>125</v>
      </c>
    </row>
    <row r="440" spans="1:21" x14ac:dyDescent="0.25">
      <c r="A440" s="90" t="s">
        <v>560</v>
      </c>
      <c r="B440" s="119">
        <v>6</v>
      </c>
      <c r="C440" s="90" t="s">
        <v>541</v>
      </c>
      <c r="D440" s="90" t="s">
        <v>1771</v>
      </c>
      <c r="E440">
        <v>871</v>
      </c>
      <c r="F440">
        <v>872</v>
      </c>
      <c r="G440" s="93" t="s">
        <v>78</v>
      </c>
      <c r="H440" t="s">
        <v>205</v>
      </c>
      <c r="I440">
        <v>0</v>
      </c>
      <c r="J440">
        <v>214.52947918000001</v>
      </c>
      <c r="K440">
        <f t="shared" si="9"/>
        <v>0</v>
      </c>
      <c r="L440">
        <v>40</v>
      </c>
      <c r="M440">
        <f t="shared" si="12"/>
        <v>0</v>
      </c>
      <c r="N440" s="90">
        <v>440</v>
      </c>
      <c r="O440" s="90" t="s">
        <v>561</v>
      </c>
      <c r="P440" s="118" t="s">
        <v>2490</v>
      </c>
      <c r="Q440" s="118" t="s">
        <v>125</v>
      </c>
    </row>
    <row r="441" spans="1:21" x14ac:dyDescent="0.25">
      <c r="A441" s="90" t="s">
        <v>562</v>
      </c>
      <c r="B441" s="119">
        <v>6</v>
      </c>
      <c r="C441" s="90" t="s">
        <v>541</v>
      </c>
      <c r="D441" s="90" t="s">
        <v>1772</v>
      </c>
      <c r="E441">
        <v>873</v>
      </c>
      <c r="F441">
        <v>874</v>
      </c>
      <c r="G441" s="93" t="s">
        <v>78</v>
      </c>
      <c r="H441" t="s">
        <v>194</v>
      </c>
      <c r="I441">
        <v>6</v>
      </c>
      <c r="J441">
        <v>256.72991214000001</v>
      </c>
      <c r="K441">
        <f t="shared" si="9"/>
        <v>1540.3794728400001</v>
      </c>
      <c r="L441">
        <v>40</v>
      </c>
      <c r="M441">
        <f t="shared" si="12"/>
        <v>924.22768370400001</v>
      </c>
      <c r="N441" s="90">
        <v>441</v>
      </c>
      <c r="O441" s="90" t="s">
        <v>563</v>
      </c>
      <c r="P441" s="118" t="s">
        <v>403</v>
      </c>
      <c r="Q441" s="118" t="s">
        <v>125</v>
      </c>
    </row>
    <row r="442" spans="1:21" x14ac:dyDescent="0.25">
      <c r="A442" s="90" t="s">
        <v>564</v>
      </c>
      <c r="B442" s="119">
        <v>4</v>
      </c>
      <c r="C442" s="90" t="s">
        <v>158</v>
      </c>
      <c r="D442" s="90" t="s">
        <v>89</v>
      </c>
      <c r="E442">
        <v>877</v>
      </c>
      <c r="F442">
        <v>922</v>
      </c>
      <c r="G442" s="93" t="s">
        <v>68</v>
      </c>
      <c r="H442" t="s">
        <v>565</v>
      </c>
      <c r="I442">
        <v>1</v>
      </c>
      <c r="J442">
        <f>SUM(K443,K445,K450,K461)</f>
        <v>296417.75370488001</v>
      </c>
      <c r="K442">
        <f t="shared" si="9"/>
        <v>296417.75370488001</v>
      </c>
      <c r="L442">
        <f>100*(1-(M442/K442))</f>
        <v>40.000000000000014</v>
      </c>
      <c r="M442">
        <f>I442*SUM(M443,M445,M450,M461)</f>
        <v>177850.65222292798</v>
      </c>
      <c r="N442" s="90">
        <v>442</v>
      </c>
      <c r="O442" s="90" t="s">
        <v>566</v>
      </c>
      <c r="P442" s="118" t="s">
        <v>405</v>
      </c>
      <c r="Q442" s="118" t="s">
        <v>125</v>
      </c>
      <c r="R442" s="90" t="s">
        <v>2256</v>
      </c>
      <c r="S442" s="90" t="s">
        <v>2360</v>
      </c>
      <c r="T442" s="90" t="s">
        <v>2412</v>
      </c>
      <c r="U442" s="90" t="s">
        <v>2308</v>
      </c>
    </row>
    <row r="443" spans="1:21" x14ac:dyDescent="0.25">
      <c r="A443" s="90" t="s">
        <v>567</v>
      </c>
      <c r="B443" s="119">
        <v>5</v>
      </c>
      <c r="C443" s="90" t="s">
        <v>564</v>
      </c>
      <c r="D443" s="90" t="s">
        <v>78</v>
      </c>
      <c r="E443">
        <v>878</v>
      </c>
      <c r="F443">
        <v>881</v>
      </c>
      <c r="G443" s="93" t="s">
        <v>68</v>
      </c>
      <c r="H443" t="s">
        <v>192</v>
      </c>
      <c r="I443">
        <v>72</v>
      </c>
      <c r="J443">
        <f>SUM(K444)</f>
        <v>256.72991214000001</v>
      </c>
      <c r="K443">
        <f t="shared" si="9"/>
        <v>18484.553674080002</v>
      </c>
      <c r="L443">
        <f>100*(1-(M443/K443))</f>
        <v>40</v>
      </c>
      <c r="M443">
        <f>I443*SUM(M444)</f>
        <v>11090.732204448001</v>
      </c>
      <c r="N443" s="90">
        <v>443</v>
      </c>
      <c r="O443" s="90" t="s">
        <v>568</v>
      </c>
      <c r="P443" s="118" t="s">
        <v>407</v>
      </c>
      <c r="Q443" s="118" t="s">
        <v>125</v>
      </c>
      <c r="R443" s="90" t="s">
        <v>1801</v>
      </c>
      <c r="S443" s="90" t="s">
        <v>2035</v>
      </c>
      <c r="T443" s="90" t="s">
        <v>2152</v>
      </c>
      <c r="U443" s="90" t="s">
        <v>1918</v>
      </c>
    </row>
    <row r="444" spans="1:21" x14ac:dyDescent="0.25">
      <c r="A444" s="90" t="s">
        <v>569</v>
      </c>
      <c r="B444" s="119">
        <v>6</v>
      </c>
      <c r="C444" s="90" t="s">
        <v>567</v>
      </c>
      <c r="D444" s="90" t="s">
        <v>78</v>
      </c>
      <c r="E444">
        <v>879</v>
      </c>
      <c r="F444">
        <v>880</v>
      </c>
      <c r="G444" s="93" t="s">
        <v>78</v>
      </c>
      <c r="H444" t="s">
        <v>194</v>
      </c>
      <c r="I444">
        <v>1</v>
      </c>
      <c r="J444">
        <v>256.72991214000001</v>
      </c>
      <c r="K444">
        <f t="shared" si="9"/>
        <v>256.72991214000001</v>
      </c>
      <c r="L444">
        <v>40</v>
      </c>
      <c r="M444">
        <f>(1-(L444/100))*K444</f>
        <v>154.03794728400001</v>
      </c>
      <c r="N444" s="90">
        <v>444</v>
      </c>
      <c r="O444" s="90" t="s">
        <v>570</v>
      </c>
      <c r="P444" s="118" t="s">
        <v>2491</v>
      </c>
      <c r="Q444" s="118" t="s">
        <v>125</v>
      </c>
    </row>
    <row r="445" spans="1:21" x14ac:dyDescent="0.25">
      <c r="A445" s="90" t="s">
        <v>571</v>
      </c>
      <c r="B445" s="119">
        <v>5</v>
      </c>
      <c r="C445" s="90" t="s">
        <v>564</v>
      </c>
      <c r="D445" s="90" t="s">
        <v>79</v>
      </c>
      <c r="E445">
        <v>882</v>
      </c>
      <c r="F445">
        <v>891</v>
      </c>
      <c r="G445" s="93" t="s">
        <v>68</v>
      </c>
      <c r="H445" t="s">
        <v>572</v>
      </c>
      <c r="I445">
        <v>8</v>
      </c>
      <c r="J445">
        <f>SUM(K446)</f>
        <v>432.95184771000004</v>
      </c>
      <c r="K445">
        <f t="shared" si="9"/>
        <v>3463.6147816800003</v>
      </c>
      <c r="L445">
        <f>100*(1-(M445/K445))</f>
        <v>40</v>
      </c>
      <c r="M445">
        <f>I445*SUM(M446)</f>
        <v>2078.168869008</v>
      </c>
      <c r="N445" s="90">
        <v>445</v>
      </c>
      <c r="O445" s="90" t="s">
        <v>573</v>
      </c>
      <c r="P445" s="118" t="s">
        <v>410</v>
      </c>
      <c r="Q445" s="118" t="s">
        <v>125</v>
      </c>
      <c r="R445" s="90" t="s">
        <v>2257</v>
      </c>
      <c r="S445" s="90" t="s">
        <v>2361</v>
      </c>
      <c r="T445" s="90" t="s">
        <v>2413</v>
      </c>
      <c r="U445" s="90" t="s">
        <v>2309</v>
      </c>
    </row>
    <row r="446" spans="1:21" x14ac:dyDescent="0.25">
      <c r="A446" s="90" t="s">
        <v>574</v>
      </c>
      <c r="B446" s="119">
        <v>6</v>
      </c>
      <c r="C446" s="90" t="s">
        <v>571</v>
      </c>
      <c r="D446" s="90" t="s">
        <v>78</v>
      </c>
      <c r="E446">
        <v>883</v>
      </c>
      <c r="F446">
        <v>890</v>
      </c>
      <c r="G446" s="93" t="s">
        <v>68</v>
      </c>
      <c r="H446" t="s">
        <v>144</v>
      </c>
      <c r="I446">
        <v>1</v>
      </c>
      <c r="J446">
        <f>SUM(K447,K448,K449)</f>
        <v>432.95184771000004</v>
      </c>
      <c r="K446">
        <f t="shared" si="9"/>
        <v>432.95184771000004</v>
      </c>
      <c r="L446">
        <f>100*(1-(M446/K446))</f>
        <v>40</v>
      </c>
      <c r="M446">
        <f>I446*SUM(M447,M448,M449)</f>
        <v>259.771108626</v>
      </c>
      <c r="N446" s="90">
        <v>446</v>
      </c>
      <c r="O446" s="90" t="s">
        <v>575</v>
      </c>
      <c r="P446" s="118" t="s">
        <v>412</v>
      </c>
      <c r="Q446" s="118" t="s">
        <v>125</v>
      </c>
      <c r="R446" s="90" t="s">
        <v>1802</v>
      </c>
      <c r="S446" s="90" t="s">
        <v>2036</v>
      </c>
      <c r="T446" s="90" t="s">
        <v>2153</v>
      </c>
      <c r="U446" s="90" t="s">
        <v>1919</v>
      </c>
    </row>
    <row r="447" spans="1:21" x14ac:dyDescent="0.25">
      <c r="A447" s="90" t="s">
        <v>576</v>
      </c>
      <c r="B447" s="119">
        <v>7</v>
      </c>
      <c r="C447" s="90" t="s">
        <v>574</v>
      </c>
      <c r="D447" s="90" t="s">
        <v>78</v>
      </c>
      <c r="E447">
        <v>884</v>
      </c>
      <c r="F447">
        <v>885</v>
      </c>
      <c r="G447" s="93" t="s">
        <v>78</v>
      </c>
      <c r="H447" t="s">
        <v>145</v>
      </c>
      <c r="I447">
        <v>6</v>
      </c>
      <c r="J447">
        <v>27.17</v>
      </c>
      <c r="K447">
        <f t="shared" si="9"/>
        <v>163.02000000000001</v>
      </c>
      <c r="L447">
        <v>40</v>
      </c>
      <c r="M447">
        <f>(1-(L447/100))*K447</f>
        <v>97.811999999999998</v>
      </c>
      <c r="N447" s="90">
        <v>447</v>
      </c>
      <c r="O447" s="90" t="s">
        <v>577</v>
      </c>
      <c r="P447" s="118" t="s">
        <v>414</v>
      </c>
      <c r="Q447" s="118" t="s">
        <v>125</v>
      </c>
    </row>
    <row r="448" spans="1:21" x14ac:dyDescent="0.25">
      <c r="A448" s="90" t="s">
        <v>578</v>
      </c>
      <c r="B448" s="119">
        <v>7</v>
      </c>
      <c r="C448" s="90" t="s">
        <v>574</v>
      </c>
      <c r="D448" s="90" t="s">
        <v>79</v>
      </c>
      <c r="E448">
        <v>886</v>
      </c>
      <c r="F448">
        <v>887</v>
      </c>
      <c r="G448" s="93" t="s">
        <v>78</v>
      </c>
      <c r="H448" t="s">
        <v>146</v>
      </c>
      <c r="I448">
        <v>3</v>
      </c>
      <c r="J448">
        <v>32.777282569999997</v>
      </c>
      <c r="K448">
        <f t="shared" si="9"/>
        <v>98.331847709999991</v>
      </c>
      <c r="L448">
        <v>40</v>
      </c>
      <c r="M448">
        <f>(1-(L448/100))*K448</f>
        <v>58.999108625999995</v>
      </c>
      <c r="N448" s="90">
        <v>448</v>
      </c>
      <c r="O448" s="90" t="s">
        <v>579</v>
      </c>
      <c r="P448" s="118" t="s">
        <v>416</v>
      </c>
      <c r="Q448" s="118" t="s">
        <v>125</v>
      </c>
    </row>
    <row r="449" spans="1:21" x14ac:dyDescent="0.25">
      <c r="A449" s="90" t="s">
        <v>580</v>
      </c>
      <c r="B449" s="119">
        <v>7</v>
      </c>
      <c r="C449" s="90" t="s">
        <v>574</v>
      </c>
      <c r="D449" s="90" t="s">
        <v>80</v>
      </c>
      <c r="E449">
        <v>888</v>
      </c>
      <c r="F449">
        <v>889</v>
      </c>
      <c r="G449" s="93" t="s">
        <v>78</v>
      </c>
      <c r="H449" t="s">
        <v>147</v>
      </c>
      <c r="I449">
        <v>6</v>
      </c>
      <c r="J449">
        <v>28.6</v>
      </c>
      <c r="K449">
        <f t="shared" si="9"/>
        <v>171.60000000000002</v>
      </c>
      <c r="L449">
        <v>40</v>
      </c>
      <c r="M449">
        <f>(1-(L449/100))*K449</f>
        <v>102.96000000000001</v>
      </c>
      <c r="N449" s="90">
        <v>449</v>
      </c>
      <c r="O449" s="90" t="s">
        <v>581</v>
      </c>
      <c r="P449" s="118" t="s">
        <v>2492</v>
      </c>
      <c r="Q449" s="118" t="s">
        <v>125</v>
      </c>
    </row>
    <row r="450" spans="1:21" x14ac:dyDescent="0.25">
      <c r="A450" s="90" t="s">
        <v>582</v>
      </c>
      <c r="B450" s="119">
        <v>5</v>
      </c>
      <c r="C450" s="90" t="s">
        <v>564</v>
      </c>
      <c r="D450" s="90" t="s">
        <v>80</v>
      </c>
      <c r="E450">
        <v>892</v>
      </c>
      <c r="F450">
        <v>913</v>
      </c>
      <c r="G450" s="93" t="s">
        <v>68</v>
      </c>
      <c r="H450" t="s">
        <v>583</v>
      </c>
      <c r="I450">
        <v>8</v>
      </c>
      <c r="J450">
        <f>SUM(K451,K452,K453,K454,K455,K456,K457,K458,K459,K460)</f>
        <v>34169.038156139999</v>
      </c>
      <c r="K450">
        <f t="shared" si="9"/>
        <v>273352.30524911999</v>
      </c>
      <c r="L450">
        <f>100*(1-(M450/K450))</f>
        <v>40</v>
      </c>
      <c r="M450">
        <f>I450*SUM(M451,M452,M453,M454,M455,M456,M457,M458,M459,M460)</f>
        <v>164011.38314947198</v>
      </c>
      <c r="N450" s="90">
        <v>450</v>
      </c>
      <c r="O450" s="90" t="s">
        <v>584</v>
      </c>
      <c r="P450" s="118" t="s">
        <v>419</v>
      </c>
      <c r="Q450" s="118" t="s">
        <v>125</v>
      </c>
      <c r="R450" s="90" t="s">
        <v>1803</v>
      </c>
      <c r="S450" s="90" t="s">
        <v>2037</v>
      </c>
      <c r="T450" s="90" t="s">
        <v>2154</v>
      </c>
      <c r="U450" s="90" t="s">
        <v>1920</v>
      </c>
    </row>
    <row r="451" spans="1:21" x14ac:dyDescent="0.25">
      <c r="A451" s="90" t="s">
        <v>585</v>
      </c>
      <c r="B451" s="119">
        <v>6</v>
      </c>
      <c r="C451" s="90" t="s">
        <v>582</v>
      </c>
      <c r="D451" s="90" t="s">
        <v>78</v>
      </c>
      <c r="E451">
        <v>893</v>
      </c>
      <c r="F451">
        <v>894</v>
      </c>
      <c r="G451" s="93" t="s">
        <v>78</v>
      </c>
      <c r="H451" t="s">
        <v>197</v>
      </c>
      <c r="I451">
        <v>1</v>
      </c>
      <c r="J451">
        <v>10880.466063919999</v>
      </c>
      <c r="K451">
        <f t="shared" ref="K451:K514" si="13">I451*J451</f>
        <v>10880.466063919999</v>
      </c>
      <c r="L451">
        <v>40</v>
      </c>
      <c r="M451">
        <f t="shared" ref="M451:M460" si="14">(1-(L451/100))*K451</f>
        <v>6528.279638351999</v>
      </c>
      <c r="N451" s="90">
        <v>451</v>
      </c>
      <c r="O451" s="90" t="s">
        <v>586</v>
      </c>
      <c r="P451" s="118" t="s">
        <v>421</v>
      </c>
      <c r="Q451" s="118" t="s">
        <v>125</v>
      </c>
    </row>
    <row r="452" spans="1:21" x14ac:dyDescent="0.25">
      <c r="A452" s="90" t="s">
        <v>587</v>
      </c>
      <c r="B452" s="119">
        <v>6</v>
      </c>
      <c r="C452" s="90" t="s">
        <v>582</v>
      </c>
      <c r="D452" s="90" t="s">
        <v>79</v>
      </c>
      <c r="E452">
        <v>895</v>
      </c>
      <c r="F452">
        <v>896</v>
      </c>
      <c r="G452" s="93" t="s">
        <v>78</v>
      </c>
      <c r="H452" t="s">
        <v>141</v>
      </c>
      <c r="I452">
        <v>1</v>
      </c>
      <c r="J452">
        <v>33.99</v>
      </c>
      <c r="K452">
        <f t="shared" si="13"/>
        <v>33.99</v>
      </c>
      <c r="L452">
        <v>40</v>
      </c>
      <c r="M452">
        <f t="shared" si="14"/>
        <v>20.394000000000002</v>
      </c>
      <c r="N452" s="90">
        <v>452</v>
      </c>
      <c r="O452" s="90" t="s">
        <v>588</v>
      </c>
      <c r="P452" s="118" t="s">
        <v>423</v>
      </c>
      <c r="Q452" s="118" t="s">
        <v>125</v>
      </c>
    </row>
    <row r="453" spans="1:21" x14ac:dyDescent="0.25">
      <c r="A453" s="90" t="s">
        <v>589</v>
      </c>
      <c r="B453" s="119">
        <v>6</v>
      </c>
      <c r="C453" s="90" t="s">
        <v>582</v>
      </c>
      <c r="D453" s="90" t="s">
        <v>80</v>
      </c>
      <c r="E453">
        <v>897</v>
      </c>
      <c r="F453">
        <v>898</v>
      </c>
      <c r="G453" s="93" t="s">
        <v>78</v>
      </c>
      <c r="H453" t="s">
        <v>142</v>
      </c>
      <c r="I453">
        <v>1</v>
      </c>
      <c r="J453">
        <v>1625.87546161</v>
      </c>
      <c r="K453">
        <f t="shared" si="13"/>
        <v>1625.87546161</v>
      </c>
      <c r="L453">
        <v>40</v>
      </c>
      <c r="M453">
        <f t="shared" si="14"/>
        <v>975.52527696599998</v>
      </c>
      <c r="N453" s="90">
        <v>453</v>
      </c>
      <c r="O453" s="90" t="s">
        <v>590</v>
      </c>
      <c r="P453" s="118" t="s">
        <v>2493</v>
      </c>
      <c r="Q453" s="118" t="s">
        <v>125</v>
      </c>
    </row>
    <row r="454" spans="1:21" x14ac:dyDescent="0.25">
      <c r="A454" s="90" t="s">
        <v>591</v>
      </c>
      <c r="B454" s="119">
        <v>6</v>
      </c>
      <c r="C454" s="90" t="s">
        <v>582</v>
      </c>
      <c r="D454" s="90" t="s">
        <v>95</v>
      </c>
      <c r="E454">
        <v>899</v>
      </c>
      <c r="F454">
        <v>900</v>
      </c>
      <c r="G454" s="93" t="s">
        <v>78</v>
      </c>
      <c r="H454" t="s">
        <v>120</v>
      </c>
      <c r="I454">
        <v>3</v>
      </c>
      <c r="J454">
        <v>1231.376544</v>
      </c>
      <c r="K454">
        <f t="shared" si="13"/>
        <v>3694.1296320000001</v>
      </c>
      <c r="L454">
        <v>40</v>
      </c>
      <c r="M454">
        <f t="shared" si="14"/>
        <v>2216.4777792</v>
      </c>
      <c r="N454" s="90">
        <v>454</v>
      </c>
      <c r="O454" s="90" t="s">
        <v>592</v>
      </c>
      <c r="P454" s="118" t="s">
        <v>426</v>
      </c>
      <c r="Q454" s="118" t="s">
        <v>125</v>
      </c>
    </row>
    <row r="455" spans="1:21" x14ac:dyDescent="0.25">
      <c r="A455" s="90" t="s">
        <v>593</v>
      </c>
      <c r="B455" s="119">
        <v>6</v>
      </c>
      <c r="C455" s="90" t="s">
        <v>582</v>
      </c>
      <c r="D455" s="90" t="s">
        <v>96</v>
      </c>
      <c r="E455">
        <v>901</v>
      </c>
      <c r="F455">
        <v>902</v>
      </c>
      <c r="G455" s="93" t="s">
        <v>78</v>
      </c>
      <c r="H455" t="s">
        <v>199</v>
      </c>
      <c r="I455">
        <v>3</v>
      </c>
      <c r="J455">
        <v>862.86769387000004</v>
      </c>
      <c r="K455">
        <f t="shared" si="13"/>
        <v>2588.6030816100001</v>
      </c>
      <c r="L455">
        <v>40</v>
      </c>
      <c r="M455">
        <f t="shared" si="14"/>
        <v>1553.161848966</v>
      </c>
      <c r="N455" s="90">
        <v>455</v>
      </c>
      <c r="O455" s="90" t="s">
        <v>594</v>
      </c>
      <c r="P455" s="118" t="s">
        <v>428</v>
      </c>
      <c r="Q455" s="118" t="s">
        <v>125</v>
      </c>
    </row>
    <row r="456" spans="1:21" x14ac:dyDescent="0.25">
      <c r="A456" s="90" t="s">
        <v>595</v>
      </c>
      <c r="B456" s="119">
        <v>6</v>
      </c>
      <c r="C456" s="90" t="s">
        <v>582</v>
      </c>
      <c r="D456" s="90" t="s">
        <v>103</v>
      </c>
      <c r="E456">
        <v>903</v>
      </c>
      <c r="F456">
        <v>904</v>
      </c>
      <c r="G456" s="93" t="s">
        <v>78</v>
      </c>
      <c r="H456" t="s">
        <v>512</v>
      </c>
      <c r="I456">
        <v>3</v>
      </c>
      <c r="J456">
        <v>4195.5049025799999</v>
      </c>
      <c r="K456">
        <f t="shared" si="13"/>
        <v>12586.51470774</v>
      </c>
      <c r="L456">
        <v>40</v>
      </c>
      <c r="M456">
        <f t="shared" si="14"/>
        <v>7551.9088246439997</v>
      </c>
      <c r="N456" s="90">
        <v>456</v>
      </c>
      <c r="O456" s="90" t="s">
        <v>596</v>
      </c>
      <c r="P456" s="118" t="s">
        <v>430</v>
      </c>
      <c r="Q456" s="118" t="s">
        <v>125</v>
      </c>
    </row>
    <row r="457" spans="1:21" x14ac:dyDescent="0.25">
      <c r="A457" s="90" t="s">
        <v>597</v>
      </c>
      <c r="B457" s="119">
        <v>6</v>
      </c>
      <c r="C457" s="90" t="s">
        <v>582</v>
      </c>
      <c r="D457" s="90" t="s">
        <v>1769</v>
      </c>
      <c r="E457">
        <v>905</v>
      </c>
      <c r="F457">
        <v>906</v>
      </c>
      <c r="G457" s="93" t="s">
        <v>78</v>
      </c>
      <c r="H457" t="s">
        <v>515</v>
      </c>
      <c r="I457">
        <v>1</v>
      </c>
      <c r="J457">
        <v>448.89</v>
      </c>
      <c r="K457">
        <f t="shared" si="13"/>
        <v>448.89</v>
      </c>
      <c r="L457">
        <v>40</v>
      </c>
      <c r="M457">
        <f t="shared" si="14"/>
        <v>269.334</v>
      </c>
      <c r="N457" s="90">
        <v>457</v>
      </c>
      <c r="O457" s="90" t="s">
        <v>598</v>
      </c>
      <c r="P457" s="118" t="s">
        <v>432</v>
      </c>
      <c r="Q457" s="118" t="s">
        <v>125</v>
      </c>
    </row>
    <row r="458" spans="1:21" x14ac:dyDescent="0.25">
      <c r="A458" s="90" t="s">
        <v>599</v>
      </c>
      <c r="B458" s="119">
        <v>6</v>
      </c>
      <c r="C458" s="90" t="s">
        <v>582</v>
      </c>
      <c r="D458" s="90" t="s">
        <v>1770</v>
      </c>
      <c r="E458">
        <v>907</v>
      </c>
      <c r="F458">
        <v>908</v>
      </c>
      <c r="G458" s="93" t="s">
        <v>78</v>
      </c>
      <c r="H458" t="s">
        <v>203</v>
      </c>
      <c r="I458">
        <v>0</v>
      </c>
      <c r="J458">
        <v>214.52947918000001</v>
      </c>
      <c r="K458">
        <f t="shared" si="13"/>
        <v>0</v>
      </c>
      <c r="L458">
        <v>40</v>
      </c>
      <c r="M458">
        <f t="shared" si="14"/>
        <v>0</v>
      </c>
      <c r="N458" s="90">
        <v>458</v>
      </c>
      <c r="O458" s="90" t="s">
        <v>600</v>
      </c>
      <c r="P458" s="118" t="s">
        <v>2494</v>
      </c>
      <c r="Q458" s="118" t="s">
        <v>125</v>
      </c>
    </row>
    <row r="459" spans="1:21" x14ac:dyDescent="0.25">
      <c r="A459" s="90" t="s">
        <v>601</v>
      </c>
      <c r="B459" s="119">
        <v>6</v>
      </c>
      <c r="C459" s="90" t="s">
        <v>582</v>
      </c>
      <c r="D459" s="90" t="s">
        <v>1771</v>
      </c>
      <c r="E459">
        <v>909</v>
      </c>
      <c r="F459">
        <v>910</v>
      </c>
      <c r="G459" s="93" t="s">
        <v>78</v>
      </c>
      <c r="H459" t="s">
        <v>205</v>
      </c>
      <c r="I459">
        <v>0</v>
      </c>
      <c r="J459">
        <v>214.52947918000001</v>
      </c>
      <c r="K459">
        <f t="shared" si="13"/>
        <v>0</v>
      </c>
      <c r="L459">
        <v>40</v>
      </c>
      <c r="M459">
        <f t="shared" si="14"/>
        <v>0</v>
      </c>
      <c r="N459" s="90">
        <v>459</v>
      </c>
      <c r="O459" s="90" t="s">
        <v>602</v>
      </c>
      <c r="P459" s="118" t="s">
        <v>435</v>
      </c>
      <c r="Q459" s="118" t="s">
        <v>125</v>
      </c>
    </row>
    <row r="460" spans="1:21" x14ac:dyDescent="0.25">
      <c r="A460" s="90" t="s">
        <v>603</v>
      </c>
      <c r="B460" s="119">
        <v>6</v>
      </c>
      <c r="C460" s="90" t="s">
        <v>582</v>
      </c>
      <c r="D460" s="90" t="s">
        <v>1772</v>
      </c>
      <c r="E460">
        <v>911</v>
      </c>
      <c r="F460">
        <v>912</v>
      </c>
      <c r="G460" s="93" t="s">
        <v>78</v>
      </c>
      <c r="H460" t="s">
        <v>194</v>
      </c>
      <c r="I460">
        <v>9</v>
      </c>
      <c r="J460">
        <v>256.72991214000001</v>
      </c>
      <c r="K460">
        <f t="shared" si="13"/>
        <v>2310.5692092600002</v>
      </c>
      <c r="L460">
        <v>40</v>
      </c>
      <c r="M460">
        <f t="shared" si="14"/>
        <v>1386.3415255560001</v>
      </c>
      <c r="N460" s="90">
        <v>460</v>
      </c>
      <c r="O460" s="90" t="s">
        <v>604</v>
      </c>
      <c r="P460" s="118" t="s">
        <v>437</v>
      </c>
      <c r="Q460" s="118" t="s">
        <v>125</v>
      </c>
    </row>
    <row r="461" spans="1:21" x14ac:dyDescent="0.25">
      <c r="A461" s="90" t="s">
        <v>605</v>
      </c>
      <c r="B461" s="119">
        <v>5</v>
      </c>
      <c r="C461" s="90" t="s">
        <v>564</v>
      </c>
      <c r="D461" s="90" t="s">
        <v>95</v>
      </c>
      <c r="E461">
        <v>914</v>
      </c>
      <c r="F461">
        <v>921</v>
      </c>
      <c r="G461" s="93" t="s">
        <v>68</v>
      </c>
      <c r="H461" t="s">
        <v>606</v>
      </c>
      <c r="I461">
        <v>8</v>
      </c>
      <c r="J461">
        <f>SUM(K462)</f>
        <v>139.66</v>
      </c>
      <c r="K461">
        <f t="shared" si="13"/>
        <v>1117.28</v>
      </c>
      <c r="L461">
        <f>100*(1-(M461/K461))</f>
        <v>39.999999999999993</v>
      </c>
      <c r="M461">
        <f>I461*SUM(M462)</f>
        <v>670.36800000000005</v>
      </c>
      <c r="N461" s="90">
        <v>461</v>
      </c>
      <c r="O461" s="90" t="s">
        <v>607</v>
      </c>
      <c r="P461" s="118" t="s">
        <v>439</v>
      </c>
      <c r="Q461" s="118" t="s">
        <v>125</v>
      </c>
      <c r="R461" s="90" t="s">
        <v>2258</v>
      </c>
      <c r="S461" s="90" t="s">
        <v>2362</v>
      </c>
      <c r="T461" s="90" t="s">
        <v>2414</v>
      </c>
      <c r="U461" s="90" t="s">
        <v>2310</v>
      </c>
    </row>
    <row r="462" spans="1:21" x14ac:dyDescent="0.25">
      <c r="A462" s="90" t="s">
        <v>608</v>
      </c>
      <c r="B462" s="119">
        <v>6</v>
      </c>
      <c r="C462" s="90" t="s">
        <v>605</v>
      </c>
      <c r="D462" s="90" t="s">
        <v>78</v>
      </c>
      <c r="E462">
        <v>915</v>
      </c>
      <c r="F462">
        <v>920</v>
      </c>
      <c r="G462" s="93" t="s">
        <v>68</v>
      </c>
      <c r="H462" t="s">
        <v>149</v>
      </c>
      <c r="I462">
        <v>1</v>
      </c>
      <c r="J462">
        <f>SUM(K463,K464)</f>
        <v>139.66</v>
      </c>
      <c r="K462">
        <f t="shared" si="13"/>
        <v>139.66</v>
      </c>
      <c r="L462">
        <f>100*(1-(M462/K462))</f>
        <v>39.999999999999993</v>
      </c>
      <c r="M462">
        <f>I462*SUM(M463,M464)</f>
        <v>83.796000000000006</v>
      </c>
      <c r="N462" s="90">
        <v>462</v>
      </c>
      <c r="O462" s="90" t="s">
        <v>609</v>
      </c>
      <c r="P462" s="118" t="s">
        <v>2495</v>
      </c>
      <c r="Q462" s="118" t="s">
        <v>125</v>
      </c>
      <c r="R462" s="90" t="s">
        <v>1804</v>
      </c>
      <c r="S462" s="90" t="s">
        <v>2038</v>
      </c>
      <c r="T462" s="90" t="s">
        <v>2155</v>
      </c>
      <c r="U462" s="90" t="s">
        <v>1921</v>
      </c>
    </row>
    <row r="463" spans="1:21" x14ac:dyDescent="0.25">
      <c r="A463" s="90" t="s">
        <v>610</v>
      </c>
      <c r="B463" s="119">
        <v>7</v>
      </c>
      <c r="C463" s="90" t="s">
        <v>608</v>
      </c>
      <c r="D463" s="90" t="s">
        <v>78</v>
      </c>
      <c r="E463">
        <v>916</v>
      </c>
      <c r="F463">
        <v>917</v>
      </c>
      <c r="G463" s="93" t="s">
        <v>78</v>
      </c>
      <c r="H463" t="s">
        <v>151</v>
      </c>
      <c r="I463">
        <v>2</v>
      </c>
      <c r="J463">
        <v>15.02</v>
      </c>
      <c r="K463">
        <f t="shared" si="13"/>
        <v>30.04</v>
      </c>
      <c r="L463">
        <v>40</v>
      </c>
      <c r="M463">
        <f>(1-(L463/100))*K463</f>
        <v>18.023999999999997</v>
      </c>
      <c r="N463" s="90">
        <v>463</v>
      </c>
      <c r="O463" s="90" t="s">
        <v>611</v>
      </c>
      <c r="P463" s="118" t="s">
        <v>442</v>
      </c>
      <c r="Q463" s="118" t="s">
        <v>125</v>
      </c>
    </row>
    <row r="464" spans="1:21" x14ac:dyDescent="0.25">
      <c r="A464" s="90" t="s">
        <v>612</v>
      </c>
      <c r="B464" s="119">
        <v>7</v>
      </c>
      <c r="C464" s="90" t="s">
        <v>608</v>
      </c>
      <c r="D464" s="90" t="s">
        <v>79</v>
      </c>
      <c r="E464">
        <v>918</v>
      </c>
      <c r="F464">
        <v>919</v>
      </c>
      <c r="G464" s="93" t="s">
        <v>78</v>
      </c>
      <c r="H464" t="s">
        <v>154</v>
      </c>
      <c r="I464">
        <v>2</v>
      </c>
      <c r="J464">
        <v>54.81</v>
      </c>
      <c r="K464">
        <f t="shared" si="13"/>
        <v>109.62</v>
      </c>
      <c r="L464">
        <v>40</v>
      </c>
      <c r="M464">
        <f>(1-(L464/100))*K464</f>
        <v>65.772000000000006</v>
      </c>
      <c r="N464" s="90">
        <v>464</v>
      </c>
      <c r="O464" s="90" t="s">
        <v>613</v>
      </c>
      <c r="P464" s="118" t="s">
        <v>444</v>
      </c>
      <c r="Q464" s="118" t="s">
        <v>125</v>
      </c>
    </row>
    <row r="465" spans="1:21" x14ac:dyDescent="0.25">
      <c r="A465" s="90" t="s">
        <v>614</v>
      </c>
      <c r="B465" s="119">
        <v>4</v>
      </c>
      <c r="C465" s="90" t="s">
        <v>158</v>
      </c>
      <c r="D465" s="90" t="s">
        <v>102</v>
      </c>
      <c r="E465">
        <v>923</v>
      </c>
      <c r="F465">
        <v>946</v>
      </c>
      <c r="G465" s="93" t="s">
        <v>68</v>
      </c>
      <c r="H465" t="s">
        <v>615</v>
      </c>
      <c r="I465">
        <v>1</v>
      </c>
      <c r="J465">
        <f>SUM(K466,K468)</f>
        <v>600306.2789973598</v>
      </c>
      <c r="K465">
        <f t="shared" si="13"/>
        <v>600306.2789973598</v>
      </c>
      <c r="L465">
        <f>100*(1-(M465/K465))</f>
        <v>39.999999999999979</v>
      </c>
      <c r="M465">
        <f>I465*SUM(M466,M468)</f>
        <v>360183.76739841601</v>
      </c>
      <c r="N465" s="90">
        <v>465</v>
      </c>
      <c r="O465" s="90" t="s">
        <v>616</v>
      </c>
      <c r="P465" s="118" t="s">
        <v>446</v>
      </c>
      <c r="Q465" s="118" t="s">
        <v>125</v>
      </c>
      <c r="R465" s="90" t="s">
        <v>2259</v>
      </c>
      <c r="S465" s="90" t="s">
        <v>2363</v>
      </c>
      <c r="T465" s="90" t="s">
        <v>2415</v>
      </c>
      <c r="U465" s="90" t="s">
        <v>2311</v>
      </c>
    </row>
    <row r="466" spans="1:21" x14ac:dyDescent="0.25">
      <c r="A466" s="90" t="s">
        <v>617</v>
      </c>
      <c r="B466" s="119">
        <v>5</v>
      </c>
      <c r="C466" s="90" t="s">
        <v>614</v>
      </c>
      <c r="D466" s="90" t="s">
        <v>78</v>
      </c>
      <c r="E466">
        <v>924</v>
      </c>
      <c r="F466">
        <v>927</v>
      </c>
      <c r="G466" s="93" t="s">
        <v>68</v>
      </c>
      <c r="H466" t="s">
        <v>192</v>
      </c>
      <c r="I466">
        <v>117</v>
      </c>
      <c r="J466">
        <f>SUM(K467)</f>
        <v>256.72991214000001</v>
      </c>
      <c r="K466">
        <f t="shared" si="13"/>
        <v>30037.399720380003</v>
      </c>
      <c r="L466">
        <f>100*(1-(M466/K466))</f>
        <v>39.999999999999993</v>
      </c>
      <c r="M466">
        <f>I466*SUM(M467)</f>
        <v>18022.439832228003</v>
      </c>
      <c r="N466" s="90">
        <v>466</v>
      </c>
      <c r="O466" s="90" t="s">
        <v>618</v>
      </c>
      <c r="P466" s="118" t="s">
        <v>448</v>
      </c>
      <c r="Q466" s="118" t="s">
        <v>125</v>
      </c>
      <c r="R466" s="90" t="s">
        <v>1805</v>
      </c>
      <c r="S466" s="90" t="s">
        <v>2039</v>
      </c>
      <c r="T466" s="90" t="s">
        <v>2156</v>
      </c>
      <c r="U466" s="90" t="s">
        <v>1922</v>
      </c>
    </row>
    <row r="467" spans="1:21" x14ac:dyDescent="0.25">
      <c r="A467" s="90" t="s">
        <v>619</v>
      </c>
      <c r="B467" s="119">
        <v>6</v>
      </c>
      <c r="C467" s="90" t="s">
        <v>617</v>
      </c>
      <c r="D467" s="90" t="s">
        <v>78</v>
      </c>
      <c r="E467">
        <v>925</v>
      </c>
      <c r="F467">
        <v>926</v>
      </c>
      <c r="G467" s="93" t="s">
        <v>78</v>
      </c>
      <c r="H467" t="s">
        <v>194</v>
      </c>
      <c r="I467">
        <v>1</v>
      </c>
      <c r="J467">
        <v>256.72991214000001</v>
      </c>
      <c r="K467">
        <f t="shared" si="13"/>
        <v>256.72991214000001</v>
      </c>
      <c r="L467">
        <v>40</v>
      </c>
      <c r="M467">
        <f>(1-(L467/100))*K467</f>
        <v>154.03794728400001</v>
      </c>
      <c r="N467" s="90">
        <v>467</v>
      </c>
      <c r="O467" s="90" t="s">
        <v>620</v>
      </c>
      <c r="P467" s="118" t="s">
        <v>450</v>
      </c>
      <c r="Q467" s="118" t="s">
        <v>125</v>
      </c>
    </row>
    <row r="468" spans="1:21" x14ac:dyDescent="0.25">
      <c r="A468" s="90" t="s">
        <v>621</v>
      </c>
      <c r="B468" s="119">
        <v>5</v>
      </c>
      <c r="C468" s="90" t="s">
        <v>614</v>
      </c>
      <c r="D468" s="90" t="s">
        <v>79</v>
      </c>
      <c r="E468">
        <v>928</v>
      </c>
      <c r="F468">
        <v>945</v>
      </c>
      <c r="G468" s="93" t="s">
        <v>68</v>
      </c>
      <c r="H468" t="s">
        <v>622</v>
      </c>
      <c r="I468">
        <v>39</v>
      </c>
      <c r="J468">
        <f>SUM(K469,K470,K471,K472,K473,K474,K475,K476)</f>
        <v>14622.278955819997</v>
      </c>
      <c r="K468">
        <f t="shared" si="13"/>
        <v>570268.87927697983</v>
      </c>
      <c r="L468">
        <f>100*(1-(M468/K468))</f>
        <v>39.999999999999979</v>
      </c>
      <c r="M468">
        <f>I468*SUM(M469,M470,M471,M472,M473,M474,M475,M476)</f>
        <v>342161.327566188</v>
      </c>
      <c r="N468" s="90">
        <v>468</v>
      </c>
      <c r="O468" s="90" t="s">
        <v>623</v>
      </c>
      <c r="P468" s="118" t="s">
        <v>452</v>
      </c>
      <c r="Q468" s="118" t="s">
        <v>125</v>
      </c>
      <c r="R468" s="90" t="s">
        <v>1806</v>
      </c>
      <c r="S468" s="90" t="s">
        <v>2040</v>
      </c>
      <c r="T468" s="90" t="s">
        <v>2157</v>
      </c>
      <c r="U468" s="90" t="s">
        <v>1923</v>
      </c>
    </row>
    <row r="469" spans="1:21" x14ac:dyDescent="0.25">
      <c r="A469" s="90" t="s">
        <v>624</v>
      </c>
      <c r="B469" s="119">
        <v>6</v>
      </c>
      <c r="C469" s="90" t="s">
        <v>621</v>
      </c>
      <c r="D469" s="90" t="s">
        <v>78</v>
      </c>
      <c r="E469">
        <v>929</v>
      </c>
      <c r="F469">
        <v>930</v>
      </c>
      <c r="G469" s="93" t="s">
        <v>78</v>
      </c>
      <c r="H469" t="s">
        <v>197</v>
      </c>
      <c r="I469">
        <v>1</v>
      </c>
      <c r="J469">
        <v>10880.466063919999</v>
      </c>
      <c r="K469">
        <f t="shared" si="13"/>
        <v>10880.466063919999</v>
      </c>
      <c r="L469">
        <v>40</v>
      </c>
      <c r="M469">
        <f t="shared" ref="M469:M476" si="15">(1-(L469/100))*K469</f>
        <v>6528.279638351999</v>
      </c>
      <c r="N469" s="90">
        <v>469</v>
      </c>
      <c r="O469" s="90" t="s">
        <v>625</v>
      </c>
      <c r="P469" s="118" t="s">
        <v>454</v>
      </c>
      <c r="Q469" s="118" t="s">
        <v>125</v>
      </c>
    </row>
    <row r="470" spans="1:21" x14ac:dyDescent="0.25">
      <c r="A470" s="90" t="s">
        <v>626</v>
      </c>
      <c r="B470" s="119">
        <v>6</v>
      </c>
      <c r="C470" s="90" t="s">
        <v>621</v>
      </c>
      <c r="D470" s="90" t="s">
        <v>79</v>
      </c>
      <c r="E470">
        <v>931</v>
      </c>
      <c r="F470">
        <v>932</v>
      </c>
      <c r="G470" s="93" t="s">
        <v>78</v>
      </c>
      <c r="H470" t="s">
        <v>141</v>
      </c>
      <c r="I470">
        <v>1</v>
      </c>
      <c r="J470">
        <v>33.99</v>
      </c>
      <c r="K470">
        <f t="shared" si="13"/>
        <v>33.99</v>
      </c>
      <c r="L470">
        <v>40</v>
      </c>
      <c r="M470">
        <f t="shared" si="15"/>
        <v>20.394000000000002</v>
      </c>
      <c r="N470" s="90">
        <v>470</v>
      </c>
      <c r="O470" s="90" t="s">
        <v>627</v>
      </c>
      <c r="P470" s="118" t="s">
        <v>456</v>
      </c>
      <c r="Q470" s="118" t="s">
        <v>125</v>
      </c>
    </row>
    <row r="471" spans="1:21" x14ac:dyDescent="0.25">
      <c r="A471" s="90" t="s">
        <v>628</v>
      </c>
      <c r="B471" s="119">
        <v>6</v>
      </c>
      <c r="C471" s="90" t="s">
        <v>621</v>
      </c>
      <c r="D471" s="90" t="s">
        <v>80</v>
      </c>
      <c r="E471">
        <v>933</v>
      </c>
      <c r="F471">
        <v>934</v>
      </c>
      <c r="G471" s="93" t="s">
        <v>78</v>
      </c>
      <c r="H471" t="s">
        <v>142</v>
      </c>
      <c r="I471">
        <v>1</v>
      </c>
      <c r="J471">
        <v>1625.87546161</v>
      </c>
      <c r="K471">
        <f t="shared" si="13"/>
        <v>1625.87546161</v>
      </c>
      <c r="L471">
        <v>40</v>
      </c>
      <c r="M471">
        <f t="shared" si="15"/>
        <v>975.52527696599998</v>
      </c>
      <c r="N471" s="90">
        <v>471</v>
      </c>
      <c r="O471" s="90" t="s">
        <v>629</v>
      </c>
      <c r="P471" s="118" t="s">
        <v>2496</v>
      </c>
      <c r="Q471" s="118" t="s">
        <v>125</v>
      </c>
    </row>
    <row r="472" spans="1:21" x14ac:dyDescent="0.25">
      <c r="A472" s="90" t="s">
        <v>630</v>
      </c>
      <c r="B472" s="119">
        <v>6</v>
      </c>
      <c r="C472" s="90" t="s">
        <v>621</v>
      </c>
      <c r="D472" s="90" t="s">
        <v>95</v>
      </c>
      <c r="E472">
        <v>935</v>
      </c>
      <c r="F472">
        <v>936</v>
      </c>
      <c r="G472" s="93" t="s">
        <v>78</v>
      </c>
      <c r="H472" t="s">
        <v>199</v>
      </c>
      <c r="I472">
        <v>1</v>
      </c>
      <c r="J472">
        <v>862.86769387000004</v>
      </c>
      <c r="K472">
        <f t="shared" si="13"/>
        <v>862.86769387000004</v>
      </c>
      <c r="L472">
        <v>40</v>
      </c>
      <c r="M472">
        <f t="shared" si="15"/>
        <v>517.72061632199996</v>
      </c>
      <c r="N472" s="90">
        <v>472</v>
      </c>
      <c r="O472" s="90" t="s">
        <v>631</v>
      </c>
      <c r="P472" s="118" t="s">
        <v>459</v>
      </c>
      <c r="Q472" s="118" t="s">
        <v>125</v>
      </c>
    </row>
    <row r="473" spans="1:21" x14ac:dyDescent="0.25">
      <c r="A473" s="90" t="s">
        <v>632</v>
      </c>
      <c r="B473" s="119">
        <v>6</v>
      </c>
      <c r="C473" s="90" t="s">
        <v>621</v>
      </c>
      <c r="D473" s="90" t="s">
        <v>96</v>
      </c>
      <c r="E473">
        <v>937</v>
      </c>
      <c r="F473">
        <v>938</v>
      </c>
      <c r="G473" s="93" t="s">
        <v>78</v>
      </c>
      <c r="H473" t="s">
        <v>515</v>
      </c>
      <c r="I473">
        <v>1</v>
      </c>
      <c r="J473">
        <v>448.89</v>
      </c>
      <c r="K473">
        <f t="shared" si="13"/>
        <v>448.89</v>
      </c>
      <c r="L473">
        <v>40</v>
      </c>
      <c r="M473">
        <f t="shared" si="15"/>
        <v>269.334</v>
      </c>
      <c r="N473" s="90">
        <v>473</v>
      </c>
      <c r="O473" s="90" t="s">
        <v>633</v>
      </c>
      <c r="P473" s="118" t="s">
        <v>461</v>
      </c>
      <c r="Q473" s="118" t="s">
        <v>125</v>
      </c>
    </row>
    <row r="474" spans="1:21" x14ac:dyDescent="0.25">
      <c r="A474" s="90" t="s">
        <v>634</v>
      </c>
      <c r="B474" s="119">
        <v>6</v>
      </c>
      <c r="C474" s="90" t="s">
        <v>621</v>
      </c>
      <c r="D474" s="90" t="s">
        <v>103</v>
      </c>
      <c r="E474">
        <v>939</v>
      </c>
      <c r="F474">
        <v>940</v>
      </c>
      <c r="G474" s="93" t="s">
        <v>78</v>
      </c>
      <c r="H474" t="s">
        <v>203</v>
      </c>
      <c r="I474">
        <v>0</v>
      </c>
      <c r="J474">
        <v>214.52947918000001</v>
      </c>
      <c r="K474">
        <f t="shared" si="13"/>
        <v>0</v>
      </c>
      <c r="L474">
        <v>40</v>
      </c>
      <c r="M474">
        <f t="shared" si="15"/>
        <v>0</v>
      </c>
      <c r="N474" s="90">
        <v>474</v>
      </c>
      <c r="O474" s="90" t="s">
        <v>635</v>
      </c>
      <c r="P474" s="118" t="s">
        <v>463</v>
      </c>
      <c r="Q474" s="118" t="s">
        <v>125</v>
      </c>
    </row>
    <row r="475" spans="1:21" x14ac:dyDescent="0.25">
      <c r="A475" s="90" t="s">
        <v>636</v>
      </c>
      <c r="B475" s="119">
        <v>6</v>
      </c>
      <c r="C475" s="90" t="s">
        <v>621</v>
      </c>
      <c r="D475" s="90" t="s">
        <v>1769</v>
      </c>
      <c r="E475">
        <v>941</v>
      </c>
      <c r="F475">
        <v>942</v>
      </c>
      <c r="G475" s="93" t="s">
        <v>78</v>
      </c>
      <c r="H475" t="s">
        <v>205</v>
      </c>
      <c r="I475">
        <v>0</v>
      </c>
      <c r="J475">
        <v>214.52947918000001</v>
      </c>
      <c r="K475">
        <f t="shared" si="13"/>
        <v>0</v>
      </c>
      <c r="L475">
        <v>40</v>
      </c>
      <c r="M475">
        <f t="shared" si="15"/>
        <v>0</v>
      </c>
      <c r="N475" s="90">
        <v>475</v>
      </c>
      <c r="O475" s="90" t="s">
        <v>637</v>
      </c>
      <c r="P475" s="118" t="s">
        <v>2497</v>
      </c>
      <c r="Q475" s="118" t="s">
        <v>125</v>
      </c>
    </row>
    <row r="476" spans="1:21" x14ac:dyDescent="0.25">
      <c r="A476" s="90" t="s">
        <v>638</v>
      </c>
      <c r="B476" s="119">
        <v>6</v>
      </c>
      <c r="C476" s="90" t="s">
        <v>621</v>
      </c>
      <c r="D476" s="90" t="s">
        <v>1770</v>
      </c>
      <c r="E476">
        <v>943</v>
      </c>
      <c r="F476">
        <v>944</v>
      </c>
      <c r="G476" s="93" t="s">
        <v>78</v>
      </c>
      <c r="H476" t="s">
        <v>194</v>
      </c>
      <c r="I476">
        <v>3</v>
      </c>
      <c r="J476">
        <v>256.72991214000001</v>
      </c>
      <c r="K476">
        <f t="shared" si="13"/>
        <v>770.18973642000003</v>
      </c>
      <c r="L476">
        <v>40</v>
      </c>
      <c r="M476">
        <f t="shared" si="15"/>
        <v>462.11384185200001</v>
      </c>
      <c r="N476" s="90">
        <v>476</v>
      </c>
      <c r="O476" s="90" t="s">
        <v>639</v>
      </c>
      <c r="P476" s="118" t="s">
        <v>466</v>
      </c>
      <c r="Q476" s="118" t="s">
        <v>125</v>
      </c>
    </row>
    <row r="477" spans="1:21" x14ac:dyDescent="0.25">
      <c r="A477" s="90" t="s">
        <v>640</v>
      </c>
      <c r="B477" s="119">
        <v>4</v>
      </c>
      <c r="C477" s="90" t="s">
        <v>158</v>
      </c>
      <c r="D477" s="90" t="s">
        <v>90</v>
      </c>
      <c r="E477">
        <v>947</v>
      </c>
      <c r="F477">
        <v>970</v>
      </c>
      <c r="G477" s="93" t="s">
        <v>68</v>
      </c>
      <c r="H477" t="s">
        <v>641</v>
      </c>
      <c r="I477">
        <v>1</v>
      </c>
      <c r="J477">
        <f>SUM(K478,K480)</f>
        <v>35591.431717899999</v>
      </c>
      <c r="K477">
        <f t="shared" si="13"/>
        <v>35591.431717899999</v>
      </c>
      <c r="L477">
        <f>100*(1-(M477/K477))</f>
        <v>39.999999999999993</v>
      </c>
      <c r="M477">
        <f>I477*SUM(M478,M480)</f>
        <v>21354.859030740005</v>
      </c>
      <c r="N477" s="90">
        <v>477</v>
      </c>
      <c r="O477" s="90" t="s">
        <v>642</v>
      </c>
      <c r="P477" s="118" t="s">
        <v>468</v>
      </c>
      <c r="Q477" s="118" t="s">
        <v>125</v>
      </c>
      <c r="R477" s="90" t="s">
        <v>2260</v>
      </c>
      <c r="S477" s="90" t="s">
        <v>2364</v>
      </c>
      <c r="T477" s="90" t="s">
        <v>2416</v>
      </c>
      <c r="U477" s="90" t="s">
        <v>2312</v>
      </c>
    </row>
    <row r="478" spans="1:21" x14ac:dyDescent="0.25">
      <c r="A478" s="90" t="s">
        <v>643</v>
      </c>
      <c r="B478" s="119">
        <v>5</v>
      </c>
      <c r="C478" s="90" t="s">
        <v>640</v>
      </c>
      <c r="D478" s="90" t="s">
        <v>78</v>
      </c>
      <c r="E478">
        <v>948</v>
      </c>
      <c r="F478">
        <v>951</v>
      </c>
      <c r="G478" s="93" t="s">
        <v>68</v>
      </c>
      <c r="H478" t="s">
        <v>192</v>
      </c>
      <c r="I478">
        <v>12</v>
      </c>
      <c r="J478">
        <f>SUM(K479)</f>
        <v>256.72991214000001</v>
      </c>
      <c r="K478">
        <f t="shared" si="13"/>
        <v>3080.7589456800001</v>
      </c>
      <c r="L478">
        <f>100*(1-(M478/K478))</f>
        <v>39.999999999999993</v>
      </c>
      <c r="M478">
        <f>I478*SUM(M479)</f>
        <v>1848.4553674080003</v>
      </c>
      <c r="N478" s="90">
        <v>478</v>
      </c>
      <c r="O478" s="90" t="s">
        <v>644</v>
      </c>
      <c r="P478" s="118" t="s">
        <v>470</v>
      </c>
      <c r="Q478" s="118" t="s">
        <v>125</v>
      </c>
      <c r="R478" s="90" t="s">
        <v>1807</v>
      </c>
      <c r="S478" s="90" t="s">
        <v>2041</v>
      </c>
      <c r="T478" s="90" t="s">
        <v>2158</v>
      </c>
      <c r="U478" s="90" t="s">
        <v>1924</v>
      </c>
    </row>
    <row r="479" spans="1:21" x14ac:dyDescent="0.25">
      <c r="A479" s="90" t="s">
        <v>645</v>
      </c>
      <c r="B479" s="119">
        <v>6</v>
      </c>
      <c r="C479" s="90" t="s">
        <v>643</v>
      </c>
      <c r="D479" s="90" t="s">
        <v>78</v>
      </c>
      <c r="E479">
        <v>949</v>
      </c>
      <c r="F479">
        <v>950</v>
      </c>
      <c r="G479" s="93" t="s">
        <v>78</v>
      </c>
      <c r="H479" t="s">
        <v>194</v>
      </c>
      <c r="I479">
        <v>1</v>
      </c>
      <c r="J479">
        <v>256.72991214000001</v>
      </c>
      <c r="K479">
        <f t="shared" si="13"/>
        <v>256.72991214000001</v>
      </c>
      <c r="L479">
        <v>40</v>
      </c>
      <c r="M479">
        <f>(1-(L479/100))*K479</f>
        <v>154.03794728400001</v>
      </c>
      <c r="N479" s="90">
        <v>479</v>
      </c>
      <c r="O479" s="90" t="s">
        <v>646</v>
      </c>
      <c r="P479" s="118" t="s">
        <v>472</v>
      </c>
      <c r="Q479" s="118" t="s">
        <v>125</v>
      </c>
    </row>
    <row r="480" spans="1:21" x14ac:dyDescent="0.25">
      <c r="A480" s="90" t="s">
        <v>647</v>
      </c>
      <c r="B480" s="119">
        <v>5</v>
      </c>
      <c r="C480" s="90" t="s">
        <v>640</v>
      </c>
      <c r="D480" s="90" t="s">
        <v>79</v>
      </c>
      <c r="E480">
        <v>952</v>
      </c>
      <c r="F480">
        <v>969</v>
      </c>
      <c r="G480" s="93" t="s">
        <v>68</v>
      </c>
      <c r="H480" t="s">
        <v>648</v>
      </c>
      <c r="I480">
        <v>2</v>
      </c>
      <c r="J480">
        <f>SUM(K481,K482,K483,K484,K485,K486,K487,K488)</f>
        <v>16255.336386109999</v>
      </c>
      <c r="K480">
        <f t="shared" si="13"/>
        <v>32510.672772219998</v>
      </c>
      <c r="L480">
        <f>100*(1-(M480/K480))</f>
        <v>39.999999999999993</v>
      </c>
      <c r="M480">
        <f>I480*SUM(M481,M482,M483,M484,M485,M486,M487,M488)</f>
        <v>19506.403663332003</v>
      </c>
      <c r="N480" s="90">
        <v>480</v>
      </c>
      <c r="O480" s="90" t="s">
        <v>649</v>
      </c>
      <c r="P480" s="118" t="s">
        <v>474</v>
      </c>
      <c r="Q480" s="118" t="s">
        <v>125</v>
      </c>
      <c r="R480" s="90" t="s">
        <v>1808</v>
      </c>
      <c r="S480" s="90" t="s">
        <v>2042</v>
      </c>
      <c r="T480" s="90" t="s">
        <v>2159</v>
      </c>
      <c r="U480" s="90" t="s">
        <v>1925</v>
      </c>
    </row>
    <row r="481" spans="1:21" x14ac:dyDescent="0.25">
      <c r="A481" s="90" t="s">
        <v>650</v>
      </c>
      <c r="B481" s="119">
        <v>6</v>
      </c>
      <c r="C481" s="90" t="s">
        <v>647</v>
      </c>
      <c r="D481" s="90" t="s">
        <v>78</v>
      </c>
      <c r="E481">
        <v>953</v>
      </c>
      <c r="F481">
        <v>954</v>
      </c>
      <c r="G481" s="93" t="s">
        <v>78</v>
      </c>
      <c r="H481" t="s">
        <v>197</v>
      </c>
      <c r="I481">
        <v>1</v>
      </c>
      <c r="J481">
        <v>10880.466063919999</v>
      </c>
      <c r="K481">
        <f t="shared" si="13"/>
        <v>10880.466063919999</v>
      </c>
      <c r="L481">
        <v>40</v>
      </c>
      <c r="M481">
        <f t="shared" ref="M481:M488" si="16">(1-(L481/100))*K481</f>
        <v>6528.279638351999</v>
      </c>
      <c r="N481" s="90">
        <v>481</v>
      </c>
      <c r="O481" s="90" t="s">
        <v>651</v>
      </c>
      <c r="P481" s="118" t="s">
        <v>476</v>
      </c>
      <c r="Q481" s="118" t="s">
        <v>125</v>
      </c>
    </row>
    <row r="482" spans="1:21" x14ac:dyDescent="0.25">
      <c r="A482" s="90" t="s">
        <v>652</v>
      </c>
      <c r="B482" s="119">
        <v>6</v>
      </c>
      <c r="C482" s="90" t="s">
        <v>647</v>
      </c>
      <c r="D482" s="90" t="s">
        <v>79</v>
      </c>
      <c r="E482">
        <v>955</v>
      </c>
      <c r="F482">
        <v>956</v>
      </c>
      <c r="G482" s="93" t="s">
        <v>78</v>
      </c>
      <c r="H482" t="s">
        <v>141</v>
      </c>
      <c r="I482">
        <v>1</v>
      </c>
      <c r="J482">
        <v>33.99</v>
      </c>
      <c r="K482">
        <f t="shared" si="13"/>
        <v>33.99</v>
      </c>
      <c r="L482">
        <v>40</v>
      </c>
      <c r="M482">
        <f t="shared" si="16"/>
        <v>20.394000000000002</v>
      </c>
      <c r="N482" s="90">
        <v>482</v>
      </c>
      <c r="O482" s="90" t="s">
        <v>653</v>
      </c>
      <c r="P482" s="118" t="s">
        <v>478</v>
      </c>
      <c r="Q482" s="118" t="s">
        <v>125</v>
      </c>
    </row>
    <row r="483" spans="1:21" x14ac:dyDescent="0.25">
      <c r="A483" s="90" t="s">
        <v>654</v>
      </c>
      <c r="B483" s="119">
        <v>6</v>
      </c>
      <c r="C483" s="90" t="s">
        <v>647</v>
      </c>
      <c r="D483" s="90" t="s">
        <v>80</v>
      </c>
      <c r="E483">
        <v>957</v>
      </c>
      <c r="F483">
        <v>958</v>
      </c>
      <c r="G483" s="93" t="s">
        <v>78</v>
      </c>
      <c r="H483" t="s">
        <v>142</v>
      </c>
      <c r="I483">
        <v>1</v>
      </c>
      <c r="J483">
        <v>1625.87546161</v>
      </c>
      <c r="K483">
        <f t="shared" si="13"/>
        <v>1625.87546161</v>
      </c>
      <c r="L483">
        <v>40</v>
      </c>
      <c r="M483">
        <f t="shared" si="16"/>
        <v>975.52527696599998</v>
      </c>
      <c r="N483" s="90">
        <v>483</v>
      </c>
      <c r="O483" s="90" t="s">
        <v>655</v>
      </c>
      <c r="P483" s="118" t="s">
        <v>480</v>
      </c>
      <c r="Q483" s="118" t="s">
        <v>125</v>
      </c>
    </row>
    <row r="484" spans="1:21" x14ac:dyDescent="0.25">
      <c r="A484" s="90" t="s">
        <v>656</v>
      </c>
      <c r="B484" s="119">
        <v>6</v>
      </c>
      <c r="C484" s="90" t="s">
        <v>647</v>
      </c>
      <c r="D484" s="90" t="s">
        <v>95</v>
      </c>
      <c r="E484">
        <v>959</v>
      </c>
      <c r="F484">
        <v>960</v>
      </c>
      <c r="G484" s="93" t="s">
        <v>78</v>
      </c>
      <c r="H484" t="s">
        <v>199</v>
      </c>
      <c r="I484">
        <v>2</v>
      </c>
      <c r="J484">
        <v>862.86769387000004</v>
      </c>
      <c r="K484">
        <f t="shared" si="13"/>
        <v>1725.7353877400001</v>
      </c>
      <c r="L484">
        <v>40</v>
      </c>
      <c r="M484">
        <f t="shared" si="16"/>
        <v>1035.4412326439999</v>
      </c>
      <c r="N484" s="90">
        <v>484</v>
      </c>
      <c r="O484" s="90" t="s">
        <v>657</v>
      </c>
      <c r="P484" s="118" t="s">
        <v>2498</v>
      </c>
      <c r="Q484" s="118" t="s">
        <v>125</v>
      </c>
    </row>
    <row r="485" spans="1:21" x14ac:dyDescent="0.25">
      <c r="A485" s="90" t="s">
        <v>658</v>
      </c>
      <c r="B485" s="119">
        <v>6</v>
      </c>
      <c r="C485" s="90" t="s">
        <v>647</v>
      </c>
      <c r="D485" s="90" t="s">
        <v>96</v>
      </c>
      <c r="E485">
        <v>961</v>
      </c>
      <c r="F485">
        <v>962</v>
      </c>
      <c r="G485" s="93" t="s">
        <v>78</v>
      </c>
      <c r="H485" t="s">
        <v>515</v>
      </c>
      <c r="I485">
        <v>1</v>
      </c>
      <c r="J485">
        <v>448.89</v>
      </c>
      <c r="K485">
        <f t="shared" si="13"/>
        <v>448.89</v>
      </c>
      <c r="L485">
        <v>40</v>
      </c>
      <c r="M485">
        <f t="shared" si="16"/>
        <v>269.334</v>
      </c>
      <c r="N485" s="90">
        <v>485</v>
      </c>
      <c r="O485" s="90" t="s">
        <v>659</v>
      </c>
      <c r="P485" s="118" t="s">
        <v>483</v>
      </c>
      <c r="Q485" s="118" t="s">
        <v>125</v>
      </c>
    </row>
    <row r="486" spans="1:21" x14ac:dyDescent="0.25">
      <c r="A486" s="90" t="s">
        <v>660</v>
      </c>
      <c r="B486" s="119">
        <v>6</v>
      </c>
      <c r="C486" s="90" t="s">
        <v>647</v>
      </c>
      <c r="D486" s="90" t="s">
        <v>103</v>
      </c>
      <c r="E486">
        <v>963</v>
      </c>
      <c r="F486">
        <v>964</v>
      </c>
      <c r="G486" s="93" t="s">
        <v>78</v>
      </c>
      <c r="H486" t="s">
        <v>203</v>
      </c>
      <c r="I486">
        <v>0</v>
      </c>
      <c r="J486">
        <v>214.52947918000001</v>
      </c>
      <c r="K486">
        <f t="shared" si="13"/>
        <v>0</v>
      </c>
      <c r="L486">
        <v>40</v>
      </c>
      <c r="M486">
        <f t="shared" si="16"/>
        <v>0</v>
      </c>
      <c r="N486" s="90">
        <v>486</v>
      </c>
      <c r="O486" s="90" t="s">
        <v>661</v>
      </c>
      <c r="P486" s="118" t="s">
        <v>485</v>
      </c>
      <c r="Q486" s="118" t="s">
        <v>125</v>
      </c>
    </row>
    <row r="487" spans="1:21" x14ac:dyDescent="0.25">
      <c r="A487" s="90" t="s">
        <v>662</v>
      </c>
      <c r="B487" s="119">
        <v>6</v>
      </c>
      <c r="C487" s="90" t="s">
        <v>647</v>
      </c>
      <c r="D487" s="90" t="s">
        <v>1769</v>
      </c>
      <c r="E487">
        <v>965</v>
      </c>
      <c r="F487">
        <v>966</v>
      </c>
      <c r="G487" s="93" t="s">
        <v>78</v>
      </c>
      <c r="H487" t="s">
        <v>205</v>
      </c>
      <c r="I487">
        <v>0</v>
      </c>
      <c r="J487">
        <v>214.52947918000001</v>
      </c>
      <c r="K487">
        <f t="shared" si="13"/>
        <v>0</v>
      </c>
      <c r="L487">
        <v>40</v>
      </c>
      <c r="M487">
        <f t="shared" si="16"/>
        <v>0</v>
      </c>
      <c r="N487" s="90">
        <v>487</v>
      </c>
      <c r="O487" s="90" t="s">
        <v>663</v>
      </c>
      <c r="P487" s="118" t="s">
        <v>487</v>
      </c>
      <c r="Q487" s="118" t="s">
        <v>125</v>
      </c>
    </row>
    <row r="488" spans="1:21" x14ac:dyDescent="0.25">
      <c r="A488" s="90" t="s">
        <v>664</v>
      </c>
      <c r="B488" s="119">
        <v>6</v>
      </c>
      <c r="C488" s="90" t="s">
        <v>647</v>
      </c>
      <c r="D488" s="90" t="s">
        <v>1770</v>
      </c>
      <c r="E488">
        <v>967</v>
      </c>
      <c r="F488">
        <v>968</v>
      </c>
      <c r="G488" s="93" t="s">
        <v>78</v>
      </c>
      <c r="H488" t="s">
        <v>194</v>
      </c>
      <c r="I488">
        <v>6</v>
      </c>
      <c r="J488">
        <v>256.72991214000001</v>
      </c>
      <c r="K488">
        <f t="shared" si="13"/>
        <v>1540.3794728400001</v>
      </c>
      <c r="L488">
        <v>40</v>
      </c>
      <c r="M488">
        <f t="shared" si="16"/>
        <v>924.22768370400001</v>
      </c>
      <c r="N488" s="90">
        <v>488</v>
      </c>
      <c r="O488" s="90" t="s">
        <v>665</v>
      </c>
      <c r="P488" s="118" t="s">
        <v>2499</v>
      </c>
      <c r="Q488" s="118" t="s">
        <v>125</v>
      </c>
    </row>
    <row r="489" spans="1:21" x14ac:dyDescent="0.25">
      <c r="A489" s="90" t="s">
        <v>666</v>
      </c>
      <c r="B489" s="119">
        <v>3</v>
      </c>
      <c r="C489" s="90" t="s">
        <v>82</v>
      </c>
      <c r="D489" s="90" t="s">
        <v>103</v>
      </c>
      <c r="E489">
        <v>972</v>
      </c>
      <c r="F489">
        <v>1001</v>
      </c>
      <c r="G489" s="93" t="s">
        <v>68</v>
      </c>
      <c r="H489" t="s">
        <v>667</v>
      </c>
      <c r="I489">
        <v>1</v>
      </c>
      <c r="J489">
        <f>SUM(K490,K495,K500)</f>
        <v>5190955.0490445402</v>
      </c>
      <c r="K489">
        <f t="shared" si="13"/>
        <v>5190955.0490445402</v>
      </c>
      <c r="L489">
        <f>100*(1-(M489/K489))</f>
        <v>79.674732249107507</v>
      </c>
      <c r="M489">
        <f>I489*SUM(M490,M495,M500)</f>
        <v>1055075.5125467759</v>
      </c>
      <c r="N489" s="90">
        <v>489</v>
      </c>
      <c r="O489" s="90" t="s">
        <v>668</v>
      </c>
      <c r="P489" s="118" t="s">
        <v>489</v>
      </c>
      <c r="Q489" s="118" t="s">
        <v>125</v>
      </c>
      <c r="R489" s="90" t="s">
        <v>2449</v>
      </c>
      <c r="S489" s="90" t="s">
        <v>2455</v>
      </c>
      <c r="T489" s="90" t="s">
        <v>2458</v>
      </c>
      <c r="U489" s="90" t="s">
        <v>2452</v>
      </c>
    </row>
    <row r="490" spans="1:21" x14ac:dyDescent="0.25">
      <c r="A490" s="90" t="s">
        <v>669</v>
      </c>
      <c r="B490" s="119">
        <v>4</v>
      </c>
      <c r="C490" s="90" t="s">
        <v>666</v>
      </c>
      <c r="D490" s="90" t="s">
        <v>78</v>
      </c>
      <c r="E490">
        <v>973</v>
      </c>
      <c r="F490">
        <v>982</v>
      </c>
      <c r="G490" s="93" t="s">
        <v>68</v>
      </c>
      <c r="H490" t="s">
        <v>670</v>
      </c>
      <c r="I490">
        <v>1</v>
      </c>
      <c r="J490">
        <f>SUM(K491,K493)</f>
        <v>3203937.34879544</v>
      </c>
      <c r="K490">
        <f t="shared" si="13"/>
        <v>3203937.34879544</v>
      </c>
      <c r="L490">
        <f>100*(1-(M490/K490))</f>
        <v>76</v>
      </c>
      <c r="M490">
        <f>I490*SUM(M491,M493)</f>
        <v>768944.96371090552</v>
      </c>
      <c r="N490" s="90">
        <v>490</v>
      </c>
      <c r="O490" s="90" t="s">
        <v>671</v>
      </c>
      <c r="P490" s="118" t="s">
        <v>491</v>
      </c>
      <c r="Q490" s="118" t="s">
        <v>125</v>
      </c>
      <c r="R490" s="90" t="s">
        <v>2262</v>
      </c>
      <c r="S490" s="90" t="s">
        <v>2366</v>
      </c>
      <c r="T490" s="90" t="s">
        <v>2418</v>
      </c>
      <c r="U490" s="90" t="s">
        <v>2314</v>
      </c>
    </row>
    <row r="491" spans="1:21" x14ac:dyDescent="0.25">
      <c r="A491" s="90" t="s">
        <v>672</v>
      </c>
      <c r="B491" s="119">
        <v>5</v>
      </c>
      <c r="C491" s="90" t="s">
        <v>669</v>
      </c>
      <c r="D491" s="90" t="s">
        <v>78</v>
      </c>
      <c r="E491">
        <v>974</v>
      </c>
      <c r="F491">
        <v>977</v>
      </c>
      <c r="G491" s="93" t="s">
        <v>68</v>
      </c>
      <c r="H491" t="s">
        <v>673</v>
      </c>
      <c r="I491">
        <v>1556</v>
      </c>
      <c r="J491">
        <f>SUM(K492)</f>
        <v>1782.75818159</v>
      </c>
      <c r="K491">
        <f t="shared" si="13"/>
        <v>2773971.7305540401</v>
      </c>
      <c r="L491">
        <f>100*(1-(M491/K491))</f>
        <v>76</v>
      </c>
      <c r="M491">
        <f>I491*SUM(M492)</f>
        <v>665753.21533296956</v>
      </c>
      <c r="N491" s="90">
        <v>491</v>
      </c>
      <c r="O491" s="90" t="s">
        <v>674</v>
      </c>
      <c r="P491" s="118" t="s">
        <v>2500</v>
      </c>
      <c r="Q491" s="118" t="s">
        <v>125</v>
      </c>
      <c r="R491" s="90" t="s">
        <v>1813</v>
      </c>
      <c r="S491" s="90" t="s">
        <v>2047</v>
      </c>
      <c r="T491" s="90" t="s">
        <v>2164</v>
      </c>
      <c r="U491" s="90" t="s">
        <v>1930</v>
      </c>
    </row>
    <row r="492" spans="1:21" x14ac:dyDescent="0.25">
      <c r="A492" s="90" t="s">
        <v>675</v>
      </c>
      <c r="B492" s="119">
        <v>6</v>
      </c>
      <c r="C492" s="90" t="s">
        <v>672</v>
      </c>
      <c r="D492" s="90" t="s">
        <v>78</v>
      </c>
      <c r="E492">
        <v>975</v>
      </c>
      <c r="F492">
        <v>976</v>
      </c>
      <c r="G492" s="93" t="s">
        <v>78</v>
      </c>
      <c r="H492" t="s">
        <v>676</v>
      </c>
      <c r="I492">
        <v>1</v>
      </c>
      <c r="J492">
        <v>1782.75818159</v>
      </c>
      <c r="K492">
        <f t="shared" si="13"/>
        <v>1782.75818159</v>
      </c>
      <c r="L492">
        <v>76</v>
      </c>
      <c r="M492">
        <f>(1-(L492/100))*K492</f>
        <v>427.86196358159998</v>
      </c>
      <c r="N492" s="90">
        <v>492</v>
      </c>
      <c r="O492" s="90" t="s">
        <v>677</v>
      </c>
      <c r="P492" s="118" t="s">
        <v>493</v>
      </c>
      <c r="Q492" s="118" t="s">
        <v>125</v>
      </c>
    </row>
    <row r="493" spans="1:21" x14ac:dyDescent="0.25">
      <c r="A493" s="90" t="s">
        <v>678</v>
      </c>
      <c r="B493" s="119">
        <v>5</v>
      </c>
      <c r="C493" s="90" t="s">
        <v>669</v>
      </c>
      <c r="D493" s="90" t="s">
        <v>79</v>
      </c>
      <c r="E493">
        <v>978</v>
      </c>
      <c r="F493">
        <v>981</v>
      </c>
      <c r="G493" s="93" t="s">
        <v>68</v>
      </c>
      <c r="H493" t="s">
        <v>679</v>
      </c>
      <c r="I493">
        <v>1556</v>
      </c>
      <c r="J493">
        <f>SUM(K494)</f>
        <v>276.32751815</v>
      </c>
      <c r="K493">
        <f t="shared" si="13"/>
        <v>429965.61824139999</v>
      </c>
      <c r="L493">
        <f>100*(1-(M493/K493))</f>
        <v>76</v>
      </c>
      <c r="M493">
        <f>I493*SUM(M494)</f>
        <v>103191.74837793599</v>
      </c>
      <c r="N493" s="90">
        <v>493</v>
      </c>
      <c r="O493" s="90" t="s">
        <v>680</v>
      </c>
      <c r="P493" s="118" t="s">
        <v>495</v>
      </c>
      <c r="Q493" s="118" t="s">
        <v>125</v>
      </c>
      <c r="R493" s="90" t="s">
        <v>1814</v>
      </c>
      <c r="S493" s="90" t="s">
        <v>2048</v>
      </c>
      <c r="T493" s="90" t="s">
        <v>2165</v>
      </c>
      <c r="U493" s="90" t="s">
        <v>1931</v>
      </c>
    </row>
    <row r="494" spans="1:21" x14ac:dyDescent="0.25">
      <c r="A494" s="90" t="s">
        <v>681</v>
      </c>
      <c r="B494" s="119">
        <v>6</v>
      </c>
      <c r="C494" s="90" t="s">
        <v>678</v>
      </c>
      <c r="D494" s="90" t="s">
        <v>78</v>
      </c>
      <c r="E494">
        <v>979</v>
      </c>
      <c r="F494">
        <v>980</v>
      </c>
      <c r="G494" s="93" t="s">
        <v>78</v>
      </c>
      <c r="H494" t="s">
        <v>682</v>
      </c>
      <c r="I494">
        <v>1</v>
      </c>
      <c r="J494">
        <v>276.32751815</v>
      </c>
      <c r="K494">
        <f t="shared" si="13"/>
        <v>276.32751815</v>
      </c>
      <c r="L494">
        <v>76</v>
      </c>
      <c r="M494">
        <f>(1-(L494/100))*K494</f>
        <v>66.318604355999994</v>
      </c>
      <c r="N494" s="90">
        <v>494</v>
      </c>
      <c r="O494" s="90" t="s">
        <v>683</v>
      </c>
      <c r="P494" s="118" t="s">
        <v>497</v>
      </c>
      <c r="Q494" s="118" t="s">
        <v>125</v>
      </c>
    </row>
    <row r="495" spans="1:21" x14ac:dyDescent="0.25">
      <c r="A495" s="90" t="s">
        <v>684</v>
      </c>
      <c r="B495" s="119">
        <v>4</v>
      </c>
      <c r="C495" s="90" t="s">
        <v>666</v>
      </c>
      <c r="D495" s="90" t="s">
        <v>79</v>
      </c>
      <c r="E495">
        <v>983</v>
      </c>
      <c r="F495">
        <v>992</v>
      </c>
      <c r="G495" s="93" t="s">
        <v>68</v>
      </c>
      <c r="H495" t="s">
        <v>685</v>
      </c>
      <c r="I495">
        <v>1</v>
      </c>
      <c r="J495">
        <f>SUM(K496,K498)</f>
        <v>1987017.7002491001</v>
      </c>
      <c r="K495">
        <f t="shared" si="13"/>
        <v>1987017.7002491001</v>
      </c>
      <c r="L495">
        <f>100*(1-(M495/K495))</f>
        <v>85.6</v>
      </c>
      <c r="M495">
        <f>I495*SUM(M496,M498)</f>
        <v>286130.54883587046</v>
      </c>
      <c r="N495" s="90">
        <v>495</v>
      </c>
      <c r="O495" s="90" t="s">
        <v>686</v>
      </c>
      <c r="P495" s="118" t="s">
        <v>2501</v>
      </c>
      <c r="Q495" s="118" t="s">
        <v>125</v>
      </c>
      <c r="R495" s="90" t="s">
        <v>2263</v>
      </c>
      <c r="S495" s="90" t="s">
        <v>2367</v>
      </c>
      <c r="T495" s="90" t="s">
        <v>2419</v>
      </c>
      <c r="U495" s="90" t="s">
        <v>2315</v>
      </c>
    </row>
    <row r="496" spans="1:21" x14ac:dyDescent="0.25">
      <c r="A496" s="90" t="s">
        <v>687</v>
      </c>
      <c r="B496" s="119">
        <v>5</v>
      </c>
      <c r="C496" s="90" t="s">
        <v>684</v>
      </c>
      <c r="D496" s="90" t="s">
        <v>78</v>
      </c>
      <c r="E496">
        <v>984</v>
      </c>
      <c r="F496">
        <v>987</v>
      </c>
      <c r="G496" s="93" t="s">
        <v>68</v>
      </c>
      <c r="H496" t="s">
        <v>673</v>
      </c>
      <c r="I496">
        <v>965</v>
      </c>
      <c r="J496">
        <f>SUM(K497)</f>
        <v>1782.75818159</v>
      </c>
      <c r="K496">
        <f t="shared" si="13"/>
        <v>1720361.6452343501</v>
      </c>
      <c r="L496">
        <f>100*(1-(M496/K496))</f>
        <v>85.6</v>
      </c>
      <c r="M496">
        <f>I496*SUM(M497)</f>
        <v>247732.07691374645</v>
      </c>
      <c r="N496" s="90">
        <v>496</v>
      </c>
      <c r="O496" s="90" t="s">
        <v>688</v>
      </c>
      <c r="P496" s="118" t="s">
        <v>500</v>
      </c>
      <c r="Q496" s="118" t="s">
        <v>125</v>
      </c>
      <c r="R496" s="90" t="s">
        <v>1815</v>
      </c>
      <c r="S496" s="90" t="s">
        <v>2049</v>
      </c>
      <c r="T496" s="90" t="s">
        <v>2166</v>
      </c>
      <c r="U496" s="90" t="s">
        <v>1932</v>
      </c>
    </row>
    <row r="497" spans="1:21" x14ac:dyDescent="0.25">
      <c r="A497" s="90" t="s">
        <v>689</v>
      </c>
      <c r="B497" s="119">
        <v>6</v>
      </c>
      <c r="C497" s="90" t="s">
        <v>687</v>
      </c>
      <c r="D497" s="90" t="s">
        <v>78</v>
      </c>
      <c r="E497">
        <v>985</v>
      </c>
      <c r="F497">
        <v>986</v>
      </c>
      <c r="G497" s="93" t="s">
        <v>78</v>
      </c>
      <c r="H497" t="s">
        <v>676</v>
      </c>
      <c r="I497">
        <v>1</v>
      </c>
      <c r="J497">
        <v>1782.75818159</v>
      </c>
      <c r="K497">
        <f t="shared" si="13"/>
        <v>1782.75818159</v>
      </c>
      <c r="L497">
        <v>85.6</v>
      </c>
      <c r="M497">
        <f>(1-(L497/100))*K497</f>
        <v>256.71717814896004</v>
      </c>
      <c r="N497" s="90">
        <v>497</v>
      </c>
      <c r="O497" s="90" t="s">
        <v>690</v>
      </c>
      <c r="P497" s="118" t="s">
        <v>502</v>
      </c>
      <c r="Q497" s="118" t="s">
        <v>125</v>
      </c>
    </row>
    <row r="498" spans="1:21" x14ac:dyDescent="0.25">
      <c r="A498" s="90" t="s">
        <v>691</v>
      </c>
      <c r="B498" s="119">
        <v>5</v>
      </c>
      <c r="C498" s="90" t="s">
        <v>684</v>
      </c>
      <c r="D498" s="90" t="s">
        <v>79</v>
      </c>
      <c r="E498">
        <v>988</v>
      </c>
      <c r="F498">
        <v>991</v>
      </c>
      <c r="G498" s="93" t="s">
        <v>68</v>
      </c>
      <c r="H498" t="s">
        <v>679</v>
      </c>
      <c r="I498">
        <v>965</v>
      </c>
      <c r="J498">
        <f>SUM(K499)</f>
        <v>276.32751815</v>
      </c>
      <c r="K498">
        <f t="shared" si="13"/>
        <v>266656.05501474999</v>
      </c>
      <c r="L498">
        <f>100*(1-(M498/K498))</f>
        <v>85.6</v>
      </c>
      <c r="M498">
        <f>I498*SUM(M499)</f>
        <v>38398.471922124008</v>
      </c>
      <c r="N498" s="90">
        <v>498</v>
      </c>
      <c r="O498" s="90" t="s">
        <v>692</v>
      </c>
      <c r="P498" s="118" t="s">
        <v>504</v>
      </c>
      <c r="Q498" s="118" t="s">
        <v>125</v>
      </c>
      <c r="R498" s="90" t="s">
        <v>1816</v>
      </c>
      <c r="S498" s="90" t="s">
        <v>2050</v>
      </c>
      <c r="T498" s="90" t="s">
        <v>2167</v>
      </c>
      <c r="U498" s="90" t="s">
        <v>1933</v>
      </c>
    </row>
    <row r="499" spans="1:21" x14ac:dyDescent="0.25">
      <c r="A499" s="90" t="s">
        <v>693</v>
      </c>
      <c r="B499" s="119">
        <v>6</v>
      </c>
      <c r="C499" s="90" t="s">
        <v>691</v>
      </c>
      <c r="D499" s="90" t="s">
        <v>78</v>
      </c>
      <c r="E499">
        <v>989</v>
      </c>
      <c r="F499">
        <v>990</v>
      </c>
      <c r="G499" s="93" t="s">
        <v>78</v>
      </c>
      <c r="H499" t="s">
        <v>682</v>
      </c>
      <c r="I499">
        <v>1</v>
      </c>
      <c r="J499">
        <v>276.32751815</v>
      </c>
      <c r="K499">
        <f t="shared" si="13"/>
        <v>276.32751815</v>
      </c>
      <c r="L499">
        <v>85.6</v>
      </c>
      <c r="M499">
        <f>(1-(L499/100))*K499</f>
        <v>39.791162613600008</v>
      </c>
      <c r="N499" s="90">
        <v>499</v>
      </c>
      <c r="O499" s="90" t="s">
        <v>694</v>
      </c>
      <c r="P499" s="118" t="s">
        <v>506</v>
      </c>
      <c r="Q499" s="118" t="s">
        <v>125</v>
      </c>
    </row>
    <row r="500" spans="1:21" x14ac:dyDescent="0.25">
      <c r="A500" s="90" t="s">
        <v>695</v>
      </c>
      <c r="B500" s="119">
        <v>4</v>
      </c>
      <c r="C500" s="90" t="s">
        <v>666</v>
      </c>
      <c r="D500" s="90" t="s">
        <v>80</v>
      </c>
      <c r="E500">
        <v>993</v>
      </c>
      <c r="F500">
        <v>1000</v>
      </c>
      <c r="G500" s="93" t="s">
        <v>68</v>
      </c>
      <c r="H500" t="s">
        <v>696</v>
      </c>
      <c r="I500">
        <v>1</v>
      </c>
      <c r="J500">
        <f>SUM(K501)</f>
        <v>0</v>
      </c>
      <c r="K500">
        <f t="shared" si="13"/>
        <v>0</v>
      </c>
      <c r="L500" t="e">
        <f>100*(1-(M500/K500))</f>
        <v>#DIV/0!</v>
      </c>
      <c r="M500">
        <f>I500*SUM(M501)</f>
        <v>0</v>
      </c>
      <c r="N500" s="90">
        <v>500</v>
      </c>
      <c r="O500" s="90" t="s">
        <v>697</v>
      </c>
      <c r="P500" s="118" t="s">
        <v>508</v>
      </c>
      <c r="Q500" s="118" t="s">
        <v>125</v>
      </c>
      <c r="R500" s="90" t="s">
        <v>2264</v>
      </c>
      <c r="S500" s="90" t="s">
        <v>2368</v>
      </c>
      <c r="T500" s="90" t="s">
        <v>2420</v>
      </c>
      <c r="U500" s="90" t="s">
        <v>2316</v>
      </c>
    </row>
    <row r="501" spans="1:21" x14ac:dyDescent="0.25">
      <c r="A501" s="90" t="s">
        <v>698</v>
      </c>
      <c r="B501" s="119">
        <v>5</v>
      </c>
      <c r="C501" s="90" t="s">
        <v>695</v>
      </c>
      <c r="D501" s="90" t="s">
        <v>78</v>
      </c>
      <c r="E501">
        <v>994</v>
      </c>
      <c r="F501">
        <v>999</v>
      </c>
      <c r="G501" s="93" t="s">
        <v>68</v>
      </c>
      <c r="H501" t="s">
        <v>699</v>
      </c>
      <c r="I501">
        <v>0</v>
      </c>
      <c r="J501">
        <f>SUM(K502,K503)</f>
        <v>2292.1176620400001</v>
      </c>
      <c r="K501">
        <f t="shared" si="13"/>
        <v>0</v>
      </c>
      <c r="L501" t="e">
        <f>100*(1-(M501/K501))</f>
        <v>#DIV/0!</v>
      </c>
      <c r="M501">
        <f>I501*SUM(M502,M503)</f>
        <v>0</v>
      </c>
      <c r="N501" s="90">
        <v>501</v>
      </c>
      <c r="O501" s="90" t="s">
        <v>700</v>
      </c>
      <c r="P501" s="118" t="s">
        <v>510</v>
      </c>
      <c r="Q501" s="118" t="s">
        <v>125</v>
      </c>
      <c r="R501" s="90" t="s">
        <v>1817</v>
      </c>
      <c r="S501" s="90" t="s">
        <v>2051</v>
      </c>
      <c r="T501" s="90" t="s">
        <v>2168</v>
      </c>
      <c r="U501" s="90" t="s">
        <v>1934</v>
      </c>
    </row>
    <row r="502" spans="1:21" x14ac:dyDescent="0.25">
      <c r="A502" s="90" t="s">
        <v>701</v>
      </c>
      <c r="B502" s="119">
        <v>6</v>
      </c>
      <c r="C502" s="90" t="s">
        <v>698</v>
      </c>
      <c r="D502" s="90" t="s">
        <v>78</v>
      </c>
      <c r="E502">
        <v>995</v>
      </c>
      <c r="F502">
        <v>996</v>
      </c>
      <c r="G502" s="93" t="s">
        <v>78</v>
      </c>
      <c r="H502" t="s">
        <v>702</v>
      </c>
      <c r="I502">
        <v>1</v>
      </c>
      <c r="J502">
        <v>509.35948044999998</v>
      </c>
      <c r="K502">
        <f t="shared" si="13"/>
        <v>509.35948044999998</v>
      </c>
      <c r="L502">
        <v>76</v>
      </c>
      <c r="M502">
        <f>(1-(L502/100))*K502</f>
        <v>122.24627530799999</v>
      </c>
      <c r="N502" s="90">
        <v>502</v>
      </c>
      <c r="O502" s="90" t="s">
        <v>703</v>
      </c>
      <c r="P502" s="118" t="s">
        <v>513</v>
      </c>
      <c r="Q502" s="118" t="s">
        <v>125</v>
      </c>
    </row>
    <row r="503" spans="1:21" x14ac:dyDescent="0.25">
      <c r="A503" s="90" t="s">
        <v>704</v>
      </c>
      <c r="B503" s="119">
        <v>6</v>
      </c>
      <c r="C503" s="90" t="s">
        <v>698</v>
      </c>
      <c r="D503" s="90" t="s">
        <v>79</v>
      </c>
      <c r="E503">
        <v>997</v>
      </c>
      <c r="F503">
        <v>998</v>
      </c>
      <c r="G503" s="93" t="s">
        <v>78</v>
      </c>
      <c r="H503" t="s">
        <v>705</v>
      </c>
      <c r="I503">
        <v>1</v>
      </c>
      <c r="J503">
        <v>1782.75818159</v>
      </c>
      <c r="K503">
        <f t="shared" si="13"/>
        <v>1782.75818159</v>
      </c>
      <c r="L503">
        <v>76</v>
      </c>
      <c r="M503">
        <f>(1-(L503/100))*K503</f>
        <v>427.86196358159998</v>
      </c>
      <c r="N503" s="90">
        <v>503</v>
      </c>
      <c r="O503" s="90" t="s">
        <v>706</v>
      </c>
      <c r="P503" s="118" t="s">
        <v>516</v>
      </c>
      <c r="Q503" s="118" t="s">
        <v>125</v>
      </c>
    </row>
    <row r="504" spans="1:21" x14ac:dyDescent="0.25">
      <c r="A504" s="90" t="s">
        <v>707</v>
      </c>
      <c r="B504" s="119">
        <v>3</v>
      </c>
      <c r="C504" s="90" t="s">
        <v>82</v>
      </c>
      <c r="D504" s="90" t="s">
        <v>1769</v>
      </c>
      <c r="E504">
        <v>1002</v>
      </c>
      <c r="F504">
        <v>1083</v>
      </c>
      <c r="G504" s="93" t="s">
        <v>68</v>
      </c>
      <c r="H504" t="s">
        <v>708</v>
      </c>
      <c r="I504">
        <v>1</v>
      </c>
      <c r="J504">
        <f>SUM(K505,K515,K527,K530,K533,K536,K539,K542)</f>
        <v>6996803.2191427397</v>
      </c>
      <c r="K504">
        <f t="shared" si="13"/>
        <v>6996803.2191427397</v>
      </c>
      <c r="L504">
        <f>100*(1-(M504/K504))</f>
        <v>86.579802791875196</v>
      </c>
      <c r="M504">
        <f>I504*SUM(M505,M515,M527,M530,M533,M536,M539,M542)</f>
        <v>938984.79027338035</v>
      </c>
      <c r="N504" s="90">
        <v>504</v>
      </c>
      <c r="O504" s="90" t="s">
        <v>709</v>
      </c>
      <c r="P504" s="118" t="s">
        <v>518</v>
      </c>
      <c r="Q504" s="118" t="s">
        <v>125</v>
      </c>
      <c r="R504" s="90" t="s">
        <v>2450</v>
      </c>
      <c r="S504" s="90" t="s">
        <v>2456</v>
      </c>
      <c r="T504" s="90" t="s">
        <v>2459</v>
      </c>
      <c r="U504" s="90" t="s">
        <v>2453</v>
      </c>
    </row>
    <row r="505" spans="1:21" x14ac:dyDescent="0.25">
      <c r="A505" s="90" t="s">
        <v>710</v>
      </c>
      <c r="B505" s="119">
        <v>4</v>
      </c>
      <c r="C505" s="90" t="s">
        <v>707</v>
      </c>
      <c r="D505" s="90" t="s">
        <v>78</v>
      </c>
      <c r="E505">
        <v>1003</v>
      </c>
      <c r="F505">
        <v>1022</v>
      </c>
      <c r="G505" s="93" t="s">
        <v>68</v>
      </c>
      <c r="H505" t="s">
        <v>711</v>
      </c>
      <c r="I505">
        <v>1</v>
      </c>
      <c r="J505">
        <f>SUM(K506,K509,K511,K513)</f>
        <v>2915880.5362278</v>
      </c>
      <c r="K505">
        <f t="shared" si="13"/>
        <v>2915880.5362278</v>
      </c>
      <c r="L505">
        <f>100*(1-(M505/K505))</f>
        <v>85.6</v>
      </c>
      <c r="M505">
        <f>I505*SUM(M506,M509,M511,M513)</f>
        <v>419886.79721680324</v>
      </c>
      <c r="N505" s="90">
        <v>505</v>
      </c>
      <c r="O505" s="90" t="s">
        <v>712</v>
      </c>
      <c r="P505" s="118" t="s">
        <v>520</v>
      </c>
      <c r="Q505" s="118" t="s">
        <v>125</v>
      </c>
      <c r="R505" s="90" t="s">
        <v>2265</v>
      </c>
      <c r="S505" s="90" t="s">
        <v>2369</v>
      </c>
      <c r="T505" s="90" t="s">
        <v>2421</v>
      </c>
      <c r="U505" s="90" t="s">
        <v>2317</v>
      </c>
    </row>
    <row r="506" spans="1:21" x14ac:dyDescent="0.25">
      <c r="A506" s="90" t="s">
        <v>713</v>
      </c>
      <c r="B506" s="119">
        <v>5</v>
      </c>
      <c r="C506" s="90" t="s">
        <v>710</v>
      </c>
      <c r="D506" s="90" t="s">
        <v>78</v>
      </c>
      <c r="E506">
        <v>1004</v>
      </c>
      <c r="F506">
        <v>1009</v>
      </c>
      <c r="G506" s="93" t="s">
        <v>68</v>
      </c>
      <c r="H506" t="s">
        <v>699</v>
      </c>
      <c r="I506">
        <v>230</v>
      </c>
      <c r="J506">
        <f>SUM(K507,K508)</f>
        <v>2292.1176620400001</v>
      </c>
      <c r="K506">
        <f t="shared" si="13"/>
        <v>527187.06226919999</v>
      </c>
      <c r="L506">
        <f>100*(1-(M506/K506))</f>
        <v>85.6</v>
      </c>
      <c r="M506">
        <f>I506*SUM(M507,M508)</f>
        <v>75914.936966764813</v>
      </c>
      <c r="N506" s="90">
        <v>506</v>
      </c>
      <c r="O506" s="90" t="s">
        <v>714</v>
      </c>
      <c r="P506" s="118" t="s">
        <v>522</v>
      </c>
      <c r="Q506" s="118" t="s">
        <v>125</v>
      </c>
      <c r="R506" s="90" t="s">
        <v>1818</v>
      </c>
      <c r="S506" s="90" t="s">
        <v>2052</v>
      </c>
      <c r="T506" s="90" t="s">
        <v>2169</v>
      </c>
      <c r="U506" s="90" t="s">
        <v>1935</v>
      </c>
    </row>
    <row r="507" spans="1:21" x14ac:dyDescent="0.25">
      <c r="A507" s="90" t="s">
        <v>715</v>
      </c>
      <c r="B507" s="119">
        <v>6</v>
      </c>
      <c r="C507" s="90" t="s">
        <v>713</v>
      </c>
      <c r="D507" s="90" t="s">
        <v>78</v>
      </c>
      <c r="E507">
        <v>1005</v>
      </c>
      <c r="F507">
        <v>1006</v>
      </c>
      <c r="G507" s="93" t="s">
        <v>78</v>
      </c>
      <c r="H507" t="s">
        <v>702</v>
      </c>
      <c r="I507">
        <v>1</v>
      </c>
      <c r="J507">
        <v>509.35948044999998</v>
      </c>
      <c r="K507">
        <f t="shared" si="13"/>
        <v>509.35948044999998</v>
      </c>
      <c r="L507">
        <v>85.6</v>
      </c>
      <c r="M507">
        <f>(1-(L507/100))*K507</f>
        <v>73.347765184800011</v>
      </c>
      <c r="N507" s="90">
        <v>507</v>
      </c>
      <c r="O507" s="90" t="s">
        <v>716</v>
      </c>
      <c r="P507" s="118" t="s">
        <v>2502</v>
      </c>
      <c r="Q507" s="118" t="s">
        <v>125</v>
      </c>
    </row>
    <row r="508" spans="1:21" x14ac:dyDescent="0.25">
      <c r="A508" s="90" t="s">
        <v>717</v>
      </c>
      <c r="B508" s="119">
        <v>6</v>
      </c>
      <c r="C508" s="90" t="s">
        <v>713</v>
      </c>
      <c r="D508" s="90" t="s">
        <v>79</v>
      </c>
      <c r="E508">
        <v>1007</v>
      </c>
      <c r="F508">
        <v>1008</v>
      </c>
      <c r="G508" s="93" t="s">
        <v>78</v>
      </c>
      <c r="H508" t="s">
        <v>705</v>
      </c>
      <c r="I508">
        <v>1</v>
      </c>
      <c r="J508">
        <v>1782.75818159</v>
      </c>
      <c r="K508">
        <f t="shared" si="13"/>
        <v>1782.75818159</v>
      </c>
      <c r="L508">
        <v>85.6</v>
      </c>
      <c r="M508">
        <f>(1-(L508/100))*K508</f>
        <v>256.71717814896004</v>
      </c>
      <c r="N508" s="90">
        <v>508</v>
      </c>
      <c r="O508" s="90" t="s">
        <v>718</v>
      </c>
      <c r="P508" s="118" t="s">
        <v>525</v>
      </c>
      <c r="Q508" s="118" t="s">
        <v>125</v>
      </c>
    </row>
    <row r="509" spans="1:21" x14ac:dyDescent="0.25">
      <c r="A509" s="90" t="s">
        <v>719</v>
      </c>
      <c r="B509" s="119">
        <v>5</v>
      </c>
      <c r="C509" s="90" t="s">
        <v>710</v>
      </c>
      <c r="D509" s="90" t="s">
        <v>79</v>
      </c>
      <c r="E509">
        <v>1010</v>
      </c>
      <c r="F509">
        <v>1013</v>
      </c>
      <c r="G509" s="93" t="s">
        <v>68</v>
      </c>
      <c r="H509" t="s">
        <v>720</v>
      </c>
      <c r="I509">
        <v>230</v>
      </c>
      <c r="J509">
        <f>SUM(K510)</f>
        <v>303.06889087000002</v>
      </c>
      <c r="K509">
        <f t="shared" si="13"/>
        <v>69705.844900099997</v>
      </c>
      <c r="L509">
        <f>100*(1-(M509/K509))</f>
        <v>85.6</v>
      </c>
      <c r="M509">
        <f>I509*SUM(M510)</f>
        <v>10037.641665614401</v>
      </c>
      <c r="N509" s="90">
        <v>509</v>
      </c>
      <c r="O509" s="90" t="s">
        <v>721</v>
      </c>
      <c r="P509" s="118" t="s">
        <v>527</v>
      </c>
      <c r="Q509" s="118" t="s">
        <v>125</v>
      </c>
      <c r="R509" s="90" t="s">
        <v>1819</v>
      </c>
      <c r="S509" s="90" t="s">
        <v>2053</v>
      </c>
      <c r="T509" s="90" t="s">
        <v>2170</v>
      </c>
      <c r="U509" s="90" t="s">
        <v>1936</v>
      </c>
    </row>
    <row r="510" spans="1:21" x14ac:dyDescent="0.25">
      <c r="A510" s="90" t="s">
        <v>722</v>
      </c>
      <c r="B510" s="119">
        <v>6</v>
      </c>
      <c r="C510" s="90" t="s">
        <v>719</v>
      </c>
      <c r="D510" s="90" t="s">
        <v>78</v>
      </c>
      <c r="E510">
        <v>1011</v>
      </c>
      <c r="F510">
        <v>1012</v>
      </c>
      <c r="G510" s="93" t="s">
        <v>78</v>
      </c>
      <c r="H510" t="s">
        <v>723</v>
      </c>
      <c r="I510">
        <v>1</v>
      </c>
      <c r="J510">
        <v>303.06889087000002</v>
      </c>
      <c r="K510">
        <f t="shared" si="13"/>
        <v>303.06889087000002</v>
      </c>
      <c r="L510">
        <v>85.6</v>
      </c>
      <c r="M510">
        <f>(1-(L510/100))*K510</f>
        <v>43.641920285280008</v>
      </c>
      <c r="N510" s="90">
        <v>510</v>
      </c>
      <c r="O510" s="90" t="s">
        <v>724</v>
      </c>
      <c r="P510" s="118" t="s">
        <v>529</v>
      </c>
      <c r="Q510" s="118" t="s">
        <v>125</v>
      </c>
    </row>
    <row r="511" spans="1:21" x14ac:dyDescent="0.25">
      <c r="A511" s="90" t="s">
        <v>725</v>
      </c>
      <c r="B511" s="119">
        <v>5</v>
      </c>
      <c r="C511" s="90" t="s">
        <v>710</v>
      </c>
      <c r="D511" s="90" t="s">
        <v>80</v>
      </c>
      <c r="E511">
        <v>1014</v>
      </c>
      <c r="F511">
        <v>1017</v>
      </c>
      <c r="G511" s="93" t="s">
        <v>68</v>
      </c>
      <c r="H511" t="s">
        <v>726</v>
      </c>
      <c r="I511">
        <v>230</v>
      </c>
      <c r="J511">
        <f>SUM(K512)</f>
        <v>1069.6549089499999</v>
      </c>
      <c r="K511">
        <f t="shared" si="13"/>
        <v>246020.6290585</v>
      </c>
      <c r="L511">
        <f>100*(1-(M511/K511))</f>
        <v>85.6</v>
      </c>
      <c r="M511">
        <f>I511*SUM(M512)</f>
        <v>35426.970584424002</v>
      </c>
      <c r="N511" s="90">
        <v>511</v>
      </c>
      <c r="O511" s="90" t="s">
        <v>727</v>
      </c>
      <c r="P511" s="118" t="s">
        <v>2503</v>
      </c>
      <c r="Q511" s="118" t="s">
        <v>125</v>
      </c>
      <c r="R511" s="90" t="s">
        <v>1820</v>
      </c>
      <c r="S511" s="90" t="s">
        <v>2054</v>
      </c>
      <c r="T511" s="90" t="s">
        <v>2171</v>
      </c>
      <c r="U511" s="90" t="s">
        <v>1937</v>
      </c>
    </row>
    <row r="512" spans="1:21" x14ac:dyDescent="0.25">
      <c r="A512" s="90" t="s">
        <v>728</v>
      </c>
      <c r="B512" s="119">
        <v>6</v>
      </c>
      <c r="C512" s="90" t="s">
        <v>725</v>
      </c>
      <c r="D512" s="90" t="s">
        <v>78</v>
      </c>
      <c r="E512">
        <v>1015</v>
      </c>
      <c r="F512">
        <v>1016</v>
      </c>
      <c r="G512" s="93" t="s">
        <v>78</v>
      </c>
      <c r="H512" t="s">
        <v>729</v>
      </c>
      <c r="I512">
        <v>1</v>
      </c>
      <c r="J512">
        <v>1069.6549089499999</v>
      </c>
      <c r="K512">
        <f t="shared" si="13"/>
        <v>1069.6549089499999</v>
      </c>
      <c r="L512">
        <v>85.6</v>
      </c>
      <c r="M512">
        <f>(1-(L512/100))*K512</f>
        <v>154.0303068888</v>
      </c>
      <c r="N512" s="90">
        <v>512</v>
      </c>
      <c r="O512" s="90" t="s">
        <v>730</v>
      </c>
      <c r="P512" s="118" t="s">
        <v>532</v>
      </c>
      <c r="Q512" s="118" t="s">
        <v>125</v>
      </c>
    </row>
    <row r="513" spans="1:21" x14ac:dyDescent="0.25">
      <c r="A513" s="90" t="s">
        <v>731</v>
      </c>
      <c r="B513" s="119">
        <v>5</v>
      </c>
      <c r="C513" s="90" t="s">
        <v>710</v>
      </c>
      <c r="D513" s="90" t="s">
        <v>95</v>
      </c>
      <c r="E513">
        <v>1018</v>
      </c>
      <c r="F513">
        <v>1021</v>
      </c>
      <c r="G513" s="93" t="s">
        <v>68</v>
      </c>
      <c r="H513" t="s">
        <v>732</v>
      </c>
      <c r="I513">
        <v>230</v>
      </c>
      <c r="J513">
        <f>SUM(K514)</f>
        <v>9012.9</v>
      </c>
      <c r="K513">
        <f t="shared" si="13"/>
        <v>2072967</v>
      </c>
      <c r="L513">
        <f>100*(1-(M513/K513))</f>
        <v>85.6</v>
      </c>
      <c r="M513">
        <f>I513*SUM(M514)</f>
        <v>298507.24800000002</v>
      </c>
      <c r="N513" s="90">
        <v>513</v>
      </c>
      <c r="O513" s="90" t="s">
        <v>733</v>
      </c>
      <c r="P513" s="118" t="s">
        <v>534</v>
      </c>
      <c r="Q513" s="118" t="s">
        <v>125</v>
      </c>
      <c r="R513" s="90" t="s">
        <v>1821</v>
      </c>
      <c r="S513" s="90" t="s">
        <v>2055</v>
      </c>
      <c r="T513" s="90" t="s">
        <v>2172</v>
      </c>
      <c r="U513" s="90" t="s">
        <v>1938</v>
      </c>
    </row>
    <row r="514" spans="1:21" x14ac:dyDescent="0.25">
      <c r="A514" s="90" t="s">
        <v>734</v>
      </c>
      <c r="B514" s="119">
        <v>6</v>
      </c>
      <c r="C514" s="90" t="s">
        <v>731</v>
      </c>
      <c r="D514" s="90" t="s">
        <v>78</v>
      </c>
      <c r="E514">
        <v>1019</v>
      </c>
      <c r="F514">
        <v>1020</v>
      </c>
      <c r="G514" s="93" t="s">
        <v>78</v>
      </c>
      <c r="H514" t="s">
        <v>735</v>
      </c>
      <c r="I514">
        <v>1</v>
      </c>
      <c r="J514">
        <v>9012.9</v>
      </c>
      <c r="K514">
        <f t="shared" si="13"/>
        <v>9012.9</v>
      </c>
      <c r="L514">
        <v>85.6</v>
      </c>
      <c r="M514">
        <f>(1-(L514/100))*K514</f>
        <v>1297.8576</v>
      </c>
      <c r="N514" s="90">
        <v>514</v>
      </c>
      <c r="O514" s="90" t="s">
        <v>736</v>
      </c>
      <c r="P514" s="118" t="s">
        <v>2504</v>
      </c>
      <c r="Q514" s="118" t="s">
        <v>125</v>
      </c>
    </row>
    <row r="515" spans="1:21" x14ac:dyDescent="0.25">
      <c r="A515" s="90" t="s">
        <v>737</v>
      </c>
      <c r="B515" s="119">
        <v>4</v>
      </c>
      <c r="C515" s="90" t="s">
        <v>707</v>
      </c>
      <c r="D515" s="90" t="s">
        <v>79</v>
      </c>
      <c r="E515">
        <v>1023</v>
      </c>
      <c r="F515">
        <v>1046</v>
      </c>
      <c r="G515" s="93" t="s">
        <v>68</v>
      </c>
      <c r="H515" t="s">
        <v>738</v>
      </c>
      <c r="I515">
        <v>1</v>
      </c>
      <c r="J515">
        <f>SUM(K516,K519,K521,K523,K525)</f>
        <v>2563240.2685473198</v>
      </c>
      <c r="K515">
        <f t="shared" ref="K515:K578" si="17">I515*J515</f>
        <v>2563240.2685473198</v>
      </c>
      <c r="L515">
        <f>100*(1-(M515/K515))</f>
        <v>88</v>
      </c>
      <c r="M515">
        <f>I515*SUM(M516,M519,M521,M523,M525)</f>
        <v>307588.83222567837</v>
      </c>
      <c r="N515" s="90">
        <v>515</v>
      </c>
      <c r="O515" s="90" t="s">
        <v>739</v>
      </c>
      <c r="P515" s="118" t="s">
        <v>536</v>
      </c>
      <c r="Q515" s="118" t="s">
        <v>125</v>
      </c>
      <c r="R515" s="90" t="s">
        <v>2266</v>
      </c>
      <c r="S515" s="90" t="s">
        <v>2370</v>
      </c>
      <c r="T515" s="90" t="s">
        <v>2422</v>
      </c>
      <c r="U515" s="90" t="s">
        <v>2318</v>
      </c>
    </row>
    <row r="516" spans="1:21" x14ac:dyDescent="0.25">
      <c r="A516" s="90" t="s">
        <v>740</v>
      </c>
      <c r="B516" s="119">
        <v>5</v>
      </c>
      <c r="C516" s="90" t="s">
        <v>737</v>
      </c>
      <c r="D516" s="90" t="s">
        <v>78</v>
      </c>
      <c r="E516">
        <v>1024</v>
      </c>
      <c r="F516">
        <v>1029</v>
      </c>
      <c r="G516" s="93" t="s">
        <v>68</v>
      </c>
      <c r="H516" t="s">
        <v>699</v>
      </c>
      <c r="I516">
        <v>197</v>
      </c>
      <c r="J516">
        <f>SUM(K517,K518)</f>
        <v>2292.1176620400001</v>
      </c>
      <c r="K516">
        <f t="shared" si="17"/>
        <v>451547.17942188005</v>
      </c>
      <c r="L516">
        <f>100*(1-(M516/K516))</f>
        <v>88</v>
      </c>
      <c r="M516">
        <f>I516*SUM(M517,M518)</f>
        <v>54185.661530625599</v>
      </c>
      <c r="N516" s="90">
        <v>516</v>
      </c>
      <c r="O516" s="90" t="s">
        <v>741</v>
      </c>
      <c r="P516" s="118" t="s">
        <v>538</v>
      </c>
      <c r="Q516" s="118" t="s">
        <v>125</v>
      </c>
      <c r="R516" s="90" t="s">
        <v>1822</v>
      </c>
      <c r="S516" s="90" t="s">
        <v>2056</v>
      </c>
      <c r="T516" s="90" t="s">
        <v>2173</v>
      </c>
      <c r="U516" s="90" t="s">
        <v>1939</v>
      </c>
    </row>
    <row r="517" spans="1:21" x14ac:dyDescent="0.25">
      <c r="A517" s="90" t="s">
        <v>742</v>
      </c>
      <c r="B517" s="119">
        <v>6</v>
      </c>
      <c r="C517" s="90" t="s">
        <v>740</v>
      </c>
      <c r="D517" s="90" t="s">
        <v>78</v>
      </c>
      <c r="E517">
        <v>1025</v>
      </c>
      <c r="F517">
        <v>1026</v>
      </c>
      <c r="G517" s="93" t="s">
        <v>78</v>
      </c>
      <c r="H517" t="s">
        <v>702</v>
      </c>
      <c r="I517">
        <v>1</v>
      </c>
      <c r="J517">
        <v>509.35948044999998</v>
      </c>
      <c r="K517">
        <f t="shared" si="17"/>
        <v>509.35948044999998</v>
      </c>
      <c r="L517">
        <v>88</v>
      </c>
      <c r="M517">
        <f>(1-(L517/100))*K517</f>
        <v>61.123137653999997</v>
      </c>
      <c r="N517" s="90">
        <v>517</v>
      </c>
      <c r="O517" s="90" t="s">
        <v>743</v>
      </c>
      <c r="P517" s="118" t="s">
        <v>540</v>
      </c>
      <c r="Q517" s="118" t="s">
        <v>125</v>
      </c>
    </row>
    <row r="518" spans="1:21" x14ac:dyDescent="0.25">
      <c r="A518" s="90" t="s">
        <v>744</v>
      </c>
      <c r="B518" s="119">
        <v>6</v>
      </c>
      <c r="C518" s="90" t="s">
        <v>740</v>
      </c>
      <c r="D518" s="90" t="s">
        <v>79</v>
      </c>
      <c r="E518">
        <v>1027</v>
      </c>
      <c r="F518">
        <v>1028</v>
      </c>
      <c r="G518" s="93" t="s">
        <v>78</v>
      </c>
      <c r="H518" t="s">
        <v>705</v>
      </c>
      <c r="I518">
        <v>1</v>
      </c>
      <c r="J518">
        <v>1782.75818159</v>
      </c>
      <c r="K518">
        <f t="shared" si="17"/>
        <v>1782.75818159</v>
      </c>
      <c r="L518">
        <v>88</v>
      </c>
      <c r="M518">
        <f>(1-(L518/100))*K518</f>
        <v>213.93098179079999</v>
      </c>
      <c r="N518" s="90">
        <v>518</v>
      </c>
      <c r="O518" s="90" t="s">
        <v>745</v>
      </c>
      <c r="P518" s="118" t="s">
        <v>2505</v>
      </c>
      <c r="Q518" s="118" t="s">
        <v>125</v>
      </c>
    </row>
    <row r="519" spans="1:21" x14ac:dyDescent="0.25">
      <c r="A519" s="90" t="s">
        <v>746</v>
      </c>
      <c r="B519" s="119">
        <v>5</v>
      </c>
      <c r="C519" s="90" t="s">
        <v>737</v>
      </c>
      <c r="D519" s="90" t="s">
        <v>79</v>
      </c>
      <c r="E519">
        <v>1030</v>
      </c>
      <c r="F519">
        <v>1033</v>
      </c>
      <c r="G519" s="93" t="s">
        <v>68</v>
      </c>
      <c r="H519" t="s">
        <v>720</v>
      </c>
      <c r="I519">
        <v>197</v>
      </c>
      <c r="J519">
        <f>SUM(K520)</f>
        <v>303.06889087000002</v>
      </c>
      <c r="K519">
        <f t="shared" si="17"/>
        <v>59704.571501390004</v>
      </c>
      <c r="L519">
        <f>100*(1-(M519/K519))</f>
        <v>88</v>
      </c>
      <c r="M519">
        <f>I519*SUM(M520)</f>
        <v>7164.5485801668001</v>
      </c>
      <c r="N519" s="90">
        <v>519</v>
      </c>
      <c r="O519" s="90" t="s">
        <v>747</v>
      </c>
      <c r="P519" s="118" t="s">
        <v>543</v>
      </c>
      <c r="Q519" s="118" t="s">
        <v>125</v>
      </c>
      <c r="R519" s="90" t="s">
        <v>1823</v>
      </c>
      <c r="S519" s="90" t="s">
        <v>2057</v>
      </c>
      <c r="T519" s="90" t="s">
        <v>2174</v>
      </c>
      <c r="U519" s="90" t="s">
        <v>1940</v>
      </c>
    </row>
    <row r="520" spans="1:21" x14ac:dyDescent="0.25">
      <c r="A520" s="90" t="s">
        <v>748</v>
      </c>
      <c r="B520" s="119">
        <v>6</v>
      </c>
      <c r="C520" s="90" t="s">
        <v>746</v>
      </c>
      <c r="D520" s="90" t="s">
        <v>78</v>
      </c>
      <c r="E520">
        <v>1031</v>
      </c>
      <c r="F520">
        <v>1032</v>
      </c>
      <c r="G520" s="93" t="s">
        <v>78</v>
      </c>
      <c r="H520" t="s">
        <v>723</v>
      </c>
      <c r="I520">
        <v>1</v>
      </c>
      <c r="J520">
        <v>303.06889087000002</v>
      </c>
      <c r="K520">
        <f t="shared" si="17"/>
        <v>303.06889087000002</v>
      </c>
      <c r="L520">
        <v>88</v>
      </c>
      <c r="M520">
        <f>(1-(L520/100))*K520</f>
        <v>36.368266904400002</v>
      </c>
      <c r="N520" s="90">
        <v>520</v>
      </c>
      <c r="O520" s="90" t="s">
        <v>749</v>
      </c>
      <c r="P520" s="118" t="s">
        <v>545</v>
      </c>
      <c r="Q520" s="118" t="s">
        <v>125</v>
      </c>
    </row>
    <row r="521" spans="1:21" x14ac:dyDescent="0.25">
      <c r="A521" s="90" t="s">
        <v>750</v>
      </c>
      <c r="B521" s="119">
        <v>5</v>
      </c>
      <c r="C521" s="90" t="s">
        <v>737</v>
      </c>
      <c r="D521" s="90" t="s">
        <v>80</v>
      </c>
      <c r="E521">
        <v>1034</v>
      </c>
      <c r="F521">
        <v>1037</v>
      </c>
      <c r="G521" s="93" t="s">
        <v>68</v>
      </c>
      <c r="H521" t="s">
        <v>751</v>
      </c>
      <c r="I521">
        <v>197</v>
      </c>
      <c r="J521">
        <f>SUM(K522)</f>
        <v>333.63045970000002</v>
      </c>
      <c r="K521">
        <f t="shared" si="17"/>
        <v>65725.200560900004</v>
      </c>
      <c r="L521">
        <f>100*(1-(M521/K521))</f>
        <v>88</v>
      </c>
      <c r="M521">
        <f>I521*SUM(M522)</f>
        <v>7887.0240673079998</v>
      </c>
      <c r="N521" s="90">
        <v>521</v>
      </c>
      <c r="O521" s="90" t="s">
        <v>752</v>
      </c>
      <c r="P521" s="118" t="s">
        <v>547</v>
      </c>
      <c r="Q521" s="118" t="s">
        <v>125</v>
      </c>
      <c r="R521" s="90" t="s">
        <v>1824</v>
      </c>
      <c r="S521" s="90" t="s">
        <v>2058</v>
      </c>
      <c r="T521" s="90" t="s">
        <v>2175</v>
      </c>
      <c r="U521" s="90" t="s">
        <v>1941</v>
      </c>
    </row>
    <row r="522" spans="1:21" x14ac:dyDescent="0.25">
      <c r="A522" s="90" t="s">
        <v>753</v>
      </c>
      <c r="B522" s="119">
        <v>6</v>
      </c>
      <c r="C522" s="90" t="s">
        <v>750</v>
      </c>
      <c r="D522" s="90" t="s">
        <v>78</v>
      </c>
      <c r="E522">
        <v>1035</v>
      </c>
      <c r="F522">
        <v>1036</v>
      </c>
      <c r="G522" s="93" t="s">
        <v>78</v>
      </c>
      <c r="H522" t="s">
        <v>754</v>
      </c>
      <c r="I522">
        <v>1</v>
      </c>
      <c r="J522">
        <v>333.63045970000002</v>
      </c>
      <c r="K522">
        <f t="shared" si="17"/>
        <v>333.63045970000002</v>
      </c>
      <c r="L522">
        <v>88</v>
      </c>
      <c r="M522">
        <f>(1-(L522/100))*K522</f>
        <v>40.035655163999998</v>
      </c>
      <c r="N522" s="90">
        <v>522</v>
      </c>
      <c r="O522" s="90" t="s">
        <v>755</v>
      </c>
      <c r="P522" s="118" t="s">
        <v>549</v>
      </c>
      <c r="Q522" s="118" t="s">
        <v>125</v>
      </c>
    </row>
    <row r="523" spans="1:21" x14ac:dyDescent="0.25">
      <c r="A523" s="90" t="s">
        <v>756</v>
      </c>
      <c r="B523" s="119">
        <v>5</v>
      </c>
      <c r="C523" s="90" t="s">
        <v>737</v>
      </c>
      <c r="D523" s="90" t="s">
        <v>95</v>
      </c>
      <c r="E523">
        <v>1038</v>
      </c>
      <c r="F523">
        <v>1041</v>
      </c>
      <c r="G523" s="93" t="s">
        <v>68</v>
      </c>
      <c r="H523" t="s">
        <v>726</v>
      </c>
      <c r="I523">
        <v>197</v>
      </c>
      <c r="J523">
        <f>SUM(K524)</f>
        <v>1069.6549089499999</v>
      </c>
      <c r="K523">
        <f t="shared" si="17"/>
        <v>210722.01706314998</v>
      </c>
      <c r="L523">
        <f>100*(1-(M523/K523))</f>
        <v>88</v>
      </c>
      <c r="M523">
        <f>I523*SUM(M524)</f>
        <v>25286.642047577996</v>
      </c>
      <c r="N523" s="90">
        <v>523</v>
      </c>
      <c r="O523" s="90" t="s">
        <v>757</v>
      </c>
      <c r="P523" s="118" t="s">
        <v>551</v>
      </c>
      <c r="Q523" s="118" t="s">
        <v>125</v>
      </c>
      <c r="R523" s="90" t="s">
        <v>1825</v>
      </c>
      <c r="S523" s="90" t="s">
        <v>2059</v>
      </c>
      <c r="T523" s="90" t="s">
        <v>2176</v>
      </c>
      <c r="U523" s="90" t="s">
        <v>1942</v>
      </c>
    </row>
    <row r="524" spans="1:21" x14ac:dyDescent="0.25">
      <c r="A524" s="90" t="s">
        <v>758</v>
      </c>
      <c r="B524" s="119">
        <v>6</v>
      </c>
      <c r="C524" s="90" t="s">
        <v>756</v>
      </c>
      <c r="D524" s="90" t="s">
        <v>78</v>
      </c>
      <c r="E524">
        <v>1039</v>
      </c>
      <c r="F524">
        <v>1040</v>
      </c>
      <c r="G524" s="93" t="s">
        <v>78</v>
      </c>
      <c r="H524" t="s">
        <v>729</v>
      </c>
      <c r="I524">
        <v>1</v>
      </c>
      <c r="J524">
        <v>1069.6549089499999</v>
      </c>
      <c r="K524">
        <f t="shared" si="17"/>
        <v>1069.6549089499999</v>
      </c>
      <c r="L524">
        <v>88</v>
      </c>
      <c r="M524">
        <f>(1-(L524/100))*K524</f>
        <v>128.35858907399998</v>
      </c>
      <c r="N524" s="90">
        <v>524</v>
      </c>
      <c r="O524" s="90" t="s">
        <v>759</v>
      </c>
      <c r="P524" s="118" t="s">
        <v>553</v>
      </c>
      <c r="Q524" s="118" t="s">
        <v>125</v>
      </c>
    </row>
    <row r="525" spans="1:21" x14ac:dyDescent="0.25">
      <c r="A525" s="90" t="s">
        <v>760</v>
      </c>
      <c r="B525" s="119">
        <v>5</v>
      </c>
      <c r="C525" s="90" t="s">
        <v>737</v>
      </c>
      <c r="D525" s="90" t="s">
        <v>96</v>
      </c>
      <c r="E525">
        <v>1042</v>
      </c>
      <c r="F525">
        <v>1045</v>
      </c>
      <c r="G525" s="93" t="s">
        <v>68</v>
      </c>
      <c r="H525" t="s">
        <v>732</v>
      </c>
      <c r="I525">
        <v>197</v>
      </c>
      <c r="J525">
        <f>SUM(K526)</f>
        <v>9012.9</v>
      </c>
      <c r="K525">
        <f t="shared" si="17"/>
        <v>1775541.2999999998</v>
      </c>
      <c r="L525">
        <f>100*(1-(M525/K525))</f>
        <v>88</v>
      </c>
      <c r="M525">
        <f>I525*SUM(M526)</f>
        <v>213064.95600000001</v>
      </c>
      <c r="N525" s="90">
        <v>525</v>
      </c>
      <c r="O525" s="90" t="s">
        <v>761</v>
      </c>
      <c r="P525" s="118" t="s">
        <v>555</v>
      </c>
      <c r="Q525" s="118" t="s">
        <v>125</v>
      </c>
      <c r="R525" s="90" t="s">
        <v>1826</v>
      </c>
      <c r="S525" s="90" t="s">
        <v>2060</v>
      </c>
      <c r="T525" s="90" t="s">
        <v>2177</v>
      </c>
      <c r="U525" s="90" t="s">
        <v>1943</v>
      </c>
    </row>
    <row r="526" spans="1:21" x14ac:dyDescent="0.25">
      <c r="A526" s="90" t="s">
        <v>762</v>
      </c>
      <c r="B526" s="119">
        <v>6</v>
      </c>
      <c r="C526" s="90" t="s">
        <v>760</v>
      </c>
      <c r="D526" s="90" t="s">
        <v>78</v>
      </c>
      <c r="E526">
        <v>1043</v>
      </c>
      <c r="F526">
        <v>1044</v>
      </c>
      <c r="G526" s="93" t="s">
        <v>78</v>
      </c>
      <c r="H526" t="s">
        <v>735</v>
      </c>
      <c r="I526">
        <v>1</v>
      </c>
      <c r="J526">
        <v>9012.9</v>
      </c>
      <c r="K526">
        <f t="shared" si="17"/>
        <v>9012.9</v>
      </c>
      <c r="L526">
        <v>88</v>
      </c>
      <c r="M526">
        <f>(1-(L526/100))*K526</f>
        <v>1081.548</v>
      </c>
      <c r="N526" s="90">
        <v>526</v>
      </c>
      <c r="O526" s="90" t="s">
        <v>763</v>
      </c>
      <c r="P526" s="118" t="s">
        <v>557</v>
      </c>
      <c r="Q526" s="118" t="s">
        <v>125</v>
      </c>
    </row>
    <row r="527" spans="1:21" x14ac:dyDescent="0.25">
      <c r="A527" s="90" t="s">
        <v>764</v>
      </c>
      <c r="B527" s="119">
        <v>4</v>
      </c>
      <c r="C527" s="90" t="s">
        <v>707</v>
      </c>
      <c r="D527" s="90" t="s">
        <v>80</v>
      </c>
      <c r="E527">
        <v>1047</v>
      </c>
      <c r="F527">
        <v>1052</v>
      </c>
      <c r="G527" s="93" t="s">
        <v>68</v>
      </c>
      <c r="H527" t="s">
        <v>765</v>
      </c>
      <c r="I527">
        <v>1</v>
      </c>
      <c r="J527">
        <f>SUM(K528)</f>
        <v>162811.6643336</v>
      </c>
      <c r="K527">
        <f t="shared" si="17"/>
        <v>162811.6643336</v>
      </c>
      <c r="L527">
        <f>100*(1-(M527/K527))</f>
        <v>76</v>
      </c>
      <c r="M527">
        <f>I527*SUM(M528)</f>
        <v>39074.799440063995</v>
      </c>
      <c r="N527" s="90">
        <v>527</v>
      </c>
      <c r="O527" s="90" t="s">
        <v>766</v>
      </c>
      <c r="P527" s="118" t="s">
        <v>559</v>
      </c>
      <c r="Q527" s="118" t="s">
        <v>125</v>
      </c>
      <c r="R527" s="90" t="s">
        <v>2267</v>
      </c>
      <c r="S527" s="90" t="s">
        <v>2371</v>
      </c>
      <c r="T527" s="90" t="s">
        <v>2423</v>
      </c>
      <c r="U527" s="90" t="s">
        <v>2319</v>
      </c>
    </row>
    <row r="528" spans="1:21" x14ac:dyDescent="0.25">
      <c r="A528" s="90" t="s">
        <v>767</v>
      </c>
      <c r="B528" s="119">
        <v>5</v>
      </c>
      <c r="C528" s="90" t="s">
        <v>764</v>
      </c>
      <c r="D528" s="90" t="s">
        <v>78</v>
      </c>
      <c r="E528">
        <v>1048</v>
      </c>
      <c r="F528">
        <v>1051</v>
      </c>
      <c r="G528" s="93" t="s">
        <v>68</v>
      </c>
      <c r="H528" t="s">
        <v>751</v>
      </c>
      <c r="I528">
        <v>488</v>
      </c>
      <c r="J528">
        <f>SUM(K529)</f>
        <v>333.63045970000002</v>
      </c>
      <c r="K528">
        <f t="shared" si="17"/>
        <v>162811.6643336</v>
      </c>
      <c r="L528">
        <f>100*(1-(M528/K528))</f>
        <v>76</v>
      </c>
      <c r="M528">
        <f>I528*SUM(M529)</f>
        <v>39074.799440063995</v>
      </c>
      <c r="N528" s="90">
        <v>528</v>
      </c>
      <c r="O528" s="90" t="s">
        <v>768</v>
      </c>
      <c r="P528" s="118" t="s">
        <v>561</v>
      </c>
      <c r="Q528" s="118" t="s">
        <v>125</v>
      </c>
      <c r="R528" s="90" t="s">
        <v>1827</v>
      </c>
      <c r="S528" s="90" t="s">
        <v>2061</v>
      </c>
      <c r="T528" s="90" t="s">
        <v>2178</v>
      </c>
      <c r="U528" s="90" t="s">
        <v>1944</v>
      </c>
    </row>
    <row r="529" spans="1:21" x14ac:dyDescent="0.25">
      <c r="A529" s="90" t="s">
        <v>769</v>
      </c>
      <c r="B529" s="119">
        <v>6</v>
      </c>
      <c r="C529" s="90" t="s">
        <v>767</v>
      </c>
      <c r="D529" s="90" t="s">
        <v>78</v>
      </c>
      <c r="E529">
        <v>1049</v>
      </c>
      <c r="F529">
        <v>1050</v>
      </c>
      <c r="G529" s="93" t="s">
        <v>78</v>
      </c>
      <c r="H529" t="s">
        <v>754</v>
      </c>
      <c r="I529">
        <v>1</v>
      </c>
      <c r="J529">
        <v>333.63045970000002</v>
      </c>
      <c r="K529">
        <f t="shared" si="17"/>
        <v>333.63045970000002</v>
      </c>
      <c r="L529">
        <v>76</v>
      </c>
      <c r="M529">
        <f>(1-(L529/100))*K529</f>
        <v>80.071310327999996</v>
      </c>
      <c r="N529" s="90">
        <v>529</v>
      </c>
      <c r="O529" s="90" t="s">
        <v>770</v>
      </c>
      <c r="P529" s="118" t="s">
        <v>563</v>
      </c>
      <c r="Q529" s="118" t="s">
        <v>125</v>
      </c>
    </row>
    <row r="530" spans="1:21" x14ac:dyDescent="0.25">
      <c r="A530" s="90" t="s">
        <v>771</v>
      </c>
      <c r="B530" s="119">
        <v>4</v>
      </c>
      <c r="C530" s="90" t="s">
        <v>707</v>
      </c>
      <c r="D530" s="90" t="s">
        <v>95</v>
      </c>
      <c r="E530">
        <v>1053</v>
      </c>
      <c r="F530">
        <v>1058</v>
      </c>
      <c r="G530" s="93" t="s">
        <v>68</v>
      </c>
      <c r="H530" t="s">
        <v>772</v>
      </c>
      <c r="I530">
        <v>1</v>
      </c>
      <c r="J530">
        <f>SUM(K531)</f>
        <v>77735.897110100006</v>
      </c>
      <c r="K530">
        <f t="shared" si="17"/>
        <v>77735.897110100006</v>
      </c>
      <c r="L530">
        <f>100*(1-(M530/K530))</f>
        <v>85.6</v>
      </c>
      <c r="M530">
        <f>I530*SUM(M531)</f>
        <v>11193.969183854402</v>
      </c>
      <c r="N530" s="90">
        <v>530</v>
      </c>
      <c r="O530" s="90" t="s">
        <v>773</v>
      </c>
      <c r="P530" s="118" t="s">
        <v>2506</v>
      </c>
      <c r="Q530" s="118" t="s">
        <v>125</v>
      </c>
      <c r="R530" s="90" t="s">
        <v>2268</v>
      </c>
      <c r="S530" s="90" t="s">
        <v>2372</v>
      </c>
      <c r="T530" s="90" t="s">
        <v>2424</v>
      </c>
      <c r="U530" s="90" t="s">
        <v>2320</v>
      </c>
    </row>
    <row r="531" spans="1:21" x14ac:dyDescent="0.25">
      <c r="A531" s="90" t="s">
        <v>774</v>
      </c>
      <c r="B531" s="119">
        <v>5</v>
      </c>
      <c r="C531" s="90" t="s">
        <v>771</v>
      </c>
      <c r="D531" s="90" t="s">
        <v>78</v>
      </c>
      <c r="E531">
        <v>1054</v>
      </c>
      <c r="F531">
        <v>1057</v>
      </c>
      <c r="G531" s="93" t="s">
        <v>68</v>
      </c>
      <c r="H531" t="s">
        <v>751</v>
      </c>
      <c r="I531">
        <v>233</v>
      </c>
      <c r="J531">
        <f>SUM(K532)</f>
        <v>333.63045970000002</v>
      </c>
      <c r="K531">
        <f t="shared" si="17"/>
        <v>77735.897110100006</v>
      </c>
      <c r="L531">
        <f>100*(1-(M531/K531))</f>
        <v>85.6</v>
      </c>
      <c r="M531">
        <f>I531*SUM(M532)</f>
        <v>11193.969183854402</v>
      </c>
      <c r="N531" s="90">
        <v>531</v>
      </c>
      <c r="O531" s="90" t="s">
        <v>775</v>
      </c>
      <c r="P531" s="118" t="s">
        <v>566</v>
      </c>
      <c r="Q531" s="118" t="s">
        <v>125</v>
      </c>
      <c r="R531" s="90" t="s">
        <v>1828</v>
      </c>
      <c r="S531" s="90" t="s">
        <v>2062</v>
      </c>
      <c r="T531" s="90" t="s">
        <v>2179</v>
      </c>
      <c r="U531" s="90" t="s">
        <v>1945</v>
      </c>
    </row>
    <row r="532" spans="1:21" x14ac:dyDescent="0.25">
      <c r="A532" s="90" t="s">
        <v>776</v>
      </c>
      <c r="B532" s="119">
        <v>6</v>
      </c>
      <c r="C532" s="90" t="s">
        <v>774</v>
      </c>
      <c r="D532" s="90" t="s">
        <v>78</v>
      </c>
      <c r="E532">
        <v>1055</v>
      </c>
      <c r="F532">
        <v>1056</v>
      </c>
      <c r="G532" s="93" t="s">
        <v>78</v>
      </c>
      <c r="H532" t="s">
        <v>754</v>
      </c>
      <c r="I532">
        <v>1</v>
      </c>
      <c r="J532">
        <v>333.63045970000002</v>
      </c>
      <c r="K532">
        <f t="shared" si="17"/>
        <v>333.63045970000002</v>
      </c>
      <c r="L532">
        <v>85.6</v>
      </c>
      <c r="M532">
        <f>(1-(L532/100))*K532</f>
        <v>48.042786196800009</v>
      </c>
      <c r="N532" s="90">
        <v>532</v>
      </c>
      <c r="O532" s="90" t="s">
        <v>777</v>
      </c>
      <c r="P532" s="118" t="s">
        <v>568</v>
      </c>
      <c r="Q532" s="118" t="s">
        <v>125</v>
      </c>
    </row>
    <row r="533" spans="1:21" x14ac:dyDescent="0.25">
      <c r="A533" s="90" t="s">
        <v>778</v>
      </c>
      <c r="B533" s="119">
        <v>4</v>
      </c>
      <c r="C533" s="90" t="s">
        <v>707</v>
      </c>
      <c r="D533" s="90" t="s">
        <v>96</v>
      </c>
      <c r="E533">
        <v>1059</v>
      </c>
      <c r="F533">
        <v>1064</v>
      </c>
      <c r="G533" s="93" t="s">
        <v>68</v>
      </c>
      <c r="H533" t="s">
        <v>779</v>
      </c>
      <c r="I533">
        <v>1</v>
      </c>
      <c r="J533">
        <f>SUM(K534)</f>
        <v>304596.96931140003</v>
      </c>
      <c r="K533">
        <f t="shared" si="17"/>
        <v>304596.96931140003</v>
      </c>
      <c r="L533">
        <f>100*(1-(M533/K533))</f>
        <v>85.6</v>
      </c>
      <c r="M533">
        <f>I533*SUM(M534)</f>
        <v>43861.963580841606</v>
      </c>
      <c r="N533" s="90">
        <v>533</v>
      </c>
      <c r="O533" s="90" t="s">
        <v>780</v>
      </c>
      <c r="P533" s="118" t="s">
        <v>570</v>
      </c>
      <c r="Q533" s="118" t="s">
        <v>125</v>
      </c>
      <c r="R533" s="90" t="s">
        <v>2269</v>
      </c>
      <c r="S533" s="90" t="s">
        <v>2373</v>
      </c>
      <c r="T533" s="90" t="s">
        <v>2425</v>
      </c>
      <c r="U533" s="90" t="s">
        <v>2321</v>
      </c>
    </row>
    <row r="534" spans="1:21" x14ac:dyDescent="0.25">
      <c r="A534" s="90" t="s">
        <v>781</v>
      </c>
      <c r="B534" s="119">
        <v>5</v>
      </c>
      <c r="C534" s="90" t="s">
        <v>778</v>
      </c>
      <c r="D534" s="90" t="s">
        <v>78</v>
      </c>
      <c r="E534">
        <v>1060</v>
      </c>
      <c r="F534">
        <v>1063</v>
      </c>
      <c r="G534" s="93" t="s">
        <v>68</v>
      </c>
      <c r="H534" t="s">
        <v>782</v>
      </c>
      <c r="I534">
        <v>230</v>
      </c>
      <c r="J534">
        <f>SUM(K535)</f>
        <v>1324.33464918</v>
      </c>
      <c r="K534">
        <f t="shared" si="17"/>
        <v>304596.96931140003</v>
      </c>
      <c r="L534">
        <f>100*(1-(M534/K534))</f>
        <v>85.6</v>
      </c>
      <c r="M534">
        <f>I534*SUM(M535)</f>
        <v>43861.963580841606</v>
      </c>
      <c r="N534" s="90">
        <v>534</v>
      </c>
      <c r="O534" s="90" t="s">
        <v>783</v>
      </c>
      <c r="P534" s="118" t="s">
        <v>2507</v>
      </c>
      <c r="Q534" s="118" t="s">
        <v>125</v>
      </c>
      <c r="R534" s="90" t="s">
        <v>1829</v>
      </c>
      <c r="S534" s="90" t="s">
        <v>2063</v>
      </c>
      <c r="T534" s="90" t="s">
        <v>2180</v>
      </c>
      <c r="U534" s="90" t="s">
        <v>1946</v>
      </c>
    </row>
    <row r="535" spans="1:21" x14ac:dyDescent="0.25">
      <c r="A535" s="90" t="s">
        <v>784</v>
      </c>
      <c r="B535" s="119">
        <v>6</v>
      </c>
      <c r="C535" s="90" t="s">
        <v>781</v>
      </c>
      <c r="D535" s="90" t="s">
        <v>78</v>
      </c>
      <c r="E535">
        <v>1061</v>
      </c>
      <c r="F535">
        <v>1062</v>
      </c>
      <c r="G535" s="93" t="s">
        <v>78</v>
      </c>
      <c r="H535" t="s">
        <v>785</v>
      </c>
      <c r="I535">
        <v>1</v>
      </c>
      <c r="J535">
        <v>1324.33464918</v>
      </c>
      <c r="K535">
        <f t="shared" si="17"/>
        <v>1324.33464918</v>
      </c>
      <c r="L535">
        <v>85.6</v>
      </c>
      <c r="M535">
        <f>(1-(L535/100))*K535</f>
        <v>190.70418948192003</v>
      </c>
      <c r="N535" s="90">
        <v>535</v>
      </c>
      <c r="O535" s="90" t="s">
        <v>786</v>
      </c>
      <c r="P535" s="118" t="s">
        <v>573</v>
      </c>
      <c r="Q535" s="118" t="s">
        <v>125</v>
      </c>
    </row>
    <row r="536" spans="1:21" x14ac:dyDescent="0.25">
      <c r="A536" s="90" t="s">
        <v>787</v>
      </c>
      <c r="B536" s="119">
        <v>4</v>
      </c>
      <c r="C536" s="90" t="s">
        <v>707</v>
      </c>
      <c r="D536" s="90" t="s">
        <v>103</v>
      </c>
      <c r="E536">
        <v>1065</v>
      </c>
      <c r="F536">
        <v>1070</v>
      </c>
      <c r="G536" s="93" t="s">
        <v>68</v>
      </c>
      <c r="H536" t="s">
        <v>788</v>
      </c>
      <c r="I536">
        <v>1</v>
      </c>
      <c r="J536">
        <f>SUM(K537)</f>
        <v>911567.55380255997</v>
      </c>
      <c r="K536">
        <f t="shared" si="17"/>
        <v>911567.55380255997</v>
      </c>
      <c r="L536">
        <f>100*(1-(M536/K536))</f>
        <v>88</v>
      </c>
      <c r="M536">
        <f>I536*SUM(M537)</f>
        <v>109388.10645630718</v>
      </c>
      <c r="N536" s="90">
        <v>536</v>
      </c>
      <c r="O536" s="90" t="s">
        <v>789</v>
      </c>
      <c r="P536" s="118" t="s">
        <v>575</v>
      </c>
      <c r="Q536" s="118" t="s">
        <v>125</v>
      </c>
      <c r="R536" s="90" t="s">
        <v>2270</v>
      </c>
      <c r="S536" s="90" t="s">
        <v>2374</v>
      </c>
      <c r="T536" s="90" t="s">
        <v>2426</v>
      </c>
      <c r="U536" s="90" t="s">
        <v>2322</v>
      </c>
    </row>
    <row r="537" spans="1:21" x14ac:dyDescent="0.25">
      <c r="A537" s="90" t="s">
        <v>790</v>
      </c>
      <c r="B537" s="119">
        <v>5</v>
      </c>
      <c r="C537" s="90" t="s">
        <v>787</v>
      </c>
      <c r="D537" s="90" t="s">
        <v>78</v>
      </c>
      <c r="E537">
        <v>1066</v>
      </c>
      <c r="F537">
        <v>1069</v>
      </c>
      <c r="G537" s="93" t="s">
        <v>68</v>
      </c>
      <c r="H537" t="s">
        <v>791</v>
      </c>
      <c r="I537">
        <v>521</v>
      </c>
      <c r="J537">
        <f>SUM(K538)</f>
        <v>1749.64981536</v>
      </c>
      <c r="K537">
        <f t="shared" si="17"/>
        <v>911567.55380255997</v>
      </c>
      <c r="L537">
        <f>100*(1-(M537/K537))</f>
        <v>88</v>
      </c>
      <c r="M537">
        <f>I537*SUM(M538)</f>
        <v>109388.10645630718</v>
      </c>
      <c r="N537" s="90">
        <v>537</v>
      </c>
      <c r="O537" s="90" t="s">
        <v>792</v>
      </c>
      <c r="P537" s="118" t="s">
        <v>2508</v>
      </c>
      <c r="Q537" s="118" t="s">
        <v>125</v>
      </c>
      <c r="R537" s="90" t="s">
        <v>1830</v>
      </c>
      <c r="S537" s="90" t="s">
        <v>2064</v>
      </c>
      <c r="T537" s="90" t="s">
        <v>2181</v>
      </c>
      <c r="U537" s="90" t="s">
        <v>1947</v>
      </c>
    </row>
    <row r="538" spans="1:21" x14ac:dyDescent="0.25">
      <c r="A538" s="90" t="s">
        <v>793</v>
      </c>
      <c r="B538" s="119">
        <v>6</v>
      </c>
      <c r="C538" s="90" t="s">
        <v>790</v>
      </c>
      <c r="D538" s="90" t="s">
        <v>78</v>
      </c>
      <c r="E538">
        <v>1067</v>
      </c>
      <c r="F538">
        <v>1068</v>
      </c>
      <c r="G538" s="93" t="s">
        <v>78</v>
      </c>
      <c r="H538" t="s">
        <v>794</v>
      </c>
      <c r="I538">
        <v>1</v>
      </c>
      <c r="J538">
        <v>1749.64981536</v>
      </c>
      <c r="K538">
        <f t="shared" si="17"/>
        <v>1749.64981536</v>
      </c>
      <c r="L538">
        <v>88</v>
      </c>
      <c r="M538">
        <f>(1-(L538/100))*K538</f>
        <v>209.95797784319998</v>
      </c>
      <c r="N538" s="90">
        <v>538</v>
      </c>
      <c r="O538" s="90" t="s">
        <v>795</v>
      </c>
      <c r="P538" s="118" t="s">
        <v>577</v>
      </c>
      <c r="Q538" s="118" t="s">
        <v>125</v>
      </c>
    </row>
    <row r="539" spans="1:21" x14ac:dyDescent="0.25">
      <c r="A539" s="90" t="s">
        <v>796</v>
      </c>
      <c r="B539" s="119">
        <v>4</v>
      </c>
      <c r="C539" s="90" t="s">
        <v>707</v>
      </c>
      <c r="D539" s="90" t="s">
        <v>1769</v>
      </c>
      <c r="E539">
        <v>1071</v>
      </c>
      <c r="F539">
        <v>1076</v>
      </c>
      <c r="G539" s="93" t="s">
        <v>68</v>
      </c>
      <c r="H539" t="s">
        <v>797</v>
      </c>
      <c r="I539">
        <v>1</v>
      </c>
      <c r="J539">
        <f>SUM(K540)</f>
        <v>28078.44135985</v>
      </c>
      <c r="K539">
        <f t="shared" si="17"/>
        <v>28078.44135985</v>
      </c>
      <c r="L539">
        <f>100*(1-(M539/K539))</f>
        <v>85.6</v>
      </c>
      <c r="M539">
        <f>I539*SUM(M540)</f>
        <v>4043.2955558184003</v>
      </c>
      <c r="N539" s="90">
        <v>539</v>
      </c>
      <c r="O539" s="90" t="s">
        <v>798</v>
      </c>
      <c r="P539" s="118" t="s">
        <v>579</v>
      </c>
      <c r="Q539" s="118" t="s">
        <v>125</v>
      </c>
      <c r="R539" s="90" t="s">
        <v>2271</v>
      </c>
      <c r="S539" s="90" t="s">
        <v>2375</v>
      </c>
      <c r="T539" s="90" t="s">
        <v>2427</v>
      </c>
      <c r="U539" s="90" t="s">
        <v>2323</v>
      </c>
    </row>
    <row r="540" spans="1:21" x14ac:dyDescent="0.25">
      <c r="A540" s="90" t="s">
        <v>799</v>
      </c>
      <c r="B540" s="119">
        <v>5</v>
      </c>
      <c r="C540" s="90" t="s">
        <v>796</v>
      </c>
      <c r="D540" s="90" t="s">
        <v>78</v>
      </c>
      <c r="E540">
        <v>1072</v>
      </c>
      <c r="F540">
        <v>1075</v>
      </c>
      <c r="G540" s="93" t="s">
        <v>68</v>
      </c>
      <c r="H540" t="s">
        <v>800</v>
      </c>
      <c r="I540">
        <v>35</v>
      </c>
      <c r="J540">
        <f>SUM(K541)</f>
        <v>802.24118170999998</v>
      </c>
      <c r="K540">
        <f t="shared" si="17"/>
        <v>28078.44135985</v>
      </c>
      <c r="L540">
        <f>100*(1-(M540/K540))</f>
        <v>85.6</v>
      </c>
      <c r="M540">
        <f>I540*SUM(M541)</f>
        <v>4043.2955558184003</v>
      </c>
      <c r="N540" s="90">
        <v>540</v>
      </c>
      <c r="O540" s="90" t="s">
        <v>801</v>
      </c>
      <c r="P540" s="118" t="s">
        <v>581</v>
      </c>
      <c r="Q540" s="118" t="s">
        <v>125</v>
      </c>
      <c r="R540" s="90" t="s">
        <v>1831</v>
      </c>
      <c r="S540" s="90" t="s">
        <v>2065</v>
      </c>
      <c r="T540" s="90" t="s">
        <v>2182</v>
      </c>
      <c r="U540" s="90" t="s">
        <v>1948</v>
      </c>
    </row>
    <row r="541" spans="1:21" x14ac:dyDescent="0.25">
      <c r="A541" s="90" t="s">
        <v>802</v>
      </c>
      <c r="B541" s="119">
        <v>6</v>
      </c>
      <c r="C541" s="90" t="s">
        <v>799</v>
      </c>
      <c r="D541" s="90" t="s">
        <v>78</v>
      </c>
      <c r="E541">
        <v>1073</v>
      </c>
      <c r="F541">
        <v>1074</v>
      </c>
      <c r="G541" s="93" t="s">
        <v>78</v>
      </c>
      <c r="H541" t="s">
        <v>803</v>
      </c>
      <c r="I541">
        <v>1</v>
      </c>
      <c r="J541">
        <v>802.24118170999998</v>
      </c>
      <c r="K541">
        <f t="shared" si="17"/>
        <v>802.24118170999998</v>
      </c>
      <c r="L541">
        <v>85.6</v>
      </c>
      <c r="M541">
        <f>(1-(L541/100))*K541</f>
        <v>115.52273016624001</v>
      </c>
      <c r="N541" s="90">
        <v>541</v>
      </c>
      <c r="O541" s="90" t="s">
        <v>804</v>
      </c>
      <c r="P541" s="118" t="s">
        <v>2509</v>
      </c>
      <c r="Q541" s="118" t="s">
        <v>125</v>
      </c>
    </row>
    <row r="542" spans="1:21" x14ac:dyDescent="0.25">
      <c r="A542" s="90" t="s">
        <v>805</v>
      </c>
      <c r="B542" s="119">
        <v>4</v>
      </c>
      <c r="C542" s="90" t="s">
        <v>707</v>
      </c>
      <c r="D542" s="90" t="s">
        <v>1770</v>
      </c>
      <c r="E542">
        <v>1077</v>
      </c>
      <c r="F542">
        <v>1082</v>
      </c>
      <c r="G542" s="93" t="s">
        <v>68</v>
      </c>
      <c r="H542" t="s">
        <v>806</v>
      </c>
      <c r="I542">
        <v>1</v>
      </c>
      <c r="J542">
        <f>SUM(K543)</f>
        <v>32891.888450109996</v>
      </c>
      <c r="K542">
        <f t="shared" si="17"/>
        <v>32891.888450109996</v>
      </c>
      <c r="L542">
        <f>100*(1-(M542/K542))</f>
        <v>88</v>
      </c>
      <c r="M542">
        <f>I542*SUM(M543)</f>
        <v>3947.0266140131998</v>
      </c>
      <c r="N542" s="90">
        <v>542</v>
      </c>
      <c r="O542" s="90" t="s">
        <v>807</v>
      </c>
      <c r="P542" s="118" t="s">
        <v>584</v>
      </c>
      <c r="Q542" s="118" t="s">
        <v>125</v>
      </c>
      <c r="R542" s="90" t="s">
        <v>2272</v>
      </c>
      <c r="S542" s="90" t="s">
        <v>2376</v>
      </c>
      <c r="T542" s="90" t="s">
        <v>2428</v>
      </c>
      <c r="U542" s="90" t="s">
        <v>2324</v>
      </c>
    </row>
    <row r="543" spans="1:21" x14ac:dyDescent="0.25">
      <c r="A543" s="90" t="s">
        <v>808</v>
      </c>
      <c r="B543" s="119">
        <v>5</v>
      </c>
      <c r="C543" s="90" t="s">
        <v>805</v>
      </c>
      <c r="D543" s="90" t="s">
        <v>78</v>
      </c>
      <c r="E543">
        <v>1078</v>
      </c>
      <c r="F543">
        <v>1081</v>
      </c>
      <c r="G543" s="93" t="s">
        <v>68</v>
      </c>
      <c r="H543" t="s">
        <v>800</v>
      </c>
      <c r="I543">
        <v>41</v>
      </c>
      <c r="J543">
        <f>SUM(K544)</f>
        <v>802.24118170999998</v>
      </c>
      <c r="K543">
        <f t="shared" si="17"/>
        <v>32891.888450109996</v>
      </c>
      <c r="L543">
        <f>100*(1-(M543/K543))</f>
        <v>88</v>
      </c>
      <c r="M543">
        <f>I543*SUM(M544)</f>
        <v>3947.0266140131998</v>
      </c>
      <c r="N543" s="90">
        <v>543</v>
      </c>
      <c r="O543" s="90" t="s">
        <v>809</v>
      </c>
      <c r="P543" s="118" t="s">
        <v>586</v>
      </c>
      <c r="Q543" s="118" t="s">
        <v>125</v>
      </c>
      <c r="R543" s="90" t="s">
        <v>1832</v>
      </c>
      <c r="S543" s="90" t="s">
        <v>2066</v>
      </c>
      <c r="T543" s="90" t="s">
        <v>2183</v>
      </c>
      <c r="U543" s="90" t="s">
        <v>1949</v>
      </c>
    </row>
    <row r="544" spans="1:21" x14ac:dyDescent="0.25">
      <c r="A544" s="90" t="s">
        <v>810</v>
      </c>
      <c r="B544" s="119">
        <v>6</v>
      </c>
      <c r="C544" s="90" t="s">
        <v>808</v>
      </c>
      <c r="D544" s="90" t="s">
        <v>78</v>
      </c>
      <c r="E544">
        <v>1079</v>
      </c>
      <c r="F544">
        <v>1080</v>
      </c>
      <c r="G544" s="93" t="s">
        <v>78</v>
      </c>
      <c r="H544" t="s">
        <v>803</v>
      </c>
      <c r="I544">
        <v>1</v>
      </c>
      <c r="J544">
        <v>802.24118170999998</v>
      </c>
      <c r="K544">
        <f t="shared" si="17"/>
        <v>802.24118170999998</v>
      </c>
      <c r="L544">
        <v>88</v>
      </c>
      <c r="M544">
        <f>(1-(L544/100))*K544</f>
        <v>96.268941805200001</v>
      </c>
      <c r="N544" s="90">
        <v>544</v>
      </c>
      <c r="O544" s="90" t="s">
        <v>811</v>
      </c>
      <c r="P544" s="118" t="s">
        <v>588</v>
      </c>
      <c r="Q544" s="118" t="s">
        <v>125</v>
      </c>
    </row>
    <row r="545" spans="1:21" x14ac:dyDescent="0.25">
      <c r="A545" s="90" t="s">
        <v>812</v>
      </c>
      <c r="B545" s="119">
        <v>3</v>
      </c>
      <c r="C545" s="90" t="s">
        <v>82</v>
      </c>
      <c r="D545" s="90" t="s">
        <v>1770</v>
      </c>
      <c r="E545">
        <v>1084</v>
      </c>
      <c r="F545">
        <v>1999</v>
      </c>
      <c r="G545" s="93" t="s">
        <v>68</v>
      </c>
      <c r="H545" t="s">
        <v>813</v>
      </c>
      <c r="I545">
        <v>1</v>
      </c>
      <c r="J545">
        <f>SUM(K546,K564,K592,K624,K656,K688,K711,K733,K755,K782,K808,K834,K862,K896,K919,K934,K969)</f>
        <v>11481323.766084237</v>
      </c>
      <c r="K545">
        <f t="shared" si="17"/>
        <v>11481323.766084237</v>
      </c>
      <c r="L545">
        <f>100*(1-(M545/K545))</f>
        <v>54.999999999999986</v>
      </c>
      <c r="M545">
        <f>I545*SUM(M546,M564,M592,M624,M656,M688,M711,M733,M755,M782,M808,M834,M862,M896,M919,M934,M969)</f>
        <v>5166595.6947379084</v>
      </c>
      <c r="N545" s="90">
        <v>545</v>
      </c>
      <c r="O545" s="90" t="s">
        <v>814</v>
      </c>
      <c r="P545" s="118" t="s">
        <v>590</v>
      </c>
      <c r="Q545" s="118" t="s">
        <v>125</v>
      </c>
      <c r="R545" s="90" t="s">
        <v>2451</v>
      </c>
      <c r="S545" s="90" t="s">
        <v>2457</v>
      </c>
      <c r="T545" s="90" t="s">
        <v>2460</v>
      </c>
      <c r="U545" s="90" t="s">
        <v>2454</v>
      </c>
    </row>
    <row r="546" spans="1:21" x14ac:dyDescent="0.25">
      <c r="A546" s="90" t="s">
        <v>815</v>
      </c>
      <c r="B546" s="119">
        <v>4</v>
      </c>
      <c r="C546" s="90" t="s">
        <v>812</v>
      </c>
      <c r="D546" s="90" t="s">
        <v>78</v>
      </c>
      <c r="E546">
        <v>1085</v>
      </c>
      <c r="F546">
        <v>1120</v>
      </c>
      <c r="G546" s="93" t="s">
        <v>68</v>
      </c>
      <c r="H546" t="s">
        <v>816</v>
      </c>
      <c r="I546">
        <v>1</v>
      </c>
      <c r="J546">
        <f>SUM(K547,K549,K551,K556,K560,K562)</f>
        <v>1101062.73</v>
      </c>
      <c r="K546">
        <f t="shared" si="17"/>
        <v>1101062.73</v>
      </c>
      <c r="L546">
        <f>100*(1-(M546/K546))</f>
        <v>55.000000000000007</v>
      </c>
      <c r="M546">
        <f>I546*SUM(M547,M549,M551,M556,M560,M562)</f>
        <v>495478.22849999997</v>
      </c>
      <c r="N546" s="90">
        <v>546</v>
      </c>
      <c r="O546" s="90" t="s">
        <v>817</v>
      </c>
      <c r="P546" s="118" t="s">
        <v>592</v>
      </c>
      <c r="Q546" s="118" t="s">
        <v>125</v>
      </c>
      <c r="R546" s="90" t="s">
        <v>2273</v>
      </c>
      <c r="S546" s="90" t="s">
        <v>2377</v>
      </c>
      <c r="T546" s="90" t="s">
        <v>2429</v>
      </c>
      <c r="U546" s="90" t="s">
        <v>2325</v>
      </c>
    </row>
    <row r="547" spans="1:21" x14ac:dyDescent="0.25">
      <c r="A547" s="90" t="s">
        <v>818</v>
      </c>
      <c r="B547" s="119">
        <v>5</v>
      </c>
      <c r="C547" s="90" t="s">
        <v>815</v>
      </c>
      <c r="D547" s="90" t="s">
        <v>78</v>
      </c>
      <c r="E547">
        <v>1086</v>
      </c>
      <c r="F547">
        <v>1089</v>
      </c>
      <c r="G547" s="93" t="s">
        <v>68</v>
      </c>
      <c r="H547" t="s">
        <v>104</v>
      </c>
      <c r="I547">
        <v>21</v>
      </c>
      <c r="J547">
        <f>SUM(K548)</f>
        <v>1419</v>
      </c>
      <c r="K547">
        <f t="shared" si="17"/>
        <v>29799</v>
      </c>
      <c r="L547">
        <f>100*(1-(M547/K547))</f>
        <v>55.000000000000007</v>
      </c>
      <c r="M547">
        <f>I547*SUM(M548)</f>
        <v>13409.55</v>
      </c>
      <c r="N547" s="90">
        <v>547</v>
      </c>
      <c r="O547" s="90" t="s">
        <v>819</v>
      </c>
      <c r="P547" s="118" t="s">
        <v>594</v>
      </c>
      <c r="Q547" s="118" t="s">
        <v>125</v>
      </c>
      <c r="R547" s="90" t="s">
        <v>1833</v>
      </c>
      <c r="S547" s="90" t="s">
        <v>2067</v>
      </c>
      <c r="T547" s="90" t="s">
        <v>2184</v>
      </c>
      <c r="U547" s="90" t="s">
        <v>1950</v>
      </c>
    </row>
    <row r="548" spans="1:21" x14ac:dyDescent="0.25">
      <c r="A548" s="90" t="s">
        <v>820</v>
      </c>
      <c r="B548" s="119">
        <v>6</v>
      </c>
      <c r="C548" s="90" t="s">
        <v>818</v>
      </c>
      <c r="D548" s="90" t="s">
        <v>78</v>
      </c>
      <c r="E548">
        <v>1087</v>
      </c>
      <c r="F548">
        <v>1088</v>
      </c>
      <c r="G548" s="93" t="s">
        <v>78</v>
      </c>
      <c r="H548" t="s">
        <v>105</v>
      </c>
      <c r="I548">
        <v>1</v>
      </c>
      <c r="J548">
        <v>1419</v>
      </c>
      <c r="K548">
        <f t="shared" si="17"/>
        <v>1419</v>
      </c>
      <c r="L548">
        <v>55</v>
      </c>
      <c r="M548">
        <f>(1-(L548/100))*K548</f>
        <v>638.54999999999995</v>
      </c>
      <c r="N548" s="90">
        <v>548</v>
      </c>
      <c r="O548" s="90" t="s">
        <v>821</v>
      </c>
      <c r="P548" s="118" t="s">
        <v>596</v>
      </c>
      <c r="Q548" s="118" t="s">
        <v>125</v>
      </c>
    </row>
    <row r="549" spans="1:21" x14ac:dyDescent="0.25">
      <c r="A549" s="90" t="s">
        <v>822</v>
      </c>
      <c r="B549" s="119">
        <v>5</v>
      </c>
      <c r="C549" s="90" t="s">
        <v>815</v>
      </c>
      <c r="D549" s="90" t="s">
        <v>79</v>
      </c>
      <c r="E549">
        <v>1090</v>
      </c>
      <c r="F549">
        <v>1093</v>
      </c>
      <c r="G549" s="93" t="s">
        <v>68</v>
      </c>
      <c r="H549" t="s">
        <v>106</v>
      </c>
      <c r="I549">
        <v>164</v>
      </c>
      <c r="J549">
        <f>SUM(K550)</f>
        <v>5209</v>
      </c>
      <c r="K549">
        <f t="shared" si="17"/>
        <v>854276</v>
      </c>
      <c r="L549">
        <f>100*(1-(M549/K549))</f>
        <v>55.000000000000007</v>
      </c>
      <c r="M549">
        <f>I549*SUM(M550)</f>
        <v>384424.19999999995</v>
      </c>
      <c r="N549" s="90">
        <v>549</v>
      </c>
      <c r="O549" s="90" t="s">
        <v>823</v>
      </c>
      <c r="P549" s="118" t="s">
        <v>598</v>
      </c>
      <c r="Q549" s="118" t="s">
        <v>125</v>
      </c>
      <c r="R549" s="90" t="s">
        <v>1834</v>
      </c>
      <c r="S549" s="90" t="s">
        <v>2068</v>
      </c>
      <c r="T549" s="90" t="s">
        <v>2185</v>
      </c>
      <c r="U549" s="90" t="s">
        <v>1951</v>
      </c>
    </row>
    <row r="550" spans="1:21" x14ac:dyDescent="0.25">
      <c r="A550" s="90" t="s">
        <v>824</v>
      </c>
      <c r="B550" s="119">
        <v>6</v>
      </c>
      <c r="C550" s="90" t="s">
        <v>822</v>
      </c>
      <c r="D550" s="90" t="s">
        <v>78</v>
      </c>
      <c r="E550">
        <v>1091</v>
      </c>
      <c r="F550">
        <v>1092</v>
      </c>
      <c r="G550" s="93" t="s">
        <v>78</v>
      </c>
      <c r="H550" t="s">
        <v>107</v>
      </c>
      <c r="I550">
        <v>1</v>
      </c>
      <c r="J550">
        <v>5209</v>
      </c>
      <c r="K550">
        <f t="shared" si="17"/>
        <v>5209</v>
      </c>
      <c r="L550">
        <v>55</v>
      </c>
      <c r="M550">
        <f>(1-(L550/100))*K550</f>
        <v>2344.0499999999997</v>
      </c>
      <c r="N550" s="90">
        <v>550</v>
      </c>
      <c r="O550" s="90" t="s">
        <v>825</v>
      </c>
      <c r="P550" s="118" t="s">
        <v>600</v>
      </c>
      <c r="Q550" s="118" t="s">
        <v>125</v>
      </c>
    </row>
    <row r="551" spans="1:21" x14ac:dyDescent="0.25">
      <c r="A551" s="90" t="s">
        <v>826</v>
      </c>
      <c r="B551" s="119">
        <v>5</v>
      </c>
      <c r="C551" s="90" t="s">
        <v>815</v>
      </c>
      <c r="D551" s="90" t="s">
        <v>80</v>
      </c>
      <c r="E551">
        <v>1094</v>
      </c>
      <c r="F551">
        <v>1103</v>
      </c>
      <c r="G551" s="93" t="s">
        <v>68</v>
      </c>
      <c r="H551" t="s">
        <v>108</v>
      </c>
      <c r="I551">
        <v>21</v>
      </c>
      <c r="J551">
        <f>SUM(K552,K553,K554,K555)</f>
        <v>1300.8400000000001</v>
      </c>
      <c r="K551">
        <f t="shared" si="17"/>
        <v>27317.640000000003</v>
      </c>
      <c r="L551">
        <f>100*(1-(M551/K551))</f>
        <v>55.000000000000007</v>
      </c>
      <c r="M551">
        <f>I551*SUM(M552,M553,M554,M555)</f>
        <v>12292.937999999998</v>
      </c>
      <c r="N551" s="90">
        <v>551</v>
      </c>
      <c r="O551" s="90" t="s">
        <v>827</v>
      </c>
      <c r="P551" s="118" t="s">
        <v>602</v>
      </c>
      <c r="Q551" s="118" t="s">
        <v>125</v>
      </c>
      <c r="R551" s="90" t="s">
        <v>1835</v>
      </c>
      <c r="S551" s="90" t="s">
        <v>2069</v>
      </c>
      <c r="T551" s="90" t="s">
        <v>2186</v>
      </c>
      <c r="U551" s="90" t="s">
        <v>1952</v>
      </c>
    </row>
    <row r="552" spans="1:21" x14ac:dyDescent="0.25">
      <c r="A552" s="90" t="s">
        <v>828</v>
      </c>
      <c r="B552" s="119">
        <v>6</v>
      </c>
      <c r="C552" s="90" t="s">
        <v>826</v>
      </c>
      <c r="D552" s="90" t="s">
        <v>78</v>
      </c>
      <c r="E552">
        <v>1095</v>
      </c>
      <c r="F552">
        <v>1096</v>
      </c>
      <c r="G552" s="93" t="s">
        <v>78</v>
      </c>
      <c r="H552" t="s">
        <v>109</v>
      </c>
      <c r="I552">
        <v>1</v>
      </c>
      <c r="J552">
        <v>290.63</v>
      </c>
      <c r="K552">
        <f t="shared" si="17"/>
        <v>290.63</v>
      </c>
      <c r="L552">
        <v>55</v>
      </c>
      <c r="M552">
        <f>(1-(L552/100))*K552</f>
        <v>130.78349999999998</v>
      </c>
      <c r="N552" s="90">
        <v>552</v>
      </c>
      <c r="O552" s="90" t="s">
        <v>829</v>
      </c>
      <c r="P552" s="118" t="s">
        <v>604</v>
      </c>
      <c r="Q552" s="118" t="s">
        <v>125</v>
      </c>
    </row>
    <row r="553" spans="1:21" x14ac:dyDescent="0.25">
      <c r="A553" s="90" t="s">
        <v>830</v>
      </c>
      <c r="B553" s="119">
        <v>6</v>
      </c>
      <c r="C553" s="90" t="s">
        <v>826</v>
      </c>
      <c r="D553" s="90" t="s">
        <v>79</v>
      </c>
      <c r="E553">
        <v>1097</v>
      </c>
      <c r="F553">
        <v>1098</v>
      </c>
      <c r="G553" s="93" t="s">
        <v>78</v>
      </c>
      <c r="H553" t="s">
        <v>110</v>
      </c>
      <c r="I553">
        <v>1</v>
      </c>
      <c r="J553">
        <v>297</v>
      </c>
      <c r="K553">
        <f t="shared" si="17"/>
        <v>297</v>
      </c>
      <c r="L553">
        <v>55</v>
      </c>
      <c r="M553">
        <f>(1-(L553/100))*K553</f>
        <v>133.64999999999998</v>
      </c>
      <c r="N553" s="90">
        <v>553</v>
      </c>
      <c r="O553" s="90" t="s">
        <v>831</v>
      </c>
      <c r="P553" s="118" t="s">
        <v>2510</v>
      </c>
      <c r="Q553" s="118" t="s">
        <v>125</v>
      </c>
    </row>
    <row r="554" spans="1:21" x14ac:dyDescent="0.25">
      <c r="A554" s="90" t="s">
        <v>832</v>
      </c>
      <c r="B554" s="119">
        <v>6</v>
      </c>
      <c r="C554" s="90" t="s">
        <v>826</v>
      </c>
      <c r="D554" s="90" t="s">
        <v>80</v>
      </c>
      <c r="E554">
        <v>1099</v>
      </c>
      <c r="F554">
        <v>1100</v>
      </c>
      <c r="G554" s="93" t="s">
        <v>78</v>
      </c>
      <c r="H554" t="s">
        <v>105</v>
      </c>
      <c r="I554">
        <v>0</v>
      </c>
      <c r="J554">
        <v>1419</v>
      </c>
      <c r="K554">
        <f t="shared" si="17"/>
        <v>0</v>
      </c>
      <c r="L554">
        <v>55</v>
      </c>
      <c r="M554">
        <f>(1-(L554/100))*K554</f>
        <v>0</v>
      </c>
      <c r="N554" s="90">
        <v>554</v>
      </c>
      <c r="O554" s="90" t="s">
        <v>833</v>
      </c>
      <c r="P554" s="118" t="s">
        <v>607</v>
      </c>
      <c r="Q554" s="118" t="s">
        <v>125</v>
      </c>
    </row>
    <row r="555" spans="1:21" x14ac:dyDescent="0.25">
      <c r="A555" s="90" t="s">
        <v>834</v>
      </c>
      <c r="B555" s="119">
        <v>6</v>
      </c>
      <c r="C555" s="90" t="s">
        <v>826</v>
      </c>
      <c r="D555" s="90" t="s">
        <v>95</v>
      </c>
      <c r="E555">
        <v>1101</v>
      </c>
      <c r="F555">
        <v>1102</v>
      </c>
      <c r="G555" s="93" t="s">
        <v>78</v>
      </c>
      <c r="H555" t="s">
        <v>111</v>
      </c>
      <c r="I555">
        <v>1</v>
      </c>
      <c r="J555">
        <v>713.21</v>
      </c>
      <c r="K555">
        <f t="shared" si="17"/>
        <v>713.21</v>
      </c>
      <c r="L555">
        <v>55</v>
      </c>
      <c r="M555">
        <f>(1-(L555/100))*K555</f>
        <v>320.94450000000001</v>
      </c>
      <c r="N555" s="90">
        <v>555</v>
      </c>
      <c r="O555" s="90" t="s">
        <v>835</v>
      </c>
      <c r="P555" s="118" t="s">
        <v>609</v>
      </c>
      <c r="Q555" s="118" t="s">
        <v>125</v>
      </c>
    </row>
    <row r="556" spans="1:21" x14ac:dyDescent="0.25">
      <c r="A556" s="90" t="s">
        <v>836</v>
      </c>
      <c r="B556" s="119">
        <v>5</v>
      </c>
      <c r="C556" s="90" t="s">
        <v>815</v>
      </c>
      <c r="D556" s="90" t="s">
        <v>95</v>
      </c>
      <c r="E556">
        <v>1104</v>
      </c>
      <c r="F556">
        <v>1111</v>
      </c>
      <c r="G556" s="93" t="s">
        <v>68</v>
      </c>
      <c r="H556" t="s">
        <v>112</v>
      </c>
      <c r="I556">
        <v>13</v>
      </c>
      <c r="J556">
        <f>SUM(K557,K558,K559)</f>
        <v>5811.7800000000007</v>
      </c>
      <c r="K556">
        <f t="shared" si="17"/>
        <v>75553.140000000014</v>
      </c>
      <c r="L556">
        <f>100*(1-(M556/K556))</f>
        <v>55.000000000000007</v>
      </c>
      <c r="M556">
        <f>I556*SUM(M557,M558,M559)</f>
        <v>33998.913</v>
      </c>
      <c r="N556" s="90">
        <v>556</v>
      </c>
      <c r="O556" s="90" t="s">
        <v>837</v>
      </c>
      <c r="P556" s="118" t="s">
        <v>2511</v>
      </c>
      <c r="Q556" s="118" t="s">
        <v>125</v>
      </c>
      <c r="R556" s="90" t="s">
        <v>1836</v>
      </c>
      <c r="S556" s="90" t="s">
        <v>2070</v>
      </c>
      <c r="T556" s="90" t="s">
        <v>2187</v>
      </c>
      <c r="U556" s="90" t="s">
        <v>1953</v>
      </c>
    </row>
    <row r="557" spans="1:21" x14ac:dyDescent="0.25">
      <c r="A557" s="90" t="s">
        <v>838</v>
      </c>
      <c r="B557" s="119">
        <v>6</v>
      </c>
      <c r="C557" s="90" t="s">
        <v>836</v>
      </c>
      <c r="D557" s="90" t="s">
        <v>78</v>
      </c>
      <c r="E557">
        <v>1105</v>
      </c>
      <c r="F557">
        <v>1106</v>
      </c>
      <c r="G557" s="93" t="s">
        <v>78</v>
      </c>
      <c r="H557" t="s">
        <v>113</v>
      </c>
      <c r="I557">
        <v>1</v>
      </c>
      <c r="J557">
        <v>121.31</v>
      </c>
      <c r="K557">
        <f t="shared" si="17"/>
        <v>121.31</v>
      </c>
      <c r="L557">
        <v>55</v>
      </c>
      <c r="M557">
        <f>(1-(L557/100))*K557</f>
        <v>54.589499999999994</v>
      </c>
      <c r="N557" s="90">
        <v>557</v>
      </c>
      <c r="O557" s="90" t="s">
        <v>839</v>
      </c>
      <c r="P557" s="118" t="s">
        <v>611</v>
      </c>
      <c r="Q557" s="118" t="s">
        <v>125</v>
      </c>
    </row>
    <row r="558" spans="1:21" x14ac:dyDescent="0.25">
      <c r="A558" s="90" t="s">
        <v>840</v>
      </c>
      <c r="B558" s="119">
        <v>6</v>
      </c>
      <c r="C558" s="90" t="s">
        <v>836</v>
      </c>
      <c r="D558" s="90" t="s">
        <v>79</v>
      </c>
      <c r="E558">
        <v>1107</v>
      </c>
      <c r="F558">
        <v>1108</v>
      </c>
      <c r="G558" s="93" t="s">
        <v>78</v>
      </c>
      <c r="H558" t="s">
        <v>114</v>
      </c>
      <c r="I558">
        <v>1</v>
      </c>
      <c r="J558">
        <v>5658.47</v>
      </c>
      <c r="K558">
        <f t="shared" si="17"/>
        <v>5658.47</v>
      </c>
      <c r="L558">
        <v>55</v>
      </c>
      <c r="M558">
        <f>(1-(L558/100))*K558</f>
        <v>2546.3114999999998</v>
      </c>
      <c r="N558" s="90">
        <v>558</v>
      </c>
      <c r="O558" s="90" t="s">
        <v>841</v>
      </c>
      <c r="P558" s="118" t="s">
        <v>613</v>
      </c>
      <c r="Q558" s="118" t="s">
        <v>125</v>
      </c>
    </row>
    <row r="559" spans="1:21" x14ac:dyDescent="0.25">
      <c r="A559" s="90" t="s">
        <v>842</v>
      </c>
      <c r="B559" s="119">
        <v>6</v>
      </c>
      <c r="C559" s="90" t="s">
        <v>836</v>
      </c>
      <c r="D559" s="90" t="s">
        <v>80</v>
      </c>
      <c r="E559">
        <v>1109</v>
      </c>
      <c r="F559">
        <v>1110</v>
      </c>
      <c r="G559" s="93" t="s">
        <v>78</v>
      </c>
      <c r="H559" t="s">
        <v>115</v>
      </c>
      <c r="I559">
        <v>1</v>
      </c>
      <c r="J559">
        <v>32</v>
      </c>
      <c r="K559">
        <f t="shared" si="17"/>
        <v>32</v>
      </c>
      <c r="L559">
        <v>55</v>
      </c>
      <c r="M559">
        <f>(1-(L559/100))*K559</f>
        <v>14.399999999999999</v>
      </c>
      <c r="N559" s="90">
        <v>559</v>
      </c>
      <c r="O559" s="90" t="s">
        <v>843</v>
      </c>
      <c r="P559" s="118" t="s">
        <v>2512</v>
      </c>
      <c r="Q559" s="118" t="s">
        <v>125</v>
      </c>
    </row>
    <row r="560" spans="1:21" x14ac:dyDescent="0.25">
      <c r="A560" s="90" t="s">
        <v>844</v>
      </c>
      <c r="B560" s="119">
        <v>5</v>
      </c>
      <c r="C560" s="90" t="s">
        <v>815</v>
      </c>
      <c r="D560" s="90" t="s">
        <v>96</v>
      </c>
      <c r="E560">
        <v>1112</v>
      </c>
      <c r="F560">
        <v>1115</v>
      </c>
      <c r="G560" s="93" t="s">
        <v>68</v>
      </c>
      <c r="H560" t="s">
        <v>116</v>
      </c>
      <c r="I560">
        <v>13</v>
      </c>
      <c r="J560">
        <f>SUM(K561)</f>
        <v>2153.15</v>
      </c>
      <c r="K560">
        <f t="shared" si="17"/>
        <v>27990.95</v>
      </c>
      <c r="L560">
        <f>100*(1-(M560/K560))</f>
        <v>55.000000000000007</v>
      </c>
      <c r="M560">
        <f>I560*SUM(M561)</f>
        <v>12595.927499999998</v>
      </c>
      <c r="N560" s="90">
        <v>560</v>
      </c>
      <c r="O560" s="90" t="s">
        <v>845</v>
      </c>
      <c r="P560" s="118" t="s">
        <v>616</v>
      </c>
      <c r="Q560" s="118" t="s">
        <v>125</v>
      </c>
      <c r="R560" s="90" t="s">
        <v>1837</v>
      </c>
      <c r="S560" s="90" t="s">
        <v>2071</v>
      </c>
      <c r="T560" s="90" t="s">
        <v>2188</v>
      </c>
      <c r="U560" s="90" t="s">
        <v>1954</v>
      </c>
    </row>
    <row r="561" spans="1:21" x14ac:dyDescent="0.25">
      <c r="A561" s="90" t="s">
        <v>846</v>
      </c>
      <c r="B561" s="119">
        <v>6</v>
      </c>
      <c r="C561" s="90" t="s">
        <v>844</v>
      </c>
      <c r="D561" s="90" t="s">
        <v>78</v>
      </c>
      <c r="E561">
        <v>1113</v>
      </c>
      <c r="F561">
        <v>1114</v>
      </c>
      <c r="G561" s="93" t="s">
        <v>78</v>
      </c>
      <c r="H561" t="s">
        <v>117</v>
      </c>
      <c r="I561">
        <v>1</v>
      </c>
      <c r="J561">
        <v>2153.15</v>
      </c>
      <c r="K561">
        <f t="shared" si="17"/>
        <v>2153.15</v>
      </c>
      <c r="L561">
        <v>55</v>
      </c>
      <c r="M561">
        <f>(1-(L561/100))*K561</f>
        <v>968.9174999999999</v>
      </c>
      <c r="N561" s="90">
        <v>561</v>
      </c>
      <c r="O561" s="90" t="s">
        <v>847</v>
      </c>
      <c r="P561" s="118" t="s">
        <v>618</v>
      </c>
      <c r="Q561" s="118" t="s">
        <v>125</v>
      </c>
    </row>
    <row r="562" spans="1:21" x14ac:dyDescent="0.25">
      <c r="A562" s="90" t="s">
        <v>848</v>
      </c>
      <c r="B562" s="119">
        <v>5</v>
      </c>
      <c r="C562" s="90" t="s">
        <v>815</v>
      </c>
      <c r="D562" s="90" t="s">
        <v>103</v>
      </c>
      <c r="E562">
        <v>1116</v>
      </c>
      <c r="F562">
        <v>1119</v>
      </c>
      <c r="G562" s="93" t="s">
        <v>68</v>
      </c>
      <c r="H562" t="s">
        <v>118</v>
      </c>
      <c r="I562">
        <v>40</v>
      </c>
      <c r="J562">
        <f>SUM(K563)</f>
        <v>2153.15</v>
      </c>
      <c r="K562">
        <f t="shared" si="17"/>
        <v>86126</v>
      </c>
      <c r="L562">
        <f>100*(1-(M562/K562))</f>
        <v>55.000000000000007</v>
      </c>
      <c r="M562">
        <f>I562*SUM(M563)</f>
        <v>38756.699999999997</v>
      </c>
      <c r="N562" s="90">
        <v>562</v>
      </c>
      <c r="O562" s="90" t="s">
        <v>849</v>
      </c>
      <c r="P562" s="118" t="s">
        <v>620</v>
      </c>
      <c r="Q562" s="118" t="s">
        <v>125</v>
      </c>
      <c r="R562" s="90" t="s">
        <v>1838</v>
      </c>
      <c r="S562" s="90" t="s">
        <v>2072</v>
      </c>
      <c r="T562" s="90" t="s">
        <v>2189</v>
      </c>
      <c r="U562" s="90" t="s">
        <v>1955</v>
      </c>
    </row>
    <row r="563" spans="1:21" x14ac:dyDescent="0.25">
      <c r="A563" s="90" t="s">
        <v>850</v>
      </c>
      <c r="B563" s="119">
        <v>6</v>
      </c>
      <c r="C563" s="90" t="s">
        <v>848</v>
      </c>
      <c r="D563" s="90" t="s">
        <v>78</v>
      </c>
      <c r="E563">
        <v>1117</v>
      </c>
      <c r="F563">
        <v>1118</v>
      </c>
      <c r="G563" s="93" t="s">
        <v>78</v>
      </c>
      <c r="H563" t="s">
        <v>117</v>
      </c>
      <c r="I563">
        <v>1</v>
      </c>
      <c r="J563">
        <v>2153.15</v>
      </c>
      <c r="K563">
        <f t="shared" si="17"/>
        <v>2153.15</v>
      </c>
      <c r="L563">
        <v>55</v>
      </c>
      <c r="M563">
        <f>(1-(L563/100))*K563</f>
        <v>968.9174999999999</v>
      </c>
      <c r="N563" s="90">
        <v>563</v>
      </c>
      <c r="O563" s="90" t="s">
        <v>851</v>
      </c>
      <c r="P563" s="118" t="s">
        <v>2513</v>
      </c>
      <c r="Q563" s="118" t="s">
        <v>125</v>
      </c>
    </row>
    <row r="564" spans="1:21" x14ac:dyDescent="0.25">
      <c r="A564" s="90" t="s">
        <v>852</v>
      </c>
      <c r="B564" s="119">
        <v>4</v>
      </c>
      <c r="C564" s="90" t="s">
        <v>812</v>
      </c>
      <c r="D564" s="90" t="s">
        <v>79</v>
      </c>
      <c r="E564">
        <v>1121</v>
      </c>
      <c r="F564">
        <v>1176</v>
      </c>
      <c r="G564" s="93" t="s">
        <v>68</v>
      </c>
      <c r="H564" t="s">
        <v>853</v>
      </c>
      <c r="I564">
        <v>1</v>
      </c>
      <c r="J564">
        <f>SUM(K565,K567,K569)</f>
        <v>344224.97134878009</v>
      </c>
      <c r="K564">
        <f t="shared" si="17"/>
        <v>344224.97134878009</v>
      </c>
      <c r="L564">
        <f>100*(1-(M564/K564))</f>
        <v>55.000000000000014</v>
      </c>
      <c r="M564">
        <f>I564*SUM(M565,M567,M569)</f>
        <v>154901.23710695098</v>
      </c>
      <c r="N564" s="90">
        <v>564</v>
      </c>
      <c r="O564" s="90" t="s">
        <v>854</v>
      </c>
      <c r="P564" s="118" t="s">
        <v>623</v>
      </c>
      <c r="Q564" s="118" t="s">
        <v>125</v>
      </c>
      <c r="R564" s="90" t="s">
        <v>2284</v>
      </c>
      <c r="S564" s="90" t="s">
        <v>2388</v>
      </c>
      <c r="T564" s="90" t="s">
        <v>2440</v>
      </c>
      <c r="U564" s="90" t="s">
        <v>2336</v>
      </c>
    </row>
    <row r="565" spans="1:21" x14ac:dyDescent="0.25">
      <c r="A565" s="90" t="s">
        <v>855</v>
      </c>
      <c r="B565" s="119">
        <v>5</v>
      </c>
      <c r="C565" s="90" t="s">
        <v>852</v>
      </c>
      <c r="D565" s="90" t="s">
        <v>78</v>
      </c>
      <c r="E565">
        <v>1122</v>
      </c>
      <c r="F565">
        <v>1125</v>
      </c>
      <c r="G565" s="93" t="s">
        <v>68</v>
      </c>
      <c r="H565" t="s">
        <v>856</v>
      </c>
      <c r="I565">
        <v>42</v>
      </c>
      <c r="J565">
        <f>SUM(K566)</f>
        <v>214.52947918000001</v>
      </c>
      <c r="K565">
        <f t="shared" si="17"/>
        <v>9010.2381255600012</v>
      </c>
      <c r="L565">
        <f>100*(1-(M565/K565))</f>
        <v>55.000000000000007</v>
      </c>
      <c r="M565">
        <f>I565*SUM(M566)</f>
        <v>4054.6071565020002</v>
      </c>
      <c r="N565" s="90">
        <v>565</v>
      </c>
      <c r="O565" s="90" t="s">
        <v>857</v>
      </c>
      <c r="P565" s="118" t="s">
        <v>625</v>
      </c>
      <c r="Q565" s="118" t="s">
        <v>125</v>
      </c>
      <c r="R565" s="90" t="s">
        <v>1865</v>
      </c>
      <c r="S565" s="90" t="s">
        <v>2099</v>
      </c>
      <c r="T565" s="90" t="s">
        <v>2216</v>
      </c>
      <c r="U565" s="90" t="s">
        <v>1982</v>
      </c>
    </row>
    <row r="566" spans="1:21" x14ac:dyDescent="0.25">
      <c r="A566" s="90" t="s">
        <v>858</v>
      </c>
      <c r="B566" s="119">
        <v>6</v>
      </c>
      <c r="C566" s="90" t="s">
        <v>855</v>
      </c>
      <c r="D566" s="90" t="s">
        <v>78</v>
      </c>
      <c r="E566">
        <v>1123</v>
      </c>
      <c r="F566">
        <v>1124</v>
      </c>
      <c r="G566" s="93" t="s">
        <v>78</v>
      </c>
      <c r="H566" t="s">
        <v>203</v>
      </c>
      <c r="I566">
        <v>1</v>
      </c>
      <c r="J566">
        <v>214.52947918000001</v>
      </c>
      <c r="K566">
        <f t="shared" si="17"/>
        <v>214.52947918000001</v>
      </c>
      <c r="L566">
        <v>55</v>
      </c>
      <c r="M566">
        <f>(1-(L566/100))*K566</f>
        <v>96.538265631000002</v>
      </c>
      <c r="N566" s="90">
        <v>566</v>
      </c>
      <c r="O566" s="90" t="s">
        <v>859</v>
      </c>
      <c r="P566" s="118" t="s">
        <v>627</v>
      </c>
      <c r="Q566" s="118" t="s">
        <v>125</v>
      </c>
    </row>
    <row r="567" spans="1:21" x14ac:dyDescent="0.25">
      <c r="A567" s="90" t="s">
        <v>860</v>
      </c>
      <c r="B567" s="119">
        <v>5</v>
      </c>
      <c r="C567" s="90" t="s">
        <v>852</v>
      </c>
      <c r="D567" s="90" t="s">
        <v>79</v>
      </c>
      <c r="E567">
        <v>1126</v>
      </c>
      <c r="F567">
        <v>1129</v>
      </c>
      <c r="G567" s="93" t="s">
        <v>68</v>
      </c>
      <c r="H567" t="s">
        <v>861</v>
      </c>
      <c r="I567">
        <v>106</v>
      </c>
      <c r="J567">
        <f>SUM(K568)</f>
        <v>214.52947918000001</v>
      </c>
      <c r="K567">
        <f t="shared" si="17"/>
        <v>22740.124793080002</v>
      </c>
      <c r="L567">
        <f>100*(1-(M567/K567))</f>
        <v>55.000000000000007</v>
      </c>
      <c r="M567">
        <f>I567*SUM(M568)</f>
        <v>10233.056156885999</v>
      </c>
      <c r="N567" s="90">
        <v>567</v>
      </c>
      <c r="O567" s="90" t="s">
        <v>862</v>
      </c>
      <c r="P567" s="118" t="s">
        <v>629</v>
      </c>
      <c r="Q567" s="118" t="s">
        <v>125</v>
      </c>
      <c r="R567" s="90" t="s">
        <v>1866</v>
      </c>
      <c r="S567" s="90" t="s">
        <v>2100</v>
      </c>
      <c r="T567" s="90" t="s">
        <v>2217</v>
      </c>
      <c r="U567" s="90" t="s">
        <v>1983</v>
      </c>
    </row>
    <row r="568" spans="1:21" x14ac:dyDescent="0.25">
      <c r="A568" s="90" t="s">
        <v>863</v>
      </c>
      <c r="B568" s="119">
        <v>6</v>
      </c>
      <c r="C568" s="90" t="s">
        <v>860</v>
      </c>
      <c r="D568" s="90" t="s">
        <v>78</v>
      </c>
      <c r="E568">
        <v>1127</v>
      </c>
      <c r="F568">
        <v>1128</v>
      </c>
      <c r="G568" s="93" t="s">
        <v>78</v>
      </c>
      <c r="H568" t="s">
        <v>205</v>
      </c>
      <c r="I568">
        <v>1</v>
      </c>
      <c r="J568">
        <v>214.52947918000001</v>
      </c>
      <c r="K568">
        <f t="shared" si="17"/>
        <v>214.52947918000001</v>
      </c>
      <c r="L568">
        <v>55</v>
      </c>
      <c r="M568">
        <f>(1-(L568/100))*K568</f>
        <v>96.538265631000002</v>
      </c>
      <c r="N568" s="90">
        <v>568</v>
      </c>
      <c r="O568" s="90" t="s">
        <v>864</v>
      </c>
      <c r="P568" s="118" t="s">
        <v>631</v>
      </c>
      <c r="Q568" s="118" t="s">
        <v>125</v>
      </c>
    </row>
    <row r="569" spans="1:21" x14ac:dyDescent="0.25">
      <c r="A569" s="90" t="s">
        <v>865</v>
      </c>
      <c r="B569" s="119">
        <v>5</v>
      </c>
      <c r="C569" s="90" t="s">
        <v>852</v>
      </c>
      <c r="D569" s="90" t="s">
        <v>80</v>
      </c>
      <c r="E569">
        <v>1130</v>
      </c>
      <c r="F569">
        <v>1175</v>
      </c>
      <c r="G569" s="93" t="s">
        <v>68</v>
      </c>
      <c r="H569" t="s">
        <v>866</v>
      </c>
      <c r="I569">
        <v>13</v>
      </c>
      <c r="J569">
        <f>SUM(K570,K571,K572,K573,K574,K575,K576,K577,K578,K579,K580,K581,K582,K583,K584,K585,K586,K587,K588,K589,K590,K591)</f>
        <v>24036.508340780005</v>
      </c>
      <c r="K569">
        <f t="shared" si="17"/>
        <v>312474.60843014007</v>
      </c>
      <c r="L569">
        <f>100*(1-(M569/K569))</f>
        <v>55.000000000000028</v>
      </c>
      <c r="M569">
        <f>I569*SUM(M570,M571,M572,M573,M574,M575,M576,M577,M578,M579,M580,M581,M582,M583,M584,M585,M586,M587,M588,M589,M590,M591)</f>
        <v>140613.57379356297</v>
      </c>
      <c r="N569" s="90">
        <v>569</v>
      </c>
      <c r="O569" s="90" t="s">
        <v>867</v>
      </c>
      <c r="P569" s="118" t="s">
        <v>633</v>
      </c>
      <c r="Q569" s="118" t="s">
        <v>125</v>
      </c>
      <c r="R569" s="90" t="s">
        <v>1867</v>
      </c>
      <c r="S569" s="90" t="s">
        <v>2101</v>
      </c>
      <c r="T569" s="90" t="s">
        <v>2218</v>
      </c>
      <c r="U569" s="90" t="s">
        <v>1984</v>
      </c>
    </row>
    <row r="570" spans="1:21" x14ac:dyDescent="0.25">
      <c r="A570" s="90" t="s">
        <v>868</v>
      </c>
      <c r="B570" s="119">
        <v>6</v>
      </c>
      <c r="C570" s="90" t="s">
        <v>865</v>
      </c>
      <c r="D570" s="90" t="s">
        <v>78</v>
      </c>
      <c r="E570">
        <v>1131</v>
      </c>
      <c r="F570">
        <v>1132</v>
      </c>
      <c r="G570" s="93" t="s">
        <v>78</v>
      </c>
      <c r="H570" t="s">
        <v>124</v>
      </c>
      <c r="I570">
        <v>1</v>
      </c>
      <c r="J570">
        <v>6097.03298103</v>
      </c>
      <c r="K570">
        <f t="shared" si="17"/>
        <v>6097.03298103</v>
      </c>
      <c r="L570">
        <v>55</v>
      </c>
      <c r="M570">
        <f t="shared" ref="M570:M591" si="18">(1-(L570/100))*K570</f>
        <v>2743.6648414634997</v>
      </c>
      <c r="N570" s="90">
        <v>570</v>
      </c>
      <c r="O570" s="90" t="s">
        <v>869</v>
      </c>
      <c r="P570" s="118" t="s">
        <v>635</v>
      </c>
      <c r="Q570" s="118" t="s">
        <v>125</v>
      </c>
    </row>
    <row r="571" spans="1:21" x14ac:dyDescent="0.25">
      <c r="A571" s="90" t="s">
        <v>870</v>
      </c>
      <c r="B571" s="119">
        <v>6</v>
      </c>
      <c r="C571" s="90" t="s">
        <v>865</v>
      </c>
      <c r="D571" s="90" t="s">
        <v>79</v>
      </c>
      <c r="E571">
        <v>1133</v>
      </c>
      <c r="F571">
        <v>1134</v>
      </c>
      <c r="G571" s="93" t="s">
        <v>78</v>
      </c>
      <c r="H571" t="s">
        <v>871</v>
      </c>
      <c r="I571">
        <v>1</v>
      </c>
      <c r="J571">
        <v>537.64166561000002</v>
      </c>
      <c r="K571">
        <f t="shared" si="17"/>
        <v>537.64166561000002</v>
      </c>
      <c r="L571">
        <v>55</v>
      </c>
      <c r="M571">
        <f t="shared" si="18"/>
        <v>241.9387495245</v>
      </c>
      <c r="N571" s="90">
        <v>571</v>
      </c>
      <c r="O571" s="90" t="s">
        <v>872</v>
      </c>
      <c r="P571" s="118" t="s">
        <v>637</v>
      </c>
      <c r="Q571" s="118" t="s">
        <v>125</v>
      </c>
    </row>
    <row r="572" spans="1:21" x14ac:dyDescent="0.25">
      <c r="A572" s="90" t="s">
        <v>873</v>
      </c>
      <c r="B572" s="119">
        <v>6</v>
      </c>
      <c r="C572" s="90" t="s">
        <v>865</v>
      </c>
      <c r="D572" s="90" t="s">
        <v>80</v>
      </c>
      <c r="E572">
        <v>1135</v>
      </c>
      <c r="F572">
        <v>1136</v>
      </c>
      <c r="G572" s="93" t="s">
        <v>78</v>
      </c>
      <c r="H572" t="s">
        <v>123</v>
      </c>
      <c r="I572">
        <v>2</v>
      </c>
      <c r="J572">
        <v>313.76543995999998</v>
      </c>
      <c r="K572">
        <f t="shared" si="17"/>
        <v>627.53087991999996</v>
      </c>
      <c r="L572">
        <v>55</v>
      </c>
      <c r="M572">
        <f t="shared" si="18"/>
        <v>282.38889596399997</v>
      </c>
      <c r="N572" s="90">
        <v>572</v>
      </c>
      <c r="O572" s="90" t="s">
        <v>874</v>
      </c>
      <c r="P572" s="118" t="s">
        <v>639</v>
      </c>
      <c r="Q572" s="118" t="s">
        <v>125</v>
      </c>
    </row>
    <row r="573" spans="1:21" x14ac:dyDescent="0.25">
      <c r="A573" s="90" t="s">
        <v>875</v>
      </c>
      <c r="B573" s="119">
        <v>6</v>
      </c>
      <c r="C573" s="90" t="s">
        <v>865</v>
      </c>
      <c r="D573" s="90" t="s">
        <v>95</v>
      </c>
      <c r="E573">
        <v>1137</v>
      </c>
      <c r="F573">
        <v>1138</v>
      </c>
      <c r="G573" s="93" t="s">
        <v>78</v>
      </c>
      <c r="H573" t="s">
        <v>120</v>
      </c>
      <c r="I573">
        <v>1</v>
      </c>
      <c r="J573">
        <v>1231.376544</v>
      </c>
      <c r="K573">
        <f t="shared" si="17"/>
        <v>1231.376544</v>
      </c>
      <c r="L573">
        <v>55</v>
      </c>
      <c r="M573">
        <f t="shared" si="18"/>
        <v>554.11944479999988</v>
      </c>
      <c r="N573" s="90">
        <v>573</v>
      </c>
      <c r="O573" s="90" t="s">
        <v>876</v>
      </c>
      <c r="P573" s="118" t="s">
        <v>2514</v>
      </c>
      <c r="Q573" s="118" t="s">
        <v>125</v>
      </c>
    </row>
    <row r="574" spans="1:21" x14ac:dyDescent="0.25">
      <c r="A574" s="90" t="s">
        <v>877</v>
      </c>
      <c r="B574" s="119">
        <v>6</v>
      </c>
      <c r="C574" s="90" t="s">
        <v>865</v>
      </c>
      <c r="D574" s="90" t="s">
        <v>96</v>
      </c>
      <c r="E574">
        <v>1139</v>
      </c>
      <c r="F574">
        <v>1140</v>
      </c>
      <c r="G574" s="93" t="s">
        <v>78</v>
      </c>
      <c r="H574" t="s">
        <v>126</v>
      </c>
      <c r="I574">
        <v>1</v>
      </c>
      <c r="J574">
        <v>967.93582071000003</v>
      </c>
      <c r="K574">
        <f t="shared" si="17"/>
        <v>967.93582071000003</v>
      </c>
      <c r="L574">
        <v>55</v>
      </c>
      <c r="M574">
        <f t="shared" si="18"/>
        <v>435.57111931949999</v>
      </c>
      <c r="N574" s="90">
        <v>574</v>
      </c>
      <c r="O574" s="90" t="s">
        <v>878</v>
      </c>
      <c r="P574" s="118" t="s">
        <v>642</v>
      </c>
      <c r="Q574" s="118" t="s">
        <v>125</v>
      </c>
    </row>
    <row r="575" spans="1:21" x14ac:dyDescent="0.25">
      <c r="A575" s="90" t="s">
        <v>879</v>
      </c>
      <c r="B575" s="119">
        <v>6</v>
      </c>
      <c r="C575" s="90" t="s">
        <v>865</v>
      </c>
      <c r="D575" s="90" t="s">
        <v>103</v>
      </c>
      <c r="E575">
        <v>1141</v>
      </c>
      <c r="F575">
        <v>1142</v>
      </c>
      <c r="G575" s="93" t="s">
        <v>78</v>
      </c>
      <c r="H575" t="s">
        <v>199</v>
      </c>
      <c r="I575">
        <v>2</v>
      </c>
      <c r="J575">
        <v>862.86769387000004</v>
      </c>
      <c r="K575">
        <f t="shared" si="17"/>
        <v>1725.7353877400001</v>
      </c>
      <c r="L575">
        <v>55</v>
      </c>
      <c r="M575">
        <f t="shared" si="18"/>
        <v>776.58092448299999</v>
      </c>
      <c r="N575" s="90">
        <v>575</v>
      </c>
      <c r="O575" s="90" t="s">
        <v>880</v>
      </c>
      <c r="P575" s="118" t="s">
        <v>644</v>
      </c>
      <c r="Q575" s="118" t="s">
        <v>125</v>
      </c>
    </row>
    <row r="576" spans="1:21" x14ac:dyDescent="0.25">
      <c r="A576" s="90" t="s">
        <v>881</v>
      </c>
      <c r="B576" s="119">
        <v>6</v>
      </c>
      <c r="C576" s="90" t="s">
        <v>865</v>
      </c>
      <c r="D576" s="90" t="s">
        <v>1769</v>
      </c>
      <c r="E576">
        <v>1143</v>
      </c>
      <c r="F576">
        <v>1144</v>
      </c>
      <c r="G576" s="93" t="s">
        <v>78</v>
      </c>
      <c r="H576" t="s">
        <v>224</v>
      </c>
      <c r="I576">
        <v>1</v>
      </c>
      <c r="J576">
        <v>2064.00101872</v>
      </c>
      <c r="K576">
        <f t="shared" si="17"/>
        <v>2064.00101872</v>
      </c>
      <c r="L576">
        <v>55</v>
      </c>
      <c r="M576">
        <f t="shared" si="18"/>
        <v>928.80045842399988</v>
      </c>
      <c r="N576" s="90">
        <v>576</v>
      </c>
      <c r="O576" s="90" t="s">
        <v>882</v>
      </c>
      <c r="P576" s="118" t="s">
        <v>646</v>
      </c>
      <c r="Q576" s="118" t="s">
        <v>125</v>
      </c>
    </row>
    <row r="577" spans="1:21" x14ac:dyDescent="0.25">
      <c r="A577" s="90" t="s">
        <v>883</v>
      </c>
      <c r="B577" s="119">
        <v>6</v>
      </c>
      <c r="C577" s="90" t="s">
        <v>865</v>
      </c>
      <c r="D577" s="90" t="s">
        <v>1770</v>
      </c>
      <c r="E577">
        <v>1145</v>
      </c>
      <c r="F577">
        <v>1146</v>
      </c>
      <c r="G577" s="93" t="s">
        <v>78</v>
      </c>
      <c r="H577" t="s">
        <v>201</v>
      </c>
      <c r="I577">
        <v>1</v>
      </c>
      <c r="J577">
        <v>7211.7152680500003</v>
      </c>
      <c r="K577">
        <f t="shared" si="17"/>
        <v>7211.7152680500003</v>
      </c>
      <c r="L577">
        <v>55</v>
      </c>
      <c r="M577">
        <f t="shared" si="18"/>
        <v>3245.2718706224996</v>
      </c>
      <c r="N577" s="90">
        <v>577</v>
      </c>
      <c r="O577" s="90" t="s">
        <v>884</v>
      </c>
      <c r="P577" s="118" t="s">
        <v>2515</v>
      </c>
      <c r="Q577" s="118" t="s">
        <v>125</v>
      </c>
    </row>
    <row r="578" spans="1:21" x14ac:dyDescent="0.25">
      <c r="A578" s="90" t="s">
        <v>885</v>
      </c>
      <c r="B578" s="119">
        <v>6</v>
      </c>
      <c r="C578" s="90" t="s">
        <v>865</v>
      </c>
      <c r="D578" s="90" t="s">
        <v>1771</v>
      </c>
      <c r="E578">
        <v>1147</v>
      </c>
      <c r="F578">
        <v>1148</v>
      </c>
      <c r="G578" s="93" t="s">
        <v>78</v>
      </c>
      <c r="H578" t="s">
        <v>203</v>
      </c>
      <c r="I578">
        <v>0</v>
      </c>
      <c r="J578">
        <v>214.52947918000001</v>
      </c>
      <c r="K578">
        <f t="shared" si="17"/>
        <v>0</v>
      </c>
      <c r="L578">
        <v>55</v>
      </c>
      <c r="M578">
        <f t="shared" si="18"/>
        <v>0</v>
      </c>
      <c r="N578" s="90">
        <v>578</v>
      </c>
      <c r="O578" s="90" t="s">
        <v>886</v>
      </c>
      <c r="P578" s="118" t="s">
        <v>649</v>
      </c>
      <c r="Q578" s="118" t="s">
        <v>125</v>
      </c>
    </row>
    <row r="579" spans="1:21" x14ac:dyDescent="0.25">
      <c r="A579" s="90" t="s">
        <v>887</v>
      </c>
      <c r="B579" s="119">
        <v>6</v>
      </c>
      <c r="C579" s="90" t="s">
        <v>865</v>
      </c>
      <c r="D579" s="90" t="s">
        <v>1772</v>
      </c>
      <c r="E579">
        <v>1149</v>
      </c>
      <c r="F579">
        <v>1150</v>
      </c>
      <c r="G579" s="93" t="s">
        <v>78</v>
      </c>
      <c r="H579" t="s">
        <v>205</v>
      </c>
      <c r="I579">
        <v>0</v>
      </c>
      <c r="J579">
        <v>214.52947918000001</v>
      </c>
      <c r="K579">
        <f t="shared" ref="K579:K642" si="19">I579*J579</f>
        <v>0</v>
      </c>
      <c r="L579">
        <v>55</v>
      </c>
      <c r="M579">
        <f t="shared" si="18"/>
        <v>0</v>
      </c>
      <c r="N579" s="90">
        <v>579</v>
      </c>
      <c r="O579" s="90" t="s">
        <v>888</v>
      </c>
      <c r="P579" s="118" t="s">
        <v>651</v>
      </c>
      <c r="Q579" s="118" t="s">
        <v>125</v>
      </c>
    </row>
    <row r="580" spans="1:21" x14ac:dyDescent="0.25">
      <c r="A580" s="90" t="s">
        <v>889</v>
      </c>
      <c r="B580" s="119">
        <v>6</v>
      </c>
      <c r="C580" s="90" t="s">
        <v>865</v>
      </c>
      <c r="D580" s="90" t="s">
        <v>97</v>
      </c>
      <c r="E580">
        <v>1151</v>
      </c>
      <c r="F580">
        <v>1152</v>
      </c>
      <c r="G580" s="93" t="s">
        <v>78</v>
      </c>
      <c r="H580" t="s">
        <v>194</v>
      </c>
      <c r="I580">
        <v>3</v>
      </c>
      <c r="J580">
        <v>256.72991214000001</v>
      </c>
      <c r="K580">
        <f t="shared" si="19"/>
        <v>770.18973642000003</v>
      </c>
      <c r="L580">
        <v>55</v>
      </c>
      <c r="M580">
        <f t="shared" si="18"/>
        <v>346.58538138899996</v>
      </c>
      <c r="N580" s="90">
        <v>580</v>
      </c>
      <c r="O580" s="90" t="s">
        <v>890</v>
      </c>
      <c r="P580" s="118" t="s">
        <v>653</v>
      </c>
      <c r="Q580" s="118" t="s">
        <v>125</v>
      </c>
    </row>
    <row r="581" spans="1:21" x14ac:dyDescent="0.25">
      <c r="A581" s="90" t="s">
        <v>891</v>
      </c>
      <c r="B581" s="119">
        <v>6</v>
      </c>
      <c r="C581" s="90" t="s">
        <v>865</v>
      </c>
      <c r="D581" s="90" t="s">
        <v>98</v>
      </c>
      <c r="E581">
        <v>1153</v>
      </c>
      <c r="F581">
        <v>1154</v>
      </c>
      <c r="G581" s="93" t="s">
        <v>78</v>
      </c>
      <c r="H581" t="s">
        <v>892</v>
      </c>
      <c r="I581">
        <v>1</v>
      </c>
      <c r="J581">
        <v>997.30039475000001</v>
      </c>
      <c r="K581">
        <f t="shared" si="19"/>
        <v>997.30039475000001</v>
      </c>
      <c r="L581">
        <v>55</v>
      </c>
      <c r="M581">
        <f t="shared" si="18"/>
        <v>448.78517763749994</v>
      </c>
      <c r="N581" s="90">
        <v>581</v>
      </c>
      <c r="O581" s="90" t="s">
        <v>893</v>
      </c>
      <c r="P581" s="118" t="s">
        <v>655</v>
      </c>
      <c r="Q581" s="118" t="s">
        <v>125</v>
      </c>
    </row>
    <row r="582" spans="1:21" x14ac:dyDescent="0.25">
      <c r="A582" s="90" t="s">
        <v>894</v>
      </c>
      <c r="B582" s="119">
        <v>6</v>
      </c>
      <c r="C582" s="90" t="s">
        <v>865</v>
      </c>
      <c r="D582" s="90" t="s">
        <v>99</v>
      </c>
      <c r="E582">
        <v>1155</v>
      </c>
      <c r="F582">
        <v>1156</v>
      </c>
      <c r="G582" s="93" t="s">
        <v>78</v>
      </c>
      <c r="H582" t="s">
        <v>895</v>
      </c>
      <c r="I582">
        <v>1</v>
      </c>
      <c r="J582">
        <v>938.16375906999997</v>
      </c>
      <c r="K582">
        <f t="shared" si="19"/>
        <v>938.16375906999997</v>
      </c>
      <c r="L582">
        <v>55</v>
      </c>
      <c r="M582">
        <f t="shared" si="18"/>
        <v>422.17369158149995</v>
      </c>
      <c r="N582" s="90">
        <v>582</v>
      </c>
      <c r="O582" s="90" t="s">
        <v>896</v>
      </c>
      <c r="P582" s="118" t="s">
        <v>657</v>
      </c>
      <c r="Q582" s="118" t="s">
        <v>125</v>
      </c>
    </row>
    <row r="583" spans="1:21" x14ac:dyDescent="0.25">
      <c r="A583" s="90" t="s">
        <v>897</v>
      </c>
      <c r="B583" s="119">
        <v>6</v>
      </c>
      <c r="C583" s="90" t="s">
        <v>865</v>
      </c>
      <c r="D583" s="90" t="s">
        <v>100</v>
      </c>
      <c r="E583">
        <v>1157</v>
      </c>
      <c r="F583">
        <v>1158</v>
      </c>
      <c r="G583" s="93" t="s">
        <v>78</v>
      </c>
      <c r="H583" t="s">
        <v>119</v>
      </c>
      <c r="I583">
        <v>1</v>
      </c>
      <c r="J583">
        <v>594.85546925000006</v>
      </c>
      <c r="K583">
        <f t="shared" si="19"/>
        <v>594.85546925000006</v>
      </c>
      <c r="L583">
        <v>55</v>
      </c>
      <c r="M583">
        <f t="shared" si="18"/>
        <v>267.68496116249997</v>
      </c>
      <c r="N583" s="90">
        <v>583</v>
      </c>
      <c r="O583" s="90" t="s">
        <v>898</v>
      </c>
      <c r="P583" s="118" t="s">
        <v>659</v>
      </c>
      <c r="Q583" s="118" t="s">
        <v>125</v>
      </c>
    </row>
    <row r="584" spans="1:21" x14ac:dyDescent="0.25">
      <c r="A584" s="90" t="s">
        <v>899</v>
      </c>
      <c r="B584" s="119">
        <v>6</v>
      </c>
      <c r="C584" s="90" t="s">
        <v>865</v>
      </c>
      <c r="D584" s="90" t="s">
        <v>81</v>
      </c>
      <c r="E584">
        <v>1159</v>
      </c>
      <c r="F584">
        <v>1160</v>
      </c>
      <c r="G584" s="93" t="s">
        <v>78</v>
      </c>
      <c r="H584" t="s">
        <v>128</v>
      </c>
      <c r="I584">
        <v>0</v>
      </c>
      <c r="J584">
        <v>275.43613906000002</v>
      </c>
      <c r="K584">
        <f t="shared" si="19"/>
        <v>0</v>
      </c>
      <c r="L584">
        <v>55</v>
      </c>
      <c r="M584">
        <f t="shared" si="18"/>
        <v>0</v>
      </c>
      <c r="N584" s="90">
        <v>584</v>
      </c>
      <c r="O584" s="90" t="s">
        <v>900</v>
      </c>
      <c r="P584" s="118" t="s">
        <v>661</v>
      </c>
      <c r="Q584" s="118" t="s">
        <v>125</v>
      </c>
    </row>
    <row r="585" spans="1:21" x14ac:dyDescent="0.25">
      <c r="A585" s="90" t="s">
        <v>901</v>
      </c>
      <c r="B585" s="119">
        <v>6</v>
      </c>
      <c r="C585" s="90" t="s">
        <v>865</v>
      </c>
      <c r="D585" s="90" t="s">
        <v>83</v>
      </c>
      <c r="E585">
        <v>1161</v>
      </c>
      <c r="F585">
        <v>1162</v>
      </c>
      <c r="G585" s="93" t="s">
        <v>78</v>
      </c>
      <c r="H585" t="s">
        <v>121</v>
      </c>
      <c r="I585">
        <v>0</v>
      </c>
      <c r="J585">
        <v>78.186680249999995</v>
      </c>
      <c r="K585">
        <f t="shared" si="19"/>
        <v>0</v>
      </c>
      <c r="L585">
        <v>55</v>
      </c>
      <c r="M585">
        <f t="shared" si="18"/>
        <v>0</v>
      </c>
      <c r="N585" s="90">
        <v>585</v>
      </c>
      <c r="O585" s="90" t="s">
        <v>902</v>
      </c>
      <c r="P585" s="118" t="s">
        <v>663</v>
      </c>
      <c r="Q585" s="118" t="s">
        <v>125</v>
      </c>
    </row>
    <row r="586" spans="1:21" x14ac:dyDescent="0.25">
      <c r="A586" s="90" t="s">
        <v>903</v>
      </c>
      <c r="B586" s="119">
        <v>6</v>
      </c>
      <c r="C586" s="90" t="s">
        <v>865</v>
      </c>
      <c r="D586" s="90" t="s">
        <v>84</v>
      </c>
      <c r="E586">
        <v>1163</v>
      </c>
      <c r="F586">
        <v>1164</v>
      </c>
      <c r="G586" s="93" t="s">
        <v>78</v>
      </c>
      <c r="H586" t="s">
        <v>122</v>
      </c>
      <c r="I586">
        <v>0</v>
      </c>
      <c r="J586">
        <v>823.90169361999995</v>
      </c>
      <c r="K586">
        <f t="shared" si="19"/>
        <v>0</v>
      </c>
      <c r="L586">
        <v>55</v>
      </c>
      <c r="M586">
        <f t="shared" si="18"/>
        <v>0</v>
      </c>
      <c r="N586" s="90">
        <v>586</v>
      </c>
      <c r="O586" s="90" t="s">
        <v>904</v>
      </c>
      <c r="P586" s="118" t="s">
        <v>665</v>
      </c>
      <c r="Q586" s="118" t="s">
        <v>125</v>
      </c>
    </row>
    <row r="587" spans="1:21" x14ac:dyDescent="0.25">
      <c r="A587" s="90" t="s">
        <v>905</v>
      </c>
      <c r="B587" s="119">
        <v>6</v>
      </c>
      <c r="C587" s="90" t="s">
        <v>865</v>
      </c>
      <c r="D587" s="90" t="s">
        <v>85</v>
      </c>
      <c r="E587">
        <v>1165</v>
      </c>
      <c r="F587">
        <v>1166</v>
      </c>
      <c r="G587" s="93" t="s">
        <v>78</v>
      </c>
      <c r="H587" t="s">
        <v>129</v>
      </c>
      <c r="I587">
        <v>0</v>
      </c>
      <c r="J587">
        <v>270.62269196</v>
      </c>
      <c r="K587">
        <f t="shared" si="19"/>
        <v>0</v>
      </c>
      <c r="L587">
        <v>55</v>
      </c>
      <c r="M587">
        <f t="shared" si="18"/>
        <v>0</v>
      </c>
      <c r="N587" s="90">
        <v>587</v>
      </c>
      <c r="O587" s="90" t="s">
        <v>906</v>
      </c>
      <c r="P587" s="118" t="s">
        <v>2516</v>
      </c>
      <c r="Q587" s="118" t="s">
        <v>125</v>
      </c>
    </row>
    <row r="588" spans="1:21" x14ac:dyDescent="0.25">
      <c r="A588" s="90" t="s">
        <v>907</v>
      </c>
      <c r="B588" s="119">
        <v>6</v>
      </c>
      <c r="C588" s="90" t="s">
        <v>865</v>
      </c>
      <c r="D588" s="90" t="s">
        <v>86</v>
      </c>
      <c r="E588">
        <v>1167</v>
      </c>
      <c r="F588">
        <v>1168</v>
      </c>
      <c r="G588" s="93" t="s">
        <v>78</v>
      </c>
      <c r="H588" t="s">
        <v>908</v>
      </c>
      <c r="I588">
        <v>1</v>
      </c>
      <c r="J588">
        <v>60.142620649999998</v>
      </c>
      <c r="K588">
        <f t="shared" si="19"/>
        <v>60.142620649999998</v>
      </c>
      <c r="L588">
        <v>55</v>
      </c>
      <c r="M588">
        <f t="shared" si="18"/>
        <v>27.064179292499997</v>
      </c>
      <c r="N588" s="90">
        <v>588</v>
      </c>
      <c r="O588" s="90" t="s">
        <v>909</v>
      </c>
      <c r="P588" s="118" t="s">
        <v>668</v>
      </c>
      <c r="Q588" s="118" t="s">
        <v>125</v>
      </c>
    </row>
    <row r="589" spans="1:21" x14ac:dyDescent="0.25">
      <c r="A589" s="90" t="s">
        <v>910</v>
      </c>
      <c r="B589" s="119">
        <v>6</v>
      </c>
      <c r="C589" s="90" t="s">
        <v>865</v>
      </c>
      <c r="D589" s="90" t="s">
        <v>87</v>
      </c>
      <c r="E589">
        <v>1169</v>
      </c>
      <c r="F589">
        <v>1170</v>
      </c>
      <c r="G589" s="93" t="s">
        <v>78</v>
      </c>
      <c r="H589" t="s">
        <v>135</v>
      </c>
      <c r="I589">
        <v>0</v>
      </c>
      <c r="J589">
        <v>119.07551254000001</v>
      </c>
      <c r="K589">
        <f t="shared" si="19"/>
        <v>0</v>
      </c>
      <c r="L589">
        <v>55</v>
      </c>
      <c r="M589">
        <f t="shared" si="18"/>
        <v>0</v>
      </c>
      <c r="N589" s="90">
        <v>589</v>
      </c>
      <c r="O589" s="90" t="s">
        <v>911</v>
      </c>
      <c r="P589" s="118" t="s">
        <v>671</v>
      </c>
      <c r="Q589" s="118" t="s">
        <v>125</v>
      </c>
    </row>
    <row r="590" spans="1:21" x14ac:dyDescent="0.25">
      <c r="A590" s="90" t="s">
        <v>912</v>
      </c>
      <c r="B590" s="119">
        <v>6</v>
      </c>
      <c r="C590" s="90" t="s">
        <v>865</v>
      </c>
      <c r="D590" s="90" t="s">
        <v>101</v>
      </c>
      <c r="E590">
        <v>1171</v>
      </c>
      <c r="F590">
        <v>1172</v>
      </c>
      <c r="G590" s="93" t="s">
        <v>78</v>
      </c>
      <c r="H590" t="s">
        <v>130</v>
      </c>
      <c r="I590">
        <v>1</v>
      </c>
      <c r="J590">
        <v>212.88679486000001</v>
      </c>
      <c r="K590">
        <f t="shared" si="19"/>
        <v>212.88679486000001</v>
      </c>
      <c r="L590">
        <v>55</v>
      </c>
      <c r="M590">
        <f t="shared" si="18"/>
        <v>95.799057687000001</v>
      </c>
      <c r="N590" s="90">
        <v>590</v>
      </c>
      <c r="O590" s="90" t="s">
        <v>913</v>
      </c>
      <c r="P590" s="118" t="s">
        <v>674</v>
      </c>
      <c r="Q590" s="118" t="s">
        <v>125</v>
      </c>
    </row>
    <row r="591" spans="1:21" x14ac:dyDescent="0.25">
      <c r="A591" s="90" t="s">
        <v>914</v>
      </c>
      <c r="B591" s="119">
        <v>6</v>
      </c>
      <c r="C591" s="90" t="s">
        <v>865</v>
      </c>
      <c r="D591" s="90" t="s">
        <v>88</v>
      </c>
      <c r="E591">
        <v>1173</v>
      </c>
      <c r="F591">
        <v>1174</v>
      </c>
      <c r="G591" s="93" t="s">
        <v>78</v>
      </c>
      <c r="H591" t="s">
        <v>131</v>
      </c>
      <c r="I591">
        <v>0</v>
      </c>
      <c r="J591">
        <v>206.87635298999999</v>
      </c>
      <c r="K591">
        <f t="shared" si="19"/>
        <v>0</v>
      </c>
      <c r="L591">
        <v>55</v>
      </c>
      <c r="M591">
        <f t="shared" si="18"/>
        <v>0</v>
      </c>
      <c r="N591" s="90">
        <v>591</v>
      </c>
      <c r="O591" s="90" t="s">
        <v>915</v>
      </c>
      <c r="P591" s="118" t="s">
        <v>677</v>
      </c>
      <c r="Q591" s="118" t="s">
        <v>125</v>
      </c>
    </row>
    <row r="592" spans="1:21" x14ac:dyDescent="0.25">
      <c r="A592" s="90" t="s">
        <v>916</v>
      </c>
      <c r="B592" s="119">
        <v>4</v>
      </c>
      <c r="C592" s="90" t="s">
        <v>812</v>
      </c>
      <c r="D592" s="90" t="s">
        <v>80</v>
      </c>
      <c r="E592">
        <v>1177</v>
      </c>
      <c r="F592">
        <v>1240</v>
      </c>
      <c r="G592" s="93" t="s">
        <v>68</v>
      </c>
      <c r="H592" t="s">
        <v>917</v>
      </c>
      <c r="I592">
        <v>1</v>
      </c>
      <c r="J592">
        <f>SUM(K593,K595,K597)</f>
        <v>514019.06277874007</v>
      </c>
      <c r="K592">
        <f t="shared" si="19"/>
        <v>514019.06277874007</v>
      </c>
      <c r="L592">
        <f>100*(1-(M592/K592))</f>
        <v>55.000000000000007</v>
      </c>
      <c r="M592">
        <f>I592*SUM(M593,M595,M597)</f>
        <v>231308.57825043297</v>
      </c>
      <c r="N592" s="90">
        <v>592</v>
      </c>
      <c r="O592" s="90" t="s">
        <v>918</v>
      </c>
      <c r="P592" s="118" t="s">
        <v>2517</v>
      </c>
      <c r="Q592" s="118" t="s">
        <v>125</v>
      </c>
      <c r="R592" s="90" t="s">
        <v>2285</v>
      </c>
      <c r="S592" s="90" t="s">
        <v>2389</v>
      </c>
      <c r="T592" s="90" t="s">
        <v>2441</v>
      </c>
      <c r="U592" s="90" t="s">
        <v>2337</v>
      </c>
    </row>
    <row r="593" spans="1:21" x14ac:dyDescent="0.25">
      <c r="A593" s="90" t="s">
        <v>919</v>
      </c>
      <c r="B593" s="119">
        <v>5</v>
      </c>
      <c r="C593" s="90" t="s">
        <v>916</v>
      </c>
      <c r="D593" s="90" t="s">
        <v>78</v>
      </c>
      <c r="E593">
        <v>1178</v>
      </c>
      <c r="F593">
        <v>1181</v>
      </c>
      <c r="G593" s="93" t="s">
        <v>68</v>
      </c>
      <c r="H593" t="s">
        <v>856</v>
      </c>
      <c r="I593">
        <v>64</v>
      </c>
      <c r="J593">
        <f>SUM(K594)</f>
        <v>214.52947918000001</v>
      </c>
      <c r="K593">
        <f t="shared" si="19"/>
        <v>13729.886667520001</v>
      </c>
      <c r="L593">
        <f>100*(1-(M593/K593))</f>
        <v>55.000000000000007</v>
      </c>
      <c r="M593">
        <f>I593*SUM(M594)</f>
        <v>6178.4490003840001</v>
      </c>
      <c r="N593" s="90">
        <v>593</v>
      </c>
      <c r="O593" s="90" t="s">
        <v>920</v>
      </c>
      <c r="P593" s="118" t="s">
        <v>680</v>
      </c>
      <c r="Q593" s="118" t="s">
        <v>125</v>
      </c>
      <c r="R593" s="90" t="s">
        <v>1868</v>
      </c>
      <c r="S593" s="90" t="s">
        <v>2102</v>
      </c>
      <c r="T593" s="90" t="s">
        <v>2219</v>
      </c>
      <c r="U593" s="90" t="s">
        <v>1985</v>
      </c>
    </row>
    <row r="594" spans="1:21" x14ac:dyDescent="0.25">
      <c r="A594" s="90" t="s">
        <v>921</v>
      </c>
      <c r="B594" s="119">
        <v>6</v>
      </c>
      <c r="C594" s="90" t="s">
        <v>919</v>
      </c>
      <c r="D594" s="90" t="s">
        <v>78</v>
      </c>
      <c r="E594">
        <v>1179</v>
      </c>
      <c r="F594">
        <v>1180</v>
      </c>
      <c r="G594" s="93" t="s">
        <v>78</v>
      </c>
      <c r="H594" t="s">
        <v>203</v>
      </c>
      <c r="I594">
        <v>1</v>
      </c>
      <c r="J594">
        <v>214.52947918000001</v>
      </c>
      <c r="K594">
        <f t="shared" si="19"/>
        <v>214.52947918000001</v>
      </c>
      <c r="L594">
        <v>55</v>
      </c>
      <c r="M594">
        <f>(1-(L594/100))*K594</f>
        <v>96.538265631000002</v>
      </c>
      <c r="N594" s="90">
        <v>594</v>
      </c>
      <c r="O594" s="90" t="s">
        <v>922</v>
      </c>
      <c r="P594" s="118" t="s">
        <v>683</v>
      </c>
      <c r="Q594" s="118" t="s">
        <v>125</v>
      </c>
    </row>
    <row r="595" spans="1:21" x14ac:dyDescent="0.25">
      <c r="A595" s="90" t="s">
        <v>923</v>
      </c>
      <c r="B595" s="119">
        <v>5</v>
      </c>
      <c r="C595" s="90" t="s">
        <v>916</v>
      </c>
      <c r="D595" s="90" t="s">
        <v>79</v>
      </c>
      <c r="E595">
        <v>1182</v>
      </c>
      <c r="F595">
        <v>1185</v>
      </c>
      <c r="G595" s="93" t="s">
        <v>68</v>
      </c>
      <c r="H595" t="s">
        <v>861</v>
      </c>
      <c r="I595">
        <v>171</v>
      </c>
      <c r="J595">
        <f>SUM(K596)</f>
        <v>214.52947918000001</v>
      </c>
      <c r="K595">
        <f t="shared" si="19"/>
        <v>36684.540939780003</v>
      </c>
      <c r="L595">
        <f>100*(1-(M595/K595))</f>
        <v>55.000000000000007</v>
      </c>
      <c r="M595">
        <f>I595*SUM(M596)</f>
        <v>16508.043422900999</v>
      </c>
      <c r="N595" s="90">
        <v>595</v>
      </c>
      <c r="O595" s="90" t="s">
        <v>924</v>
      </c>
      <c r="P595" s="118" t="s">
        <v>2518</v>
      </c>
      <c r="Q595" s="118" t="s">
        <v>125</v>
      </c>
      <c r="R595" s="90" t="s">
        <v>1869</v>
      </c>
      <c r="S595" s="90" t="s">
        <v>2103</v>
      </c>
      <c r="T595" s="90" t="s">
        <v>2220</v>
      </c>
      <c r="U595" s="90" t="s">
        <v>1986</v>
      </c>
    </row>
    <row r="596" spans="1:21" x14ac:dyDescent="0.25">
      <c r="A596" s="90" t="s">
        <v>925</v>
      </c>
      <c r="B596" s="119">
        <v>6</v>
      </c>
      <c r="C596" s="90" t="s">
        <v>923</v>
      </c>
      <c r="D596" s="90" t="s">
        <v>78</v>
      </c>
      <c r="E596">
        <v>1183</v>
      </c>
      <c r="F596">
        <v>1184</v>
      </c>
      <c r="G596" s="93" t="s">
        <v>78</v>
      </c>
      <c r="H596" t="s">
        <v>205</v>
      </c>
      <c r="I596">
        <v>1</v>
      </c>
      <c r="J596">
        <v>214.52947918000001</v>
      </c>
      <c r="K596">
        <f t="shared" si="19"/>
        <v>214.52947918000001</v>
      </c>
      <c r="L596">
        <v>55</v>
      </c>
      <c r="M596">
        <f>(1-(L596/100))*K596</f>
        <v>96.538265631000002</v>
      </c>
      <c r="N596" s="90">
        <v>596</v>
      </c>
      <c r="O596" s="90" t="s">
        <v>926</v>
      </c>
      <c r="P596" s="118" t="s">
        <v>686</v>
      </c>
      <c r="Q596" s="118" t="s">
        <v>125</v>
      </c>
    </row>
    <row r="597" spans="1:21" x14ac:dyDescent="0.25">
      <c r="A597" s="90" t="s">
        <v>927</v>
      </c>
      <c r="B597" s="119">
        <v>5</v>
      </c>
      <c r="C597" s="90" t="s">
        <v>916</v>
      </c>
      <c r="D597" s="90" t="s">
        <v>80</v>
      </c>
      <c r="E597">
        <v>1186</v>
      </c>
      <c r="F597">
        <v>1239</v>
      </c>
      <c r="G597" s="93" t="s">
        <v>68</v>
      </c>
      <c r="H597" t="s">
        <v>928</v>
      </c>
      <c r="I597">
        <v>18</v>
      </c>
      <c r="J597">
        <f>SUM(K598,K599,K600,K601,K602,K603,K604,K605,K606,K607,K608,K609,K610,K611,K612,K613,K614,K615,K616,K617,K618,K619,K620,K621,K622,K623)</f>
        <v>25755.813065080005</v>
      </c>
      <c r="K597">
        <f t="shared" si="19"/>
        <v>463604.63517144008</v>
      </c>
      <c r="L597">
        <f>100*(1-(M597/K597))</f>
        <v>55.000000000000014</v>
      </c>
      <c r="M597">
        <f>I597*SUM(M598,M599,M600,M601,M602,M603,M604,M605,M606,M607,M608,M609,M610,M611,M612,M613,M614,M615,M616,M617,M618,M619,M620,M621,M622,M623)</f>
        <v>208622.08582714797</v>
      </c>
      <c r="N597" s="90">
        <v>597</v>
      </c>
      <c r="O597" s="90" t="s">
        <v>929</v>
      </c>
      <c r="P597" s="118" t="s">
        <v>688</v>
      </c>
      <c r="Q597" s="118" t="s">
        <v>125</v>
      </c>
      <c r="R597" s="90" t="s">
        <v>1870</v>
      </c>
      <c r="S597" s="90" t="s">
        <v>2104</v>
      </c>
      <c r="T597" s="90" t="s">
        <v>2221</v>
      </c>
      <c r="U597" s="90" t="s">
        <v>1987</v>
      </c>
    </row>
    <row r="598" spans="1:21" x14ac:dyDescent="0.25">
      <c r="A598" s="90" t="s">
        <v>930</v>
      </c>
      <c r="B598" s="119">
        <v>6</v>
      </c>
      <c r="C598" s="90" t="s">
        <v>927</v>
      </c>
      <c r="D598" s="90" t="s">
        <v>78</v>
      </c>
      <c r="E598">
        <v>1187</v>
      </c>
      <c r="F598">
        <v>1188</v>
      </c>
      <c r="G598" s="93" t="s">
        <v>78</v>
      </c>
      <c r="H598" t="s">
        <v>127</v>
      </c>
      <c r="I598">
        <v>1</v>
      </c>
      <c r="J598">
        <v>491.93938622000002</v>
      </c>
      <c r="K598">
        <f t="shared" si="19"/>
        <v>491.93938622000002</v>
      </c>
      <c r="L598">
        <v>55</v>
      </c>
      <c r="M598">
        <f t="shared" ref="M598:M623" si="20">(1-(L598/100))*K598</f>
        <v>221.372723799</v>
      </c>
      <c r="N598" s="90">
        <v>598</v>
      </c>
      <c r="O598" s="90" t="s">
        <v>931</v>
      </c>
      <c r="P598" s="118" t="s">
        <v>690</v>
      </c>
      <c r="Q598" s="118" t="s">
        <v>125</v>
      </c>
    </row>
    <row r="599" spans="1:21" x14ac:dyDescent="0.25">
      <c r="A599" s="90" t="s">
        <v>932</v>
      </c>
      <c r="B599" s="119">
        <v>6</v>
      </c>
      <c r="C599" s="90" t="s">
        <v>927</v>
      </c>
      <c r="D599" s="90" t="s">
        <v>79</v>
      </c>
      <c r="E599">
        <v>1189</v>
      </c>
      <c r="F599">
        <v>1190</v>
      </c>
      <c r="G599" s="93" t="s">
        <v>78</v>
      </c>
      <c r="H599" t="s">
        <v>132</v>
      </c>
      <c r="I599">
        <v>1</v>
      </c>
      <c r="J599">
        <v>926.14287533000004</v>
      </c>
      <c r="K599">
        <f t="shared" si="19"/>
        <v>926.14287533000004</v>
      </c>
      <c r="L599">
        <v>55</v>
      </c>
      <c r="M599">
        <f t="shared" si="20"/>
        <v>416.7642938985</v>
      </c>
      <c r="N599" s="90">
        <v>599</v>
      </c>
      <c r="O599" s="90" t="s">
        <v>933</v>
      </c>
      <c r="P599" s="118" t="s">
        <v>2519</v>
      </c>
      <c r="Q599" s="118" t="s">
        <v>125</v>
      </c>
    </row>
    <row r="600" spans="1:21" x14ac:dyDescent="0.25">
      <c r="A600" s="90" t="s">
        <v>934</v>
      </c>
      <c r="B600" s="119">
        <v>6</v>
      </c>
      <c r="C600" s="90" t="s">
        <v>927</v>
      </c>
      <c r="D600" s="90" t="s">
        <v>80</v>
      </c>
      <c r="E600">
        <v>1191</v>
      </c>
      <c r="F600">
        <v>1192</v>
      </c>
      <c r="G600" s="93" t="s">
        <v>78</v>
      </c>
      <c r="H600" t="s">
        <v>871</v>
      </c>
      <c r="I600">
        <v>1</v>
      </c>
      <c r="J600">
        <v>537.64166561000002</v>
      </c>
      <c r="K600">
        <f t="shared" si="19"/>
        <v>537.64166561000002</v>
      </c>
      <c r="L600">
        <v>55</v>
      </c>
      <c r="M600">
        <f t="shared" si="20"/>
        <v>241.9387495245</v>
      </c>
      <c r="N600" s="90">
        <v>600</v>
      </c>
      <c r="O600" s="90" t="s">
        <v>935</v>
      </c>
      <c r="P600" s="118" t="s">
        <v>692</v>
      </c>
      <c r="Q600" s="118" t="s">
        <v>125</v>
      </c>
    </row>
    <row r="601" spans="1:21" x14ac:dyDescent="0.25">
      <c r="A601" s="90" t="s">
        <v>936</v>
      </c>
      <c r="B601" s="119">
        <v>6</v>
      </c>
      <c r="C601" s="90" t="s">
        <v>927</v>
      </c>
      <c r="D601" s="90" t="s">
        <v>95</v>
      </c>
      <c r="E601">
        <v>1193</v>
      </c>
      <c r="F601">
        <v>1194</v>
      </c>
      <c r="G601" s="93" t="s">
        <v>78</v>
      </c>
      <c r="H601" t="s">
        <v>123</v>
      </c>
      <c r="I601">
        <v>3</v>
      </c>
      <c r="J601">
        <v>313.76543995999998</v>
      </c>
      <c r="K601">
        <f t="shared" si="19"/>
        <v>941.29631987999994</v>
      </c>
      <c r="L601">
        <v>55</v>
      </c>
      <c r="M601">
        <f t="shared" si="20"/>
        <v>423.58334394599996</v>
      </c>
      <c r="N601" s="90">
        <v>601</v>
      </c>
      <c r="O601" s="90" t="s">
        <v>937</v>
      </c>
      <c r="P601" s="118" t="s">
        <v>694</v>
      </c>
      <c r="Q601" s="118" t="s">
        <v>125</v>
      </c>
    </row>
    <row r="602" spans="1:21" x14ac:dyDescent="0.25">
      <c r="A602" s="90" t="s">
        <v>938</v>
      </c>
      <c r="B602" s="119">
        <v>6</v>
      </c>
      <c r="C602" s="90" t="s">
        <v>927</v>
      </c>
      <c r="D602" s="90" t="s">
        <v>96</v>
      </c>
      <c r="E602">
        <v>1195</v>
      </c>
      <c r="F602">
        <v>1196</v>
      </c>
      <c r="G602" s="93" t="s">
        <v>78</v>
      </c>
      <c r="H602" t="s">
        <v>133</v>
      </c>
      <c r="I602">
        <v>1</v>
      </c>
      <c r="J602">
        <v>5940.1629950300003</v>
      </c>
      <c r="K602">
        <f t="shared" si="19"/>
        <v>5940.1629950300003</v>
      </c>
      <c r="L602">
        <v>55</v>
      </c>
      <c r="M602">
        <f t="shared" si="20"/>
        <v>2673.0733477634999</v>
      </c>
      <c r="N602" s="90">
        <v>602</v>
      </c>
      <c r="O602" s="90" t="s">
        <v>939</v>
      </c>
      <c r="P602" s="118" t="s">
        <v>2520</v>
      </c>
      <c r="Q602" s="118" t="s">
        <v>125</v>
      </c>
    </row>
    <row r="603" spans="1:21" x14ac:dyDescent="0.25">
      <c r="A603" s="90" t="s">
        <v>940</v>
      </c>
      <c r="B603" s="119">
        <v>6</v>
      </c>
      <c r="C603" s="90" t="s">
        <v>927</v>
      </c>
      <c r="D603" s="90" t="s">
        <v>103</v>
      </c>
      <c r="E603">
        <v>1197</v>
      </c>
      <c r="F603">
        <v>1198</v>
      </c>
      <c r="G603" s="93" t="s">
        <v>78</v>
      </c>
      <c r="H603" t="s">
        <v>120</v>
      </c>
      <c r="I603">
        <v>1</v>
      </c>
      <c r="J603">
        <v>1231.376544</v>
      </c>
      <c r="K603">
        <f t="shared" si="19"/>
        <v>1231.376544</v>
      </c>
      <c r="L603">
        <v>55</v>
      </c>
      <c r="M603">
        <f t="shared" si="20"/>
        <v>554.11944479999988</v>
      </c>
      <c r="N603" s="90">
        <v>603</v>
      </c>
      <c r="O603" s="90" t="s">
        <v>941</v>
      </c>
      <c r="P603" s="118" t="s">
        <v>697</v>
      </c>
      <c r="Q603" s="118" t="s">
        <v>125</v>
      </c>
    </row>
    <row r="604" spans="1:21" x14ac:dyDescent="0.25">
      <c r="A604" s="90" t="s">
        <v>942</v>
      </c>
      <c r="B604" s="119">
        <v>6</v>
      </c>
      <c r="C604" s="90" t="s">
        <v>927</v>
      </c>
      <c r="D604" s="90" t="s">
        <v>1769</v>
      </c>
      <c r="E604">
        <v>1199</v>
      </c>
      <c r="F604">
        <v>1200</v>
      </c>
      <c r="G604" s="93" t="s">
        <v>78</v>
      </c>
      <c r="H604" t="s">
        <v>126</v>
      </c>
      <c r="I604">
        <v>1</v>
      </c>
      <c r="J604">
        <v>967.93582071000003</v>
      </c>
      <c r="K604">
        <f t="shared" si="19"/>
        <v>967.93582071000003</v>
      </c>
      <c r="L604">
        <v>55</v>
      </c>
      <c r="M604">
        <f t="shared" si="20"/>
        <v>435.57111931949999</v>
      </c>
      <c r="N604" s="90">
        <v>604</v>
      </c>
      <c r="O604" s="90" t="s">
        <v>943</v>
      </c>
      <c r="P604" s="118" t="s">
        <v>700</v>
      </c>
      <c r="Q604" s="118" t="s">
        <v>125</v>
      </c>
    </row>
    <row r="605" spans="1:21" x14ac:dyDescent="0.25">
      <c r="A605" s="90" t="s">
        <v>944</v>
      </c>
      <c r="B605" s="119">
        <v>6</v>
      </c>
      <c r="C605" s="90" t="s">
        <v>927</v>
      </c>
      <c r="D605" s="90" t="s">
        <v>1770</v>
      </c>
      <c r="E605">
        <v>1201</v>
      </c>
      <c r="F605">
        <v>1202</v>
      </c>
      <c r="G605" s="93" t="s">
        <v>78</v>
      </c>
      <c r="H605" t="s">
        <v>199</v>
      </c>
      <c r="I605">
        <v>2</v>
      </c>
      <c r="J605">
        <v>862.86769387000004</v>
      </c>
      <c r="K605">
        <f t="shared" si="19"/>
        <v>1725.7353877400001</v>
      </c>
      <c r="L605">
        <v>55</v>
      </c>
      <c r="M605">
        <f t="shared" si="20"/>
        <v>776.58092448299999</v>
      </c>
      <c r="N605" s="90">
        <v>605</v>
      </c>
      <c r="O605" s="90" t="s">
        <v>945</v>
      </c>
      <c r="P605" s="118" t="s">
        <v>703</v>
      </c>
      <c r="Q605" s="118" t="s">
        <v>125</v>
      </c>
    </row>
    <row r="606" spans="1:21" x14ac:dyDescent="0.25">
      <c r="A606" s="90" t="s">
        <v>946</v>
      </c>
      <c r="B606" s="119">
        <v>6</v>
      </c>
      <c r="C606" s="90" t="s">
        <v>927</v>
      </c>
      <c r="D606" s="90" t="s">
        <v>1771</v>
      </c>
      <c r="E606">
        <v>1203</v>
      </c>
      <c r="F606">
        <v>1204</v>
      </c>
      <c r="G606" s="93" t="s">
        <v>78</v>
      </c>
      <c r="H606" t="s">
        <v>224</v>
      </c>
      <c r="I606">
        <v>1</v>
      </c>
      <c r="J606">
        <v>2064.00101872</v>
      </c>
      <c r="K606">
        <f t="shared" si="19"/>
        <v>2064.00101872</v>
      </c>
      <c r="L606">
        <v>55</v>
      </c>
      <c r="M606">
        <f t="shared" si="20"/>
        <v>928.80045842399988</v>
      </c>
      <c r="N606" s="90">
        <v>606</v>
      </c>
      <c r="O606" s="90" t="s">
        <v>947</v>
      </c>
      <c r="P606" s="118" t="s">
        <v>706</v>
      </c>
      <c r="Q606" s="118" t="s">
        <v>125</v>
      </c>
    </row>
    <row r="607" spans="1:21" x14ac:dyDescent="0.25">
      <c r="A607" s="90" t="s">
        <v>948</v>
      </c>
      <c r="B607" s="119">
        <v>6</v>
      </c>
      <c r="C607" s="90" t="s">
        <v>927</v>
      </c>
      <c r="D607" s="90" t="s">
        <v>1772</v>
      </c>
      <c r="E607">
        <v>1205</v>
      </c>
      <c r="F607">
        <v>1206</v>
      </c>
      <c r="G607" s="93" t="s">
        <v>78</v>
      </c>
      <c r="H607" t="s">
        <v>201</v>
      </c>
      <c r="I607">
        <v>1</v>
      </c>
      <c r="J607">
        <v>7211.7152680500003</v>
      </c>
      <c r="K607">
        <f t="shared" si="19"/>
        <v>7211.7152680500003</v>
      </c>
      <c r="L607">
        <v>55</v>
      </c>
      <c r="M607">
        <f t="shared" si="20"/>
        <v>3245.2718706224996</v>
      </c>
      <c r="N607" s="90">
        <v>607</v>
      </c>
      <c r="O607" s="90" t="s">
        <v>949</v>
      </c>
      <c r="P607" s="118" t="s">
        <v>2521</v>
      </c>
      <c r="Q607" s="118" t="s">
        <v>125</v>
      </c>
    </row>
    <row r="608" spans="1:21" x14ac:dyDescent="0.25">
      <c r="A608" s="90" t="s">
        <v>950</v>
      </c>
      <c r="B608" s="119">
        <v>6</v>
      </c>
      <c r="C608" s="90" t="s">
        <v>927</v>
      </c>
      <c r="D608" s="90" t="s">
        <v>97</v>
      </c>
      <c r="E608">
        <v>1207</v>
      </c>
      <c r="F608">
        <v>1208</v>
      </c>
      <c r="G608" s="93" t="s">
        <v>78</v>
      </c>
      <c r="H608" t="s">
        <v>203</v>
      </c>
      <c r="I608">
        <v>0</v>
      </c>
      <c r="J608">
        <v>214.52947918000001</v>
      </c>
      <c r="K608">
        <f t="shared" si="19"/>
        <v>0</v>
      </c>
      <c r="L608">
        <v>55</v>
      </c>
      <c r="M608">
        <f t="shared" si="20"/>
        <v>0</v>
      </c>
      <c r="N608" s="90">
        <v>608</v>
      </c>
      <c r="O608" s="90" t="s">
        <v>951</v>
      </c>
      <c r="P608" s="118" t="s">
        <v>709</v>
      </c>
      <c r="Q608" s="118" t="s">
        <v>125</v>
      </c>
    </row>
    <row r="609" spans="1:21" x14ac:dyDescent="0.25">
      <c r="A609" s="90" t="s">
        <v>952</v>
      </c>
      <c r="B609" s="119">
        <v>6</v>
      </c>
      <c r="C609" s="90" t="s">
        <v>927</v>
      </c>
      <c r="D609" s="90" t="s">
        <v>98</v>
      </c>
      <c r="E609">
        <v>1209</v>
      </c>
      <c r="F609">
        <v>1210</v>
      </c>
      <c r="G609" s="93" t="s">
        <v>78</v>
      </c>
      <c r="H609" t="s">
        <v>205</v>
      </c>
      <c r="I609">
        <v>0</v>
      </c>
      <c r="J609">
        <v>214.52947918000001</v>
      </c>
      <c r="K609">
        <f t="shared" si="19"/>
        <v>0</v>
      </c>
      <c r="L609">
        <v>55</v>
      </c>
      <c r="M609">
        <f t="shared" si="20"/>
        <v>0</v>
      </c>
      <c r="N609" s="90">
        <v>609</v>
      </c>
      <c r="O609" s="90" t="s">
        <v>953</v>
      </c>
      <c r="P609" s="118" t="s">
        <v>712</v>
      </c>
      <c r="Q609" s="118" t="s">
        <v>125</v>
      </c>
    </row>
    <row r="610" spans="1:21" x14ac:dyDescent="0.25">
      <c r="A610" s="90" t="s">
        <v>954</v>
      </c>
      <c r="B610" s="119">
        <v>6</v>
      </c>
      <c r="C610" s="90" t="s">
        <v>927</v>
      </c>
      <c r="D610" s="90" t="s">
        <v>99</v>
      </c>
      <c r="E610">
        <v>1211</v>
      </c>
      <c r="F610">
        <v>1212</v>
      </c>
      <c r="G610" s="93" t="s">
        <v>78</v>
      </c>
      <c r="H610" t="s">
        <v>194</v>
      </c>
      <c r="I610">
        <v>3</v>
      </c>
      <c r="J610">
        <v>256.72991214000001</v>
      </c>
      <c r="K610">
        <f t="shared" si="19"/>
        <v>770.18973642000003</v>
      </c>
      <c r="L610">
        <v>55</v>
      </c>
      <c r="M610">
        <f t="shared" si="20"/>
        <v>346.58538138899996</v>
      </c>
      <c r="N610" s="90">
        <v>610</v>
      </c>
      <c r="O610" s="90" t="s">
        <v>955</v>
      </c>
      <c r="P610" s="118" t="s">
        <v>714</v>
      </c>
      <c r="Q610" s="118" t="s">
        <v>125</v>
      </c>
    </row>
    <row r="611" spans="1:21" x14ac:dyDescent="0.25">
      <c r="A611" s="90" t="s">
        <v>956</v>
      </c>
      <c r="B611" s="119">
        <v>6</v>
      </c>
      <c r="C611" s="90" t="s">
        <v>927</v>
      </c>
      <c r="D611" s="90" t="s">
        <v>100</v>
      </c>
      <c r="E611">
        <v>1213</v>
      </c>
      <c r="F611">
        <v>1214</v>
      </c>
      <c r="G611" s="93" t="s">
        <v>78</v>
      </c>
      <c r="H611" t="s">
        <v>892</v>
      </c>
      <c r="I611">
        <v>1</v>
      </c>
      <c r="J611">
        <v>997.30039475000001</v>
      </c>
      <c r="K611">
        <f t="shared" si="19"/>
        <v>997.30039475000001</v>
      </c>
      <c r="L611">
        <v>55</v>
      </c>
      <c r="M611">
        <f t="shared" si="20"/>
        <v>448.78517763749994</v>
      </c>
      <c r="N611" s="90">
        <v>611</v>
      </c>
      <c r="O611" s="90" t="s">
        <v>957</v>
      </c>
      <c r="P611" s="118" t="s">
        <v>716</v>
      </c>
      <c r="Q611" s="118" t="s">
        <v>125</v>
      </c>
    </row>
    <row r="612" spans="1:21" x14ac:dyDescent="0.25">
      <c r="A612" s="90" t="s">
        <v>958</v>
      </c>
      <c r="B612" s="119">
        <v>6</v>
      </c>
      <c r="C612" s="90" t="s">
        <v>927</v>
      </c>
      <c r="D612" s="90" t="s">
        <v>81</v>
      </c>
      <c r="E612">
        <v>1215</v>
      </c>
      <c r="F612">
        <v>1216</v>
      </c>
      <c r="G612" s="93" t="s">
        <v>78</v>
      </c>
      <c r="H612" t="s">
        <v>134</v>
      </c>
      <c r="I612">
        <v>0</v>
      </c>
      <c r="J612">
        <v>1527.53087992</v>
      </c>
      <c r="K612">
        <f t="shared" si="19"/>
        <v>0</v>
      </c>
      <c r="L612">
        <v>55</v>
      </c>
      <c r="M612">
        <f t="shared" si="20"/>
        <v>0</v>
      </c>
      <c r="N612" s="90">
        <v>612</v>
      </c>
      <c r="O612" s="90" t="s">
        <v>959</v>
      </c>
      <c r="P612" s="118" t="s">
        <v>718</v>
      </c>
      <c r="Q612" s="118" t="s">
        <v>125</v>
      </c>
    </row>
    <row r="613" spans="1:21" x14ac:dyDescent="0.25">
      <c r="A613" s="90" t="s">
        <v>960</v>
      </c>
      <c r="B613" s="119">
        <v>6</v>
      </c>
      <c r="C613" s="90" t="s">
        <v>927</v>
      </c>
      <c r="D613" s="90" t="s">
        <v>83</v>
      </c>
      <c r="E613">
        <v>1217</v>
      </c>
      <c r="F613">
        <v>1218</v>
      </c>
      <c r="G613" s="93" t="s">
        <v>78</v>
      </c>
      <c r="H613" t="s">
        <v>119</v>
      </c>
      <c r="I613">
        <v>1</v>
      </c>
      <c r="J613">
        <v>594.85546925000006</v>
      </c>
      <c r="K613">
        <f t="shared" si="19"/>
        <v>594.85546925000006</v>
      </c>
      <c r="L613">
        <v>55</v>
      </c>
      <c r="M613">
        <f t="shared" si="20"/>
        <v>267.68496116249997</v>
      </c>
      <c r="N613" s="90">
        <v>613</v>
      </c>
      <c r="O613" s="90" t="s">
        <v>961</v>
      </c>
      <c r="P613" s="118" t="s">
        <v>2522</v>
      </c>
      <c r="Q613" s="118" t="s">
        <v>125</v>
      </c>
    </row>
    <row r="614" spans="1:21" x14ac:dyDescent="0.25">
      <c r="A614" s="90" t="s">
        <v>962</v>
      </c>
      <c r="B614" s="119">
        <v>6</v>
      </c>
      <c r="C614" s="90" t="s">
        <v>927</v>
      </c>
      <c r="D614" s="90" t="s">
        <v>84</v>
      </c>
      <c r="E614">
        <v>1219</v>
      </c>
      <c r="F614">
        <v>1220</v>
      </c>
      <c r="G614" s="93" t="s">
        <v>78</v>
      </c>
      <c r="H614" t="s">
        <v>107</v>
      </c>
      <c r="I614">
        <v>0</v>
      </c>
      <c r="J614">
        <v>5209</v>
      </c>
      <c r="K614">
        <f t="shared" si="19"/>
        <v>0</v>
      </c>
      <c r="L614">
        <v>55</v>
      </c>
      <c r="M614">
        <f t="shared" si="20"/>
        <v>0</v>
      </c>
      <c r="N614" s="90">
        <v>614</v>
      </c>
      <c r="O614" s="90" t="s">
        <v>963</v>
      </c>
      <c r="P614" s="118" t="s">
        <v>721</v>
      </c>
      <c r="Q614" s="118" t="s">
        <v>125</v>
      </c>
    </row>
    <row r="615" spans="1:21" x14ac:dyDescent="0.25">
      <c r="A615" s="90" t="s">
        <v>964</v>
      </c>
      <c r="B615" s="119">
        <v>6</v>
      </c>
      <c r="C615" s="90" t="s">
        <v>927</v>
      </c>
      <c r="D615" s="90" t="s">
        <v>85</v>
      </c>
      <c r="E615">
        <v>1221</v>
      </c>
      <c r="F615">
        <v>1222</v>
      </c>
      <c r="G615" s="93" t="s">
        <v>78</v>
      </c>
      <c r="H615" t="s">
        <v>128</v>
      </c>
      <c r="I615">
        <v>0</v>
      </c>
      <c r="J615">
        <v>275.43613906000002</v>
      </c>
      <c r="K615">
        <f t="shared" si="19"/>
        <v>0</v>
      </c>
      <c r="L615">
        <v>55</v>
      </c>
      <c r="M615">
        <f t="shared" si="20"/>
        <v>0</v>
      </c>
      <c r="N615" s="90">
        <v>615</v>
      </c>
      <c r="O615" s="90" t="s">
        <v>965</v>
      </c>
      <c r="P615" s="118" t="s">
        <v>724</v>
      </c>
      <c r="Q615" s="118" t="s">
        <v>125</v>
      </c>
    </row>
    <row r="616" spans="1:21" x14ac:dyDescent="0.25">
      <c r="A616" s="90" t="s">
        <v>966</v>
      </c>
      <c r="B616" s="119">
        <v>6</v>
      </c>
      <c r="C616" s="90" t="s">
        <v>927</v>
      </c>
      <c r="D616" s="90" t="s">
        <v>86</v>
      </c>
      <c r="E616">
        <v>1223</v>
      </c>
      <c r="F616">
        <v>1224</v>
      </c>
      <c r="G616" s="93" t="s">
        <v>78</v>
      </c>
      <c r="H616" t="s">
        <v>121</v>
      </c>
      <c r="I616">
        <v>0</v>
      </c>
      <c r="J616">
        <v>78.186680249999995</v>
      </c>
      <c r="K616">
        <f t="shared" si="19"/>
        <v>0</v>
      </c>
      <c r="L616">
        <v>55</v>
      </c>
      <c r="M616">
        <f t="shared" si="20"/>
        <v>0</v>
      </c>
      <c r="N616" s="90">
        <v>616</v>
      </c>
      <c r="O616" s="90" t="s">
        <v>967</v>
      </c>
      <c r="P616" s="118" t="s">
        <v>2523</v>
      </c>
      <c r="Q616" s="118" t="s">
        <v>125</v>
      </c>
    </row>
    <row r="617" spans="1:21" x14ac:dyDescent="0.25">
      <c r="A617" s="90" t="s">
        <v>968</v>
      </c>
      <c r="B617" s="119">
        <v>6</v>
      </c>
      <c r="C617" s="90" t="s">
        <v>927</v>
      </c>
      <c r="D617" s="90" t="s">
        <v>87</v>
      </c>
      <c r="E617">
        <v>1225</v>
      </c>
      <c r="F617">
        <v>1226</v>
      </c>
      <c r="G617" s="93" t="s">
        <v>78</v>
      </c>
      <c r="H617" t="s">
        <v>122</v>
      </c>
      <c r="I617">
        <v>0</v>
      </c>
      <c r="J617">
        <v>823.90169361999995</v>
      </c>
      <c r="K617">
        <f t="shared" si="19"/>
        <v>0</v>
      </c>
      <c r="L617">
        <v>55</v>
      </c>
      <c r="M617">
        <f t="shared" si="20"/>
        <v>0</v>
      </c>
      <c r="N617" s="90">
        <v>617</v>
      </c>
      <c r="O617" s="90" t="s">
        <v>969</v>
      </c>
      <c r="P617" s="118" t="s">
        <v>727</v>
      </c>
      <c r="Q617" s="118" t="s">
        <v>125</v>
      </c>
    </row>
    <row r="618" spans="1:21" x14ac:dyDescent="0.25">
      <c r="A618" s="90" t="s">
        <v>970</v>
      </c>
      <c r="B618" s="119">
        <v>6</v>
      </c>
      <c r="C618" s="90" t="s">
        <v>927</v>
      </c>
      <c r="D618" s="90" t="s">
        <v>101</v>
      </c>
      <c r="E618">
        <v>1227</v>
      </c>
      <c r="F618">
        <v>1228</v>
      </c>
      <c r="G618" s="93" t="s">
        <v>78</v>
      </c>
      <c r="H618" t="s">
        <v>129</v>
      </c>
      <c r="I618">
        <v>0</v>
      </c>
      <c r="J618">
        <v>270.62269196</v>
      </c>
      <c r="K618">
        <f t="shared" si="19"/>
        <v>0</v>
      </c>
      <c r="L618">
        <v>55</v>
      </c>
      <c r="M618">
        <f t="shared" si="20"/>
        <v>0</v>
      </c>
      <c r="N618" s="90">
        <v>618</v>
      </c>
      <c r="O618" s="90" t="s">
        <v>971</v>
      </c>
      <c r="P618" s="118" t="s">
        <v>730</v>
      </c>
      <c r="Q618" s="118" t="s">
        <v>125</v>
      </c>
    </row>
    <row r="619" spans="1:21" x14ac:dyDescent="0.25">
      <c r="A619" s="90" t="s">
        <v>972</v>
      </c>
      <c r="B619" s="119">
        <v>6</v>
      </c>
      <c r="C619" s="90" t="s">
        <v>927</v>
      </c>
      <c r="D619" s="90" t="s">
        <v>88</v>
      </c>
      <c r="E619">
        <v>1229</v>
      </c>
      <c r="F619">
        <v>1230</v>
      </c>
      <c r="G619" s="93" t="s">
        <v>78</v>
      </c>
      <c r="H619" t="s">
        <v>135</v>
      </c>
      <c r="I619">
        <v>0</v>
      </c>
      <c r="J619">
        <v>119.07551254000001</v>
      </c>
      <c r="K619">
        <f t="shared" si="19"/>
        <v>0</v>
      </c>
      <c r="L619">
        <v>55</v>
      </c>
      <c r="M619">
        <f t="shared" si="20"/>
        <v>0</v>
      </c>
      <c r="N619" s="90">
        <v>619</v>
      </c>
      <c r="O619" s="90" t="s">
        <v>973</v>
      </c>
      <c r="P619" s="118" t="s">
        <v>2524</v>
      </c>
      <c r="Q619" s="118" t="s">
        <v>125</v>
      </c>
    </row>
    <row r="620" spans="1:21" x14ac:dyDescent="0.25">
      <c r="A620" s="90" t="s">
        <v>974</v>
      </c>
      <c r="B620" s="119">
        <v>6</v>
      </c>
      <c r="C620" s="90" t="s">
        <v>927</v>
      </c>
      <c r="D620" s="90" t="s">
        <v>89</v>
      </c>
      <c r="E620">
        <v>1231</v>
      </c>
      <c r="F620">
        <v>1232</v>
      </c>
      <c r="G620" s="93" t="s">
        <v>78</v>
      </c>
      <c r="H620" t="s">
        <v>136</v>
      </c>
      <c r="I620">
        <v>0</v>
      </c>
      <c r="J620">
        <v>56.526168339999998</v>
      </c>
      <c r="K620">
        <f t="shared" si="19"/>
        <v>0</v>
      </c>
      <c r="L620">
        <v>55</v>
      </c>
      <c r="M620">
        <f t="shared" si="20"/>
        <v>0</v>
      </c>
      <c r="N620" s="90">
        <v>620</v>
      </c>
      <c r="O620" s="90" t="s">
        <v>975</v>
      </c>
      <c r="P620" s="118" t="s">
        <v>733</v>
      </c>
      <c r="Q620" s="118" t="s">
        <v>125</v>
      </c>
    </row>
    <row r="621" spans="1:21" x14ac:dyDescent="0.25">
      <c r="A621" s="90" t="s">
        <v>976</v>
      </c>
      <c r="B621" s="119">
        <v>6</v>
      </c>
      <c r="C621" s="90" t="s">
        <v>927</v>
      </c>
      <c r="D621" s="90" t="s">
        <v>102</v>
      </c>
      <c r="E621">
        <v>1233</v>
      </c>
      <c r="F621">
        <v>1234</v>
      </c>
      <c r="G621" s="93" t="s">
        <v>78</v>
      </c>
      <c r="H621" t="s">
        <v>130</v>
      </c>
      <c r="I621">
        <v>1</v>
      </c>
      <c r="J621">
        <v>212.88679486000001</v>
      </c>
      <c r="K621">
        <f t="shared" si="19"/>
        <v>212.88679486000001</v>
      </c>
      <c r="L621">
        <v>55</v>
      </c>
      <c r="M621">
        <f t="shared" si="20"/>
        <v>95.799057687000001</v>
      </c>
      <c r="N621" s="90">
        <v>621</v>
      </c>
      <c r="O621" s="90" t="s">
        <v>977</v>
      </c>
      <c r="P621" s="118" t="s">
        <v>736</v>
      </c>
      <c r="Q621" s="118" t="s">
        <v>125</v>
      </c>
    </row>
    <row r="622" spans="1:21" x14ac:dyDescent="0.25">
      <c r="A622" s="90" t="s">
        <v>978</v>
      </c>
      <c r="B622" s="119">
        <v>6</v>
      </c>
      <c r="C622" s="90" t="s">
        <v>927</v>
      </c>
      <c r="D622" s="90" t="s">
        <v>90</v>
      </c>
      <c r="E622">
        <v>1235</v>
      </c>
      <c r="F622">
        <v>1236</v>
      </c>
      <c r="G622" s="93" t="s">
        <v>78</v>
      </c>
      <c r="H622" t="s">
        <v>131</v>
      </c>
      <c r="I622">
        <v>0</v>
      </c>
      <c r="J622">
        <v>206.87635298999999</v>
      </c>
      <c r="K622">
        <f t="shared" si="19"/>
        <v>0</v>
      </c>
      <c r="L622">
        <v>55</v>
      </c>
      <c r="M622">
        <f t="shared" si="20"/>
        <v>0</v>
      </c>
      <c r="N622" s="90">
        <v>622</v>
      </c>
      <c r="O622" s="90" t="s">
        <v>979</v>
      </c>
      <c r="P622" s="118" t="s">
        <v>2525</v>
      </c>
      <c r="Q622" s="118" t="s">
        <v>125</v>
      </c>
    </row>
    <row r="623" spans="1:21" x14ac:dyDescent="0.25">
      <c r="A623" s="90" t="s">
        <v>980</v>
      </c>
      <c r="B623" s="119">
        <v>6</v>
      </c>
      <c r="C623" s="90" t="s">
        <v>927</v>
      </c>
      <c r="D623" s="90" t="s">
        <v>91</v>
      </c>
      <c r="E623">
        <v>1237</v>
      </c>
      <c r="F623">
        <v>1238</v>
      </c>
      <c r="G623" s="93" t="s">
        <v>78</v>
      </c>
      <c r="H623" t="s">
        <v>137</v>
      </c>
      <c r="I623">
        <v>1</v>
      </c>
      <c r="J623">
        <v>1142.63338851</v>
      </c>
      <c r="K623">
        <f t="shared" si="19"/>
        <v>1142.63338851</v>
      </c>
      <c r="L623">
        <v>55</v>
      </c>
      <c r="M623">
        <f t="shared" si="20"/>
        <v>514.18502482949998</v>
      </c>
      <c r="N623" s="90">
        <v>623</v>
      </c>
      <c r="O623" s="90" t="s">
        <v>981</v>
      </c>
      <c r="P623" s="118" t="s">
        <v>739</v>
      </c>
      <c r="Q623" s="118" t="s">
        <v>125</v>
      </c>
    </row>
    <row r="624" spans="1:21" x14ac:dyDescent="0.25">
      <c r="A624" s="90" t="s">
        <v>982</v>
      </c>
      <c r="B624" s="119">
        <v>4</v>
      </c>
      <c r="C624" s="90" t="s">
        <v>812</v>
      </c>
      <c r="D624" s="90" t="s">
        <v>95</v>
      </c>
      <c r="E624">
        <v>1241</v>
      </c>
      <c r="F624">
        <v>1304</v>
      </c>
      <c r="G624" s="93" t="s">
        <v>68</v>
      </c>
      <c r="H624" t="s">
        <v>983</v>
      </c>
      <c r="I624">
        <v>1</v>
      </c>
      <c r="J624">
        <f>SUM(K625,K627,K629)</f>
        <v>1131781.26830566</v>
      </c>
      <c r="K624">
        <f t="shared" si="19"/>
        <v>1131781.26830566</v>
      </c>
      <c r="L624">
        <f>100*(1-(M624/K624))</f>
        <v>55.000000000000014</v>
      </c>
      <c r="M624">
        <f>I624*SUM(M625,M627,M629)</f>
        <v>509301.57073754683</v>
      </c>
      <c r="N624" s="90">
        <v>624</v>
      </c>
      <c r="O624" s="90" t="s">
        <v>984</v>
      </c>
      <c r="P624" s="118" t="s">
        <v>741</v>
      </c>
      <c r="Q624" s="118" t="s">
        <v>125</v>
      </c>
      <c r="R624" s="90" t="s">
        <v>2286</v>
      </c>
      <c r="S624" s="90" t="s">
        <v>2390</v>
      </c>
      <c r="T624" s="90" t="s">
        <v>2442</v>
      </c>
      <c r="U624" s="90" t="s">
        <v>2338</v>
      </c>
    </row>
    <row r="625" spans="1:21" x14ac:dyDescent="0.25">
      <c r="A625" s="90" t="s">
        <v>985</v>
      </c>
      <c r="B625" s="119">
        <v>5</v>
      </c>
      <c r="C625" s="90" t="s">
        <v>982</v>
      </c>
      <c r="D625" s="90" t="s">
        <v>78</v>
      </c>
      <c r="E625">
        <v>1242</v>
      </c>
      <c r="F625">
        <v>1245</v>
      </c>
      <c r="G625" s="93" t="s">
        <v>68</v>
      </c>
      <c r="H625" t="s">
        <v>856</v>
      </c>
      <c r="I625">
        <v>141</v>
      </c>
      <c r="J625">
        <f>SUM(K626)</f>
        <v>214.52947918000001</v>
      </c>
      <c r="K625">
        <f t="shared" si="19"/>
        <v>30248.656564380002</v>
      </c>
      <c r="L625">
        <f>100*(1-(M625/K625))</f>
        <v>55.000000000000007</v>
      </c>
      <c r="M625">
        <f>I625*SUM(M626)</f>
        <v>13611.895453970999</v>
      </c>
      <c r="N625" s="90">
        <v>625</v>
      </c>
      <c r="O625" s="90" t="s">
        <v>986</v>
      </c>
      <c r="P625" s="118" t="s">
        <v>743</v>
      </c>
      <c r="Q625" s="118" t="s">
        <v>125</v>
      </c>
      <c r="R625" s="90" t="s">
        <v>1871</v>
      </c>
      <c r="S625" s="90" t="s">
        <v>2105</v>
      </c>
      <c r="T625" s="90" t="s">
        <v>2222</v>
      </c>
      <c r="U625" s="90" t="s">
        <v>1988</v>
      </c>
    </row>
    <row r="626" spans="1:21" x14ac:dyDescent="0.25">
      <c r="A626" s="90" t="s">
        <v>987</v>
      </c>
      <c r="B626" s="119">
        <v>6</v>
      </c>
      <c r="C626" s="90" t="s">
        <v>985</v>
      </c>
      <c r="D626" s="90" t="s">
        <v>78</v>
      </c>
      <c r="E626">
        <v>1243</v>
      </c>
      <c r="F626">
        <v>1244</v>
      </c>
      <c r="G626" s="93" t="s">
        <v>78</v>
      </c>
      <c r="H626" t="s">
        <v>203</v>
      </c>
      <c r="I626">
        <v>1</v>
      </c>
      <c r="J626">
        <v>214.52947918000001</v>
      </c>
      <c r="K626">
        <f t="shared" si="19"/>
        <v>214.52947918000001</v>
      </c>
      <c r="L626">
        <v>55</v>
      </c>
      <c r="M626">
        <f>(1-(L626/100))*K626</f>
        <v>96.538265631000002</v>
      </c>
      <c r="N626" s="90">
        <v>626</v>
      </c>
      <c r="O626" s="90" t="s">
        <v>988</v>
      </c>
      <c r="P626" s="118" t="s">
        <v>745</v>
      </c>
      <c r="Q626" s="118" t="s">
        <v>125</v>
      </c>
    </row>
    <row r="627" spans="1:21" x14ac:dyDescent="0.25">
      <c r="A627" s="90" t="s">
        <v>989</v>
      </c>
      <c r="B627" s="119">
        <v>5</v>
      </c>
      <c r="C627" s="90" t="s">
        <v>982</v>
      </c>
      <c r="D627" s="90" t="s">
        <v>79</v>
      </c>
      <c r="E627">
        <v>1246</v>
      </c>
      <c r="F627">
        <v>1249</v>
      </c>
      <c r="G627" s="93" t="s">
        <v>68</v>
      </c>
      <c r="H627" t="s">
        <v>861</v>
      </c>
      <c r="I627">
        <v>412</v>
      </c>
      <c r="J627">
        <f>SUM(K628)</f>
        <v>214.52947918000001</v>
      </c>
      <c r="K627">
        <f t="shared" si="19"/>
        <v>88386.14542216</v>
      </c>
      <c r="L627">
        <f>100*(1-(M627/K627))</f>
        <v>55.000000000000007</v>
      </c>
      <c r="M627">
        <f>I627*SUM(M628)</f>
        <v>39773.765439971998</v>
      </c>
      <c r="N627" s="90">
        <v>627</v>
      </c>
      <c r="O627" s="90" t="s">
        <v>990</v>
      </c>
      <c r="P627" s="118" t="s">
        <v>2526</v>
      </c>
      <c r="Q627" s="118" t="s">
        <v>125</v>
      </c>
      <c r="R627" s="90" t="s">
        <v>1872</v>
      </c>
      <c r="S627" s="90" t="s">
        <v>2106</v>
      </c>
      <c r="T627" s="90" t="s">
        <v>2223</v>
      </c>
      <c r="U627" s="90" t="s">
        <v>1989</v>
      </c>
    </row>
    <row r="628" spans="1:21" x14ac:dyDescent="0.25">
      <c r="A628" s="90" t="s">
        <v>991</v>
      </c>
      <c r="B628" s="119">
        <v>6</v>
      </c>
      <c r="C628" s="90" t="s">
        <v>989</v>
      </c>
      <c r="D628" s="90" t="s">
        <v>78</v>
      </c>
      <c r="E628">
        <v>1247</v>
      </c>
      <c r="F628">
        <v>1248</v>
      </c>
      <c r="G628" s="93" t="s">
        <v>78</v>
      </c>
      <c r="H628" t="s">
        <v>205</v>
      </c>
      <c r="I628">
        <v>1</v>
      </c>
      <c r="J628">
        <v>214.52947918000001</v>
      </c>
      <c r="K628">
        <f t="shared" si="19"/>
        <v>214.52947918000001</v>
      </c>
      <c r="L628">
        <v>55</v>
      </c>
      <c r="M628">
        <f>(1-(L628/100))*K628</f>
        <v>96.538265631000002</v>
      </c>
      <c r="N628" s="90">
        <v>628</v>
      </c>
      <c r="O628" s="90" t="s">
        <v>992</v>
      </c>
      <c r="P628" s="118" t="s">
        <v>747</v>
      </c>
      <c r="Q628" s="118" t="s">
        <v>125</v>
      </c>
    </row>
    <row r="629" spans="1:21" x14ac:dyDescent="0.25">
      <c r="A629" s="90" t="s">
        <v>993</v>
      </c>
      <c r="B629" s="119">
        <v>5</v>
      </c>
      <c r="C629" s="90" t="s">
        <v>982</v>
      </c>
      <c r="D629" s="90" t="s">
        <v>80</v>
      </c>
      <c r="E629">
        <v>1250</v>
      </c>
      <c r="F629">
        <v>1303</v>
      </c>
      <c r="G629" s="93" t="s">
        <v>68</v>
      </c>
      <c r="H629" t="s">
        <v>994</v>
      </c>
      <c r="I629">
        <v>28</v>
      </c>
      <c r="J629">
        <f>SUM(K630,K631,K632,K633,K634,K635,K636,K637,K638,K639,K640,K641,K642,K643,K644,K645,K646,K647,K648,K649,K650,K651,K652,K653,K654,K655)</f>
        <v>36183.802368539997</v>
      </c>
      <c r="K629">
        <f t="shared" si="19"/>
        <v>1013146.4663191199</v>
      </c>
      <c r="L629">
        <f>100*(1-(M629/K629))</f>
        <v>55.000000000000007</v>
      </c>
      <c r="M629">
        <f>I629*SUM(M630,M631,M632,M633,M634,M635,M636,M637,M638,M639,M640,M641,M642,M643,M644,M645,M646,M647,M648,M649,M650,M651,M652,M653,M654,M655)</f>
        <v>455915.90984360385</v>
      </c>
      <c r="N629" s="90">
        <v>629</v>
      </c>
      <c r="O629" s="90" t="s">
        <v>995</v>
      </c>
      <c r="P629" s="118" t="s">
        <v>749</v>
      </c>
      <c r="Q629" s="118" t="s">
        <v>125</v>
      </c>
      <c r="R629" s="90" t="s">
        <v>1873</v>
      </c>
      <c r="S629" s="90" t="s">
        <v>2107</v>
      </c>
      <c r="T629" s="90" t="s">
        <v>2224</v>
      </c>
      <c r="U629" s="90" t="s">
        <v>1990</v>
      </c>
    </row>
    <row r="630" spans="1:21" x14ac:dyDescent="0.25">
      <c r="A630" s="90" t="s">
        <v>996</v>
      </c>
      <c r="B630" s="119">
        <v>6</v>
      </c>
      <c r="C630" s="90" t="s">
        <v>993</v>
      </c>
      <c r="D630" s="90" t="s">
        <v>78</v>
      </c>
      <c r="E630">
        <v>1251</v>
      </c>
      <c r="F630">
        <v>1252</v>
      </c>
      <c r="G630" s="93" t="s">
        <v>78</v>
      </c>
      <c r="H630" t="s">
        <v>197</v>
      </c>
      <c r="I630">
        <v>1</v>
      </c>
      <c r="J630">
        <v>10880.466063919999</v>
      </c>
      <c r="K630">
        <f t="shared" si="19"/>
        <v>10880.466063919999</v>
      </c>
      <c r="L630">
        <v>55</v>
      </c>
      <c r="M630">
        <f t="shared" ref="M630:M655" si="21">(1-(L630/100))*K630</f>
        <v>4896.209728763999</v>
      </c>
      <c r="N630" s="90">
        <v>630</v>
      </c>
      <c r="O630" s="90" t="s">
        <v>997</v>
      </c>
      <c r="P630" s="118" t="s">
        <v>2527</v>
      </c>
      <c r="Q630" s="118" t="s">
        <v>125</v>
      </c>
    </row>
    <row r="631" spans="1:21" x14ac:dyDescent="0.25">
      <c r="A631" s="90" t="s">
        <v>998</v>
      </c>
      <c r="B631" s="119">
        <v>6</v>
      </c>
      <c r="C631" s="90" t="s">
        <v>993</v>
      </c>
      <c r="D631" s="90" t="s">
        <v>79</v>
      </c>
      <c r="E631">
        <v>1253</v>
      </c>
      <c r="F631">
        <v>1254</v>
      </c>
      <c r="G631" s="93" t="s">
        <v>78</v>
      </c>
      <c r="H631" t="s">
        <v>127</v>
      </c>
      <c r="I631">
        <v>1</v>
      </c>
      <c r="J631">
        <v>491.93938622000002</v>
      </c>
      <c r="K631">
        <f t="shared" si="19"/>
        <v>491.93938622000002</v>
      </c>
      <c r="L631">
        <v>55</v>
      </c>
      <c r="M631">
        <f t="shared" si="21"/>
        <v>221.372723799</v>
      </c>
      <c r="N631" s="90">
        <v>631</v>
      </c>
      <c r="O631" s="90" t="s">
        <v>999</v>
      </c>
      <c r="P631" s="118" t="s">
        <v>752</v>
      </c>
      <c r="Q631" s="118" t="s">
        <v>125</v>
      </c>
    </row>
    <row r="632" spans="1:21" x14ac:dyDescent="0.25">
      <c r="A632" s="90" t="s">
        <v>1000</v>
      </c>
      <c r="B632" s="119">
        <v>6</v>
      </c>
      <c r="C632" s="90" t="s">
        <v>993</v>
      </c>
      <c r="D632" s="90" t="s">
        <v>80</v>
      </c>
      <c r="E632">
        <v>1255</v>
      </c>
      <c r="F632">
        <v>1256</v>
      </c>
      <c r="G632" s="93" t="s">
        <v>78</v>
      </c>
      <c r="H632" t="s">
        <v>132</v>
      </c>
      <c r="I632">
        <v>1</v>
      </c>
      <c r="J632">
        <v>926.14287533000004</v>
      </c>
      <c r="K632">
        <f t="shared" si="19"/>
        <v>926.14287533000004</v>
      </c>
      <c r="L632">
        <v>55</v>
      </c>
      <c r="M632">
        <f t="shared" si="21"/>
        <v>416.7642938985</v>
      </c>
      <c r="N632" s="90">
        <v>632</v>
      </c>
      <c r="O632" s="90" t="s">
        <v>1001</v>
      </c>
      <c r="P632" s="118" t="s">
        <v>755</v>
      </c>
      <c r="Q632" s="118" t="s">
        <v>125</v>
      </c>
    </row>
    <row r="633" spans="1:21" x14ac:dyDescent="0.25">
      <c r="A633" s="90" t="s">
        <v>1002</v>
      </c>
      <c r="B633" s="119">
        <v>6</v>
      </c>
      <c r="C633" s="90" t="s">
        <v>993</v>
      </c>
      <c r="D633" s="90" t="s">
        <v>95</v>
      </c>
      <c r="E633">
        <v>1257</v>
      </c>
      <c r="F633">
        <v>1258</v>
      </c>
      <c r="G633" s="93" t="s">
        <v>78</v>
      </c>
      <c r="H633" t="s">
        <v>871</v>
      </c>
      <c r="I633">
        <v>1</v>
      </c>
      <c r="J633">
        <v>537.64166561000002</v>
      </c>
      <c r="K633">
        <f t="shared" si="19"/>
        <v>537.64166561000002</v>
      </c>
      <c r="L633">
        <v>55</v>
      </c>
      <c r="M633">
        <f t="shared" si="21"/>
        <v>241.9387495245</v>
      </c>
      <c r="N633" s="90">
        <v>633</v>
      </c>
      <c r="O633" s="90" t="s">
        <v>1003</v>
      </c>
      <c r="P633" s="118" t="s">
        <v>2528</v>
      </c>
      <c r="Q633" s="118" t="s">
        <v>125</v>
      </c>
    </row>
    <row r="634" spans="1:21" x14ac:dyDescent="0.25">
      <c r="A634" s="90" t="s">
        <v>1004</v>
      </c>
      <c r="B634" s="119">
        <v>6</v>
      </c>
      <c r="C634" s="90" t="s">
        <v>993</v>
      </c>
      <c r="D634" s="90" t="s">
        <v>96</v>
      </c>
      <c r="E634">
        <v>1259</v>
      </c>
      <c r="F634">
        <v>1260</v>
      </c>
      <c r="G634" s="93" t="s">
        <v>78</v>
      </c>
      <c r="H634" t="s">
        <v>123</v>
      </c>
      <c r="I634">
        <v>3</v>
      </c>
      <c r="J634">
        <v>313.76543995999998</v>
      </c>
      <c r="K634">
        <f t="shared" si="19"/>
        <v>941.29631987999994</v>
      </c>
      <c r="L634">
        <v>55</v>
      </c>
      <c r="M634">
        <f t="shared" si="21"/>
        <v>423.58334394599996</v>
      </c>
      <c r="N634" s="90">
        <v>634</v>
      </c>
      <c r="O634" s="90" t="s">
        <v>1005</v>
      </c>
      <c r="P634" s="118" t="s">
        <v>757</v>
      </c>
      <c r="Q634" s="118" t="s">
        <v>125</v>
      </c>
    </row>
    <row r="635" spans="1:21" x14ac:dyDescent="0.25">
      <c r="A635" s="90" t="s">
        <v>1006</v>
      </c>
      <c r="B635" s="119">
        <v>6</v>
      </c>
      <c r="C635" s="90" t="s">
        <v>993</v>
      </c>
      <c r="D635" s="90" t="s">
        <v>103</v>
      </c>
      <c r="E635">
        <v>1261</v>
      </c>
      <c r="F635">
        <v>1262</v>
      </c>
      <c r="G635" s="93" t="s">
        <v>78</v>
      </c>
      <c r="H635" t="s">
        <v>133</v>
      </c>
      <c r="I635">
        <v>1</v>
      </c>
      <c r="J635">
        <v>5940.1629950300003</v>
      </c>
      <c r="K635">
        <f t="shared" si="19"/>
        <v>5940.1629950300003</v>
      </c>
      <c r="L635">
        <v>55</v>
      </c>
      <c r="M635">
        <f t="shared" si="21"/>
        <v>2673.0733477634999</v>
      </c>
      <c r="N635" s="90">
        <v>635</v>
      </c>
      <c r="O635" s="90" t="s">
        <v>1007</v>
      </c>
      <c r="P635" s="118" t="s">
        <v>759</v>
      </c>
      <c r="Q635" s="118" t="s">
        <v>125</v>
      </c>
    </row>
    <row r="636" spans="1:21" x14ac:dyDescent="0.25">
      <c r="A636" s="90" t="s">
        <v>1008</v>
      </c>
      <c r="B636" s="119">
        <v>6</v>
      </c>
      <c r="C636" s="90" t="s">
        <v>993</v>
      </c>
      <c r="D636" s="90" t="s">
        <v>1769</v>
      </c>
      <c r="E636">
        <v>1263</v>
      </c>
      <c r="F636">
        <v>1264</v>
      </c>
      <c r="G636" s="93" t="s">
        <v>78</v>
      </c>
      <c r="H636" t="s">
        <v>120</v>
      </c>
      <c r="I636">
        <v>2</v>
      </c>
      <c r="J636">
        <v>1231.376544</v>
      </c>
      <c r="K636">
        <f t="shared" si="19"/>
        <v>2462.7530879999999</v>
      </c>
      <c r="L636">
        <v>55</v>
      </c>
      <c r="M636">
        <f t="shared" si="21"/>
        <v>1108.2388895999998</v>
      </c>
      <c r="N636" s="90">
        <v>636</v>
      </c>
      <c r="O636" s="90" t="s">
        <v>1009</v>
      </c>
      <c r="P636" s="118" t="s">
        <v>2529</v>
      </c>
      <c r="Q636" s="118" t="s">
        <v>125</v>
      </c>
    </row>
    <row r="637" spans="1:21" x14ac:dyDescent="0.25">
      <c r="A637" s="90" t="s">
        <v>1010</v>
      </c>
      <c r="B637" s="119">
        <v>6</v>
      </c>
      <c r="C637" s="90" t="s">
        <v>993</v>
      </c>
      <c r="D637" s="90" t="s">
        <v>1770</v>
      </c>
      <c r="E637">
        <v>1265</v>
      </c>
      <c r="F637">
        <v>1266</v>
      </c>
      <c r="G637" s="93" t="s">
        <v>78</v>
      </c>
      <c r="H637" t="s">
        <v>126</v>
      </c>
      <c r="I637">
        <v>2</v>
      </c>
      <c r="J637">
        <v>967.93582071000003</v>
      </c>
      <c r="K637">
        <f t="shared" si="19"/>
        <v>1935.8716414200001</v>
      </c>
      <c r="L637">
        <v>55</v>
      </c>
      <c r="M637">
        <f t="shared" si="21"/>
        <v>871.14223863899997</v>
      </c>
      <c r="N637" s="90">
        <v>637</v>
      </c>
      <c r="O637" s="90" t="s">
        <v>1011</v>
      </c>
      <c r="P637" s="118" t="s">
        <v>761</v>
      </c>
      <c r="Q637" s="118" t="s">
        <v>125</v>
      </c>
    </row>
    <row r="638" spans="1:21" x14ac:dyDescent="0.25">
      <c r="A638" s="90" t="s">
        <v>1012</v>
      </c>
      <c r="B638" s="119">
        <v>6</v>
      </c>
      <c r="C638" s="90" t="s">
        <v>993</v>
      </c>
      <c r="D638" s="90" t="s">
        <v>1771</v>
      </c>
      <c r="E638">
        <v>1267</v>
      </c>
      <c r="F638">
        <v>1268</v>
      </c>
      <c r="G638" s="93" t="s">
        <v>78</v>
      </c>
      <c r="H638" t="s">
        <v>199</v>
      </c>
      <c r="I638">
        <v>4</v>
      </c>
      <c r="J638">
        <v>862.86769387000004</v>
      </c>
      <c r="K638">
        <f t="shared" si="19"/>
        <v>3451.4707754800002</v>
      </c>
      <c r="L638">
        <v>55</v>
      </c>
      <c r="M638">
        <f t="shared" si="21"/>
        <v>1553.161848966</v>
      </c>
      <c r="N638" s="90">
        <v>638</v>
      </c>
      <c r="O638" s="90" t="s">
        <v>1013</v>
      </c>
      <c r="P638" s="118" t="s">
        <v>763</v>
      </c>
      <c r="Q638" s="118" t="s">
        <v>125</v>
      </c>
    </row>
    <row r="639" spans="1:21" x14ac:dyDescent="0.25">
      <c r="A639" s="90" t="s">
        <v>1014</v>
      </c>
      <c r="B639" s="119">
        <v>6</v>
      </c>
      <c r="C639" s="90" t="s">
        <v>993</v>
      </c>
      <c r="D639" s="90" t="s">
        <v>1772</v>
      </c>
      <c r="E639">
        <v>1269</v>
      </c>
      <c r="F639">
        <v>1270</v>
      </c>
      <c r="G639" s="93" t="s">
        <v>78</v>
      </c>
      <c r="H639" t="s">
        <v>224</v>
      </c>
      <c r="I639">
        <v>2</v>
      </c>
      <c r="J639">
        <v>2064.00101872</v>
      </c>
      <c r="K639">
        <f t="shared" si="19"/>
        <v>4128.0020374400001</v>
      </c>
      <c r="L639">
        <v>55</v>
      </c>
      <c r="M639">
        <f t="shared" si="21"/>
        <v>1857.6009168479998</v>
      </c>
      <c r="N639" s="90">
        <v>639</v>
      </c>
      <c r="O639" s="90" t="s">
        <v>1015</v>
      </c>
      <c r="P639" s="118" t="s">
        <v>2530</v>
      </c>
      <c r="Q639" s="118" t="s">
        <v>125</v>
      </c>
    </row>
    <row r="640" spans="1:21" x14ac:dyDescent="0.25">
      <c r="A640" s="90" t="s">
        <v>1016</v>
      </c>
      <c r="B640" s="119">
        <v>6</v>
      </c>
      <c r="C640" s="90" t="s">
        <v>993</v>
      </c>
      <c r="D640" s="90" t="s">
        <v>97</v>
      </c>
      <c r="E640">
        <v>1271</v>
      </c>
      <c r="F640">
        <v>1272</v>
      </c>
      <c r="G640" s="93" t="s">
        <v>78</v>
      </c>
      <c r="H640" t="s">
        <v>203</v>
      </c>
      <c r="I640">
        <v>0</v>
      </c>
      <c r="J640">
        <v>214.52947918000001</v>
      </c>
      <c r="K640">
        <f t="shared" si="19"/>
        <v>0</v>
      </c>
      <c r="L640">
        <v>55</v>
      </c>
      <c r="M640">
        <f t="shared" si="21"/>
        <v>0</v>
      </c>
      <c r="N640" s="90">
        <v>640</v>
      </c>
      <c r="O640" s="90" t="s">
        <v>1017</v>
      </c>
      <c r="P640" s="118" t="s">
        <v>766</v>
      </c>
      <c r="Q640" s="118" t="s">
        <v>125</v>
      </c>
    </row>
    <row r="641" spans="1:21" x14ac:dyDescent="0.25">
      <c r="A641" s="90" t="s">
        <v>1018</v>
      </c>
      <c r="B641" s="119">
        <v>6</v>
      </c>
      <c r="C641" s="90" t="s">
        <v>993</v>
      </c>
      <c r="D641" s="90" t="s">
        <v>98</v>
      </c>
      <c r="E641">
        <v>1273</v>
      </c>
      <c r="F641">
        <v>1274</v>
      </c>
      <c r="G641" s="93" t="s">
        <v>78</v>
      </c>
      <c r="H641" t="s">
        <v>205</v>
      </c>
      <c r="I641">
        <v>0</v>
      </c>
      <c r="J641">
        <v>214.52947918000001</v>
      </c>
      <c r="K641">
        <f t="shared" si="19"/>
        <v>0</v>
      </c>
      <c r="L641">
        <v>55</v>
      </c>
      <c r="M641">
        <f t="shared" si="21"/>
        <v>0</v>
      </c>
      <c r="N641" s="90">
        <v>641</v>
      </c>
      <c r="O641" s="90" t="s">
        <v>1019</v>
      </c>
      <c r="P641" s="118" t="s">
        <v>768</v>
      </c>
      <c r="Q641" s="118" t="s">
        <v>125</v>
      </c>
    </row>
    <row r="642" spans="1:21" x14ac:dyDescent="0.25">
      <c r="A642" s="90" t="s">
        <v>1020</v>
      </c>
      <c r="B642" s="119">
        <v>6</v>
      </c>
      <c r="C642" s="90" t="s">
        <v>993</v>
      </c>
      <c r="D642" s="90" t="s">
        <v>99</v>
      </c>
      <c r="E642">
        <v>1275</v>
      </c>
      <c r="F642">
        <v>1276</v>
      </c>
      <c r="G642" s="93" t="s">
        <v>78</v>
      </c>
      <c r="H642" t="s">
        <v>194</v>
      </c>
      <c r="I642">
        <v>6</v>
      </c>
      <c r="J642">
        <v>256.72991214000001</v>
      </c>
      <c r="K642">
        <f t="shared" si="19"/>
        <v>1540.3794728400001</v>
      </c>
      <c r="L642">
        <v>55</v>
      </c>
      <c r="M642">
        <f t="shared" si="21"/>
        <v>693.17076277799993</v>
      </c>
      <c r="N642" s="90">
        <v>642</v>
      </c>
      <c r="O642" s="90" t="s">
        <v>1021</v>
      </c>
      <c r="P642" s="118" t="s">
        <v>770</v>
      </c>
      <c r="Q642" s="118" t="s">
        <v>125</v>
      </c>
    </row>
    <row r="643" spans="1:21" x14ac:dyDescent="0.25">
      <c r="A643" s="90" t="s">
        <v>1022</v>
      </c>
      <c r="B643" s="119">
        <v>6</v>
      </c>
      <c r="C643" s="90" t="s">
        <v>993</v>
      </c>
      <c r="D643" s="90" t="s">
        <v>100</v>
      </c>
      <c r="E643">
        <v>1277</v>
      </c>
      <c r="F643">
        <v>1278</v>
      </c>
      <c r="G643" s="93" t="s">
        <v>78</v>
      </c>
      <c r="H643" t="s">
        <v>892</v>
      </c>
      <c r="I643">
        <v>1</v>
      </c>
      <c r="J643">
        <v>997.30039475000001</v>
      </c>
      <c r="K643">
        <f t="shared" ref="K643:K706" si="22">I643*J643</f>
        <v>997.30039475000001</v>
      </c>
      <c r="L643">
        <v>55</v>
      </c>
      <c r="M643">
        <f t="shared" si="21"/>
        <v>448.78517763749994</v>
      </c>
      <c r="N643" s="90">
        <v>643</v>
      </c>
      <c r="O643" s="90" t="s">
        <v>1023</v>
      </c>
      <c r="P643" s="118" t="s">
        <v>2531</v>
      </c>
      <c r="Q643" s="118" t="s">
        <v>125</v>
      </c>
    </row>
    <row r="644" spans="1:21" x14ac:dyDescent="0.25">
      <c r="A644" s="90" t="s">
        <v>1024</v>
      </c>
      <c r="B644" s="119">
        <v>6</v>
      </c>
      <c r="C644" s="90" t="s">
        <v>993</v>
      </c>
      <c r="D644" s="90" t="s">
        <v>81</v>
      </c>
      <c r="E644">
        <v>1279</v>
      </c>
      <c r="F644">
        <v>1280</v>
      </c>
      <c r="G644" s="93" t="s">
        <v>78</v>
      </c>
      <c r="H644" t="s">
        <v>134</v>
      </c>
      <c r="I644">
        <v>0</v>
      </c>
      <c r="J644">
        <v>1527.53087992</v>
      </c>
      <c r="K644">
        <f t="shared" si="22"/>
        <v>0</v>
      </c>
      <c r="L644">
        <v>55</v>
      </c>
      <c r="M644">
        <f t="shared" si="21"/>
        <v>0</v>
      </c>
      <c r="N644" s="90">
        <v>644</v>
      </c>
      <c r="O644" s="90" t="s">
        <v>1025</v>
      </c>
      <c r="P644" s="118" t="s">
        <v>773</v>
      </c>
      <c r="Q644" s="118" t="s">
        <v>125</v>
      </c>
    </row>
    <row r="645" spans="1:21" x14ac:dyDescent="0.25">
      <c r="A645" s="90" t="s">
        <v>1026</v>
      </c>
      <c r="B645" s="119">
        <v>6</v>
      </c>
      <c r="C645" s="90" t="s">
        <v>993</v>
      </c>
      <c r="D645" s="90" t="s">
        <v>83</v>
      </c>
      <c r="E645">
        <v>1281</v>
      </c>
      <c r="F645">
        <v>1282</v>
      </c>
      <c r="G645" s="93" t="s">
        <v>78</v>
      </c>
      <c r="H645" t="s">
        <v>119</v>
      </c>
      <c r="I645">
        <v>1</v>
      </c>
      <c r="J645">
        <v>594.85546925000006</v>
      </c>
      <c r="K645">
        <f t="shared" si="22"/>
        <v>594.85546925000006</v>
      </c>
      <c r="L645">
        <v>55</v>
      </c>
      <c r="M645">
        <f t="shared" si="21"/>
        <v>267.68496116249997</v>
      </c>
      <c r="N645" s="90">
        <v>645</v>
      </c>
      <c r="O645" s="90" t="s">
        <v>1027</v>
      </c>
      <c r="P645" s="118" t="s">
        <v>775</v>
      </c>
      <c r="Q645" s="118" t="s">
        <v>125</v>
      </c>
    </row>
    <row r="646" spans="1:21" x14ac:dyDescent="0.25">
      <c r="A646" s="90" t="s">
        <v>1028</v>
      </c>
      <c r="B646" s="119">
        <v>6</v>
      </c>
      <c r="C646" s="90" t="s">
        <v>993</v>
      </c>
      <c r="D646" s="90" t="s">
        <v>84</v>
      </c>
      <c r="E646">
        <v>1283</v>
      </c>
      <c r="F646">
        <v>1284</v>
      </c>
      <c r="G646" s="93" t="s">
        <v>78</v>
      </c>
      <c r="H646" t="s">
        <v>107</v>
      </c>
      <c r="I646">
        <v>0</v>
      </c>
      <c r="J646">
        <v>5209</v>
      </c>
      <c r="K646">
        <f t="shared" si="22"/>
        <v>0</v>
      </c>
      <c r="L646">
        <v>55</v>
      </c>
      <c r="M646">
        <f t="shared" si="21"/>
        <v>0</v>
      </c>
      <c r="N646" s="90">
        <v>646</v>
      </c>
      <c r="O646" s="90" t="s">
        <v>1029</v>
      </c>
      <c r="P646" s="118" t="s">
        <v>777</v>
      </c>
      <c r="Q646" s="118" t="s">
        <v>125</v>
      </c>
    </row>
    <row r="647" spans="1:21" x14ac:dyDescent="0.25">
      <c r="A647" s="90" t="s">
        <v>1030</v>
      </c>
      <c r="B647" s="119">
        <v>6</v>
      </c>
      <c r="C647" s="90" t="s">
        <v>993</v>
      </c>
      <c r="D647" s="90" t="s">
        <v>85</v>
      </c>
      <c r="E647">
        <v>1285</v>
      </c>
      <c r="F647">
        <v>1286</v>
      </c>
      <c r="G647" s="93" t="s">
        <v>78</v>
      </c>
      <c r="H647" t="s">
        <v>128</v>
      </c>
      <c r="I647">
        <v>0</v>
      </c>
      <c r="J647">
        <v>275.43613906000002</v>
      </c>
      <c r="K647">
        <f t="shared" si="22"/>
        <v>0</v>
      </c>
      <c r="L647">
        <v>55</v>
      </c>
      <c r="M647">
        <f t="shared" si="21"/>
        <v>0</v>
      </c>
      <c r="N647" s="90">
        <v>647</v>
      </c>
      <c r="O647" s="90" t="s">
        <v>1031</v>
      </c>
      <c r="P647" s="118" t="s">
        <v>2532</v>
      </c>
      <c r="Q647" s="118" t="s">
        <v>125</v>
      </c>
    </row>
    <row r="648" spans="1:21" x14ac:dyDescent="0.25">
      <c r="A648" s="90" t="s">
        <v>1032</v>
      </c>
      <c r="B648" s="119">
        <v>6</v>
      </c>
      <c r="C648" s="90" t="s">
        <v>993</v>
      </c>
      <c r="D648" s="90" t="s">
        <v>86</v>
      </c>
      <c r="E648">
        <v>1287</v>
      </c>
      <c r="F648">
        <v>1288</v>
      </c>
      <c r="G648" s="93" t="s">
        <v>78</v>
      </c>
      <c r="H648" t="s">
        <v>121</v>
      </c>
      <c r="I648">
        <v>0</v>
      </c>
      <c r="J648">
        <v>78.186680249999995</v>
      </c>
      <c r="K648">
        <f t="shared" si="22"/>
        <v>0</v>
      </c>
      <c r="L648">
        <v>55</v>
      </c>
      <c r="M648">
        <f t="shared" si="21"/>
        <v>0</v>
      </c>
      <c r="N648" s="90">
        <v>648</v>
      </c>
      <c r="O648" s="90" t="s">
        <v>1033</v>
      </c>
      <c r="P648" s="118" t="s">
        <v>780</v>
      </c>
      <c r="Q648" s="118" t="s">
        <v>125</v>
      </c>
    </row>
    <row r="649" spans="1:21" x14ac:dyDescent="0.25">
      <c r="A649" s="90" t="s">
        <v>1034</v>
      </c>
      <c r="B649" s="119">
        <v>6</v>
      </c>
      <c r="C649" s="90" t="s">
        <v>993</v>
      </c>
      <c r="D649" s="90" t="s">
        <v>87</v>
      </c>
      <c r="E649">
        <v>1289</v>
      </c>
      <c r="F649">
        <v>1290</v>
      </c>
      <c r="G649" s="93" t="s">
        <v>78</v>
      </c>
      <c r="H649" t="s">
        <v>122</v>
      </c>
      <c r="I649">
        <v>0</v>
      </c>
      <c r="J649">
        <v>823.90169361999995</v>
      </c>
      <c r="K649">
        <f t="shared" si="22"/>
        <v>0</v>
      </c>
      <c r="L649">
        <v>55</v>
      </c>
      <c r="M649">
        <f t="shared" si="21"/>
        <v>0</v>
      </c>
      <c r="N649" s="90">
        <v>649</v>
      </c>
      <c r="O649" s="90" t="s">
        <v>1035</v>
      </c>
      <c r="P649" s="118" t="s">
        <v>783</v>
      </c>
      <c r="Q649" s="118" t="s">
        <v>125</v>
      </c>
    </row>
    <row r="650" spans="1:21" x14ac:dyDescent="0.25">
      <c r="A650" s="90" t="s">
        <v>1036</v>
      </c>
      <c r="B650" s="119">
        <v>6</v>
      </c>
      <c r="C650" s="90" t="s">
        <v>993</v>
      </c>
      <c r="D650" s="90" t="s">
        <v>101</v>
      </c>
      <c r="E650">
        <v>1291</v>
      </c>
      <c r="F650">
        <v>1292</v>
      </c>
      <c r="G650" s="93" t="s">
        <v>78</v>
      </c>
      <c r="H650" t="s">
        <v>129</v>
      </c>
      <c r="I650">
        <v>0</v>
      </c>
      <c r="J650">
        <v>270.62269196</v>
      </c>
      <c r="K650">
        <f t="shared" si="22"/>
        <v>0</v>
      </c>
      <c r="L650">
        <v>55</v>
      </c>
      <c r="M650">
        <f t="shared" si="21"/>
        <v>0</v>
      </c>
      <c r="N650" s="90">
        <v>650</v>
      </c>
      <c r="O650" s="90" t="s">
        <v>1037</v>
      </c>
      <c r="P650" s="118" t="s">
        <v>786</v>
      </c>
      <c r="Q650" s="118" t="s">
        <v>125</v>
      </c>
    </row>
    <row r="651" spans="1:21" x14ac:dyDescent="0.25">
      <c r="A651" s="90" t="s">
        <v>1038</v>
      </c>
      <c r="B651" s="119">
        <v>6</v>
      </c>
      <c r="C651" s="90" t="s">
        <v>993</v>
      </c>
      <c r="D651" s="90" t="s">
        <v>88</v>
      </c>
      <c r="E651">
        <v>1293</v>
      </c>
      <c r="F651">
        <v>1294</v>
      </c>
      <c r="G651" s="93" t="s">
        <v>78</v>
      </c>
      <c r="H651" t="s">
        <v>135</v>
      </c>
      <c r="I651">
        <v>0</v>
      </c>
      <c r="J651">
        <v>119.07551254000001</v>
      </c>
      <c r="K651">
        <f t="shared" si="22"/>
        <v>0</v>
      </c>
      <c r="L651">
        <v>55</v>
      </c>
      <c r="M651">
        <f t="shared" si="21"/>
        <v>0</v>
      </c>
      <c r="N651" s="90">
        <v>651</v>
      </c>
      <c r="O651" s="90" t="s">
        <v>1039</v>
      </c>
      <c r="P651" s="118" t="s">
        <v>2533</v>
      </c>
      <c r="Q651" s="118" t="s">
        <v>125</v>
      </c>
    </row>
    <row r="652" spans="1:21" x14ac:dyDescent="0.25">
      <c r="A652" s="90" t="s">
        <v>1040</v>
      </c>
      <c r="B652" s="119">
        <v>6</v>
      </c>
      <c r="C652" s="90" t="s">
        <v>993</v>
      </c>
      <c r="D652" s="90" t="s">
        <v>89</v>
      </c>
      <c r="E652">
        <v>1295</v>
      </c>
      <c r="F652">
        <v>1296</v>
      </c>
      <c r="G652" s="93" t="s">
        <v>78</v>
      </c>
      <c r="H652" t="s">
        <v>136</v>
      </c>
      <c r="I652">
        <v>0</v>
      </c>
      <c r="J652">
        <v>56.526168339999998</v>
      </c>
      <c r="K652">
        <f t="shared" si="22"/>
        <v>0</v>
      </c>
      <c r="L652">
        <v>55</v>
      </c>
      <c r="M652">
        <f t="shared" si="21"/>
        <v>0</v>
      </c>
      <c r="N652" s="90">
        <v>652</v>
      </c>
      <c r="O652" s="90" t="s">
        <v>1041</v>
      </c>
      <c r="P652" s="118" t="s">
        <v>789</v>
      </c>
      <c r="Q652" s="118" t="s">
        <v>125</v>
      </c>
    </row>
    <row r="653" spans="1:21" x14ac:dyDescent="0.25">
      <c r="A653" s="90" t="s">
        <v>1042</v>
      </c>
      <c r="B653" s="119">
        <v>6</v>
      </c>
      <c r="C653" s="90" t="s">
        <v>993</v>
      </c>
      <c r="D653" s="90" t="s">
        <v>102</v>
      </c>
      <c r="E653">
        <v>1297</v>
      </c>
      <c r="F653">
        <v>1298</v>
      </c>
      <c r="G653" s="93" t="s">
        <v>78</v>
      </c>
      <c r="H653" t="s">
        <v>130</v>
      </c>
      <c r="I653">
        <v>1</v>
      </c>
      <c r="J653">
        <v>212.88679486000001</v>
      </c>
      <c r="K653">
        <f t="shared" si="22"/>
        <v>212.88679486000001</v>
      </c>
      <c r="L653">
        <v>55</v>
      </c>
      <c r="M653">
        <f t="shared" si="21"/>
        <v>95.799057687000001</v>
      </c>
      <c r="N653" s="90">
        <v>653</v>
      </c>
      <c r="O653" s="90" t="s">
        <v>1043</v>
      </c>
      <c r="P653" s="118" t="s">
        <v>792</v>
      </c>
      <c r="Q653" s="118" t="s">
        <v>125</v>
      </c>
    </row>
    <row r="654" spans="1:21" x14ac:dyDescent="0.25">
      <c r="A654" s="90" t="s">
        <v>1044</v>
      </c>
      <c r="B654" s="119">
        <v>6</v>
      </c>
      <c r="C654" s="90" t="s">
        <v>993</v>
      </c>
      <c r="D654" s="90" t="s">
        <v>90</v>
      </c>
      <c r="E654">
        <v>1299</v>
      </c>
      <c r="F654">
        <v>1300</v>
      </c>
      <c r="G654" s="93" t="s">
        <v>78</v>
      </c>
      <c r="H654" t="s">
        <v>131</v>
      </c>
      <c r="I654">
        <v>0</v>
      </c>
      <c r="J654">
        <v>206.87635298999999</v>
      </c>
      <c r="K654">
        <f t="shared" si="22"/>
        <v>0</v>
      </c>
      <c r="L654">
        <v>55</v>
      </c>
      <c r="M654">
        <f t="shared" si="21"/>
        <v>0</v>
      </c>
      <c r="N654" s="90">
        <v>654</v>
      </c>
      <c r="O654" s="90" t="s">
        <v>1045</v>
      </c>
      <c r="P654" s="118" t="s">
        <v>795</v>
      </c>
      <c r="Q654" s="118" t="s">
        <v>125</v>
      </c>
    </row>
    <row r="655" spans="1:21" x14ac:dyDescent="0.25">
      <c r="A655" s="90" t="s">
        <v>1046</v>
      </c>
      <c r="B655" s="119">
        <v>6</v>
      </c>
      <c r="C655" s="90" t="s">
        <v>993</v>
      </c>
      <c r="D655" s="90" t="s">
        <v>91</v>
      </c>
      <c r="E655">
        <v>1301</v>
      </c>
      <c r="F655">
        <v>1302</v>
      </c>
      <c r="G655" s="93" t="s">
        <v>78</v>
      </c>
      <c r="H655" t="s">
        <v>137</v>
      </c>
      <c r="I655">
        <v>1</v>
      </c>
      <c r="J655">
        <v>1142.63338851</v>
      </c>
      <c r="K655">
        <f t="shared" si="22"/>
        <v>1142.63338851</v>
      </c>
      <c r="L655">
        <v>55</v>
      </c>
      <c r="M655">
        <f t="shared" si="21"/>
        <v>514.18502482949998</v>
      </c>
      <c r="N655" s="90">
        <v>655</v>
      </c>
      <c r="O655" s="90" t="s">
        <v>1047</v>
      </c>
      <c r="P655" s="118" t="s">
        <v>2534</v>
      </c>
      <c r="Q655" s="118" t="s">
        <v>125</v>
      </c>
    </row>
    <row r="656" spans="1:21" x14ac:dyDescent="0.25">
      <c r="A656" s="90" t="s">
        <v>1048</v>
      </c>
      <c r="B656" s="119">
        <v>4</v>
      </c>
      <c r="C656" s="90" t="s">
        <v>812</v>
      </c>
      <c r="D656" s="90" t="s">
        <v>96</v>
      </c>
      <c r="E656">
        <v>1305</v>
      </c>
      <c r="F656">
        <v>1368</v>
      </c>
      <c r="G656" s="93" t="s">
        <v>68</v>
      </c>
      <c r="H656" t="s">
        <v>1049</v>
      </c>
      <c r="I656">
        <v>1</v>
      </c>
      <c r="J656">
        <f>SUM(K657,K659,K661)</f>
        <v>5405007.5257892897</v>
      </c>
      <c r="K656">
        <f t="shared" si="22"/>
        <v>5405007.5257892897</v>
      </c>
      <c r="L656">
        <f>100*(1-(M656/K656))</f>
        <v>55.000000000000007</v>
      </c>
      <c r="M656">
        <f>I656*SUM(M657,M659,M661)</f>
        <v>2432253.3866051803</v>
      </c>
      <c r="N656" s="90">
        <v>656</v>
      </c>
      <c r="O656" s="90" t="s">
        <v>1050</v>
      </c>
      <c r="P656" s="118" t="s">
        <v>798</v>
      </c>
      <c r="Q656" s="118" t="s">
        <v>125</v>
      </c>
      <c r="R656" s="90" t="s">
        <v>2287</v>
      </c>
      <c r="S656" s="90" t="s">
        <v>2391</v>
      </c>
      <c r="T656" s="90" t="s">
        <v>2443</v>
      </c>
      <c r="U656" s="90" t="s">
        <v>2339</v>
      </c>
    </row>
    <row r="657" spans="1:21" x14ac:dyDescent="0.25">
      <c r="A657" s="90" t="s">
        <v>1051</v>
      </c>
      <c r="B657" s="119">
        <v>5</v>
      </c>
      <c r="C657" s="90" t="s">
        <v>1048</v>
      </c>
      <c r="D657" s="90" t="s">
        <v>78</v>
      </c>
      <c r="E657">
        <v>1306</v>
      </c>
      <c r="F657">
        <v>1309</v>
      </c>
      <c r="G657" s="93" t="s">
        <v>68</v>
      </c>
      <c r="H657" t="s">
        <v>856</v>
      </c>
      <c r="I657">
        <v>668</v>
      </c>
      <c r="J657">
        <f>SUM(K658)</f>
        <v>214.52947918000001</v>
      </c>
      <c r="K657">
        <f t="shared" si="22"/>
        <v>143305.69209224</v>
      </c>
      <c r="L657">
        <f>100*(1-(M657/K657))</f>
        <v>55.000000000000007</v>
      </c>
      <c r="M657">
        <f>I657*SUM(M658)</f>
        <v>64487.561441507998</v>
      </c>
      <c r="N657" s="90">
        <v>657</v>
      </c>
      <c r="O657" s="90" t="s">
        <v>1052</v>
      </c>
      <c r="P657" s="118" t="s">
        <v>801</v>
      </c>
      <c r="Q657" s="118" t="s">
        <v>125</v>
      </c>
      <c r="R657" s="90" t="s">
        <v>1874</v>
      </c>
      <c r="S657" s="90" t="s">
        <v>2108</v>
      </c>
      <c r="T657" s="90" t="s">
        <v>2225</v>
      </c>
      <c r="U657" s="90" t="s">
        <v>1991</v>
      </c>
    </row>
    <row r="658" spans="1:21" x14ac:dyDescent="0.25">
      <c r="A658" s="90" t="s">
        <v>1053</v>
      </c>
      <c r="B658" s="119">
        <v>6</v>
      </c>
      <c r="C658" s="90" t="s">
        <v>1051</v>
      </c>
      <c r="D658" s="90" t="s">
        <v>78</v>
      </c>
      <c r="E658">
        <v>1307</v>
      </c>
      <c r="F658">
        <v>1308</v>
      </c>
      <c r="G658" s="93" t="s">
        <v>78</v>
      </c>
      <c r="H658" t="s">
        <v>203</v>
      </c>
      <c r="I658">
        <v>1</v>
      </c>
      <c r="J658">
        <v>214.52947918000001</v>
      </c>
      <c r="K658">
        <f t="shared" si="22"/>
        <v>214.52947918000001</v>
      </c>
      <c r="L658">
        <v>55</v>
      </c>
      <c r="M658">
        <f>(1-(L658/100))*K658</f>
        <v>96.538265631000002</v>
      </c>
      <c r="N658" s="90">
        <v>658</v>
      </c>
      <c r="O658" s="90" t="s">
        <v>1054</v>
      </c>
      <c r="P658" s="118" t="s">
        <v>804</v>
      </c>
      <c r="Q658" s="118" t="s">
        <v>125</v>
      </c>
    </row>
    <row r="659" spans="1:21" x14ac:dyDescent="0.25">
      <c r="A659" s="90" t="s">
        <v>1055</v>
      </c>
      <c r="B659" s="119">
        <v>5</v>
      </c>
      <c r="C659" s="90" t="s">
        <v>1048</v>
      </c>
      <c r="D659" s="90" t="s">
        <v>79</v>
      </c>
      <c r="E659">
        <v>1310</v>
      </c>
      <c r="F659">
        <v>1313</v>
      </c>
      <c r="G659" s="93" t="s">
        <v>68</v>
      </c>
      <c r="H659" t="s">
        <v>861</v>
      </c>
      <c r="I659">
        <v>2060</v>
      </c>
      <c r="J659">
        <f>SUM(K660)</f>
        <v>214.52947918000001</v>
      </c>
      <c r="K659">
        <f t="shared" si="22"/>
        <v>441930.72711080004</v>
      </c>
      <c r="L659">
        <f>100*(1-(M659/K659))</f>
        <v>55.000000000000007</v>
      </c>
      <c r="M659">
        <f>I659*SUM(M660)</f>
        <v>198868.82719986001</v>
      </c>
      <c r="N659" s="90">
        <v>659</v>
      </c>
      <c r="O659" s="90" t="s">
        <v>1056</v>
      </c>
      <c r="P659" s="118" t="s">
        <v>2535</v>
      </c>
      <c r="Q659" s="118" t="s">
        <v>125</v>
      </c>
      <c r="R659" s="90" t="s">
        <v>1875</v>
      </c>
      <c r="S659" s="90" t="s">
        <v>2109</v>
      </c>
      <c r="T659" s="90" t="s">
        <v>2226</v>
      </c>
      <c r="U659" s="90" t="s">
        <v>1992</v>
      </c>
    </row>
    <row r="660" spans="1:21" x14ac:dyDescent="0.25">
      <c r="A660" s="90" t="s">
        <v>1057</v>
      </c>
      <c r="B660" s="119">
        <v>6</v>
      </c>
      <c r="C660" s="90" t="s">
        <v>1055</v>
      </c>
      <c r="D660" s="90" t="s">
        <v>78</v>
      </c>
      <c r="E660">
        <v>1311</v>
      </c>
      <c r="F660">
        <v>1312</v>
      </c>
      <c r="G660" s="93" t="s">
        <v>78</v>
      </c>
      <c r="H660" t="s">
        <v>205</v>
      </c>
      <c r="I660">
        <v>1</v>
      </c>
      <c r="J660">
        <v>214.52947918000001</v>
      </c>
      <c r="K660">
        <f t="shared" si="22"/>
        <v>214.52947918000001</v>
      </c>
      <c r="L660">
        <v>55</v>
      </c>
      <c r="M660">
        <f>(1-(L660/100))*K660</f>
        <v>96.538265631000002</v>
      </c>
      <c r="N660" s="90">
        <v>660</v>
      </c>
      <c r="O660" s="90" t="s">
        <v>1058</v>
      </c>
      <c r="P660" s="118" t="s">
        <v>807</v>
      </c>
      <c r="Q660" s="118" t="s">
        <v>125</v>
      </c>
    </row>
    <row r="661" spans="1:21" x14ac:dyDescent="0.25">
      <c r="A661" s="90" t="s">
        <v>1059</v>
      </c>
      <c r="B661" s="119">
        <v>5</v>
      </c>
      <c r="C661" s="90" t="s">
        <v>1048</v>
      </c>
      <c r="D661" s="90" t="s">
        <v>80</v>
      </c>
      <c r="E661">
        <v>1314</v>
      </c>
      <c r="F661">
        <v>1367</v>
      </c>
      <c r="G661" s="93" t="s">
        <v>68</v>
      </c>
      <c r="H661" t="s">
        <v>1060</v>
      </c>
      <c r="I661">
        <v>115</v>
      </c>
      <c r="J661">
        <f>SUM(K662,K663,K664,K665,K666,K667,K668,K669,K670,K671,K672,K673,K674,K675,K676,K677,K678,K679,K680,K681,K682,K683,K684,K685,K686,K687)</f>
        <v>41911.053100749996</v>
      </c>
      <c r="K661">
        <f t="shared" si="22"/>
        <v>4819771.1065862495</v>
      </c>
      <c r="L661">
        <f>100*(1-(M661/K661))</f>
        <v>55.000000000000007</v>
      </c>
      <c r="M661">
        <f>I661*SUM(M662,M663,M664,M665,M666,M667,M668,M669,M670,M671,M672,M673,M674,M675,M676,M677,M678,M679,M680,M681,M682,M683,M684,M685,M686,M687)</f>
        <v>2168896.9979638122</v>
      </c>
      <c r="N661" s="90">
        <v>661</v>
      </c>
      <c r="O661" s="90" t="s">
        <v>1061</v>
      </c>
      <c r="P661" s="118" t="s">
        <v>809</v>
      </c>
      <c r="Q661" s="118" t="s">
        <v>125</v>
      </c>
      <c r="R661" s="90" t="s">
        <v>1876</v>
      </c>
      <c r="S661" s="90" t="s">
        <v>2110</v>
      </c>
      <c r="T661" s="90" t="s">
        <v>2227</v>
      </c>
      <c r="U661" s="90" t="s">
        <v>1993</v>
      </c>
    </row>
    <row r="662" spans="1:21" x14ac:dyDescent="0.25">
      <c r="A662" s="90" t="s">
        <v>1062</v>
      </c>
      <c r="B662" s="119">
        <v>6</v>
      </c>
      <c r="C662" s="90" t="s">
        <v>1059</v>
      </c>
      <c r="D662" s="90" t="s">
        <v>78</v>
      </c>
      <c r="E662">
        <v>1315</v>
      </c>
      <c r="F662">
        <v>1316</v>
      </c>
      <c r="G662" s="93" t="s">
        <v>78</v>
      </c>
      <c r="H662" t="s">
        <v>197</v>
      </c>
      <c r="I662">
        <v>1</v>
      </c>
      <c r="J662">
        <v>10880.466063919999</v>
      </c>
      <c r="K662">
        <f t="shared" si="22"/>
        <v>10880.466063919999</v>
      </c>
      <c r="L662">
        <v>55</v>
      </c>
      <c r="M662">
        <f t="shared" ref="M662:M687" si="23">(1-(L662/100))*K662</f>
        <v>4896.209728763999</v>
      </c>
      <c r="N662" s="90">
        <v>662</v>
      </c>
      <c r="O662" s="90" t="s">
        <v>1063</v>
      </c>
      <c r="P662" s="118" t="s">
        <v>811</v>
      </c>
      <c r="Q662" s="118" t="s">
        <v>125</v>
      </c>
    </row>
    <row r="663" spans="1:21" x14ac:dyDescent="0.25">
      <c r="A663" s="90" t="s">
        <v>1064</v>
      </c>
      <c r="B663" s="119">
        <v>6</v>
      </c>
      <c r="C663" s="90" t="s">
        <v>1059</v>
      </c>
      <c r="D663" s="90" t="s">
        <v>79</v>
      </c>
      <c r="E663">
        <v>1317</v>
      </c>
      <c r="F663">
        <v>1318</v>
      </c>
      <c r="G663" s="93" t="s">
        <v>78</v>
      </c>
      <c r="H663" t="s">
        <v>127</v>
      </c>
      <c r="I663">
        <v>1</v>
      </c>
      <c r="J663">
        <v>491.93938622000002</v>
      </c>
      <c r="K663">
        <f t="shared" si="22"/>
        <v>491.93938622000002</v>
      </c>
      <c r="L663">
        <v>55</v>
      </c>
      <c r="M663">
        <f t="shared" si="23"/>
        <v>221.372723799</v>
      </c>
      <c r="N663" s="90">
        <v>663</v>
      </c>
      <c r="O663" s="90" t="s">
        <v>1065</v>
      </c>
      <c r="P663" s="118" t="s">
        <v>2536</v>
      </c>
      <c r="Q663" s="118" t="s">
        <v>125</v>
      </c>
    </row>
    <row r="664" spans="1:21" x14ac:dyDescent="0.25">
      <c r="A664" s="90" t="s">
        <v>1066</v>
      </c>
      <c r="B664" s="119">
        <v>6</v>
      </c>
      <c r="C664" s="90" t="s">
        <v>1059</v>
      </c>
      <c r="D664" s="90" t="s">
        <v>80</v>
      </c>
      <c r="E664">
        <v>1319</v>
      </c>
      <c r="F664">
        <v>1320</v>
      </c>
      <c r="G664" s="93" t="s">
        <v>78</v>
      </c>
      <c r="H664" t="s">
        <v>132</v>
      </c>
      <c r="I664">
        <v>1</v>
      </c>
      <c r="J664">
        <v>926.14287533000004</v>
      </c>
      <c r="K664">
        <f t="shared" si="22"/>
        <v>926.14287533000004</v>
      </c>
      <c r="L664">
        <v>55</v>
      </c>
      <c r="M664">
        <f t="shared" si="23"/>
        <v>416.7642938985</v>
      </c>
      <c r="N664" s="90">
        <v>664</v>
      </c>
      <c r="O664" s="90" t="s">
        <v>1067</v>
      </c>
      <c r="P664" s="118" t="s">
        <v>814</v>
      </c>
      <c r="Q664" s="118" t="s">
        <v>125</v>
      </c>
    </row>
    <row r="665" spans="1:21" x14ac:dyDescent="0.25">
      <c r="A665" s="90" t="s">
        <v>1068</v>
      </c>
      <c r="B665" s="119">
        <v>6</v>
      </c>
      <c r="C665" s="90" t="s">
        <v>1059</v>
      </c>
      <c r="D665" s="90" t="s">
        <v>95</v>
      </c>
      <c r="E665">
        <v>1321</v>
      </c>
      <c r="F665">
        <v>1322</v>
      </c>
      <c r="G665" s="93" t="s">
        <v>78</v>
      </c>
      <c r="H665" t="s">
        <v>871</v>
      </c>
      <c r="I665">
        <v>1</v>
      </c>
      <c r="J665">
        <v>537.64166561000002</v>
      </c>
      <c r="K665">
        <f t="shared" si="22"/>
        <v>537.64166561000002</v>
      </c>
      <c r="L665">
        <v>55</v>
      </c>
      <c r="M665">
        <f t="shared" si="23"/>
        <v>241.9387495245</v>
      </c>
      <c r="N665" s="90">
        <v>665</v>
      </c>
      <c r="O665" s="90" t="s">
        <v>1069</v>
      </c>
      <c r="P665" s="118" t="s">
        <v>817</v>
      </c>
      <c r="Q665" s="118" t="s">
        <v>125</v>
      </c>
    </row>
    <row r="666" spans="1:21" x14ac:dyDescent="0.25">
      <c r="A666" s="90" t="s">
        <v>1070</v>
      </c>
      <c r="B666" s="119">
        <v>6</v>
      </c>
      <c r="C666" s="90" t="s">
        <v>1059</v>
      </c>
      <c r="D666" s="90" t="s">
        <v>96</v>
      </c>
      <c r="E666">
        <v>1323</v>
      </c>
      <c r="F666">
        <v>1324</v>
      </c>
      <c r="G666" s="93" t="s">
        <v>78</v>
      </c>
      <c r="H666" t="s">
        <v>123</v>
      </c>
      <c r="I666">
        <v>3</v>
      </c>
      <c r="J666">
        <v>313.76543995999998</v>
      </c>
      <c r="K666">
        <f t="shared" si="22"/>
        <v>941.29631987999994</v>
      </c>
      <c r="L666">
        <v>55</v>
      </c>
      <c r="M666">
        <f t="shared" si="23"/>
        <v>423.58334394599996</v>
      </c>
      <c r="N666" s="90">
        <v>666</v>
      </c>
      <c r="O666" s="90" t="s">
        <v>1071</v>
      </c>
      <c r="P666" s="118" t="s">
        <v>819</v>
      </c>
      <c r="Q666" s="118" t="s">
        <v>125</v>
      </c>
    </row>
    <row r="667" spans="1:21" x14ac:dyDescent="0.25">
      <c r="A667" s="90" t="s">
        <v>1072</v>
      </c>
      <c r="B667" s="119">
        <v>6</v>
      </c>
      <c r="C667" s="90" t="s">
        <v>1059</v>
      </c>
      <c r="D667" s="90" t="s">
        <v>103</v>
      </c>
      <c r="E667">
        <v>1325</v>
      </c>
      <c r="F667">
        <v>1326</v>
      </c>
      <c r="G667" s="93" t="s">
        <v>78</v>
      </c>
      <c r="H667" t="s">
        <v>133</v>
      </c>
      <c r="I667">
        <v>1</v>
      </c>
      <c r="J667">
        <v>5940.1629950300003</v>
      </c>
      <c r="K667">
        <f t="shared" si="22"/>
        <v>5940.1629950300003</v>
      </c>
      <c r="L667">
        <v>55</v>
      </c>
      <c r="M667">
        <f t="shared" si="23"/>
        <v>2673.0733477634999</v>
      </c>
      <c r="N667" s="90">
        <v>667</v>
      </c>
      <c r="O667" s="90" t="s">
        <v>1073</v>
      </c>
      <c r="P667" s="118" t="s">
        <v>821</v>
      </c>
      <c r="Q667" s="118" t="s">
        <v>125</v>
      </c>
    </row>
    <row r="668" spans="1:21" x14ac:dyDescent="0.25">
      <c r="A668" s="90" t="s">
        <v>1074</v>
      </c>
      <c r="B668" s="119">
        <v>6</v>
      </c>
      <c r="C668" s="90" t="s">
        <v>1059</v>
      </c>
      <c r="D668" s="90" t="s">
        <v>1769</v>
      </c>
      <c r="E668">
        <v>1327</v>
      </c>
      <c r="F668">
        <v>1328</v>
      </c>
      <c r="G668" s="93" t="s">
        <v>78</v>
      </c>
      <c r="H668" t="s">
        <v>120</v>
      </c>
      <c r="I668">
        <v>3</v>
      </c>
      <c r="J668">
        <v>1231.376544</v>
      </c>
      <c r="K668">
        <f t="shared" si="22"/>
        <v>3694.1296320000001</v>
      </c>
      <c r="L668">
        <v>55</v>
      </c>
      <c r="M668">
        <f t="shared" si="23"/>
        <v>1662.3583343999999</v>
      </c>
      <c r="N668" s="90">
        <v>668</v>
      </c>
      <c r="O668" s="90" t="s">
        <v>1075</v>
      </c>
      <c r="P668" s="118" t="s">
        <v>2537</v>
      </c>
      <c r="Q668" s="118" t="s">
        <v>125</v>
      </c>
    </row>
    <row r="669" spans="1:21" x14ac:dyDescent="0.25">
      <c r="A669" s="90" t="s">
        <v>1076</v>
      </c>
      <c r="B669" s="119">
        <v>6</v>
      </c>
      <c r="C669" s="90" t="s">
        <v>1059</v>
      </c>
      <c r="D669" s="90" t="s">
        <v>1770</v>
      </c>
      <c r="E669">
        <v>1329</v>
      </c>
      <c r="F669">
        <v>1330</v>
      </c>
      <c r="G669" s="93" t="s">
        <v>78</v>
      </c>
      <c r="H669" t="s">
        <v>126</v>
      </c>
      <c r="I669">
        <v>3</v>
      </c>
      <c r="J669">
        <v>967.93582071000003</v>
      </c>
      <c r="K669">
        <f t="shared" si="22"/>
        <v>2903.8074621300002</v>
      </c>
      <c r="L669">
        <v>55</v>
      </c>
      <c r="M669">
        <f t="shared" si="23"/>
        <v>1306.7133579585</v>
      </c>
      <c r="N669" s="90">
        <v>669</v>
      </c>
      <c r="O669" s="90" t="s">
        <v>1077</v>
      </c>
      <c r="P669" s="118" t="s">
        <v>823</v>
      </c>
      <c r="Q669" s="118" t="s">
        <v>125</v>
      </c>
    </row>
    <row r="670" spans="1:21" x14ac:dyDescent="0.25">
      <c r="A670" s="90" t="s">
        <v>1078</v>
      </c>
      <c r="B670" s="119">
        <v>6</v>
      </c>
      <c r="C670" s="90" t="s">
        <v>1059</v>
      </c>
      <c r="D670" s="90" t="s">
        <v>1771</v>
      </c>
      <c r="E670">
        <v>1331</v>
      </c>
      <c r="F670">
        <v>1332</v>
      </c>
      <c r="G670" s="93" t="s">
        <v>78</v>
      </c>
      <c r="H670" t="s">
        <v>199</v>
      </c>
      <c r="I670">
        <v>6</v>
      </c>
      <c r="J670">
        <v>862.86769387000004</v>
      </c>
      <c r="K670">
        <f t="shared" si="22"/>
        <v>5177.2061632200002</v>
      </c>
      <c r="L670">
        <v>55</v>
      </c>
      <c r="M670">
        <f t="shared" si="23"/>
        <v>2329.7427734489997</v>
      </c>
      <c r="N670" s="90">
        <v>670</v>
      </c>
      <c r="O670" s="90" t="s">
        <v>1079</v>
      </c>
      <c r="P670" s="118" t="s">
        <v>825</v>
      </c>
      <c r="Q670" s="118" t="s">
        <v>125</v>
      </c>
    </row>
    <row r="671" spans="1:21" x14ac:dyDescent="0.25">
      <c r="A671" s="90" t="s">
        <v>1080</v>
      </c>
      <c r="B671" s="119">
        <v>6</v>
      </c>
      <c r="C671" s="90" t="s">
        <v>1059</v>
      </c>
      <c r="D671" s="90" t="s">
        <v>1772</v>
      </c>
      <c r="E671">
        <v>1333</v>
      </c>
      <c r="F671">
        <v>1334</v>
      </c>
      <c r="G671" s="93" t="s">
        <v>78</v>
      </c>
      <c r="H671" t="s">
        <v>203</v>
      </c>
      <c r="I671">
        <v>0</v>
      </c>
      <c r="J671">
        <v>214.52947918000001</v>
      </c>
      <c r="K671">
        <f t="shared" si="22"/>
        <v>0</v>
      </c>
      <c r="L671">
        <v>55</v>
      </c>
      <c r="M671">
        <f t="shared" si="23"/>
        <v>0</v>
      </c>
      <c r="N671" s="90">
        <v>671</v>
      </c>
      <c r="O671" s="90" t="s">
        <v>1081</v>
      </c>
      <c r="P671" s="118" t="s">
        <v>2538</v>
      </c>
      <c r="Q671" s="118" t="s">
        <v>125</v>
      </c>
    </row>
    <row r="672" spans="1:21" x14ac:dyDescent="0.25">
      <c r="A672" s="90" t="s">
        <v>1082</v>
      </c>
      <c r="B672" s="119">
        <v>6</v>
      </c>
      <c r="C672" s="90" t="s">
        <v>1059</v>
      </c>
      <c r="D672" s="90" t="s">
        <v>97</v>
      </c>
      <c r="E672">
        <v>1335</v>
      </c>
      <c r="F672">
        <v>1336</v>
      </c>
      <c r="G672" s="93" t="s">
        <v>78</v>
      </c>
      <c r="H672" t="s">
        <v>205</v>
      </c>
      <c r="I672">
        <v>0</v>
      </c>
      <c r="J672">
        <v>214.52947918000001</v>
      </c>
      <c r="K672">
        <f t="shared" si="22"/>
        <v>0</v>
      </c>
      <c r="L672">
        <v>55</v>
      </c>
      <c r="M672">
        <f t="shared" si="23"/>
        <v>0</v>
      </c>
      <c r="N672" s="90">
        <v>672</v>
      </c>
      <c r="O672" s="90" t="s">
        <v>1083</v>
      </c>
      <c r="P672" s="118" t="s">
        <v>827</v>
      </c>
      <c r="Q672" s="118" t="s">
        <v>125</v>
      </c>
    </row>
    <row r="673" spans="1:21" x14ac:dyDescent="0.25">
      <c r="A673" s="90" t="s">
        <v>1084</v>
      </c>
      <c r="B673" s="119">
        <v>6</v>
      </c>
      <c r="C673" s="90" t="s">
        <v>1059</v>
      </c>
      <c r="D673" s="90" t="s">
        <v>98</v>
      </c>
      <c r="E673">
        <v>1337</v>
      </c>
      <c r="F673">
        <v>1338</v>
      </c>
      <c r="G673" s="93" t="s">
        <v>78</v>
      </c>
      <c r="H673" t="s">
        <v>194</v>
      </c>
      <c r="I673">
        <v>9</v>
      </c>
      <c r="J673">
        <v>256.72991214000001</v>
      </c>
      <c r="K673">
        <f t="shared" si="22"/>
        <v>2310.5692092600002</v>
      </c>
      <c r="L673">
        <v>55</v>
      </c>
      <c r="M673">
        <f t="shared" si="23"/>
        <v>1039.756144167</v>
      </c>
      <c r="N673" s="90">
        <v>673</v>
      </c>
      <c r="O673" s="90" t="s">
        <v>1085</v>
      </c>
      <c r="P673" s="118" t="s">
        <v>829</v>
      </c>
      <c r="Q673" s="118" t="s">
        <v>125</v>
      </c>
    </row>
    <row r="674" spans="1:21" x14ac:dyDescent="0.25">
      <c r="A674" s="90" t="s">
        <v>1086</v>
      </c>
      <c r="B674" s="119">
        <v>6</v>
      </c>
      <c r="C674" s="90" t="s">
        <v>1059</v>
      </c>
      <c r="D674" s="90" t="s">
        <v>99</v>
      </c>
      <c r="E674">
        <v>1339</v>
      </c>
      <c r="F674">
        <v>1340</v>
      </c>
      <c r="G674" s="93" t="s">
        <v>78</v>
      </c>
      <c r="H674" t="s">
        <v>892</v>
      </c>
      <c r="I674">
        <v>1</v>
      </c>
      <c r="J674">
        <v>997.30039475000001</v>
      </c>
      <c r="K674">
        <f t="shared" si="22"/>
        <v>997.30039475000001</v>
      </c>
      <c r="L674">
        <v>55</v>
      </c>
      <c r="M674">
        <f t="shared" si="23"/>
        <v>448.78517763749994</v>
      </c>
      <c r="N674" s="90">
        <v>674</v>
      </c>
      <c r="O674" s="90" t="s">
        <v>1087</v>
      </c>
      <c r="P674" s="118" t="s">
        <v>831</v>
      </c>
      <c r="Q674" s="118" t="s">
        <v>125</v>
      </c>
    </row>
    <row r="675" spans="1:21" x14ac:dyDescent="0.25">
      <c r="A675" s="90" t="s">
        <v>1088</v>
      </c>
      <c r="B675" s="119">
        <v>6</v>
      </c>
      <c r="C675" s="90" t="s">
        <v>1059</v>
      </c>
      <c r="D675" s="90" t="s">
        <v>100</v>
      </c>
      <c r="E675">
        <v>1341</v>
      </c>
      <c r="F675">
        <v>1342</v>
      </c>
      <c r="G675" s="93" t="s">
        <v>78</v>
      </c>
      <c r="H675" t="s">
        <v>134</v>
      </c>
      <c r="I675">
        <v>0</v>
      </c>
      <c r="J675">
        <v>1527.53087992</v>
      </c>
      <c r="K675">
        <f t="shared" si="22"/>
        <v>0</v>
      </c>
      <c r="L675">
        <v>55</v>
      </c>
      <c r="M675">
        <f t="shared" si="23"/>
        <v>0</v>
      </c>
      <c r="N675" s="90">
        <v>675</v>
      </c>
      <c r="O675" s="90" t="s">
        <v>1089</v>
      </c>
      <c r="P675" s="118" t="s">
        <v>833</v>
      </c>
      <c r="Q675" s="118" t="s">
        <v>125</v>
      </c>
    </row>
    <row r="676" spans="1:21" x14ac:dyDescent="0.25">
      <c r="A676" s="90" t="s">
        <v>1090</v>
      </c>
      <c r="B676" s="119">
        <v>6</v>
      </c>
      <c r="C676" s="90" t="s">
        <v>1059</v>
      </c>
      <c r="D676" s="90" t="s">
        <v>81</v>
      </c>
      <c r="E676">
        <v>1343</v>
      </c>
      <c r="F676">
        <v>1344</v>
      </c>
      <c r="G676" s="93" t="s">
        <v>78</v>
      </c>
      <c r="H676" t="s">
        <v>119</v>
      </c>
      <c r="I676">
        <v>1</v>
      </c>
      <c r="J676">
        <v>594.85546925000006</v>
      </c>
      <c r="K676">
        <f t="shared" si="22"/>
        <v>594.85546925000006</v>
      </c>
      <c r="L676">
        <v>55</v>
      </c>
      <c r="M676">
        <f t="shared" si="23"/>
        <v>267.68496116249997</v>
      </c>
      <c r="N676" s="90">
        <v>676</v>
      </c>
      <c r="O676" s="90" t="s">
        <v>1091</v>
      </c>
      <c r="P676" s="118" t="s">
        <v>835</v>
      </c>
      <c r="Q676" s="118" t="s">
        <v>125</v>
      </c>
    </row>
    <row r="677" spans="1:21" x14ac:dyDescent="0.25">
      <c r="A677" s="90" t="s">
        <v>1092</v>
      </c>
      <c r="B677" s="119">
        <v>6</v>
      </c>
      <c r="C677" s="90" t="s">
        <v>1059</v>
      </c>
      <c r="D677" s="90" t="s">
        <v>83</v>
      </c>
      <c r="E677">
        <v>1345</v>
      </c>
      <c r="F677">
        <v>1346</v>
      </c>
      <c r="G677" s="93" t="s">
        <v>78</v>
      </c>
      <c r="H677" t="s">
        <v>107</v>
      </c>
      <c r="I677">
        <v>0</v>
      </c>
      <c r="J677">
        <v>5209</v>
      </c>
      <c r="K677">
        <f t="shared" si="22"/>
        <v>0</v>
      </c>
      <c r="L677">
        <v>55</v>
      </c>
      <c r="M677">
        <f t="shared" si="23"/>
        <v>0</v>
      </c>
      <c r="N677" s="90">
        <v>677</v>
      </c>
      <c r="O677" s="90" t="s">
        <v>1093</v>
      </c>
      <c r="P677" s="118" t="s">
        <v>2539</v>
      </c>
      <c r="Q677" s="118" t="s">
        <v>125</v>
      </c>
    </row>
    <row r="678" spans="1:21" x14ac:dyDescent="0.25">
      <c r="A678" s="90" t="s">
        <v>1094</v>
      </c>
      <c r="B678" s="119">
        <v>6</v>
      </c>
      <c r="C678" s="90" t="s">
        <v>1059</v>
      </c>
      <c r="D678" s="90" t="s">
        <v>84</v>
      </c>
      <c r="E678">
        <v>1347</v>
      </c>
      <c r="F678">
        <v>1348</v>
      </c>
      <c r="G678" s="93" t="s">
        <v>78</v>
      </c>
      <c r="H678" t="s">
        <v>128</v>
      </c>
      <c r="I678">
        <v>0</v>
      </c>
      <c r="J678">
        <v>275.43613906000002</v>
      </c>
      <c r="K678">
        <f t="shared" si="22"/>
        <v>0</v>
      </c>
      <c r="L678">
        <v>55</v>
      </c>
      <c r="M678">
        <f t="shared" si="23"/>
        <v>0</v>
      </c>
      <c r="N678" s="90">
        <v>678</v>
      </c>
      <c r="O678" s="90" t="s">
        <v>1095</v>
      </c>
      <c r="P678" s="118" t="s">
        <v>837</v>
      </c>
      <c r="Q678" s="118" t="s">
        <v>125</v>
      </c>
    </row>
    <row r="679" spans="1:21" x14ac:dyDescent="0.25">
      <c r="A679" s="90" t="s">
        <v>1096</v>
      </c>
      <c r="B679" s="119">
        <v>6</v>
      </c>
      <c r="C679" s="90" t="s">
        <v>1059</v>
      </c>
      <c r="D679" s="90" t="s">
        <v>85</v>
      </c>
      <c r="E679">
        <v>1349</v>
      </c>
      <c r="F679">
        <v>1350</v>
      </c>
      <c r="G679" s="93" t="s">
        <v>78</v>
      </c>
      <c r="H679" t="s">
        <v>121</v>
      </c>
      <c r="I679">
        <v>0</v>
      </c>
      <c r="J679">
        <v>78.186680249999995</v>
      </c>
      <c r="K679">
        <f t="shared" si="22"/>
        <v>0</v>
      </c>
      <c r="L679">
        <v>55</v>
      </c>
      <c r="M679">
        <f t="shared" si="23"/>
        <v>0</v>
      </c>
      <c r="N679" s="90">
        <v>679</v>
      </c>
      <c r="O679" s="90" t="s">
        <v>1097</v>
      </c>
      <c r="P679" s="118" t="s">
        <v>839</v>
      </c>
      <c r="Q679" s="118" t="s">
        <v>125</v>
      </c>
    </row>
    <row r="680" spans="1:21" x14ac:dyDescent="0.25">
      <c r="A680" s="90" t="s">
        <v>1098</v>
      </c>
      <c r="B680" s="119">
        <v>6</v>
      </c>
      <c r="C680" s="90" t="s">
        <v>1059</v>
      </c>
      <c r="D680" s="90" t="s">
        <v>86</v>
      </c>
      <c r="E680">
        <v>1351</v>
      </c>
      <c r="F680">
        <v>1352</v>
      </c>
      <c r="G680" s="93" t="s">
        <v>78</v>
      </c>
      <c r="H680" t="s">
        <v>122</v>
      </c>
      <c r="I680">
        <v>0</v>
      </c>
      <c r="J680">
        <v>823.90169361999995</v>
      </c>
      <c r="K680">
        <f t="shared" si="22"/>
        <v>0</v>
      </c>
      <c r="L680">
        <v>55</v>
      </c>
      <c r="M680">
        <f t="shared" si="23"/>
        <v>0</v>
      </c>
      <c r="N680" s="90">
        <v>680</v>
      </c>
      <c r="O680" s="90" t="s">
        <v>1099</v>
      </c>
      <c r="P680" s="118" t="s">
        <v>841</v>
      </c>
      <c r="Q680" s="118" t="s">
        <v>125</v>
      </c>
    </row>
    <row r="681" spans="1:21" x14ac:dyDescent="0.25">
      <c r="A681" s="90" t="s">
        <v>1100</v>
      </c>
      <c r="B681" s="119">
        <v>6</v>
      </c>
      <c r="C681" s="90" t="s">
        <v>1059</v>
      </c>
      <c r="D681" s="90" t="s">
        <v>87</v>
      </c>
      <c r="E681">
        <v>1353</v>
      </c>
      <c r="F681">
        <v>1354</v>
      </c>
      <c r="G681" s="93" t="s">
        <v>78</v>
      </c>
      <c r="H681" t="s">
        <v>129</v>
      </c>
      <c r="I681">
        <v>0</v>
      </c>
      <c r="J681">
        <v>270.62269196</v>
      </c>
      <c r="K681">
        <f t="shared" si="22"/>
        <v>0</v>
      </c>
      <c r="L681">
        <v>55</v>
      </c>
      <c r="M681">
        <f t="shared" si="23"/>
        <v>0</v>
      </c>
      <c r="N681" s="90">
        <v>681</v>
      </c>
      <c r="O681" s="90" t="s">
        <v>1101</v>
      </c>
      <c r="P681" s="118" t="s">
        <v>843</v>
      </c>
      <c r="Q681" s="118" t="s">
        <v>125</v>
      </c>
    </row>
    <row r="682" spans="1:21" x14ac:dyDescent="0.25">
      <c r="A682" s="90" t="s">
        <v>1102</v>
      </c>
      <c r="B682" s="119">
        <v>6</v>
      </c>
      <c r="C682" s="90" t="s">
        <v>1059</v>
      </c>
      <c r="D682" s="90" t="s">
        <v>101</v>
      </c>
      <c r="E682">
        <v>1355</v>
      </c>
      <c r="F682">
        <v>1356</v>
      </c>
      <c r="G682" s="93" t="s">
        <v>78</v>
      </c>
      <c r="H682" t="s">
        <v>135</v>
      </c>
      <c r="I682">
        <v>0</v>
      </c>
      <c r="J682">
        <v>119.07551254000001</v>
      </c>
      <c r="K682">
        <f t="shared" si="22"/>
        <v>0</v>
      </c>
      <c r="L682">
        <v>55</v>
      </c>
      <c r="M682">
        <f t="shared" si="23"/>
        <v>0</v>
      </c>
      <c r="N682" s="90">
        <v>682</v>
      </c>
      <c r="O682" s="90" t="s">
        <v>1103</v>
      </c>
      <c r="P682" s="118" t="s">
        <v>2540</v>
      </c>
      <c r="Q682" s="118" t="s">
        <v>125</v>
      </c>
    </row>
    <row r="683" spans="1:21" x14ac:dyDescent="0.25">
      <c r="A683" s="90" t="s">
        <v>1104</v>
      </c>
      <c r="B683" s="119">
        <v>6</v>
      </c>
      <c r="C683" s="90" t="s">
        <v>1059</v>
      </c>
      <c r="D683" s="90" t="s">
        <v>88</v>
      </c>
      <c r="E683">
        <v>1357</v>
      </c>
      <c r="F683">
        <v>1358</v>
      </c>
      <c r="G683" s="93" t="s">
        <v>78</v>
      </c>
      <c r="H683" t="s">
        <v>136</v>
      </c>
      <c r="I683">
        <v>0</v>
      </c>
      <c r="J683">
        <v>56.526168339999998</v>
      </c>
      <c r="K683">
        <f t="shared" si="22"/>
        <v>0</v>
      </c>
      <c r="L683">
        <v>55</v>
      </c>
      <c r="M683">
        <f t="shared" si="23"/>
        <v>0</v>
      </c>
      <c r="N683" s="90">
        <v>683</v>
      </c>
      <c r="O683" s="90" t="s">
        <v>1105</v>
      </c>
      <c r="P683" s="118" t="s">
        <v>845</v>
      </c>
      <c r="Q683" s="118" t="s">
        <v>125</v>
      </c>
    </row>
    <row r="684" spans="1:21" x14ac:dyDescent="0.25">
      <c r="A684" s="90" t="s">
        <v>1106</v>
      </c>
      <c r="B684" s="119">
        <v>6</v>
      </c>
      <c r="C684" s="90" t="s">
        <v>1059</v>
      </c>
      <c r="D684" s="90" t="s">
        <v>89</v>
      </c>
      <c r="E684">
        <v>1359</v>
      </c>
      <c r="F684">
        <v>1360</v>
      </c>
      <c r="G684" s="93" t="s">
        <v>78</v>
      </c>
      <c r="H684" t="s">
        <v>130</v>
      </c>
      <c r="I684">
        <v>1</v>
      </c>
      <c r="J684">
        <v>212.88679486000001</v>
      </c>
      <c r="K684">
        <f t="shared" si="22"/>
        <v>212.88679486000001</v>
      </c>
      <c r="L684">
        <v>55</v>
      </c>
      <c r="M684">
        <f t="shared" si="23"/>
        <v>95.799057687000001</v>
      </c>
      <c r="N684" s="90">
        <v>684</v>
      </c>
      <c r="O684" s="90" t="s">
        <v>1107</v>
      </c>
      <c r="P684" s="118" t="s">
        <v>847</v>
      </c>
      <c r="Q684" s="118" t="s">
        <v>125</v>
      </c>
    </row>
    <row r="685" spans="1:21" x14ac:dyDescent="0.25">
      <c r="A685" s="90" t="s">
        <v>1108</v>
      </c>
      <c r="B685" s="119">
        <v>6</v>
      </c>
      <c r="C685" s="90" t="s">
        <v>1059</v>
      </c>
      <c r="D685" s="90" t="s">
        <v>102</v>
      </c>
      <c r="E685">
        <v>1361</v>
      </c>
      <c r="F685">
        <v>1362</v>
      </c>
      <c r="G685" s="93" t="s">
        <v>78</v>
      </c>
      <c r="H685" t="s">
        <v>131</v>
      </c>
      <c r="I685">
        <v>0</v>
      </c>
      <c r="J685">
        <v>206.87635298999999</v>
      </c>
      <c r="K685">
        <f t="shared" si="22"/>
        <v>0</v>
      </c>
      <c r="L685">
        <v>55</v>
      </c>
      <c r="M685">
        <f t="shared" si="23"/>
        <v>0</v>
      </c>
      <c r="N685" s="90">
        <v>685</v>
      </c>
      <c r="O685" s="90" t="s">
        <v>1109</v>
      </c>
      <c r="P685" s="118" t="s">
        <v>2541</v>
      </c>
      <c r="Q685" s="118" t="s">
        <v>125</v>
      </c>
    </row>
    <row r="686" spans="1:21" x14ac:dyDescent="0.25">
      <c r="A686" s="90" t="s">
        <v>1110</v>
      </c>
      <c r="B686" s="119">
        <v>6</v>
      </c>
      <c r="C686" s="90" t="s">
        <v>1059</v>
      </c>
      <c r="D686" s="90" t="s">
        <v>90</v>
      </c>
      <c r="E686">
        <v>1363</v>
      </c>
      <c r="F686">
        <v>1364</v>
      </c>
      <c r="G686" s="93" t="s">
        <v>78</v>
      </c>
      <c r="H686" t="s">
        <v>299</v>
      </c>
      <c r="I686">
        <v>1</v>
      </c>
      <c r="J686">
        <v>5160.0152807799996</v>
      </c>
      <c r="K686">
        <f t="shared" si="22"/>
        <v>5160.0152807799996</v>
      </c>
      <c r="L686">
        <v>55</v>
      </c>
      <c r="M686">
        <f t="shared" si="23"/>
        <v>2322.0068763509994</v>
      </c>
      <c r="N686" s="90">
        <v>686</v>
      </c>
      <c r="O686" s="90" t="s">
        <v>1111</v>
      </c>
      <c r="P686" s="118" t="s">
        <v>849</v>
      </c>
      <c r="Q686" s="118" t="s">
        <v>125</v>
      </c>
    </row>
    <row r="687" spans="1:21" x14ac:dyDescent="0.25">
      <c r="A687" s="90" t="s">
        <v>1112</v>
      </c>
      <c r="B687" s="119">
        <v>6</v>
      </c>
      <c r="C687" s="90" t="s">
        <v>1059</v>
      </c>
      <c r="D687" s="90" t="s">
        <v>91</v>
      </c>
      <c r="E687">
        <v>1365</v>
      </c>
      <c r="F687">
        <v>1366</v>
      </c>
      <c r="G687" s="93" t="s">
        <v>78</v>
      </c>
      <c r="H687" t="s">
        <v>137</v>
      </c>
      <c r="I687">
        <v>1</v>
      </c>
      <c r="J687">
        <v>1142.63338851</v>
      </c>
      <c r="K687">
        <f t="shared" si="22"/>
        <v>1142.63338851</v>
      </c>
      <c r="L687">
        <v>55</v>
      </c>
      <c r="M687">
        <f t="shared" si="23"/>
        <v>514.18502482949998</v>
      </c>
      <c r="N687" s="90">
        <v>687</v>
      </c>
      <c r="O687" s="90" t="s">
        <v>1113</v>
      </c>
      <c r="P687" s="118" t="s">
        <v>851</v>
      </c>
      <c r="Q687" s="118" t="s">
        <v>125</v>
      </c>
    </row>
    <row r="688" spans="1:21" x14ac:dyDescent="0.25">
      <c r="A688" s="90" t="s">
        <v>1114</v>
      </c>
      <c r="B688" s="119">
        <v>4</v>
      </c>
      <c r="C688" s="90" t="s">
        <v>812</v>
      </c>
      <c r="D688" s="90" t="s">
        <v>103</v>
      </c>
      <c r="E688">
        <v>1369</v>
      </c>
      <c r="F688">
        <v>1414</v>
      </c>
      <c r="G688" s="93" t="s">
        <v>68</v>
      </c>
      <c r="H688" t="s">
        <v>1115</v>
      </c>
      <c r="I688">
        <v>1</v>
      </c>
      <c r="J688">
        <f>SUM(K689,K691,K693)</f>
        <v>69208.544505330006</v>
      </c>
      <c r="K688">
        <f t="shared" si="22"/>
        <v>69208.544505330006</v>
      </c>
      <c r="L688">
        <f>100*(1-(M688/K688))</f>
        <v>55.000000000000007</v>
      </c>
      <c r="M688">
        <f>I688*SUM(M689,M691,M693)</f>
        <v>31143.845027398496</v>
      </c>
      <c r="N688" s="90">
        <v>688</v>
      </c>
      <c r="O688" s="90" t="s">
        <v>1116</v>
      </c>
      <c r="P688" s="118" t="s">
        <v>2542</v>
      </c>
      <c r="Q688" s="118" t="s">
        <v>125</v>
      </c>
      <c r="R688" s="90" t="s">
        <v>2288</v>
      </c>
      <c r="S688" s="90" t="s">
        <v>2392</v>
      </c>
      <c r="T688" s="90" t="s">
        <v>2444</v>
      </c>
      <c r="U688" s="90" t="s">
        <v>2340</v>
      </c>
    </row>
    <row r="689" spans="1:21" x14ac:dyDescent="0.25">
      <c r="A689" s="90" t="s">
        <v>1117</v>
      </c>
      <c r="B689" s="119">
        <v>5</v>
      </c>
      <c r="C689" s="90" t="s">
        <v>1114</v>
      </c>
      <c r="D689" s="90" t="s">
        <v>78</v>
      </c>
      <c r="E689">
        <v>1370</v>
      </c>
      <c r="F689">
        <v>1373</v>
      </c>
      <c r="G689" s="93" t="s">
        <v>68</v>
      </c>
      <c r="H689" t="s">
        <v>856</v>
      </c>
      <c r="I689">
        <v>13</v>
      </c>
      <c r="J689">
        <f>SUM(K690)</f>
        <v>214.52947918000001</v>
      </c>
      <c r="K689">
        <f t="shared" si="22"/>
        <v>2788.8832293400001</v>
      </c>
      <c r="L689">
        <f>100*(1-(M689/K689))</f>
        <v>55.000000000000007</v>
      </c>
      <c r="M689">
        <f>I689*SUM(M690)</f>
        <v>1254.9974532030001</v>
      </c>
      <c r="N689" s="90">
        <v>689</v>
      </c>
      <c r="O689" s="90" t="s">
        <v>1118</v>
      </c>
      <c r="P689" s="118" t="s">
        <v>854</v>
      </c>
      <c r="Q689" s="118" t="s">
        <v>125</v>
      </c>
      <c r="R689" s="90" t="s">
        <v>1877</v>
      </c>
      <c r="S689" s="90" t="s">
        <v>2111</v>
      </c>
      <c r="T689" s="90" t="s">
        <v>2228</v>
      </c>
      <c r="U689" s="90" t="s">
        <v>1994</v>
      </c>
    </row>
    <row r="690" spans="1:21" x14ac:dyDescent="0.25">
      <c r="A690" s="90" t="s">
        <v>1119</v>
      </c>
      <c r="B690" s="119">
        <v>6</v>
      </c>
      <c r="C690" s="90" t="s">
        <v>1117</v>
      </c>
      <c r="D690" s="90" t="s">
        <v>78</v>
      </c>
      <c r="E690">
        <v>1371</v>
      </c>
      <c r="F690">
        <v>1372</v>
      </c>
      <c r="G690" s="93" t="s">
        <v>78</v>
      </c>
      <c r="H690" t="s">
        <v>203</v>
      </c>
      <c r="I690">
        <v>1</v>
      </c>
      <c r="J690">
        <v>214.52947918000001</v>
      </c>
      <c r="K690">
        <f t="shared" si="22"/>
        <v>214.52947918000001</v>
      </c>
      <c r="L690">
        <v>55</v>
      </c>
      <c r="M690">
        <f>(1-(L690/100))*K690</f>
        <v>96.538265631000002</v>
      </c>
      <c r="N690" s="90">
        <v>690</v>
      </c>
      <c r="O690" s="90" t="s">
        <v>1120</v>
      </c>
      <c r="P690" s="118" t="s">
        <v>857</v>
      </c>
      <c r="Q690" s="118" t="s">
        <v>125</v>
      </c>
    </row>
    <row r="691" spans="1:21" x14ac:dyDescent="0.25">
      <c r="A691" s="90" t="s">
        <v>1121</v>
      </c>
      <c r="B691" s="119">
        <v>5</v>
      </c>
      <c r="C691" s="90" t="s">
        <v>1114</v>
      </c>
      <c r="D691" s="90" t="s">
        <v>79</v>
      </c>
      <c r="E691">
        <v>1374</v>
      </c>
      <c r="F691">
        <v>1377</v>
      </c>
      <c r="G691" s="93" t="s">
        <v>68</v>
      </c>
      <c r="H691" t="s">
        <v>861</v>
      </c>
      <c r="I691">
        <v>32</v>
      </c>
      <c r="J691">
        <f>SUM(K692)</f>
        <v>214.52947918000001</v>
      </c>
      <c r="K691">
        <f t="shared" si="22"/>
        <v>6864.9433337600003</v>
      </c>
      <c r="L691">
        <f>100*(1-(M691/K691))</f>
        <v>55.000000000000007</v>
      </c>
      <c r="M691">
        <f>I691*SUM(M692)</f>
        <v>3089.2245001920001</v>
      </c>
      <c r="N691" s="90">
        <v>691</v>
      </c>
      <c r="O691" s="90" t="s">
        <v>1122</v>
      </c>
      <c r="P691" s="118" t="s">
        <v>859</v>
      </c>
      <c r="Q691" s="118" t="s">
        <v>125</v>
      </c>
      <c r="R691" s="90" t="s">
        <v>1878</v>
      </c>
      <c r="S691" s="90" t="s">
        <v>2112</v>
      </c>
      <c r="T691" s="90" t="s">
        <v>2229</v>
      </c>
      <c r="U691" s="90" t="s">
        <v>1995</v>
      </c>
    </row>
    <row r="692" spans="1:21" x14ac:dyDescent="0.25">
      <c r="A692" s="90" t="s">
        <v>1123</v>
      </c>
      <c r="B692" s="119">
        <v>6</v>
      </c>
      <c r="C692" s="90" t="s">
        <v>1121</v>
      </c>
      <c r="D692" s="90" t="s">
        <v>78</v>
      </c>
      <c r="E692">
        <v>1375</v>
      </c>
      <c r="F692">
        <v>1376</v>
      </c>
      <c r="G692" s="93" t="s">
        <v>78</v>
      </c>
      <c r="H692" t="s">
        <v>205</v>
      </c>
      <c r="I692">
        <v>1</v>
      </c>
      <c r="J692">
        <v>214.52947918000001</v>
      </c>
      <c r="K692">
        <f t="shared" si="22"/>
        <v>214.52947918000001</v>
      </c>
      <c r="L692">
        <v>55</v>
      </c>
      <c r="M692">
        <f>(1-(L692/100))*K692</f>
        <v>96.538265631000002</v>
      </c>
      <c r="N692" s="90">
        <v>692</v>
      </c>
      <c r="O692" s="90" t="s">
        <v>1124</v>
      </c>
      <c r="P692" s="118" t="s">
        <v>2543</v>
      </c>
      <c r="Q692" s="118" t="s">
        <v>125</v>
      </c>
    </row>
    <row r="693" spans="1:21" x14ac:dyDescent="0.25">
      <c r="A693" s="90" t="s">
        <v>1125</v>
      </c>
      <c r="B693" s="119">
        <v>5</v>
      </c>
      <c r="C693" s="90" t="s">
        <v>1114</v>
      </c>
      <c r="D693" s="90" t="s">
        <v>80</v>
      </c>
      <c r="E693">
        <v>1378</v>
      </c>
      <c r="F693">
        <v>1413</v>
      </c>
      <c r="G693" s="93" t="s">
        <v>68</v>
      </c>
      <c r="H693" t="s">
        <v>1126</v>
      </c>
      <c r="I693">
        <v>3</v>
      </c>
      <c r="J693">
        <f>SUM(K694,K695,K696,K697,K698,K699,K700,K701,K702,K703,K704,K705,K706,K707,K708,K709,K710)</f>
        <v>19851.572647410005</v>
      </c>
      <c r="K693">
        <f t="shared" si="22"/>
        <v>59554.717942230011</v>
      </c>
      <c r="L693">
        <f>100*(1-(M693/K693))</f>
        <v>55.000000000000014</v>
      </c>
      <c r="M693">
        <f>I693*SUM(M694,M695,M696,M697,M698,M699,M700,M701,M702,M703,M704,M705,M706,M707,M708,M709,M710)</f>
        <v>26799.623074003495</v>
      </c>
      <c r="N693" s="90">
        <v>693</v>
      </c>
      <c r="O693" s="90" t="s">
        <v>1127</v>
      </c>
      <c r="P693" s="118" t="s">
        <v>862</v>
      </c>
      <c r="Q693" s="118" t="s">
        <v>125</v>
      </c>
      <c r="R693" s="90" t="s">
        <v>1879</v>
      </c>
      <c r="S693" s="90" t="s">
        <v>2113</v>
      </c>
      <c r="T693" s="90" t="s">
        <v>2230</v>
      </c>
      <c r="U693" s="90" t="s">
        <v>1996</v>
      </c>
    </row>
    <row r="694" spans="1:21" x14ac:dyDescent="0.25">
      <c r="A694" s="90" t="s">
        <v>1128</v>
      </c>
      <c r="B694" s="119">
        <v>6</v>
      </c>
      <c r="C694" s="90" t="s">
        <v>1125</v>
      </c>
      <c r="D694" s="90" t="s">
        <v>78</v>
      </c>
      <c r="E694">
        <v>1379</v>
      </c>
      <c r="F694">
        <v>1380</v>
      </c>
      <c r="G694" s="93" t="s">
        <v>78</v>
      </c>
      <c r="H694" t="s">
        <v>197</v>
      </c>
      <c r="I694">
        <v>0</v>
      </c>
      <c r="J694">
        <v>10880.466063919999</v>
      </c>
      <c r="K694">
        <f t="shared" si="22"/>
        <v>0</v>
      </c>
      <c r="L694">
        <v>55</v>
      </c>
      <c r="M694">
        <f t="shared" ref="M694:M710" si="24">(1-(L694/100))*K694</f>
        <v>0</v>
      </c>
      <c r="N694" s="90">
        <v>694</v>
      </c>
      <c r="O694" s="90" t="s">
        <v>1129</v>
      </c>
      <c r="P694" s="118" t="s">
        <v>864</v>
      </c>
      <c r="Q694" s="118" t="s">
        <v>125</v>
      </c>
    </row>
    <row r="695" spans="1:21" x14ac:dyDescent="0.25">
      <c r="A695" s="90" t="s">
        <v>1130</v>
      </c>
      <c r="B695" s="119">
        <v>6</v>
      </c>
      <c r="C695" s="90" t="s">
        <v>1125</v>
      </c>
      <c r="D695" s="90" t="s">
        <v>79</v>
      </c>
      <c r="E695">
        <v>1381</v>
      </c>
      <c r="F695">
        <v>1382</v>
      </c>
      <c r="G695" s="93" t="s">
        <v>78</v>
      </c>
      <c r="H695" t="s">
        <v>140</v>
      </c>
      <c r="I695">
        <v>1</v>
      </c>
      <c r="J695">
        <v>2631.3510760200002</v>
      </c>
      <c r="K695">
        <f t="shared" si="22"/>
        <v>2631.3510760200002</v>
      </c>
      <c r="L695">
        <v>55</v>
      </c>
      <c r="M695">
        <f t="shared" si="24"/>
        <v>1184.1079842090001</v>
      </c>
      <c r="N695" s="90">
        <v>695</v>
      </c>
      <c r="O695" s="90" t="s">
        <v>1131</v>
      </c>
      <c r="P695" s="118" t="s">
        <v>2544</v>
      </c>
      <c r="Q695" s="118" t="s">
        <v>125</v>
      </c>
    </row>
    <row r="696" spans="1:21" x14ac:dyDescent="0.25">
      <c r="A696" s="90" t="s">
        <v>1132</v>
      </c>
      <c r="B696" s="119">
        <v>6</v>
      </c>
      <c r="C696" s="90" t="s">
        <v>1125</v>
      </c>
      <c r="D696" s="90" t="s">
        <v>80</v>
      </c>
      <c r="E696">
        <v>1383</v>
      </c>
      <c r="F696">
        <v>1384</v>
      </c>
      <c r="G696" s="93" t="s">
        <v>78</v>
      </c>
      <c r="H696" t="s">
        <v>127</v>
      </c>
      <c r="I696">
        <v>1</v>
      </c>
      <c r="J696">
        <v>491.93938622000002</v>
      </c>
      <c r="K696">
        <f t="shared" si="22"/>
        <v>491.93938622000002</v>
      </c>
      <c r="L696">
        <v>55</v>
      </c>
      <c r="M696">
        <f t="shared" si="24"/>
        <v>221.372723799</v>
      </c>
      <c r="N696" s="90">
        <v>696</v>
      </c>
      <c r="O696" s="90" t="s">
        <v>1133</v>
      </c>
      <c r="P696" s="118" t="s">
        <v>867</v>
      </c>
      <c r="Q696" s="118" t="s">
        <v>125</v>
      </c>
    </row>
    <row r="697" spans="1:21" x14ac:dyDescent="0.25">
      <c r="A697" s="90" t="s">
        <v>1134</v>
      </c>
      <c r="B697" s="119">
        <v>6</v>
      </c>
      <c r="C697" s="90" t="s">
        <v>1125</v>
      </c>
      <c r="D697" s="90" t="s">
        <v>95</v>
      </c>
      <c r="E697">
        <v>1385</v>
      </c>
      <c r="F697">
        <v>1386</v>
      </c>
      <c r="G697" s="93" t="s">
        <v>78</v>
      </c>
      <c r="H697" t="s">
        <v>138</v>
      </c>
      <c r="I697">
        <v>0</v>
      </c>
      <c r="J697">
        <v>36.08811919</v>
      </c>
      <c r="K697">
        <f t="shared" si="22"/>
        <v>0</v>
      </c>
      <c r="L697">
        <v>55</v>
      </c>
      <c r="M697">
        <f t="shared" si="24"/>
        <v>0</v>
      </c>
      <c r="N697" s="90">
        <v>697</v>
      </c>
      <c r="O697" s="90" t="s">
        <v>1135</v>
      </c>
      <c r="P697" s="118" t="s">
        <v>869</v>
      </c>
      <c r="Q697" s="118" t="s">
        <v>125</v>
      </c>
    </row>
    <row r="698" spans="1:21" x14ac:dyDescent="0.25">
      <c r="A698" s="90" t="s">
        <v>1136</v>
      </c>
      <c r="B698" s="119">
        <v>6</v>
      </c>
      <c r="C698" s="90" t="s">
        <v>1125</v>
      </c>
      <c r="D698" s="90" t="s">
        <v>96</v>
      </c>
      <c r="E698">
        <v>1387</v>
      </c>
      <c r="F698">
        <v>1388</v>
      </c>
      <c r="G698" s="93" t="s">
        <v>78</v>
      </c>
      <c r="H698" t="s">
        <v>871</v>
      </c>
      <c r="I698">
        <v>1</v>
      </c>
      <c r="J698">
        <v>537.64166561000002</v>
      </c>
      <c r="K698">
        <f t="shared" si="22"/>
        <v>537.64166561000002</v>
      </c>
      <c r="L698">
        <v>55</v>
      </c>
      <c r="M698">
        <f t="shared" si="24"/>
        <v>241.9387495245</v>
      </c>
      <c r="N698" s="90">
        <v>698</v>
      </c>
      <c r="O698" s="90" t="s">
        <v>1137</v>
      </c>
      <c r="P698" s="118" t="s">
        <v>872</v>
      </c>
      <c r="Q698" s="118" t="s">
        <v>125</v>
      </c>
    </row>
    <row r="699" spans="1:21" x14ac:dyDescent="0.25">
      <c r="A699" s="90" t="s">
        <v>1138</v>
      </c>
      <c r="B699" s="119">
        <v>6</v>
      </c>
      <c r="C699" s="90" t="s">
        <v>1125</v>
      </c>
      <c r="D699" s="90" t="s">
        <v>103</v>
      </c>
      <c r="E699">
        <v>1389</v>
      </c>
      <c r="F699">
        <v>1390</v>
      </c>
      <c r="G699" s="93" t="s">
        <v>78</v>
      </c>
      <c r="H699" t="s">
        <v>123</v>
      </c>
      <c r="I699">
        <v>2</v>
      </c>
      <c r="J699">
        <v>313.76543995999998</v>
      </c>
      <c r="K699">
        <f t="shared" si="22"/>
        <v>627.53087991999996</v>
      </c>
      <c r="L699">
        <v>55</v>
      </c>
      <c r="M699">
        <f t="shared" si="24"/>
        <v>282.38889596399997</v>
      </c>
      <c r="N699" s="90">
        <v>699</v>
      </c>
      <c r="O699" s="90" t="s">
        <v>1139</v>
      </c>
      <c r="P699" s="118" t="s">
        <v>874</v>
      </c>
      <c r="Q699" s="118" t="s">
        <v>125</v>
      </c>
    </row>
    <row r="700" spans="1:21" x14ac:dyDescent="0.25">
      <c r="A700" s="90" t="s">
        <v>1140</v>
      </c>
      <c r="B700" s="119">
        <v>6</v>
      </c>
      <c r="C700" s="90" t="s">
        <v>1125</v>
      </c>
      <c r="D700" s="90" t="s">
        <v>1769</v>
      </c>
      <c r="E700">
        <v>1391</v>
      </c>
      <c r="F700">
        <v>1392</v>
      </c>
      <c r="G700" s="93" t="s">
        <v>78</v>
      </c>
      <c r="H700" t="s">
        <v>120</v>
      </c>
      <c r="I700">
        <v>1</v>
      </c>
      <c r="J700">
        <v>1231.376544</v>
      </c>
      <c r="K700">
        <f t="shared" si="22"/>
        <v>1231.376544</v>
      </c>
      <c r="L700">
        <v>55</v>
      </c>
      <c r="M700">
        <f t="shared" si="24"/>
        <v>554.11944479999988</v>
      </c>
      <c r="N700" s="90">
        <v>700</v>
      </c>
      <c r="O700" s="90" t="s">
        <v>1141</v>
      </c>
      <c r="P700" s="118" t="s">
        <v>876</v>
      </c>
      <c r="Q700" s="118" t="s">
        <v>125</v>
      </c>
    </row>
    <row r="701" spans="1:21" x14ac:dyDescent="0.25">
      <c r="A701" s="90" t="s">
        <v>1142</v>
      </c>
      <c r="B701" s="119">
        <v>6</v>
      </c>
      <c r="C701" s="90" t="s">
        <v>1125</v>
      </c>
      <c r="D701" s="90" t="s">
        <v>1770</v>
      </c>
      <c r="E701">
        <v>1393</v>
      </c>
      <c r="F701">
        <v>1394</v>
      </c>
      <c r="G701" s="93" t="s">
        <v>78</v>
      </c>
      <c r="H701" t="s">
        <v>126</v>
      </c>
      <c r="I701">
        <v>1</v>
      </c>
      <c r="J701">
        <v>967.93582071000003</v>
      </c>
      <c r="K701">
        <f t="shared" si="22"/>
        <v>967.93582071000003</v>
      </c>
      <c r="L701">
        <v>55</v>
      </c>
      <c r="M701">
        <f t="shared" si="24"/>
        <v>435.57111931949999</v>
      </c>
      <c r="N701" s="90">
        <v>701</v>
      </c>
      <c r="O701" s="90" t="s">
        <v>1143</v>
      </c>
      <c r="P701" s="118" t="s">
        <v>878</v>
      </c>
      <c r="Q701" s="118" t="s">
        <v>125</v>
      </c>
    </row>
    <row r="702" spans="1:21" x14ac:dyDescent="0.25">
      <c r="A702" s="90" t="s">
        <v>1144</v>
      </c>
      <c r="B702" s="119">
        <v>6</v>
      </c>
      <c r="C702" s="90" t="s">
        <v>1125</v>
      </c>
      <c r="D702" s="90" t="s">
        <v>1771</v>
      </c>
      <c r="E702">
        <v>1395</v>
      </c>
      <c r="F702">
        <v>1396</v>
      </c>
      <c r="G702" s="93" t="s">
        <v>78</v>
      </c>
      <c r="H702" t="s">
        <v>199</v>
      </c>
      <c r="I702">
        <v>2</v>
      </c>
      <c r="J702">
        <v>862.86769387000004</v>
      </c>
      <c r="K702">
        <f t="shared" si="22"/>
        <v>1725.7353877400001</v>
      </c>
      <c r="L702">
        <v>55</v>
      </c>
      <c r="M702">
        <f t="shared" si="24"/>
        <v>776.58092448299999</v>
      </c>
      <c r="N702" s="90">
        <v>702</v>
      </c>
      <c r="O702" s="90" t="s">
        <v>1145</v>
      </c>
      <c r="P702" s="118" t="s">
        <v>880</v>
      </c>
      <c r="Q702" s="118" t="s">
        <v>125</v>
      </c>
    </row>
    <row r="703" spans="1:21" x14ac:dyDescent="0.25">
      <c r="A703" s="90" t="s">
        <v>1146</v>
      </c>
      <c r="B703" s="119">
        <v>6</v>
      </c>
      <c r="C703" s="90" t="s">
        <v>1125</v>
      </c>
      <c r="D703" s="90" t="s">
        <v>1772</v>
      </c>
      <c r="E703">
        <v>1397</v>
      </c>
      <c r="F703">
        <v>1398</v>
      </c>
      <c r="G703" s="93" t="s">
        <v>78</v>
      </c>
      <c r="H703" t="s">
        <v>224</v>
      </c>
      <c r="I703">
        <v>1</v>
      </c>
      <c r="J703">
        <v>2064.00101872</v>
      </c>
      <c r="K703">
        <f t="shared" si="22"/>
        <v>2064.00101872</v>
      </c>
      <c r="L703">
        <v>55</v>
      </c>
      <c r="M703">
        <f t="shared" si="24"/>
        <v>928.80045842399988</v>
      </c>
      <c r="N703" s="90">
        <v>703</v>
      </c>
      <c r="O703" s="90" t="s">
        <v>1147</v>
      </c>
      <c r="P703" s="118" t="s">
        <v>882</v>
      </c>
      <c r="Q703" s="118" t="s">
        <v>125</v>
      </c>
    </row>
    <row r="704" spans="1:21" x14ac:dyDescent="0.25">
      <c r="A704" s="90" t="s">
        <v>1148</v>
      </c>
      <c r="B704" s="119">
        <v>6</v>
      </c>
      <c r="C704" s="90" t="s">
        <v>1125</v>
      </c>
      <c r="D704" s="90" t="s">
        <v>97</v>
      </c>
      <c r="E704">
        <v>1399</v>
      </c>
      <c r="F704">
        <v>1400</v>
      </c>
      <c r="G704" s="93" t="s">
        <v>78</v>
      </c>
      <c r="H704" t="s">
        <v>201</v>
      </c>
      <c r="I704">
        <v>1</v>
      </c>
      <c r="J704">
        <v>7211.7152680500003</v>
      </c>
      <c r="K704">
        <f t="shared" si="22"/>
        <v>7211.7152680500003</v>
      </c>
      <c r="L704">
        <v>55</v>
      </c>
      <c r="M704">
        <f t="shared" si="24"/>
        <v>3245.2718706224996</v>
      </c>
      <c r="N704" s="90">
        <v>704</v>
      </c>
      <c r="O704" s="90" t="s">
        <v>1149</v>
      </c>
      <c r="P704" s="118" t="s">
        <v>884</v>
      </c>
      <c r="Q704" s="118" t="s">
        <v>125</v>
      </c>
    </row>
    <row r="705" spans="1:21" x14ac:dyDescent="0.25">
      <c r="A705" s="90" t="s">
        <v>1150</v>
      </c>
      <c r="B705" s="119">
        <v>6</v>
      </c>
      <c r="C705" s="90" t="s">
        <v>1125</v>
      </c>
      <c r="D705" s="90" t="s">
        <v>98</v>
      </c>
      <c r="E705">
        <v>1401</v>
      </c>
      <c r="F705">
        <v>1402</v>
      </c>
      <c r="G705" s="93" t="s">
        <v>78</v>
      </c>
      <c r="H705" t="s">
        <v>203</v>
      </c>
      <c r="I705">
        <v>0</v>
      </c>
      <c r="J705">
        <v>214.52947918000001</v>
      </c>
      <c r="K705">
        <f t="shared" si="22"/>
        <v>0</v>
      </c>
      <c r="L705">
        <v>55</v>
      </c>
      <c r="M705">
        <f t="shared" si="24"/>
        <v>0</v>
      </c>
      <c r="N705" s="90">
        <v>705</v>
      </c>
      <c r="O705" s="90" t="s">
        <v>1151</v>
      </c>
      <c r="P705" s="118" t="s">
        <v>886</v>
      </c>
      <c r="Q705" s="118" t="s">
        <v>125</v>
      </c>
    </row>
    <row r="706" spans="1:21" x14ac:dyDescent="0.25">
      <c r="A706" s="90" t="s">
        <v>1152</v>
      </c>
      <c r="B706" s="119">
        <v>6</v>
      </c>
      <c r="C706" s="90" t="s">
        <v>1125</v>
      </c>
      <c r="D706" s="90" t="s">
        <v>99</v>
      </c>
      <c r="E706">
        <v>1403</v>
      </c>
      <c r="F706">
        <v>1404</v>
      </c>
      <c r="G706" s="93" t="s">
        <v>78</v>
      </c>
      <c r="H706" t="s">
        <v>205</v>
      </c>
      <c r="I706">
        <v>0</v>
      </c>
      <c r="J706">
        <v>214.52947918000001</v>
      </c>
      <c r="K706">
        <f t="shared" si="22"/>
        <v>0</v>
      </c>
      <c r="L706">
        <v>55</v>
      </c>
      <c r="M706">
        <f t="shared" si="24"/>
        <v>0</v>
      </c>
      <c r="N706" s="90">
        <v>706</v>
      </c>
      <c r="O706" s="90" t="s">
        <v>1153</v>
      </c>
      <c r="P706" s="118" t="s">
        <v>888</v>
      </c>
      <c r="Q706" s="118" t="s">
        <v>125</v>
      </c>
    </row>
    <row r="707" spans="1:21" x14ac:dyDescent="0.25">
      <c r="A707" s="90" t="s">
        <v>1154</v>
      </c>
      <c r="B707" s="119">
        <v>6</v>
      </c>
      <c r="C707" s="90" t="s">
        <v>1125</v>
      </c>
      <c r="D707" s="90" t="s">
        <v>100</v>
      </c>
      <c r="E707">
        <v>1405</v>
      </c>
      <c r="F707">
        <v>1406</v>
      </c>
      <c r="G707" s="93" t="s">
        <v>78</v>
      </c>
      <c r="H707" t="s">
        <v>194</v>
      </c>
      <c r="I707">
        <v>3</v>
      </c>
      <c r="J707">
        <v>256.72991214000001</v>
      </c>
      <c r="K707">
        <f t="shared" ref="K707:K770" si="25">I707*J707</f>
        <v>770.18973642000003</v>
      </c>
      <c r="L707">
        <v>55</v>
      </c>
      <c r="M707">
        <f t="shared" si="24"/>
        <v>346.58538138899996</v>
      </c>
      <c r="N707" s="90">
        <v>707</v>
      </c>
      <c r="O707" s="90" t="s">
        <v>1155</v>
      </c>
      <c r="P707" s="118" t="s">
        <v>890</v>
      </c>
      <c r="Q707" s="118" t="s">
        <v>125</v>
      </c>
    </row>
    <row r="708" spans="1:21" x14ac:dyDescent="0.25">
      <c r="A708" s="90" t="s">
        <v>1156</v>
      </c>
      <c r="B708" s="119">
        <v>6</v>
      </c>
      <c r="C708" s="90" t="s">
        <v>1125</v>
      </c>
      <c r="D708" s="90" t="s">
        <v>81</v>
      </c>
      <c r="E708">
        <v>1407</v>
      </c>
      <c r="F708">
        <v>1408</v>
      </c>
      <c r="G708" s="93" t="s">
        <v>78</v>
      </c>
      <c r="H708" t="s">
        <v>892</v>
      </c>
      <c r="I708">
        <v>1</v>
      </c>
      <c r="J708">
        <v>997.30039475000001</v>
      </c>
      <c r="K708">
        <f t="shared" si="25"/>
        <v>997.30039475000001</v>
      </c>
      <c r="L708">
        <v>55</v>
      </c>
      <c r="M708">
        <f t="shared" si="24"/>
        <v>448.78517763749994</v>
      </c>
      <c r="N708" s="90">
        <v>708</v>
      </c>
      <c r="O708" s="90" t="s">
        <v>1157</v>
      </c>
      <c r="P708" s="118" t="s">
        <v>893</v>
      </c>
      <c r="Q708" s="118" t="s">
        <v>125</v>
      </c>
    </row>
    <row r="709" spans="1:21" x14ac:dyDescent="0.25">
      <c r="A709" s="90" t="s">
        <v>1158</v>
      </c>
      <c r="B709" s="119">
        <v>6</v>
      </c>
      <c r="C709" s="90" t="s">
        <v>1125</v>
      </c>
      <c r="D709" s="90" t="s">
        <v>83</v>
      </c>
      <c r="E709">
        <v>1409</v>
      </c>
      <c r="F709">
        <v>1410</v>
      </c>
      <c r="G709" s="93" t="s">
        <v>78</v>
      </c>
      <c r="H709" t="s">
        <v>119</v>
      </c>
      <c r="I709">
        <v>1</v>
      </c>
      <c r="J709">
        <v>594.85546925000006</v>
      </c>
      <c r="K709">
        <f t="shared" si="25"/>
        <v>594.85546925000006</v>
      </c>
      <c r="L709">
        <v>55</v>
      </c>
      <c r="M709">
        <f t="shared" si="24"/>
        <v>267.68496116249997</v>
      </c>
      <c r="N709" s="90">
        <v>709</v>
      </c>
      <c r="O709" s="90" t="s">
        <v>1159</v>
      </c>
      <c r="P709" s="118" t="s">
        <v>896</v>
      </c>
      <c r="Q709" s="118" t="s">
        <v>125</v>
      </c>
    </row>
    <row r="710" spans="1:21" x14ac:dyDescent="0.25">
      <c r="A710" s="90" t="s">
        <v>1160</v>
      </c>
      <c r="B710" s="119">
        <v>6</v>
      </c>
      <c r="C710" s="90" t="s">
        <v>1125</v>
      </c>
      <c r="D710" s="90" t="s">
        <v>84</v>
      </c>
      <c r="E710">
        <v>1411</v>
      </c>
      <c r="F710">
        <v>1412</v>
      </c>
      <c r="G710" s="93" t="s">
        <v>78</v>
      </c>
      <c r="H710" t="s">
        <v>139</v>
      </c>
      <c r="I710">
        <v>0</v>
      </c>
      <c r="J710">
        <v>227.32713613000001</v>
      </c>
      <c r="K710">
        <f t="shared" si="25"/>
        <v>0</v>
      </c>
      <c r="L710">
        <v>55</v>
      </c>
      <c r="M710">
        <f t="shared" si="24"/>
        <v>0</v>
      </c>
      <c r="N710" s="90">
        <v>710</v>
      </c>
      <c r="O710" s="90" t="s">
        <v>1161</v>
      </c>
      <c r="P710" s="118" t="s">
        <v>898</v>
      </c>
      <c r="Q710" s="118" t="s">
        <v>125</v>
      </c>
    </row>
    <row r="711" spans="1:21" x14ac:dyDescent="0.25">
      <c r="A711" s="90" t="s">
        <v>1162</v>
      </c>
      <c r="B711" s="119">
        <v>4</v>
      </c>
      <c r="C711" s="90" t="s">
        <v>812</v>
      </c>
      <c r="D711" s="90" t="s">
        <v>1769</v>
      </c>
      <c r="E711">
        <v>1415</v>
      </c>
      <c r="F711">
        <v>1458</v>
      </c>
      <c r="G711" s="93" t="s">
        <v>68</v>
      </c>
      <c r="H711" t="s">
        <v>1163</v>
      </c>
      <c r="I711">
        <v>1</v>
      </c>
      <c r="J711">
        <f>SUM(K712,K714,K716)</f>
        <v>69140.303068940004</v>
      </c>
      <c r="K711">
        <f t="shared" si="25"/>
        <v>69140.303068940004</v>
      </c>
      <c r="L711">
        <f>100*(1-(M711/K711))</f>
        <v>55.000000000000007</v>
      </c>
      <c r="M711">
        <f>I711*SUM(M712,M714,M716)</f>
        <v>31113.136381022996</v>
      </c>
      <c r="N711" s="90">
        <v>711</v>
      </c>
      <c r="O711" s="90" t="s">
        <v>1164</v>
      </c>
      <c r="P711" s="118" t="s">
        <v>900</v>
      </c>
      <c r="Q711" s="118" t="s">
        <v>125</v>
      </c>
      <c r="R711" s="90" t="s">
        <v>2289</v>
      </c>
      <c r="S711" s="90" t="s">
        <v>2393</v>
      </c>
      <c r="T711" s="90" t="s">
        <v>2445</v>
      </c>
      <c r="U711" s="90" t="s">
        <v>2341</v>
      </c>
    </row>
    <row r="712" spans="1:21" x14ac:dyDescent="0.25">
      <c r="A712" s="90" t="s">
        <v>1165</v>
      </c>
      <c r="B712" s="119">
        <v>5</v>
      </c>
      <c r="C712" s="90" t="s">
        <v>1162</v>
      </c>
      <c r="D712" s="90" t="s">
        <v>78</v>
      </c>
      <c r="E712">
        <v>1416</v>
      </c>
      <c r="F712">
        <v>1419</v>
      </c>
      <c r="G712" s="93" t="s">
        <v>68</v>
      </c>
      <c r="H712" t="s">
        <v>856</v>
      </c>
      <c r="I712">
        <v>10</v>
      </c>
      <c r="J712">
        <f>SUM(K713)</f>
        <v>214.52947918000001</v>
      </c>
      <c r="K712">
        <f t="shared" si="25"/>
        <v>2145.2947918</v>
      </c>
      <c r="L712">
        <f>100*(1-(M712/K712))</f>
        <v>55.000000000000007</v>
      </c>
      <c r="M712">
        <f>I712*SUM(M713)</f>
        <v>965.38265631000002</v>
      </c>
      <c r="N712" s="90">
        <v>712</v>
      </c>
      <c r="O712" s="90" t="s">
        <v>1166</v>
      </c>
      <c r="P712" s="118" t="s">
        <v>902</v>
      </c>
      <c r="Q712" s="118" t="s">
        <v>125</v>
      </c>
      <c r="R712" s="90" t="s">
        <v>1880</v>
      </c>
      <c r="S712" s="90" t="s">
        <v>2114</v>
      </c>
      <c r="T712" s="90" t="s">
        <v>2231</v>
      </c>
      <c r="U712" s="90" t="s">
        <v>1997</v>
      </c>
    </row>
    <row r="713" spans="1:21" x14ac:dyDescent="0.25">
      <c r="A713" s="90" t="s">
        <v>1167</v>
      </c>
      <c r="B713" s="119">
        <v>6</v>
      </c>
      <c r="C713" s="90" t="s">
        <v>1165</v>
      </c>
      <c r="D713" s="90" t="s">
        <v>78</v>
      </c>
      <c r="E713">
        <v>1417</v>
      </c>
      <c r="F713">
        <v>1418</v>
      </c>
      <c r="G713" s="93" t="s">
        <v>78</v>
      </c>
      <c r="H713" t="s">
        <v>203</v>
      </c>
      <c r="I713">
        <v>1</v>
      </c>
      <c r="J713">
        <v>214.52947918000001</v>
      </c>
      <c r="K713">
        <f t="shared" si="25"/>
        <v>214.52947918000001</v>
      </c>
      <c r="L713">
        <v>55</v>
      </c>
      <c r="M713">
        <f>(1-(L713/100))*K713</f>
        <v>96.538265631000002</v>
      </c>
      <c r="N713" s="90">
        <v>713</v>
      </c>
      <c r="O713" s="90" t="s">
        <v>1168</v>
      </c>
      <c r="P713" s="118" t="s">
        <v>904</v>
      </c>
      <c r="Q713" s="118" t="s">
        <v>125</v>
      </c>
    </row>
    <row r="714" spans="1:21" x14ac:dyDescent="0.25">
      <c r="A714" s="90" t="s">
        <v>1169</v>
      </c>
      <c r="B714" s="119">
        <v>5</v>
      </c>
      <c r="C714" s="90" t="s">
        <v>1162</v>
      </c>
      <c r="D714" s="90" t="s">
        <v>79</v>
      </c>
      <c r="E714">
        <v>1420</v>
      </c>
      <c r="F714">
        <v>1423</v>
      </c>
      <c r="G714" s="93" t="s">
        <v>68</v>
      </c>
      <c r="H714" t="s">
        <v>861</v>
      </c>
      <c r="I714">
        <v>30</v>
      </c>
      <c r="J714">
        <f>SUM(K715)</f>
        <v>214.52947918000001</v>
      </c>
      <c r="K714">
        <f t="shared" si="25"/>
        <v>6435.8843754</v>
      </c>
      <c r="L714">
        <f>100*(1-(M714/K714))</f>
        <v>55.000000000000007</v>
      </c>
      <c r="M714">
        <f>I714*SUM(M715)</f>
        <v>2896.1479689299999</v>
      </c>
      <c r="N714" s="90">
        <v>714</v>
      </c>
      <c r="O714" s="90" t="s">
        <v>1170</v>
      </c>
      <c r="P714" s="118" t="s">
        <v>906</v>
      </c>
      <c r="Q714" s="118" t="s">
        <v>125</v>
      </c>
      <c r="R714" s="90" t="s">
        <v>1881</v>
      </c>
      <c r="S714" s="90" t="s">
        <v>2115</v>
      </c>
      <c r="T714" s="90" t="s">
        <v>2232</v>
      </c>
      <c r="U714" s="90" t="s">
        <v>1998</v>
      </c>
    </row>
    <row r="715" spans="1:21" x14ac:dyDescent="0.25">
      <c r="A715" s="90" t="s">
        <v>1171</v>
      </c>
      <c r="B715" s="119">
        <v>6</v>
      </c>
      <c r="C715" s="90" t="s">
        <v>1169</v>
      </c>
      <c r="D715" s="90" t="s">
        <v>78</v>
      </c>
      <c r="E715">
        <v>1421</v>
      </c>
      <c r="F715">
        <v>1422</v>
      </c>
      <c r="G715" s="93" t="s">
        <v>78</v>
      </c>
      <c r="H715" t="s">
        <v>205</v>
      </c>
      <c r="I715">
        <v>1</v>
      </c>
      <c r="J715">
        <v>214.52947918000001</v>
      </c>
      <c r="K715">
        <f t="shared" si="25"/>
        <v>214.52947918000001</v>
      </c>
      <c r="L715">
        <v>55</v>
      </c>
      <c r="M715">
        <f>(1-(L715/100))*K715</f>
        <v>96.538265631000002</v>
      </c>
      <c r="N715" s="90">
        <v>715</v>
      </c>
      <c r="O715" s="90" t="s">
        <v>1172</v>
      </c>
      <c r="P715" s="118" t="s">
        <v>909</v>
      </c>
      <c r="Q715" s="118" t="s">
        <v>125</v>
      </c>
    </row>
    <row r="716" spans="1:21" x14ac:dyDescent="0.25">
      <c r="A716" s="90" t="s">
        <v>1173</v>
      </c>
      <c r="B716" s="119">
        <v>5</v>
      </c>
      <c r="C716" s="90" t="s">
        <v>1162</v>
      </c>
      <c r="D716" s="90" t="s">
        <v>80</v>
      </c>
      <c r="E716">
        <v>1424</v>
      </c>
      <c r="F716">
        <v>1457</v>
      </c>
      <c r="G716" s="93" t="s">
        <v>68</v>
      </c>
      <c r="H716" t="s">
        <v>1174</v>
      </c>
      <c r="I716">
        <v>2</v>
      </c>
      <c r="J716">
        <f>SUM(K717,K718,K719,K720,K721,K722,K723,K724,K725,K726,K727,K728,K729,K730,K731,K732)</f>
        <v>30279.56195087</v>
      </c>
      <c r="K716">
        <f t="shared" si="25"/>
        <v>60559.12390174</v>
      </c>
      <c r="L716">
        <f>100*(1-(M716/K716))</f>
        <v>55.000000000000007</v>
      </c>
      <c r="M716">
        <f>I716*SUM(M717,M718,M719,M720,M721,M722,M723,M724,M725,M726,M727,M728,M729,M730,M731,M732)</f>
        <v>27251.605755782995</v>
      </c>
      <c r="N716" s="90">
        <v>716</v>
      </c>
      <c r="O716" s="90" t="s">
        <v>1175</v>
      </c>
      <c r="P716" s="118" t="s">
        <v>911</v>
      </c>
      <c r="Q716" s="118" t="s">
        <v>125</v>
      </c>
      <c r="R716" s="90" t="s">
        <v>1882</v>
      </c>
      <c r="S716" s="90" t="s">
        <v>2116</v>
      </c>
      <c r="T716" s="90" t="s">
        <v>2233</v>
      </c>
      <c r="U716" s="90" t="s">
        <v>1999</v>
      </c>
    </row>
    <row r="717" spans="1:21" x14ac:dyDescent="0.25">
      <c r="A717" s="90" t="s">
        <v>1176</v>
      </c>
      <c r="B717" s="119">
        <v>6</v>
      </c>
      <c r="C717" s="90" t="s">
        <v>1173</v>
      </c>
      <c r="D717" s="90" t="s">
        <v>78</v>
      </c>
      <c r="E717">
        <v>1425</v>
      </c>
      <c r="F717">
        <v>1426</v>
      </c>
      <c r="G717" s="93" t="s">
        <v>78</v>
      </c>
      <c r="H717" t="s">
        <v>197</v>
      </c>
      <c r="I717">
        <v>1</v>
      </c>
      <c r="J717">
        <v>10880.466063919999</v>
      </c>
      <c r="K717">
        <f t="shared" si="25"/>
        <v>10880.466063919999</v>
      </c>
      <c r="L717">
        <v>55</v>
      </c>
      <c r="M717">
        <f t="shared" ref="M717:M732" si="26">(1-(L717/100))*K717</f>
        <v>4896.209728763999</v>
      </c>
      <c r="N717" s="90">
        <v>717</v>
      </c>
      <c r="O717" s="90" t="s">
        <v>1177</v>
      </c>
      <c r="P717" s="118" t="s">
        <v>913</v>
      </c>
      <c r="Q717" s="118" t="s">
        <v>125</v>
      </c>
    </row>
    <row r="718" spans="1:21" x14ac:dyDescent="0.25">
      <c r="A718" s="90" t="s">
        <v>1178</v>
      </c>
      <c r="B718" s="119">
        <v>6</v>
      </c>
      <c r="C718" s="90" t="s">
        <v>1173</v>
      </c>
      <c r="D718" s="90" t="s">
        <v>79</v>
      </c>
      <c r="E718">
        <v>1427</v>
      </c>
      <c r="F718">
        <v>1428</v>
      </c>
      <c r="G718" s="93" t="s">
        <v>78</v>
      </c>
      <c r="H718" t="s">
        <v>140</v>
      </c>
      <c r="I718">
        <v>1</v>
      </c>
      <c r="J718">
        <v>2631.3510760200002</v>
      </c>
      <c r="K718">
        <f t="shared" si="25"/>
        <v>2631.3510760200002</v>
      </c>
      <c r="L718">
        <v>55</v>
      </c>
      <c r="M718">
        <f t="shared" si="26"/>
        <v>1184.1079842090001</v>
      </c>
      <c r="N718" s="90">
        <v>718</v>
      </c>
      <c r="O718" s="90" t="s">
        <v>1179</v>
      </c>
      <c r="P718" s="118" t="s">
        <v>915</v>
      </c>
      <c r="Q718" s="118" t="s">
        <v>125</v>
      </c>
    </row>
    <row r="719" spans="1:21" x14ac:dyDescent="0.25">
      <c r="A719" s="90" t="s">
        <v>1180</v>
      </c>
      <c r="B719" s="119">
        <v>6</v>
      </c>
      <c r="C719" s="90" t="s">
        <v>1173</v>
      </c>
      <c r="D719" s="90" t="s">
        <v>80</v>
      </c>
      <c r="E719">
        <v>1429</v>
      </c>
      <c r="F719">
        <v>1430</v>
      </c>
      <c r="G719" s="93" t="s">
        <v>78</v>
      </c>
      <c r="H719" t="s">
        <v>127</v>
      </c>
      <c r="I719">
        <v>1</v>
      </c>
      <c r="J719">
        <v>491.93938622000002</v>
      </c>
      <c r="K719">
        <f t="shared" si="25"/>
        <v>491.93938622000002</v>
      </c>
      <c r="L719">
        <v>55</v>
      </c>
      <c r="M719">
        <f t="shared" si="26"/>
        <v>221.372723799</v>
      </c>
      <c r="N719" s="90">
        <v>719</v>
      </c>
      <c r="O719" s="90" t="s">
        <v>1181</v>
      </c>
      <c r="P719" s="118" t="s">
        <v>2545</v>
      </c>
      <c r="Q719" s="118" t="s">
        <v>125</v>
      </c>
    </row>
    <row r="720" spans="1:21" x14ac:dyDescent="0.25">
      <c r="A720" s="90" t="s">
        <v>1182</v>
      </c>
      <c r="B720" s="119">
        <v>6</v>
      </c>
      <c r="C720" s="90" t="s">
        <v>1173</v>
      </c>
      <c r="D720" s="90" t="s">
        <v>95</v>
      </c>
      <c r="E720">
        <v>1431</v>
      </c>
      <c r="F720">
        <v>1432</v>
      </c>
      <c r="G720" s="93" t="s">
        <v>78</v>
      </c>
      <c r="H720" t="s">
        <v>138</v>
      </c>
      <c r="I720">
        <v>0</v>
      </c>
      <c r="J720">
        <v>36.08811919</v>
      </c>
      <c r="K720">
        <f t="shared" si="25"/>
        <v>0</v>
      </c>
      <c r="L720">
        <v>55</v>
      </c>
      <c r="M720">
        <f t="shared" si="26"/>
        <v>0</v>
      </c>
      <c r="N720" s="90">
        <v>720</v>
      </c>
      <c r="O720" s="90" t="s">
        <v>1183</v>
      </c>
      <c r="P720" s="118" t="s">
        <v>918</v>
      </c>
      <c r="Q720" s="118" t="s">
        <v>125</v>
      </c>
    </row>
    <row r="721" spans="1:21" x14ac:dyDescent="0.25">
      <c r="A721" s="90" t="s">
        <v>1184</v>
      </c>
      <c r="B721" s="119">
        <v>6</v>
      </c>
      <c r="C721" s="90" t="s">
        <v>1173</v>
      </c>
      <c r="D721" s="90" t="s">
        <v>96</v>
      </c>
      <c r="E721">
        <v>1433</v>
      </c>
      <c r="F721">
        <v>1434</v>
      </c>
      <c r="G721" s="93" t="s">
        <v>78</v>
      </c>
      <c r="H721" t="s">
        <v>871</v>
      </c>
      <c r="I721">
        <v>1</v>
      </c>
      <c r="J721">
        <v>537.64166561000002</v>
      </c>
      <c r="K721">
        <f t="shared" si="25"/>
        <v>537.64166561000002</v>
      </c>
      <c r="L721">
        <v>55</v>
      </c>
      <c r="M721">
        <f t="shared" si="26"/>
        <v>241.9387495245</v>
      </c>
      <c r="N721" s="90">
        <v>721</v>
      </c>
      <c r="O721" s="90" t="s">
        <v>1185</v>
      </c>
      <c r="P721" s="118" t="s">
        <v>920</v>
      </c>
      <c r="Q721" s="118" t="s">
        <v>125</v>
      </c>
    </row>
    <row r="722" spans="1:21" x14ac:dyDescent="0.25">
      <c r="A722" s="90" t="s">
        <v>1186</v>
      </c>
      <c r="B722" s="119">
        <v>6</v>
      </c>
      <c r="C722" s="90" t="s">
        <v>1173</v>
      </c>
      <c r="D722" s="90" t="s">
        <v>103</v>
      </c>
      <c r="E722">
        <v>1435</v>
      </c>
      <c r="F722">
        <v>1436</v>
      </c>
      <c r="G722" s="93" t="s">
        <v>78</v>
      </c>
      <c r="H722" t="s">
        <v>123</v>
      </c>
      <c r="I722">
        <v>2</v>
      </c>
      <c r="J722">
        <v>313.76543995999998</v>
      </c>
      <c r="K722">
        <f t="shared" si="25"/>
        <v>627.53087991999996</v>
      </c>
      <c r="L722">
        <v>55</v>
      </c>
      <c r="M722">
        <f t="shared" si="26"/>
        <v>282.38889596399997</v>
      </c>
      <c r="N722" s="90">
        <v>722</v>
      </c>
      <c r="O722" s="90" t="s">
        <v>1187</v>
      </c>
      <c r="P722" s="118" t="s">
        <v>922</v>
      </c>
      <c r="Q722" s="118" t="s">
        <v>125</v>
      </c>
    </row>
    <row r="723" spans="1:21" x14ac:dyDescent="0.25">
      <c r="A723" s="90" t="s">
        <v>1188</v>
      </c>
      <c r="B723" s="119">
        <v>6</v>
      </c>
      <c r="C723" s="90" t="s">
        <v>1173</v>
      </c>
      <c r="D723" s="90" t="s">
        <v>1769</v>
      </c>
      <c r="E723">
        <v>1437</v>
      </c>
      <c r="F723">
        <v>1438</v>
      </c>
      <c r="G723" s="93" t="s">
        <v>78</v>
      </c>
      <c r="H723" t="s">
        <v>120</v>
      </c>
      <c r="I723">
        <v>2</v>
      </c>
      <c r="J723">
        <v>1231.376544</v>
      </c>
      <c r="K723">
        <f t="shared" si="25"/>
        <v>2462.7530879999999</v>
      </c>
      <c r="L723">
        <v>55</v>
      </c>
      <c r="M723">
        <f t="shared" si="26"/>
        <v>1108.2388895999998</v>
      </c>
      <c r="N723" s="90">
        <v>723</v>
      </c>
      <c r="O723" s="90" t="s">
        <v>1189</v>
      </c>
      <c r="P723" s="118" t="s">
        <v>2546</v>
      </c>
      <c r="Q723" s="118" t="s">
        <v>125</v>
      </c>
    </row>
    <row r="724" spans="1:21" x14ac:dyDescent="0.25">
      <c r="A724" s="90" t="s">
        <v>1190</v>
      </c>
      <c r="B724" s="119">
        <v>6</v>
      </c>
      <c r="C724" s="90" t="s">
        <v>1173</v>
      </c>
      <c r="D724" s="90" t="s">
        <v>1770</v>
      </c>
      <c r="E724">
        <v>1439</v>
      </c>
      <c r="F724">
        <v>1440</v>
      </c>
      <c r="G724" s="93" t="s">
        <v>78</v>
      </c>
      <c r="H724" t="s">
        <v>126</v>
      </c>
      <c r="I724">
        <v>2</v>
      </c>
      <c r="J724">
        <v>967.93582071000003</v>
      </c>
      <c r="K724">
        <f t="shared" si="25"/>
        <v>1935.8716414200001</v>
      </c>
      <c r="L724">
        <v>55</v>
      </c>
      <c r="M724">
        <f t="shared" si="26"/>
        <v>871.14223863899997</v>
      </c>
      <c r="N724" s="90">
        <v>724</v>
      </c>
      <c r="O724" s="90" t="s">
        <v>1191</v>
      </c>
      <c r="P724" s="118" t="s">
        <v>924</v>
      </c>
      <c r="Q724" s="118" t="s">
        <v>125</v>
      </c>
    </row>
    <row r="725" spans="1:21" x14ac:dyDescent="0.25">
      <c r="A725" s="90" t="s">
        <v>1192</v>
      </c>
      <c r="B725" s="119">
        <v>6</v>
      </c>
      <c r="C725" s="90" t="s">
        <v>1173</v>
      </c>
      <c r="D725" s="90" t="s">
        <v>1771</v>
      </c>
      <c r="E725">
        <v>1441</v>
      </c>
      <c r="F725">
        <v>1442</v>
      </c>
      <c r="G725" s="93" t="s">
        <v>78</v>
      </c>
      <c r="H725" t="s">
        <v>199</v>
      </c>
      <c r="I725">
        <v>4</v>
      </c>
      <c r="J725">
        <v>862.86769387000004</v>
      </c>
      <c r="K725">
        <f t="shared" si="25"/>
        <v>3451.4707754800002</v>
      </c>
      <c r="L725">
        <v>55</v>
      </c>
      <c r="M725">
        <f t="shared" si="26"/>
        <v>1553.161848966</v>
      </c>
      <c r="N725" s="90">
        <v>725</v>
      </c>
      <c r="O725" s="90" t="s">
        <v>1193</v>
      </c>
      <c r="P725" s="118" t="s">
        <v>926</v>
      </c>
      <c r="Q725" s="118" t="s">
        <v>125</v>
      </c>
    </row>
    <row r="726" spans="1:21" x14ac:dyDescent="0.25">
      <c r="A726" s="90" t="s">
        <v>1194</v>
      </c>
      <c r="B726" s="119">
        <v>6</v>
      </c>
      <c r="C726" s="90" t="s">
        <v>1173</v>
      </c>
      <c r="D726" s="90" t="s">
        <v>1772</v>
      </c>
      <c r="E726">
        <v>1443</v>
      </c>
      <c r="F726">
        <v>1444</v>
      </c>
      <c r="G726" s="93" t="s">
        <v>78</v>
      </c>
      <c r="H726" t="s">
        <v>224</v>
      </c>
      <c r="I726">
        <v>2</v>
      </c>
      <c r="J726">
        <v>2064.00101872</v>
      </c>
      <c r="K726">
        <f t="shared" si="25"/>
        <v>4128.0020374400001</v>
      </c>
      <c r="L726">
        <v>55</v>
      </c>
      <c r="M726">
        <f t="shared" si="26"/>
        <v>1857.6009168479998</v>
      </c>
      <c r="N726" s="90">
        <v>726</v>
      </c>
      <c r="O726" s="90" t="s">
        <v>1195</v>
      </c>
      <c r="P726" s="118" t="s">
        <v>2547</v>
      </c>
      <c r="Q726" s="118" t="s">
        <v>125</v>
      </c>
    </row>
    <row r="727" spans="1:21" x14ac:dyDescent="0.25">
      <c r="A727" s="90" t="s">
        <v>1196</v>
      </c>
      <c r="B727" s="119">
        <v>6</v>
      </c>
      <c r="C727" s="90" t="s">
        <v>1173</v>
      </c>
      <c r="D727" s="90" t="s">
        <v>97</v>
      </c>
      <c r="E727">
        <v>1445</v>
      </c>
      <c r="F727">
        <v>1446</v>
      </c>
      <c r="G727" s="93" t="s">
        <v>78</v>
      </c>
      <c r="H727" t="s">
        <v>203</v>
      </c>
      <c r="I727">
        <v>0</v>
      </c>
      <c r="J727">
        <v>214.52947918000001</v>
      </c>
      <c r="K727">
        <f t="shared" si="25"/>
        <v>0</v>
      </c>
      <c r="L727">
        <v>55</v>
      </c>
      <c r="M727">
        <f t="shared" si="26"/>
        <v>0</v>
      </c>
      <c r="N727" s="90">
        <v>727</v>
      </c>
      <c r="O727" s="90" t="s">
        <v>1197</v>
      </c>
      <c r="P727" s="118" t="s">
        <v>929</v>
      </c>
      <c r="Q727" s="118" t="s">
        <v>125</v>
      </c>
    </row>
    <row r="728" spans="1:21" x14ac:dyDescent="0.25">
      <c r="A728" s="90" t="s">
        <v>1198</v>
      </c>
      <c r="B728" s="119">
        <v>6</v>
      </c>
      <c r="C728" s="90" t="s">
        <v>1173</v>
      </c>
      <c r="D728" s="90" t="s">
        <v>98</v>
      </c>
      <c r="E728">
        <v>1447</v>
      </c>
      <c r="F728">
        <v>1448</v>
      </c>
      <c r="G728" s="93" t="s">
        <v>78</v>
      </c>
      <c r="H728" t="s">
        <v>205</v>
      </c>
      <c r="I728">
        <v>0</v>
      </c>
      <c r="J728">
        <v>214.52947918000001</v>
      </c>
      <c r="K728">
        <f t="shared" si="25"/>
        <v>0</v>
      </c>
      <c r="L728">
        <v>55</v>
      </c>
      <c r="M728">
        <f t="shared" si="26"/>
        <v>0</v>
      </c>
      <c r="N728" s="90">
        <v>728</v>
      </c>
      <c r="O728" s="90" t="s">
        <v>1199</v>
      </c>
      <c r="P728" s="118" t="s">
        <v>931</v>
      </c>
      <c r="Q728" s="118" t="s">
        <v>125</v>
      </c>
    </row>
    <row r="729" spans="1:21" x14ac:dyDescent="0.25">
      <c r="A729" s="90" t="s">
        <v>1200</v>
      </c>
      <c r="B729" s="119">
        <v>6</v>
      </c>
      <c r="C729" s="90" t="s">
        <v>1173</v>
      </c>
      <c r="D729" s="90" t="s">
        <v>99</v>
      </c>
      <c r="E729">
        <v>1449</v>
      </c>
      <c r="F729">
        <v>1450</v>
      </c>
      <c r="G729" s="93" t="s">
        <v>78</v>
      </c>
      <c r="H729" t="s">
        <v>194</v>
      </c>
      <c r="I729">
        <v>6</v>
      </c>
      <c r="J729">
        <v>256.72991214000001</v>
      </c>
      <c r="K729">
        <f t="shared" si="25"/>
        <v>1540.3794728400001</v>
      </c>
      <c r="L729">
        <v>55</v>
      </c>
      <c r="M729">
        <f t="shared" si="26"/>
        <v>693.17076277799993</v>
      </c>
      <c r="N729" s="90">
        <v>729</v>
      </c>
      <c r="O729" s="90" t="s">
        <v>1201</v>
      </c>
      <c r="P729" s="118" t="s">
        <v>933</v>
      </c>
      <c r="Q729" s="118" t="s">
        <v>125</v>
      </c>
    </row>
    <row r="730" spans="1:21" x14ac:dyDescent="0.25">
      <c r="A730" s="90" t="s">
        <v>1202</v>
      </c>
      <c r="B730" s="119">
        <v>6</v>
      </c>
      <c r="C730" s="90" t="s">
        <v>1173</v>
      </c>
      <c r="D730" s="90" t="s">
        <v>100</v>
      </c>
      <c r="E730">
        <v>1451</v>
      </c>
      <c r="F730">
        <v>1452</v>
      </c>
      <c r="G730" s="93" t="s">
        <v>78</v>
      </c>
      <c r="H730" t="s">
        <v>892</v>
      </c>
      <c r="I730">
        <v>1</v>
      </c>
      <c r="J730">
        <v>997.30039475000001</v>
      </c>
      <c r="K730">
        <f t="shared" si="25"/>
        <v>997.30039475000001</v>
      </c>
      <c r="L730">
        <v>55</v>
      </c>
      <c r="M730">
        <f t="shared" si="26"/>
        <v>448.78517763749994</v>
      </c>
      <c r="N730" s="90">
        <v>730</v>
      </c>
      <c r="O730" s="90" t="s">
        <v>1203</v>
      </c>
      <c r="P730" s="118" t="s">
        <v>935</v>
      </c>
      <c r="Q730" s="118" t="s">
        <v>125</v>
      </c>
    </row>
    <row r="731" spans="1:21" x14ac:dyDescent="0.25">
      <c r="A731" s="90" t="s">
        <v>1204</v>
      </c>
      <c r="B731" s="119">
        <v>6</v>
      </c>
      <c r="C731" s="90" t="s">
        <v>1173</v>
      </c>
      <c r="D731" s="90" t="s">
        <v>81</v>
      </c>
      <c r="E731">
        <v>1453</v>
      </c>
      <c r="F731">
        <v>1454</v>
      </c>
      <c r="G731" s="93" t="s">
        <v>78</v>
      </c>
      <c r="H731" t="s">
        <v>119</v>
      </c>
      <c r="I731">
        <v>1</v>
      </c>
      <c r="J731">
        <v>594.85546925000006</v>
      </c>
      <c r="K731">
        <f t="shared" si="25"/>
        <v>594.85546925000006</v>
      </c>
      <c r="L731">
        <v>55</v>
      </c>
      <c r="M731">
        <f t="shared" si="26"/>
        <v>267.68496116249997</v>
      </c>
      <c r="N731" s="90">
        <v>731</v>
      </c>
      <c r="O731" s="90" t="s">
        <v>1205</v>
      </c>
      <c r="P731" s="118" t="s">
        <v>937</v>
      </c>
      <c r="Q731" s="118" t="s">
        <v>125</v>
      </c>
    </row>
    <row r="732" spans="1:21" x14ac:dyDescent="0.25">
      <c r="A732" s="90" t="s">
        <v>1206</v>
      </c>
      <c r="B732" s="119">
        <v>6</v>
      </c>
      <c r="C732" s="90" t="s">
        <v>1173</v>
      </c>
      <c r="D732" s="90" t="s">
        <v>83</v>
      </c>
      <c r="E732">
        <v>1455</v>
      </c>
      <c r="F732">
        <v>1456</v>
      </c>
      <c r="G732" s="93" t="s">
        <v>78</v>
      </c>
      <c r="H732" t="s">
        <v>139</v>
      </c>
      <c r="I732">
        <v>0</v>
      </c>
      <c r="J732">
        <v>227.32713613000001</v>
      </c>
      <c r="K732">
        <f t="shared" si="25"/>
        <v>0</v>
      </c>
      <c r="L732">
        <v>55</v>
      </c>
      <c r="M732">
        <f t="shared" si="26"/>
        <v>0</v>
      </c>
      <c r="N732" s="90">
        <v>732</v>
      </c>
      <c r="O732" s="90" t="s">
        <v>1207</v>
      </c>
      <c r="P732" s="118" t="s">
        <v>939</v>
      </c>
      <c r="Q732" s="118" t="s">
        <v>125</v>
      </c>
    </row>
    <row r="733" spans="1:21" x14ac:dyDescent="0.25">
      <c r="A733" s="90" t="s">
        <v>1208</v>
      </c>
      <c r="B733" s="119">
        <v>4</v>
      </c>
      <c r="C733" s="90" t="s">
        <v>812</v>
      </c>
      <c r="D733" s="90" t="s">
        <v>1770</v>
      </c>
      <c r="E733">
        <v>1459</v>
      </c>
      <c r="F733">
        <v>1502</v>
      </c>
      <c r="G733" s="93" t="s">
        <v>68</v>
      </c>
      <c r="H733" t="s">
        <v>1209</v>
      </c>
      <c r="I733">
        <v>1</v>
      </c>
      <c r="J733">
        <f>SUM(K734,K736,K738)</f>
        <v>642613.14147507993</v>
      </c>
      <c r="K733">
        <f t="shared" si="25"/>
        <v>642613.14147507993</v>
      </c>
      <c r="L733">
        <f>100*(1-(M733/K733))</f>
        <v>55.000000000000007</v>
      </c>
      <c r="M733">
        <f>I733*SUM(M734,M736,M738)</f>
        <v>289175.91366378596</v>
      </c>
      <c r="N733" s="90">
        <v>733</v>
      </c>
      <c r="O733" s="90" t="s">
        <v>1210</v>
      </c>
      <c r="P733" s="118" t="s">
        <v>941</v>
      </c>
      <c r="Q733" s="118" t="s">
        <v>125</v>
      </c>
      <c r="R733" s="90" t="s">
        <v>2290</v>
      </c>
      <c r="S733" s="90" t="s">
        <v>2394</v>
      </c>
      <c r="T733" s="90" t="s">
        <v>2446</v>
      </c>
      <c r="U733" s="90" t="s">
        <v>2342</v>
      </c>
    </row>
    <row r="734" spans="1:21" x14ac:dyDescent="0.25">
      <c r="A734" s="90" t="s">
        <v>1211</v>
      </c>
      <c r="B734" s="119">
        <v>5</v>
      </c>
      <c r="C734" s="90" t="s">
        <v>1208</v>
      </c>
      <c r="D734" s="90" t="s">
        <v>78</v>
      </c>
      <c r="E734">
        <v>1460</v>
      </c>
      <c r="F734">
        <v>1463</v>
      </c>
      <c r="G734" s="93" t="s">
        <v>68</v>
      </c>
      <c r="H734" t="s">
        <v>856</v>
      </c>
      <c r="I734">
        <v>75</v>
      </c>
      <c r="J734">
        <f>SUM(K735)</f>
        <v>214.52947918000001</v>
      </c>
      <c r="K734">
        <f t="shared" si="25"/>
        <v>16089.7109385</v>
      </c>
      <c r="L734">
        <f>100*(1-(M734/K734))</f>
        <v>55.000000000000007</v>
      </c>
      <c r="M734">
        <f>I734*SUM(M735)</f>
        <v>7240.3699223250005</v>
      </c>
      <c r="N734" s="90">
        <v>734</v>
      </c>
      <c r="O734" s="90" t="s">
        <v>1212</v>
      </c>
      <c r="P734" s="118" t="s">
        <v>943</v>
      </c>
      <c r="Q734" s="118" t="s">
        <v>125</v>
      </c>
      <c r="R734" s="90" t="s">
        <v>1883</v>
      </c>
      <c r="S734" s="90" t="s">
        <v>2117</v>
      </c>
      <c r="T734" s="90" t="s">
        <v>2234</v>
      </c>
      <c r="U734" s="90" t="s">
        <v>2000</v>
      </c>
    </row>
    <row r="735" spans="1:21" x14ac:dyDescent="0.25">
      <c r="A735" s="90" t="s">
        <v>1213</v>
      </c>
      <c r="B735" s="119">
        <v>6</v>
      </c>
      <c r="C735" s="90" t="s">
        <v>1211</v>
      </c>
      <c r="D735" s="90" t="s">
        <v>78</v>
      </c>
      <c r="E735">
        <v>1461</v>
      </c>
      <c r="F735">
        <v>1462</v>
      </c>
      <c r="G735" s="93" t="s">
        <v>78</v>
      </c>
      <c r="H735" t="s">
        <v>203</v>
      </c>
      <c r="I735">
        <v>1</v>
      </c>
      <c r="J735">
        <v>214.52947918000001</v>
      </c>
      <c r="K735">
        <f t="shared" si="25"/>
        <v>214.52947918000001</v>
      </c>
      <c r="L735">
        <v>55</v>
      </c>
      <c r="M735">
        <f>(1-(L735/100))*K735</f>
        <v>96.538265631000002</v>
      </c>
      <c r="N735" s="90">
        <v>735</v>
      </c>
      <c r="O735" s="90" t="s">
        <v>1214</v>
      </c>
      <c r="P735" s="118" t="s">
        <v>945</v>
      </c>
      <c r="Q735" s="118" t="s">
        <v>125</v>
      </c>
    </row>
    <row r="736" spans="1:21" x14ac:dyDescent="0.25">
      <c r="A736" s="90" t="s">
        <v>1215</v>
      </c>
      <c r="B736" s="119">
        <v>5</v>
      </c>
      <c r="C736" s="90" t="s">
        <v>1208</v>
      </c>
      <c r="D736" s="90" t="s">
        <v>79</v>
      </c>
      <c r="E736">
        <v>1464</v>
      </c>
      <c r="F736">
        <v>1467</v>
      </c>
      <c r="G736" s="93" t="s">
        <v>68</v>
      </c>
      <c r="H736" t="s">
        <v>861</v>
      </c>
      <c r="I736">
        <v>235</v>
      </c>
      <c r="J736">
        <f>SUM(K737)</f>
        <v>214.52947918000001</v>
      </c>
      <c r="K736">
        <f t="shared" si="25"/>
        <v>50414.4276073</v>
      </c>
      <c r="L736">
        <f>100*(1-(M736/K736))</f>
        <v>55.000000000000007</v>
      </c>
      <c r="M736">
        <f>I736*SUM(M737)</f>
        <v>22686.492423284999</v>
      </c>
      <c r="N736" s="90">
        <v>736</v>
      </c>
      <c r="O736" s="90" t="s">
        <v>1216</v>
      </c>
      <c r="P736" s="118" t="s">
        <v>947</v>
      </c>
      <c r="Q736" s="118" t="s">
        <v>125</v>
      </c>
      <c r="R736" s="90" t="s">
        <v>1884</v>
      </c>
      <c r="S736" s="90" t="s">
        <v>2118</v>
      </c>
      <c r="T736" s="90" t="s">
        <v>2235</v>
      </c>
      <c r="U736" s="90" t="s">
        <v>2001</v>
      </c>
    </row>
    <row r="737" spans="1:21" x14ac:dyDescent="0.25">
      <c r="A737" s="90" t="s">
        <v>1217</v>
      </c>
      <c r="B737" s="119">
        <v>6</v>
      </c>
      <c r="C737" s="90" t="s">
        <v>1215</v>
      </c>
      <c r="D737" s="90" t="s">
        <v>78</v>
      </c>
      <c r="E737">
        <v>1465</v>
      </c>
      <c r="F737">
        <v>1466</v>
      </c>
      <c r="G737" s="93" t="s">
        <v>78</v>
      </c>
      <c r="H737" t="s">
        <v>205</v>
      </c>
      <c r="I737">
        <v>1</v>
      </c>
      <c r="J737">
        <v>214.52947918000001</v>
      </c>
      <c r="K737">
        <f t="shared" si="25"/>
        <v>214.52947918000001</v>
      </c>
      <c r="L737">
        <v>55</v>
      </c>
      <c r="M737">
        <f>(1-(L737/100))*K737</f>
        <v>96.538265631000002</v>
      </c>
      <c r="N737" s="90">
        <v>737</v>
      </c>
      <c r="O737" s="90" t="s">
        <v>1218</v>
      </c>
      <c r="P737" s="118" t="s">
        <v>949</v>
      </c>
      <c r="Q737" s="118" t="s">
        <v>125</v>
      </c>
    </row>
    <row r="738" spans="1:21" x14ac:dyDescent="0.25">
      <c r="A738" s="90" t="s">
        <v>1219</v>
      </c>
      <c r="B738" s="119">
        <v>5</v>
      </c>
      <c r="C738" s="90" t="s">
        <v>1208</v>
      </c>
      <c r="D738" s="90" t="s">
        <v>80</v>
      </c>
      <c r="E738">
        <v>1468</v>
      </c>
      <c r="F738">
        <v>1501</v>
      </c>
      <c r="G738" s="93" t="s">
        <v>68</v>
      </c>
      <c r="H738" t="s">
        <v>1220</v>
      </c>
      <c r="I738">
        <v>16</v>
      </c>
      <c r="J738">
        <f>SUM(K739,K740,K741,K742,K743,K744,K745,K746,K747,K748,K749,K750,K751,K752,K753,K754)</f>
        <v>36006.812683079996</v>
      </c>
      <c r="K738">
        <f t="shared" si="25"/>
        <v>576109.00292927993</v>
      </c>
      <c r="L738">
        <f>100*(1-(M738/K738))</f>
        <v>55.000000000000007</v>
      </c>
      <c r="M738">
        <f>I738*SUM(M739,M740,M741,M742,M743,M744,M745,M746,M747,M748,M749,M750,M751,M752,M753,M754)</f>
        <v>259249.05131817597</v>
      </c>
      <c r="N738" s="90">
        <v>738</v>
      </c>
      <c r="O738" s="90" t="s">
        <v>1221</v>
      </c>
      <c r="P738" s="118" t="s">
        <v>951</v>
      </c>
      <c r="Q738" s="118" t="s">
        <v>125</v>
      </c>
      <c r="R738" s="90" t="s">
        <v>1885</v>
      </c>
      <c r="S738" s="90" t="s">
        <v>2119</v>
      </c>
      <c r="T738" s="90" t="s">
        <v>2236</v>
      </c>
      <c r="U738" s="90" t="s">
        <v>2002</v>
      </c>
    </row>
    <row r="739" spans="1:21" x14ac:dyDescent="0.25">
      <c r="A739" s="90" t="s">
        <v>1222</v>
      </c>
      <c r="B739" s="119">
        <v>6</v>
      </c>
      <c r="C739" s="90" t="s">
        <v>1219</v>
      </c>
      <c r="D739" s="90" t="s">
        <v>78</v>
      </c>
      <c r="E739">
        <v>1469</v>
      </c>
      <c r="F739">
        <v>1470</v>
      </c>
      <c r="G739" s="93" t="s">
        <v>78</v>
      </c>
      <c r="H739" t="s">
        <v>197</v>
      </c>
      <c r="I739">
        <v>1</v>
      </c>
      <c r="J739">
        <v>10880.466063919999</v>
      </c>
      <c r="K739">
        <f t="shared" si="25"/>
        <v>10880.466063919999</v>
      </c>
      <c r="L739">
        <v>55</v>
      </c>
      <c r="M739">
        <f t="shared" ref="M739:M754" si="27">(1-(L739/100))*K739</f>
        <v>4896.209728763999</v>
      </c>
      <c r="N739" s="90">
        <v>739</v>
      </c>
      <c r="O739" s="90" t="s">
        <v>1223</v>
      </c>
      <c r="P739" s="118" t="s">
        <v>953</v>
      </c>
      <c r="Q739" s="118" t="s">
        <v>125</v>
      </c>
    </row>
    <row r="740" spans="1:21" x14ac:dyDescent="0.25">
      <c r="A740" s="90" t="s">
        <v>1224</v>
      </c>
      <c r="B740" s="119">
        <v>6</v>
      </c>
      <c r="C740" s="90" t="s">
        <v>1219</v>
      </c>
      <c r="D740" s="90" t="s">
        <v>79</v>
      </c>
      <c r="E740">
        <v>1471</v>
      </c>
      <c r="F740">
        <v>1472</v>
      </c>
      <c r="G740" s="93" t="s">
        <v>78</v>
      </c>
      <c r="H740" t="s">
        <v>140</v>
      </c>
      <c r="I740">
        <v>1</v>
      </c>
      <c r="J740">
        <v>2631.3510760200002</v>
      </c>
      <c r="K740">
        <f t="shared" si="25"/>
        <v>2631.3510760200002</v>
      </c>
      <c r="L740">
        <v>55</v>
      </c>
      <c r="M740">
        <f t="shared" si="27"/>
        <v>1184.1079842090001</v>
      </c>
      <c r="N740" s="90">
        <v>740</v>
      </c>
      <c r="O740" s="90" t="s">
        <v>1225</v>
      </c>
      <c r="P740" s="118" t="s">
        <v>955</v>
      </c>
      <c r="Q740" s="118" t="s">
        <v>125</v>
      </c>
    </row>
    <row r="741" spans="1:21" x14ac:dyDescent="0.25">
      <c r="A741" s="90" t="s">
        <v>1226</v>
      </c>
      <c r="B741" s="119">
        <v>6</v>
      </c>
      <c r="C741" s="90" t="s">
        <v>1219</v>
      </c>
      <c r="D741" s="90" t="s">
        <v>80</v>
      </c>
      <c r="E741">
        <v>1473</v>
      </c>
      <c r="F741">
        <v>1474</v>
      </c>
      <c r="G741" s="93" t="s">
        <v>78</v>
      </c>
      <c r="H741" t="s">
        <v>127</v>
      </c>
      <c r="I741">
        <v>1</v>
      </c>
      <c r="J741">
        <v>491.93938622000002</v>
      </c>
      <c r="K741">
        <f t="shared" si="25"/>
        <v>491.93938622000002</v>
      </c>
      <c r="L741">
        <v>55</v>
      </c>
      <c r="M741">
        <f t="shared" si="27"/>
        <v>221.372723799</v>
      </c>
      <c r="N741" s="90">
        <v>741</v>
      </c>
      <c r="O741" s="90" t="s">
        <v>1227</v>
      </c>
      <c r="P741" s="118" t="s">
        <v>957</v>
      </c>
      <c r="Q741" s="118" t="s">
        <v>125</v>
      </c>
    </row>
    <row r="742" spans="1:21" x14ac:dyDescent="0.25">
      <c r="A742" s="90" t="s">
        <v>1228</v>
      </c>
      <c r="B742" s="119">
        <v>6</v>
      </c>
      <c r="C742" s="90" t="s">
        <v>1219</v>
      </c>
      <c r="D742" s="90" t="s">
        <v>95</v>
      </c>
      <c r="E742">
        <v>1475</v>
      </c>
      <c r="F742">
        <v>1476</v>
      </c>
      <c r="G742" s="93" t="s">
        <v>78</v>
      </c>
      <c r="H742" t="s">
        <v>138</v>
      </c>
      <c r="I742">
        <v>0</v>
      </c>
      <c r="J742">
        <v>36.08811919</v>
      </c>
      <c r="K742">
        <f t="shared" si="25"/>
        <v>0</v>
      </c>
      <c r="L742">
        <v>55</v>
      </c>
      <c r="M742">
        <f t="shared" si="27"/>
        <v>0</v>
      </c>
      <c r="N742" s="90">
        <v>742</v>
      </c>
      <c r="O742" s="90" t="s">
        <v>1229</v>
      </c>
      <c r="P742" s="118" t="s">
        <v>959</v>
      </c>
      <c r="Q742" s="118" t="s">
        <v>125</v>
      </c>
    </row>
    <row r="743" spans="1:21" x14ac:dyDescent="0.25">
      <c r="A743" s="90" t="s">
        <v>1230</v>
      </c>
      <c r="B743" s="119">
        <v>6</v>
      </c>
      <c r="C743" s="90" t="s">
        <v>1219</v>
      </c>
      <c r="D743" s="90" t="s">
        <v>96</v>
      </c>
      <c r="E743">
        <v>1477</v>
      </c>
      <c r="F743">
        <v>1478</v>
      </c>
      <c r="G743" s="93" t="s">
        <v>78</v>
      </c>
      <c r="H743" t="s">
        <v>871</v>
      </c>
      <c r="I743">
        <v>1</v>
      </c>
      <c r="J743">
        <v>537.64166561000002</v>
      </c>
      <c r="K743">
        <f t="shared" si="25"/>
        <v>537.64166561000002</v>
      </c>
      <c r="L743">
        <v>55</v>
      </c>
      <c r="M743">
        <f t="shared" si="27"/>
        <v>241.9387495245</v>
      </c>
      <c r="N743" s="90">
        <v>743</v>
      </c>
      <c r="O743" s="90" t="s">
        <v>1231</v>
      </c>
      <c r="P743" s="118" t="s">
        <v>961</v>
      </c>
      <c r="Q743" s="118" t="s">
        <v>125</v>
      </c>
    </row>
    <row r="744" spans="1:21" x14ac:dyDescent="0.25">
      <c r="A744" s="90" t="s">
        <v>1232</v>
      </c>
      <c r="B744" s="119">
        <v>6</v>
      </c>
      <c r="C744" s="90" t="s">
        <v>1219</v>
      </c>
      <c r="D744" s="90" t="s">
        <v>103</v>
      </c>
      <c r="E744">
        <v>1479</v>
      </c>
      <c r="F744">
        <v>1480</v>
      </c>
      <c r="G744" s="93" t="s">
        <v>78</v>
      </c>
      <c r="H744" t="s">
        <v>123</v>
      </c>
      <c r="I744">
        <v>2</v>
      </c>
      <c r="J744">
        <v>313.76543995999998</v>
      </c>
      <c r="K744">
        <f t="shared" si="25"/>
        <v>627.53087991999996</v>
      </c>
      <c r="L744">
        <v>55</v>
      </c>
      <c r="M744">
        <f t="shared" si="27"/>
        <v>282.38889596399997</v>
      </c>
      <c r="N744" s="90">
        <v>744</v>
      </c>
      <c r="O744" s="90" t="s">
        <v>1233</v>
      </c>
      <c r="P744" s="118" t="s">
        <v>963</v>
      </c>
      <c r="Q744" s="118" t="s">
        <v>125</v>
      </c>
    </row>
    <row r="745" spans="1:21" x14ac:dyDescent="0.25">
      <c r="A745" s="90" t="s">
        <v>1234</v>
      </c>
      <c r="B745" s="119">
        <v>6</v>
      </c>
      <c r="C745" s="90" t="s">
        <v>1219</v>
      </c>
      <c r="D745" s="90" t="s">
        <v>1769</v>
      </c>
      <c r="E745">
        <v>1481</v>
      </c>
      <c r="F745">
        <v>1482</v>
      </c>
      <c r="G745" s="93" t="s">
        <v>78</v>
      </c>
      <c r="H745" t="s">
        <v>120</v>
      </c>
      <c r="I745">
        <v>3</v>
      </c>
      <c r="J745">
        <v>1231.376544</v>
      </c>
      <c r="K745">
        <f t="shared" si="25"/>
        <v>3694.1296320000001</v>
      </c>
      <c r="L745">
        <v>55</v>
      </c>
      <c r="M745">
        <f t="shared" si="27"/>
        <v>1662.3583343999999</v>
      </c>
      <c r="N745" s="90">
        <v>745</v>
      </c>
      <c r="O745" s="90" t="s">
        <v>1235</v>
      </c>
      <c r="P745" s="118" t="s">
        <v>965</v>
      </c>
      <c r="Q745" s="118" t="s">
        <v>125</v>
      </c>
    </row>
    <row r="746" spans="1:21" x14ac:dyDescent="0.25">
      <c r="A746" s="90" t="s">
        <v>1236</v>
      </c>
      <c r="B746" s="119">
        <v>6</v>
      </c>
      <c r="C746" s="90" t="s">
        <v>1219</v>
      </c>
      <c r="D746" s="90" t="s">
        <v>1770</v>
      </c>
      <c r="E746">
        <v>1483</v>
      </c>
      <c r="F746">
        <v>1484</v>
      </c>
      <c r="G746" s="93" t="s">
        <v>78</v>
      </c>
      <c r="H746" t="s">
        <v>126</v>
      </c>
      <c r="I746">
        <v>3</v>
      </c>
      <c r="J746">
        <v>967.93582071000003</v>
      </c>
      <c r="K746">
        <f t="shared" si="25"/>
        <v>2903.8074621300002</v>
      </c>
      <c r="L746">
        <v>55</v>
      </c>
      <c r="M746">
        <f t="shared" si="27"/>
        <v>1306.7133579585</v>
      </c>
      <c r="N746" s="90">
        <v>746</v>
      </c>
      <c r="O746" s="90" t="s">
        <v>1237</v>
      </c>
      <c r="P746" s="118" t="s">
        <v>967</v>
      </c>
      <c r="Q746" s="118" t="s">
        <v>125</v>
      </c>
    </row>
    <row r="747" spans="1:21" x14ac:dyDescent="0.25">
      <c r="A747" s="90" t="s">
        <v>1238</v>
      </c>
      <c r="B747" s="119">
        <v>6</v>
      </c>
      <c r="C747" s="90" t="s">
        <v>1219</v>
      </c>
      <c r="D747" s="90" t="s">
        <v>1771</v>
      </c>
      <c r="E747">
        <v>1485</v>
      </c>
      <c r="F747">
        <v>1486</v>
      </c>
      <c r="G747" s="93" t="s">
        <v>78</v>
      </c>
      <c r="H747" t="s">
        <v>199</v>
      </c>
      <c r="I747">
        <v>6</v>
      </c>
      <c r="J747">
        <v>862.86769387000004</v>
      </c>
      <c r="K747">
        <f t="shared" si="25"/>
        <v>5177.2061632200002</v>
      </c>
      <c r="L747">
        <v>55</v>
      </c>
      <c r="M747">
        <f t="shared" si="27"/>
        <v>2329.7427734489997</v>
      </c>
      <c r="N747" s="90">
        <v>747</v>
      </c>
      <c r="O747" s="90" t="s">
        <v>1239</v>
      </c>
      <c r="P747" s="118" t="s">
        <v>969</v>
      </c>
      <c r="Q747" s="118" t="s">
        <v>125</v>
      </c>
    </row>
    <row r="748" spans="1:21" x14ac:dyDescent="0.25">
      <c r="A748" s="90" t="s">
        <v>1240</v>
      </c>
      <c r="B748" s="119">
        <v>6</v>
      </c>
      <c r="C748" s="90" t="s">
        <v>1219</v>
      </c>
      <c r="D748" s="90" t="s">
        <v>1772</v>
      </c>
      <c r="E748">
        <v>1487</v>
      </c>
      <c r="F748">
        <v>1488</v>
      </c>
      <c r="G748" s="93" t="s">
        <v>78</v>
      </c>
      <c r="H748" t="s">
        <v>203</v>
      </c>
      <c r="I748">
        <v>0</v>
      </c>
      <c r="J748">
        <v>214.52947918000001</v>
      </c>
      <c r="K748">
        <f t="shared" si="25"/>
        <v>0</v>
      </c>
      <c r="L748">
        <v>55</v>
      </c>
      <c r="M748">
        <f t="shared" si="27"/>
        <v>0</v>
      </c>
      <c r="N748" s="90">
        <v>748</v>
      </c>
      <c r="O748" s="90" t="s">
        <v>1241</v>
      </c>
      <c r="P748" s="118" t="s">
        <v>971</v>
      </c>
      <c r="Q748" s="118" t="s">
        <v>125</v>
      </c>
    </row>
    <row r="749" spans="1:21" x14ac:dyDescent="0.25">
      <c r="A749" s="90" t="s">
        <v>1242</v>
      </c>
      <c r="B749" s="119">
        <v>6</v>
      </c>
      <c r="C749" s="90" t="s">
        <v>1219</v>
      </c>
      <c r="D749" s="90" t="s">
        <v>97</v>
      </c>
      <c r="E749">
        <v>1489</v>
      </c>
      <c r="F749">
        <v>1490</v>
      </c>
      <c r="G749" s="93" t="s">
        <v>78</v>
      </c>
      <c r="H749" t="s">
        <v>205</v>
      </c>
      <c r="I749">
        <v>0</v>
      </c>
      <c r="J749">
        <v>214.52947918000001</v>
      </c>
      <c r="K749">
        <f t="shared" si="25"/>
        <v>0</v>
      </c>
      <c r="L749">
        <v>55</v>
      </c>
      <c r="M749">
        <f t="shared" si="27"/>
        <v>0</v>
      </c>
      <c r="N749" s="90">
        <v>749</v>
      </c>
      <c r="O749" s="90" t="s">
        <v>1243</v>
      </c>
      <c r="P749" s="118" t="s">
        <v>973</v>
      </c>
      <c r="Q749" s="118" t="s">
        <v>125</v>
      </c>
    </row>
    <row r="750" spans="1:21" x14ac:dyDescent="0.25">
      <c r="A750" s="90" t="s">
        <v>1244</v>
      </c>
      <c r="B750" s="119">
        <v>6</v>
      </c>
      <c r="C750" s="90" t="s">
        <v>1219</v>
      </c>
      <c r="D750" s="90" t="s">
        <v>98</v>
      </c>
      <c r="E750">
        <v>1491</v>
      </c>
      <c r="F750">
        <v>1492</v>
      </c>
      <c r="G750" s="93" t="s">
        <v>78</v>
      </c>
      <c r="H750" t="s">
        <v>194</v>
      </c>
      <c r="I750">
        <v>9</v>
      </c>
      <c r="J750">
        <v>256.72991214000001</v>
      </c>
      <c r="K750">
        <f t="shared" si="25"/>
        <v>2310.5692092600002</v>
      </c>
      <c r="L750">
        <v>55</v>
      </c>
      <c r="M750">
        <f t="shared" si="27"/>
        <v>1039.756144167</v>
      </c>
      <c r="N750" s="90">
        <v>750</v>
      </c>
      <c r="O750" s="90" t="s">
        <v>1245</v>
      </c>
      <c r="P750" s="118" t="s">
        <v>975</v>
      </c>
      <c r="Q750" s="118" t="s">
        <v>125</v>
      </c>
    </row>
    <row r="751" spans="1:21" x14ac:dyDescent="0.25">
      <c r="A751" s="90" t="s">
        <v>1246</v>
      </c>
      <c r="B751" s="119">
        <v>6</v>
      </c>
      <c r="C751" s="90" t="s">
        <v>1219</v>
      </c>
      <c r="D751" s="90" t="s">
        <v>99</v>
      </c>
      <c r="E751">
        <v>1493</v>
      </c>
      <c r="F751">
        <v>1494</v>
      </c>
      <c r="G751" s="93" t="s">
        <v>78</v>
      </c>
      <c r="H751" t="s">
        <v>892</v>
      </c>
      <c r="I751">
        <v>1</v>
      </c>
      <c r="J751">
        <v>997.30039475000001</v>
      </c>
      <c r="K751">
        <f t="shared" si="25"/>
        <v>997.30039475000001</v>
      </c>
      <c r="L751">
        <v>55</v>
      </c>
      <c r="M751">
        <f t="shared" si="27"/>
        <v>448.78517763749994</v>
      </c>
      <c r="N751" s="90">
        <v>751</v>
      </c>
      <c r="O751" s="90" t="s">
        <v>1247</v>
      </c>
      <c r="P751" s="118" t="s">
        <v>977</v>
      </c>
      <c r="Q751" s="118" t="s">
        <v>125</v>
      </c>
    </row>
    <row r="752" spans="1:21" x14ac:dyDescent="0.25">
      <c r="A752" s="90" t="s">
        <v>1248</v>
      </c>
      <c r="B752" s="119">
        <v>6</v>
      </c>
      <c r="C752" s="90" t="s">
        <v>1219</v>
      </c>
      <c r="D752" s="90" t="s">
        <v>100</v>
      </c>
      <c r="E752">
        <v>1495</v>
      </c>
      <c r="F752">
        <v>1496</v>
      </c>
      <c r="G752" s="93" t="s">
        <v>78</v>
      </c>
      <c r="H752" t="s">
        <v>119</v>
      </c>
      <c r="I752">
        <v>1</v>
      </c>
      <c r="J752">
        <v>594.85546925000006</v>
      </c>
      <c r="K752">
        <f t="shared" si="25"/>
        <v>594.85546925000006</v>
      </c>
      <c r="L752">
        <v>55</v>
      </c>
      <c r="M752">
        <f t="shared" si="27"/>
        <v>267.68496116249997</v>
      </c>
      <c r="N752" s="90">
        <v>752</v>
      </c>
      <c r="O752" s="90" t="s">
        <v>1249</v>
      </c>
      <c r="P752" s="118" t="s">
        <v>979</v>
      </c>
      <c r="Q752" s="118" t="s">
        <v>125</v>
      </c>
    </row>
    <row r="753" spans="1:21" x14ac:dyDescent="0.25">
      <c r="A753" s="90" t="s">
        <v>1250</v>
      </c>
      <c r="B753" s="119">
        <v>6</v>
      </c>
      <c r="C753" s="90" t="s">
        <v>1219</v>
      </c>
      <c r="D753" s="90" t="s">
        <v>81</v>
      </c>
      <c r="E753">
        <v>1497</v>
      </c>
      <c r="F753">
        <v>1498</v>
      </c>
      <c r="G753" s="93" t="s">
        <v>78</v>
      </c>
      <c r="H753" t="s">
        <v>299</v>
      </c>
      <c r="I753">
        <v>1</v>
      </c>
      <c r="J753">
        <v>5160.0152807799996</v>
      </c>
      <c r="K753">
        <f t="shared" si="25"/>
        <v>5160.0152807799996</v>
      </c>
      <c r="L753">
        <v>55</v>
      </c>
      <c r="M753">
        <f t="shared" si="27"/>
        <v>2322.0068763509994</v>
      </c>
      <c r="N753" s="90">
        <v>753</v>
      </c>
      <c r="O753" s="90" t="s">
        <v>1251</v>
      </c>
      <c r="P753" s="118" t="s">
        <v>981</v>
      </c>
      <c r="Q753" s="118" t="s">
        <v>125</v>
      </c>
    </row>
    <row r="754" spans="1:21" x14ac:dyDescent="0.25">
      <c r="A754" s="90" t="s">
        <v>1252</v>
      </c>
      <c r="B754" s="119">
        <v>6</v>
      </c>
      <c r="C754" s="90" t="s">
        <v>1219</v>
      </c>
      <c r="D754" s="90" t="s">
        <v>83</v>
      </c>
      <c r="E754">
        <v>1499</v>
      </c>
      <c r="F754">
        <v>1500</v>
      </c>
      <c r="G754" s="93" t="s">
        <v>78</v>
      </c>
      <c r="H754" t="s">
        <v>139</v>
      </c>
      <c r="I754">
        <v>0</v>
      </c>
      <c r="J754">
        <v>227.32713613000001</v>
      </c>
      <c r="K754">
        <f t="shared" si="25"/>
        <v>0</v>
      </c>
      <c r="L754">
        <v>55</v>
      </c>
      <c r="M754">
        <f t="shared" si="27"/>
        <v>0</v>
      </c>
      <c r="N754" s="90">
        <v>754</v>
      </c>
      <c r="O754" s="90" t="s">
        <v>1253</v>
      </c>
      <c r="P754" s="118" t="s">
        <v>2548</v>
      </c>
      <c r="Q754" s="118" t="s">
        <v>125</v>
      </c>
    </row>
    <row r="755" spans="1:21" x14ac:dyDescent="0.25">
      <c r="A755" s="90" t="s">
        <v>1254</v>
      </c>
      <c r="B755" s="119">
        <v>4</v>
      </c>
      <c r="C755" s="90" t="s">
        <v>812</v>
      </c>
      <c r="D755" s="90" t="s">
        <v>1771</v>
      </c>
      <c r="E755">
        <v>1503</v>
      </c>
      <c r="F755">
        <v>1556</v>
      </c>
      <c r="G755" s="93" t="s">
        <v>68</v>
      </c>
      <c r="H755" t="s">
        <v>1255</v>
      </c>
      <c r="I755">
        <v>1</v>
      </c>
      <c r="J755">
        <f>SUM(K756,K758,K760,K770)</f>
        <v>639028.71215123998</v>
      </c>
      <c r="K755">
        <f t="shared" si="25"/>
        <v>639028.71215123998</v>
      </c>
      <c r="L755">
        <f>100*(1-(M755/K755))</f>
        <v>55.000000000000007</v>
      </c>
      <c r="M755">
        <f>I755*SUM(M756,M758,M760,M770)</f>
        <v>287562.92046805797</v>
      </c>
      <c r="N755" s="90">
        <v>755</v>
      </c>
      <c r="O755" s="90" t="s">
        <v>1256</v>
      </c>
      <c r="P755" s="118" t="s">
        <v>984</v>
      </c>
      <c r="Q755" s="118" t="s">
        <v>125</v>
      </c>
      <c r="R755" s="90" t="s">
        <v>2291</v>
      </c>
      <c r="S755" s="90" t="s">
        <v>2395</v>
      </c>
      <c r="T755" s="90" t="s">
        <v>2447</v>
      </c>
      <c r="U755" s="90" t="s">
        <v>2343</v>
      </c>
    </row>
    <row r="756" spans="1:21" x14ac:dyDescent="0.25">
      <c r="A756" s="90" t="s">
        <v>1257</v>
      </c>
      <c r="B756" s="119">
        <v>5</v>
      </c>
      <c r="C756" s="90" t="s">
        <v>1254</v>
      </c>
      <c r="D756" s="90" t="s">
        <v>78</v>
      </c>
      <c r="E756">
        <v>1504</v>
      </c>
      <c r="F756">
        <v>1507</v>
      </c>
      <c r="G756" s="93" t="s">
        <v>68</v>
      </c>
      <c r="H756" t="s">
        <v>856</v>
      </c>
      <c r="I756">
        <v>122</v>
      </c>
      <c r="J756">
        <f>SUM(K757)</f>
        <v>214.52947918000001</v>
      </c>
      <c r="K756">
        <f t="shared" si="25"/>
        <v>26172.596459960001</v>
      </c>
      <c r="L756">
        <f>100*(1-(M756/K756))</f>
        <v>55.000000000000007</v>
      </c>
      <c r="M756">
        <f>I756*SUM(M757)</f>
        <v>11777.668406982</v>
      </c>
      <c r="N756" s="90">
        <v>756</v>
      </c>
      <c r="O756" s="90" t="s">
        <v>1258</v>
      </c>
      <c r="P756" s="118" t="s">
        <v>986</v>
      </c>
      <c r="Q756" s="118" t="s">
        <v>125</v>
      </c>
      <c r="R756" s="90" t="s">
        <v>1886</v>
      </c>
      <c r="S756" s="90" t="s">
        <v>2120</v>
      </c>
      <c r="T756" s="90" t="s">
        <v>2237</v>
      </c>
      <c r="U756" s="90" t="s">
        <v>2003</v>
      </c>
    </row>
    <row r="757" spans="1:21" x14ac:dyDescent="0.25">
      <c r="A757" s="90" t="s">
        <v>1259</v>
      </c>
      <c r="B757" s="119">
        <v>6</v>
      </c>
      <c r="C757" s="90" t="s">
        <v>1257</v>
      </c>
      <c r="D757" s="90" t="s">
        <v>78</v>
      </c>
      <c r="E757">
        <v>1505</v>
      </c>
      <c r="F757">
        <v>1506</v>
      </c>
      <c r="G757" s="93" t="s">
        <v>78</v>
      </c>
      <c r="H757" t="s">
        <v>203</v>
      </c>
      <c r="I757">
        <v>1</v>
      </c>
      <c r="J757">
        <v>214.52947918000001</v>
      </c>
      <c r="K757">
        <f t="shared" si="25"/>
        <v>214.52947918000001</v>
      </c>
      <c r="L757">
        <v>55</v>
      </c>
      <c r="M757">
        <f>(1-(L757/100))*K757</f>
        <v>96.538265631000002</v>
      </c>
      <c r="N757" s="90">
        <v>757</v>
      </c>
      <c r="O757" s="90" t="s">
        <v>1260</v>
      </c>
      <c r="P757" s="118" t="s">
        <v>988</v>
      </c>
      <c r="Q757" s="118" t="s">
        <v>125</v>
      </c>
    </row>
    <row r="758" spans="1:21" x14ac:dyDescent="0.25">
      <c r="A758" s="90" t="s">
        <v>1261</v>
      </c>
      <c r="B758" s="119">
        <v>5</v>
      </c>
      <c r="C758" s="90" t="s">
        <v>1254</v>
      </c>
      <c r="D758" s="90" t="s">
        <v>79</v>
      </c>
      <c r="E758">
        <v>1508</v>
      </c>
      <c r="F758">
        <v>1511</v>
      </c>
      <c r="G758" s="93" t="s">
        <v>68</v>
      </c>
      <c r="H758" t="s">
        <v>861</v>
      </c>
      <c r="I758">
        <v>288</v>
      </c>
      <c r="J758">
        <f>SUM(K759)</f>
        <v>214.52947918000001</v>
      </c>
      <c r="K758">
        <f t="shared" si="25"/>
        <v>61784.490003840001</v>
      </c>
      <c r="L758">
        <f>100*(1-(M758/K758))</f>
        <v>55.000000000000007</v>
      </c>
      <c r="M758">
        <f>I758*SUM(M759)</f>
        <v>27803.020501728002</v>
      </c>
      <c r="N758" s="90">
        <v>758</v>
      </c>
      <c r="O758" s="90" t="s">
        <v>1262</v>
      </c>
      <c r="P758" s="118" t="s">
        <v>2549</v>
      </c>
      <c r="Q758" s="118" t="s">
        <v>125</v>
      </c>
      <c r="R758" s="90" t="s">
        <v>1887</v>
      </c>
      <c r="S758" s="90" t="s">
        <v>2121</v>
      </c>
      <c r="T758" s="90" t="s">
        <v>2238</v>
      </c>
      <c r="U758" s="90" t="s">
        <v>2004</v>
      </c>
    </row>
    <row r="759" spans="1:21" x14ac:dyDescent="0.25">
      <c r="A759" s="90" t="s">
        <v>1263</v>
      </c>
      <c r="B759" s="119">
        <v>6</v>
      </c>
      <c r="C759" s="90" t="s">
        <v>1261</v>
      </c>
      <c r="D759" s="90" t="s">
        <v>78</v>
      </c>
      <c r="E759">
        <v>1509</v>
      </c>
      <c r="F759">
        <v>1510</v>
      </c>
      <c r="G759" s="93" t="s">
        <v>78</v>
      </c>
      <c r="H759" t="s">
        <v>205</v>
      </c>
      <c r="I759">
        <v>1</v>
      </c>
      <c r="J759">
        <v>214.52947918000001</v>
      </c>
      <c r="K759">
        <f t="shared" si="25"/>
        <v>214.52947918000001</v>
      </c>
      <c r="L759">
        <v>55</v>
      </c>
      <c r="M759">
        <f>(1-(L759/100))*K759</f>
        <v>96.538265631000002</v>
      </c>
      <c r="N759" s="90">
        <v>759</v>
      </c>
      <c r="O759" s="90" t="s">
        <v>1264</v>
      </c>
      <c r="P759" s="118" t="s">
        <v>990</v>
      </c>
      <c r="Q759" s="118" t="s">
        <v>125</v>
      </c>
    </row>
    <row r="760" spans="1:21" x14ac:dyDescent="0.25">
      <c r="A760" s="90" t="s">
        <v>1265</v>
      </c>
      <c r="B760" s="119">
        <v>5</v>
      </c>
      <c r="C760" s="90" t="s">
        <v>1254</v>
      </c>
      <c r="D760" s="90" t="s">
        <v>80</v>
      </c>
      <c r="E760">
        <v>1512</v>
      </c>
      <c r="F760">
        <v>1531</v>
      </c>
      <c r="G760" s="93" t="s">
        <v>68</v>
      </c>
      <c r="H760" t="s">
        <v>1266</v>
      </c>
      <c r="I760">
        <v>26</v>
      </c>
      <c r="J760">
        <f>SUM(K761,K762,K763,K764,K765,K766,K767,K768,K769)</f>
        <v>11176.71252644</v>
      </c>
      <c r="K760">
        <f t="shared" si="25"/>
        <v>290594.52568744001</v>
      </c>
      <c r="L760">
        <f>100*(1-(M760/K760))</f>
        <v>55.000000000000007</v>
      </c>
      <c r="M760">
        <f>I760*SUM(M761,M762,M763,M764,M765,M766,M767,M768,M769)</f>
        <v>130767.53655934799</v>
      </c>
      <c r="N760" s="90">
        <v>760</v>
      </c>
      <c r="O760" s="90" t="s">
        <v>1267</v>
      </c>
      <c r="P760" s="118" t="s">
        <v>992</v>
      </c>
      <c r="Q760" s="118" t="s">
        <v>125</v>
      </c>
      <c r="R760" s="90" t="s">
        <v>1888</v>
      </c>
      <c r="S760" s="90" t="s">
        <v>2122</v>
      </c>
      <c r="T760" s="90" t="s">
        <v>2239</v>
      </c>
      <c r="U760" s="90" t="s">
        <v>2005</v>
      </c>
    </row>
    <row r="761" spans="1:21" x14ac:dyDescent="0.25">
      <c r="A761" s="90" t="s">
        <v>1268</v>
      </c>
      <c r="B761" s="119">
        <v>6</v>
      </c>
      <c r="C761" s="90" t="s">
        <v>1265</v>
      </c>
      <c r="D761" s="90" t="s">
        <v>78</v>
      </c>
      <c r="E761">
        <v>1513</v>
      </c>
      <c r="F761">
        <v>1514</v>
      </c>
      <c r="G761" s="93" t="s">
        <v>78</v>
      </c>
      <c r="H761" t="s">
        <v>201</v>
      </c>
      <c r="I761">
        <v>1</v>
      </c>
      <c r="J761">
        <v>7211.7152680500003</v>
      </c>
      <c r="K761">
        <f t="shared" si="25"/>
        <v>7211.7152680500003</v>
      </c>
      <c r="L761">
        <v>55</v>
      </c>
      <c r="M761">
        <f t="shared" ref="M761:M769" si="28">(1-(L761/100))*K761</f>
        <v>3245.2718706224996</v>
      </c>
      <c r="N761" s="90">
        <v>761</v>
      </c>
      <c r="O761" s="90" t="s">
        <v>1269</v>
      </c>
      <c r="P761" s="118" t="s">
        <v>2550</v>
      </c>
      <c r="Q761" s="118" t="s">
        <v>125</v>
      </c>
    </row>
    <row r="762" spans="1:21" x14ac:dyDescent="0.25">
      <c r="A762" s="90" t="s">
        <v>1270</v>
      </c>
      <c r="B762" s="119">
        <v>6</v>
      </c>
      <c r="C762" s="90" t="s">
        <v>1265</v>
      </c>
      <c r="D762" s="90" t="s">
        <v>79</v>
      </c>
      <c r="E762">
        <v>1515</v>
      </c>
      <c r="F762">
        <v>1516</v>
      </c>
      <c r="G762" s="93" t="s">
        <v>78</v>
      </c>
      <c r="H762" t="s">
        <v>141</v>
      </c>
      <c r="I762">
        <v>1</v>
      </c>
      <c r="J762">
        <v>33.99</v>
      </c>
      <c r="K762">
        <f t="shared" si="25"/>
        <v>33.99</v>
      </c>
      <c r="L762">
        <v>55</v>
      </c>
      <c r="M762">
        <f t="shared" si="28"/>
        <v>15.295499999999999</v>
      </c>
      <c r="N762" s="90">
        <v>762</v>
      </c>
      <c r="O762" s="90" t="s">
        <v>1271</v>
      </c>
      <c r="P762" s="118" t="s">
        <v>995</v>
      </c>
      <c r="Q762" s="118" t="s">
        <v>125</v>
      </c>
    </row>
    <row r="763" spans="1:21" x14ac:dyDescent="0.25">
      <c r="A763" s="90" t="s">
        <v>1272</v>
      </c>
      <c r="B763" s="119">
        <v>6</v>
      </c>
      <c r="C763" s="90" t="s">
        <v>1265</v>
      </c>
      <c r="D763" s="90" t="s">
        <v>80</v>
      </c>
      <c r="E763">
        <v>1517</v>
      </c>
      <c r="F763">
        <v>1518</v>
      </c>
      <c r="G763" s="93" t="s">
        <v>78</v>
      </c>
      <c r="H763" t="s">
        <v>871</v>
      </c>
      <c r="I763">
        <v>1</v>
      </c>
      <c r="J763">
        <v>537.64166561000002</v>
      </c>
      <c r="K763">
        <f t="shared" si="25"/>
        <v>537.64166561000002</v>
      </c>
      <c r="L763">
        <v>55</v>
      </c>
      <c r="M763">
        <f t="shared" si="28"/>
        <v>241.9387495245</v>
      </c>
      <c r="N763" s="90">
        <v>763</v>
      </c>
      <c r="O763" s="90" t="s">
        <v>1273</v>
      </c>
      <c r="P763" s="118" t="s">
        <v>997</v>
      </c>
      <c r="Q763" s="118" t="s">
        <v>125</v>
      </c>
    </row>
    <row r="764" spans="1:21" x14ac:dyDescent="0.25">
      <c r="A764" s="90" t="s">
        <v>1274</v>
      </c>
      <c r="B764" s="119">
        <v>6</v>
      </c>
      <c r="C764" s="90" t="s">
        <v>1265</v>
      </c>
      <c r="D764" s="90" t="s">
        <v>95</v>
      </c>
      <c r="E764">
        <v>1519</v>
      </c>
      <c r="F764">
        <v>1520</v>
      </c>
      <c r="G764" s="93" t="s">
        <v>78</v>
      </c>
      <c r="H764" t="s">
        <v>142</v>
      </c>
      <c r="I764">
        <v>1</v>
      </c>
      <c r="J764">
        <v>1625.87546161</v>
      </c>
      <c r="K764">
        <f t="shared" si="25"/>
        <v>1625.87546161</v>
      </c>
      <c r="L764">
        <v>55</v>
      </c>
      <c r="M764">
        <f t="shared" si="28"/>
        <v>731.64395772449996</v>
      </c>
      <c r="N764" s="90">
        <v>764</v>
      </c>
      <c r="O764" s="90" t="s">
        <v>1275</v>
      </c>
      <c r="P764" s="118" t="s">
        <v>999</v>
      </c>
      <c r="Q764" s="118" t="s">
        <v>125</v>
      </c>
    </row>
    <row r="765" spans="1:21" x14ac:dyDescent="0.25">
      <c r="A765" s="90" t="s">
        <v>1276</v>
      </c>
      <c r="B765" s="119">
        <v>6</v>
      </c>
      <c r="C765" s="90" t="s">
        <v>1265</v>
      </c>
      <c r="D765" s="90" t="s">
        <v>96</v>
      </c>
      <c r="E765">
        <v>1521</v>
      </c>
      <c r="F765">
        <v>1522</v>
      </c>
      <c r="G765" s="93" t="s">
        <v>78</v>
      </c>
      <c r="H765" t="s">
        <v>197</v>
      </c>
      <c r="I765">
        <v>0</v>
      </c>
      <c r="J765">
        <v>10880.466063919999</v>
      </c>
      <c r="K765">
        <f t="shared" si="25"/>
        <v>0</v>
      </c>
      <c r="L765">
        <v>55</v>
      </c>
      <c r="M765">
        <f t="shared" si="28"/>
        <v>0</v>
      </c>
      <c r="N765" s="90">
        <v>765</v>
      </c>
      <c r="O765" s="90" t="s">
        <v>1277</v>
      </c>
      <c r="P765" s="118" t="s">
        <v>1001</v>
      </c>
      <c r="Q765" s="118" t="s">
        <v>125</v>
      </c>
    </row>
    <row r="766" spans="1:21" x14ac:dyDescent="0.25">
      <c r="A766" s="90" t="s">
        <v>1278</v>
      </c>
      <c r="B766" s="119">
        <v>6</v>
      </c>
      <c r="C766" s="90" t="s">
        <v>1265</v>
      </c>
      <c r="D766" s="90" t="s">
        <v>103</v>
      </c>
      <c r="E766">
        <v>1523</v>
      </c>
      <c r="F766">
        <v>1524</v>
      </c>
      <c r="G766" s="93" t="s">
        <v>78</v>
      </c>
      <c r="H766" t="s">
        <v>203</v>
      </c>
      <c r="I766">
        <v>0</v>
      </c>
      <c r="J766">
        <v>214.52947918000001</v>
      </c>
      <c r="K766">
        <f t="shared" si="25"/>
        <v>0</v>
      </c>
      <c r="L766">
        <v>55</v>
      </c>
      <c r="M766">
        <f t="shared" si="28"/>
        <v>0</v>
      </c>
      <c r="N766" s="90">
        <v>766</v>
      </c>
      <c r="O766" s="90" t="s">
        <v>1279</v>
      </c>
      <c r="P766" s="118" t="s">
        <v>1003</v>
      </c>
      <c r="Q766" s="118" t="s">
        <v>125</v>
      </c>
    </row>
    <row r="767" spans="1:21" x14ac:dyDescent="0.25">
      <c r="A767" s="90" t="s">
        <v>1280</v>
      </c>
      <c r="B767" s="119">
        <v>6</v>
      </c>
      <c r="C767" s="90" t="s">
        <v>1265</v>
      </c>
      <c r="D767" s="90" t="s">
        <v>1769</v>
      </c>
      <c r="E767">
        <v>1525</v>
      </c>
      <c r="F767">
        <v>1526</v>
      </c>
      <c r="G767" s="93" t="s">
        <v>78</v>
      </c>
      <c r="H767" t="s">
        <v>205</v>
      </c>
      <c r="I767">
        <v>0</v>
      </c>
      <c r="J767">
        <v>214.52947918000001</v>
      </c>
      <c r="K767">
        <f t="shared" si="25"/>
        <v>0</v>
      </c>
      <c r="L767">
        <v>55</v>
      </c>
      <c r="M767">
        <f t="shared" si="28"/>
        <v>0</v>
      </c>
      <c r="N767" s="90">
        <v>767</v>
      </c>
      <c r="O767" s="90" t="s">
        <v>1281</v>
      </c>
      <c r="P767" s="118" t="s">
        <v>1005</v>
      </c>
      <c r="Q767" s="118" t="s">
        <v>125</v>
      </c>
    </row>
    <row r="768" spans="1:21" x14ac:dyDescent="0.25">
      <c r="A768" s="90" t="s">
        <v>1282</v>
      </c>
      <c r="B768" s="119">
        <v>6</v>
      </c>
      <c r="C768" s="90" t="s">
        <v>1265</v>
      </c>
      <c r="D768" s="90" t="s">
        <v>1770</v>
      </c>
      <c r="E768">
        <v>1527</v>
      </c>
      <c r="F768">
        <v>1528</v>
      </c>
      <c r="G768" s="93" t="s">
        <v>78</v>
      </c>
      <c r="H768" t="s">
        <v>194</v>
      </c>
      <c r="I768">
        <v>3</v>
      </c>
      <c r="J768">
        <v>256.72991214000001</v>
      </c>
      <c r="K768">
        <f t="shared" si="25"/>
        <v>770.18973642000003</v>
      </c>
      <c r="L768">
        <v>55</v>
      </c>
      <c r="M768">
        <f t="shared" si="28"/>
        <v>346.58538138899996</v>
      </c>
      <c r="N768" s="90">
        <v>768</v>
      </c>
      <c r="O768" s="90" t="s">
        <v>1283</v>
      </c>
      <c r="P768" s="118" t="s">
        <v>1007</v>
      </c>
      <c r="Q768" s="118" t="s">
        <v>125</v>
      </c>
    </row>
    <row r="769" spans="1:21" x14ac:dyDescent="0.25">
      <c r="A769" s="90" t="s">
        <v>1284</v>
      </c>
      <c r="B769" s="119">
        <v>6</v>
      </c>
      <c r="C769" s="90" t="s">
        <v>1265</v>
      </c>
      <c r="D769" s="90" t="s">
        <v>1771</v>
      </c>
      <c r="E769">
        <v>1529</v>
      </c>
      <c r="F769">
        <v>1530</v>
      </c>
      <c r="G769" s="93" t="s">
        <v>78</v>
      </c>
      <c r="H769" t="s">
        <v>892</v>
      </c>
      <c r="I769">
        <v>1</v>
      </c>
      <c r="J769">
        <v>997.30039475000001</v>
      </c>
      <c r="K769">
        <f t="shared" si="25"/>
        <v>997.30039475000001</v>
      </c>
      <c r="L769">
        <v>55</v>
      </c>
      <c r="M769">
        <f t="shared" si="28"/>
        <v>448.78517763749994</v>
      </c>
      <c r="N769" s="90">
        <v>769</v>
      </c>
      <c r="O769" s="90" t="s">
        <v>1285</v>
      </c>
      <c r="P769" s="118" t="s">
        <v>1009</v>
      </c>
      <c r="Q769" s="118" t="s">
        <v>125</v>
      </c>
    </row>
    <row r="770" spans="1:21" x14ac:dyDescent="0.25">
      <c r="A770" s="90" t="s">
        <v>1286</v>
      </c>
      <c r="B770" s="119">
        <v>5</v>
      </c>
      <c r="C770" s="90" t="s">
        <v>1254</v>
      </c>
      <c r="D770" s="90" t="s">
        <v>95</v>
      </c>
      <c r="E770">
        <v>1532</v>
      </c>
      <c r="F770">
        <v>1555</v>
      </c>
      <c r="G770" s="93" t="s">
        <v>68</v>
      </c>
      <c r="H770" t="s">
        <v>148</v>
      </c>
      <c r="I770">
        <v>26</v>
      </c>
      <c r="J770">
        <f>SUM(K771)</f>
        <v>10018.349999999999</v>
      </c>
      <c r="K770">
        <f t="shared" si="25"/>
        <v>260477.09999999998</v>
      </c>
      <c r="L770">
        <f>100*(1-(M770/K770))</f>
        <v>55.000000000000007</v>
      </c>
      <c r="M770">
        <f>I770*SUM(M771)</f>
        <v>117214.69499999999</v>
      </c>
      <c r="N770" s="90">
        <v>770</v>
      </c>
      <c r="O770" s="90" t="s">
        <v>1287</v>
      </c>
      <c r="P770" s="118" t="s">
        <v>1011</v>
      </c>
      <c r="Q770" s="118" t="s">
        <v>125</v>
      </c>
      <c r="R770" s="90" t="s">
        <v>2292</v>
      </c>
      <c r="S770" s="90" t="s">
        <v>2396</v>
      </c>
      <c r="T770" s="90" t="s">
        <v>2448</v>
      </c>
      <c r="U770" s="90" t="s">
        <v>2344</v>
      </c>
    </row>
    <row r="771" spans="1:21" x14ac:dyDescent="0.25">
      <c r="A771" s="90" t="s">
        <v>1288</v>
      </c>
      <c r="B771" s="119">
        <v>6</v>
      </c>
      <c r="C771" s="90" t="s">
        <v>1286</v>
      </c>
      <c r="D771" s="90" t="s">
        <v>78</v>
      </c>
      <c r="E771">
        <v>1533</v>
      </c>
      <c r="F771">
        <v>1554</v>
      </c>
      <c r="G771" s="93" t="s">
        <v>68</v>
      </c>
      <c r="H771" t="s">
        <v>149</v>
      </c>
      <c r="I771">
        <v>1</v>
      </c>
      <c r="J771">
        <f>SUM(K772,K773,K774,K775,K776,K777,K778,K779,K780,K781)</f>
        <v>10018.349999999999</v>
      </c>
      <c r="K771">
        <f t="shared" ref="K771:K834" si="29">I771*J771</f>
        <v>10018.349999999999</v>
      </c>
      <c r="L771">
        <f>100*(1-(M771/K771))</f>
        <v>55.000000000000007</v>
      </c>
      <c r="M771">
        <f>I771*SUM(M772,M773,M774,M775,M776,M777,M778,M779,M780,M781)</f>
        <v>4508.2574999999997</v>
      </c>
      <c r="N771" s="90">
        <v>771</v>
      </c>
      <c r="O771" s="90" t="s">
        <v>1289</v>
      </c>
      <c r="P771" s="118" t="s">
        <v>1013</v>
      </c>
      <c r="Q771" s="118" t="s">
        <v>125</v>
      </c>
      <c r="R771" s="90" t="s">
        <v>1889</v>
      </c>
      <c r="S771" s="90" t="s">
        <v>2123</v>
      </c>
      <c r="T771" s="90" t="s">
        <v>2240</v>
      </c>
      <c r="U771" s="90" t="s">
        <v>2006</v>
      </c>
    </row>
    <row r="772" spans="1:21" x14ac:dyDescent="0.25">
      <c r="A772" s="90" t="s">
        <v>1290</v>
      </c>
      <c r="B772" s="119">
        <v>7</v>
      </c>
      <c r="C772" s="90" t="s">
        <v>1288</v>
      </c>
      <c r="D772" s="90" t="s">
        <v>78</v>
      </c>
      <c r="E772">
        <v>1534</v>
      </c>
      <c r="F772">
        <v>1535</v>
      </c>
      <c r="G772" s="93" t="s">
        <v>78</v>
      </c>
      <c r="H772" t="s">
        <v>150</v>
      </c>
      <c r="I772">
        <v>1</v>
      </c>
      <c r="J772">
        <v>213.07</v>
      </c>
      <c r="K772">
        <f t="shared" si="29"/>
        <v>213.07</v>
      </c>
      <c r="L772">
        <v>55</v>
      </c>
      <c r="M772">
        <f t="shared" ref="M772:M781" si="30">(1-(L772/100))*K772</f>
        <v>95.881499999999988</v>
      </c>
      <c r="N772" s="90">
        <v>772</v>
      </c>
      <c r="O772" s="90" t="s">
        <v>1291</v>
      </c>
      <c r="P772" s="118" t="s">
        <v>1015</v>
      </c>
      <c r="Q772" s="118" t="s">
        <v>125</v>
      </c>
    </row>
    <row r="773" spans="1:21" x14ac:dyDescent="0.25">
      <c r="A773" s="90" t="s">
        <v>1292</v>
      </c>
      <c r="B773" s="119">
        <v>7</v>
      </c>
      <c r="C773" s="90" t="s">
        <v>1288</v>
      </c>
      <c r="D773" s="90" t="s">
        <v>79</v>
      </c>
      <c r="E773">
        <v>1536</v>
      </c>
      <c r="F773">
        <v>1537</v>
      </c>
      <c r="G773" s="93" t="s">
        <v>78</v>
      </c>
      <c r="H773" t="s">
        <v>151</v>
      </c>
      <c r="I773">
        <v>6</v>
      </c>
      <c r="J773">
        <v>15.02</v>
      </c>
      <c r="K773">
        <f t="shared" si="29"/>
        <v>90.12</v>
      </c>
      <c r="L773">
        <v>55</v>
      </c>
      <c r="M773">
        <f t="shared" si="30"/>
        <v>40.553999999999995</v>
      </c>
      <c r="N773" s="90">
        <v>773</v>
      </c>
      <c r="O773" s="90" t="s">
        <v>1293</v>
      </c>
      <c r="P773" s="118" t="s">
        <v>1017</v>
      </c>
      <c r="Q773" s="118" t="s">
        <v>125</v>
      </c>
    </row>
    <row r="774" spans="1:21" x14ac:dyDescent="0.25">
      <c r="A774" s="90" t="s">
        <v>1294</v>
      </c>
      <c r="B774" s="119">
        <v>7</v>
      </c>
      <c r="C774" s="90" t="s">
        <v>1288</v>
      </c>
      <c r="D774" s="90" t="s">
        <v>80</v>
      </c>
      <c r="E774">
        <v>1538</v>
      </c>
      <c r="F774">
        <v>1539</v>
      </c>
      <c r="G774" s="93" t="s">
        <v>78</v>
      </c>
      <c r="H774" t="s">
        <v>135</v>
      </c>
      <c r="I774">
        <v>1</v>
      </c>
      <c r="J774">
        <v>91.39</v>
      </c>
      <c r="K774">
        <f t="shared" si="29"/>
        <v>91.39</v>
      </c>
      <c r="L774">
        <v>55</v>
      </c>
      <c r="M774">
        <f t="shared" si="30"/>
        <v>41.125499999999995</v>
      </c>
      <c r="N774" s="90">
        <v>774</v>
      </c>
      <c r="O774" s="90" t="s">
        <v>1295</v>
      </c>
      <c r="P774" s="118" t="s">
        <v>1019</v>
      </c>
      <c r="Q774" s="118" t="s">
        <v>125</v>
      </c>
    </row>
    <row r="775" spans="1:21" x14ac:dyDescent="0.25">
      <c r="A775" s="90" t="s">
        <v>1296</v>
      </c>
      <c r="B775" s="119">
        <v>7</v>
      </c>
      <c r="C775" s="90" t="s">
        <v>1288</v>
      </c>
      <c r="D775" s="90" t="s">
        <v>95</v>
      </c>
      <c r="E775">
        <v>1540</v>
      </c>
      <c r="F775">
        <v>1541</v>
      </c>
      <c r="G775" s="93" t="s">
        <v>78</v>
      </c>
      <c r="H775" t="s">
        <v>152</v>
      </c>
      <c r="I775">
        <v>1</v>
      </c>
      <c r="J775">
        <v>11.44</v>
      </c>
      <c r="K775">
        <f t="shared" si="29"/>
        <v>11.44</v>
      </c>
      <c r="L775">
        <v>55</v>
      </c>
      <c r="M775">
        <f t="shared" si="30"/>
        <v>5.1479999999999997</v>
      </c>
      <c r="N775" s="90">
        <v>775</v>
      </c>
      <c r="O775" s="90" t="s">
        <v>1297</v>
      </c>
      <c r="P775" s="118" t="s">
        <v>1021</v>
      </c>
      <c r="Q775" s="118" t="s">
        <v>125</v>
      </c>
    </row>
    <row r="776" spans="1:21" x14ac:dyDescent="0.25">
      <c r="A776" s="90" t="s">
        <v>1298</v>
      </c>
      <c r="B776" s="119">
        <v>7</v>
      </c>
      <c r="C776" s="90" t="s">
        <v>1288</v>
      </c>
      <c r="D776" s="90" t="s">
        <v>96</v>
      </c>
      <c r="E776">
        <v>1542</v>
      </c>
      <c r="F776">
        <v>1543</v>
      </c>
      <c r="G776" s="93" t="s">
        <v>78</v>
      </c>
      <c r="H776" t="s">
        <v>153</v>
      </c>
      <c r="I776">
        <v>1</v>
      </c>
      <c r="J776">
        <v>27.03</v>
      </c>
      <c r="K776">
        <f t="shared" si="29"/>
        <v>27.03</v>
      </c>
      <c r="L776">
        <v>55</v>
      </c>
      <c r="M776">
        <f t="shared" si="30"/>
        <v>12.163499999999999</v>
      </c>
      <c r="N776" s="90">
        <v>776</v>
      </c>
      <c r="O776" s="90" t="s">
        <v>1299</v>
      </c>
      <c r="P776" s="118" t="s">
        <v>1023</v>
      </c>
      <c r="Q776" s="118" t="s">
        <v>125</v>
      </c>
    </row>
    <row r="777" spans="1:21" x14ac:dyDescent="0.25">
      <c r="A777" s="90" t="s">
        <v>1300</v>
      </c>
      <c r="B777" s="119">
        <v>7</v>
      </c>
      <c r="C777" s="90" t="s">
        <v>1288</v>
      </c>
      <c r="D777" s="90" t="s">
        <v>103</v>
      </c>
      <c r="E777">
        <v>1544</v>
      </c>
      <c r="F777">
        <v>1545</v>
      </c>
      <c r="G777" s="93" t="s">
        <v>78</v>
      </c>
      <c r="H777" t="s">
        <v>154</v>
      </c>
      <c r="I777">
        <v>4</v>
      </c>
      <c r="J777">
        <v>54.81</v>
      </c>
      <c r="K777">
        <f t="shared" si="29"/>
        <v>219.24</v>
      </c>
      <c r="L777">
        <v>55</v>
      </c>
      <c r="M777">
        <f t="shared" si="30"/>
        <v>98.658000000000001</v>
      </c>
      <c r="N777" s="90">
        <v>777</v>
      </c>
      <c r="O777" s="90" t="s">
        <v>1301</v>
      </c>
      <c r="P777" s="118" t="s">
        <v>1025</v>
      </c>
      <c r="Q777" s="118" t="s">
        <v>125</v>
      </c>
    </row>
    <row r="778" spans="1:21" x14ac:dyDescent="0.25">
      <c r="A778" s="90" t="s">
        <v>1302</v>
      </c>
      <c r="B778" s="119">
        <v>7</v>
      </c>
      <c r="C778" s="90" t="s">
        <v>1288</v>
      </c>
      <c r="D778" s="90" t="s">
        <v>1769</v>
      </c>
      <c r="E778">
        <v>1546</v>
      </c>
      <c r="F778">
        <v>1547</v>
      </c>
      <c r="G778" s="93" t="s">
        <v>78</v>
      </c>
      <c r="H778" t="s">
        <v>155</v>
      </c>
      <c r="I778">
        <v>1</v>
      </c>
      <c r="J778">
        <v>9009.01</v>
      </c>
      <c r="K778">
        <f t="shared" si="29"/>
        <v>9009.01</v>
      </c>
      <c r="L778">
        <v>55</v>
      </c>
      <c r="M778">
        <f t="shared" si="30"/>
        <v>4054.0544999999997</v>
      </c>
      <c r="N778" s="90">
        <v>778</v>
      </c>
      <c r="O778" s="90" t="s">
        <v>1303</v>
      </c>
      <c r="P778" s="118" t="s">
        <v>1027</v>
      </c>
      <c r="Q778" s="118" t="s">
        <v>125</v>
      </c>
    </row>
    <row r="779" spans="1:21" x14ac:dyDescent="0.25">
      <c r="A779" s="90" t="s">
        <v>1304</v>
      </c>
      <c r="B779" s="119">
        <v>7</v>
      </c>
      <c r="C779" s="90" t="s">
        <v>1288</v>
      </c>
      <c r="D779" s="90" t="s">
        <v>1770</v>
      </c>
      <c r="E779">
        <v>1548</v>
      </c>
      <c r="F779">
        <v>1549</v>
      </c>
      <c r="G779" s="93" t="s">
        <v>78</v>
      </c>
      <c r="H779" t="s">
        <v>156</v>
      </c>
      <c r="I779">
        <v>1</v>
      </c>
      <c r="J779">
        <v>90.09</v>
      </c>
      <c r="K779">
        <f t="shared" si="29"/>
        <v>90.09</v>
      </c>
      <c r="L779">
        <v>55</v>
      </c>
      <c r="M779">
        <f t="shared" si="30"/>
        <v>40.540499999999994</v>
      </c>
      <c r="N779" s="90">
        <v>779</v>
      </c>
      <c r="O779" s="90" t="s">
        <v>1305</v>
      </c>
      <c r="P779" s="118" t="s">
        <v>1029</v>
      </c>
      <c r="Q779" s="118" t="s">
        <v>125</v>
      </c>
    </row>
    <row r="780" spans="1:21" x14ac:dyDescent="0.25">
      <c r="A780" s="90" t="s">
        <v>1306</v>
      </c>
      <c r="B780" s="119">
        <v>7</v>
      </c>
      <c r="C780" s="90" t="s">
        <v>1288</v>
      </c>
      <c r="D780" s="90" t="s">
        <v>1771</v>
      </c>
      <c r="E780">
        <v>1550</v>
      </c>
      <c r="F780">
        <v>1551</v>
      </c>
      <c r="G780" s="93" t="s">
        <v>78</v>
      </c>
      <c r="H780" t="s">
        <v>113</v>
      </c>
      <c r="I780">
        <v>1</v>
      </c>
      <c r="J780">
        <v>121.31</v>
      </c>
      <c r="K780">
        <f t="shared" si="29"/>
        <v>121.31</v>
      </c>
      <c r="L780">
        <v>55</v>
      </c>
      <c r="M780">
        <f t="shared" si="30"/>
        <v>54.589499999999994</v>
      </c>
      <c r="N780" s="90">
        <v>780</v>
      </c>
      <c r="O780" s="90" t="s">
        <v>1307</v>
      </c>
      <c r="P780" s="118" t="s">
        <v>1031</v>
      </c>
      <c r="Q780" s="118" t="s">
        <v>125</v>
      </c>
    </row>
    <row r="781" spans="1:21" x14ac:dyDescent="0.25">
      <c r="A781" s="90" t="s">
        <v>1308</v>
      </c>
      <c r="B781" s="119">
        <v>7</v>
      </c>
      <c r="C781" s="90" t="s">
        <v>1288</v>
      </c>
      <c r="D781" s="90" t="s">
        <v>1772</v>
      </c>
      <c r="E781">
        <v>1552</v>
      </c>
      <c r="F781">
        <v>1553</v>
      </c>
      <c r="G781" s="93" t="s">
        <v>78</v>
      </c>
      <c r="H781" t="s">
        <v>157</v>
      </c>
      <c r="I781">
        <v>1</v>
      </c>
      <c r="J781">
        <v>145.65</v>
      </c>
      <c r="K781">
        <f t="shared" si="29"/>
        <v>145.65</v>
      </c>
      <c r="L781">
        <v>55</v>
      </c>
      <c r="M781">
        <f t="shared" si="30"/>
        <v>65.54249999999999</v>
      </c>
      <c r="N781" s="90">
        <v>781</v>
      </c>
      <c r="O781" s="90" t="s">
        <v>1309</v>
      </c>
      <c r="P781" s="118" t="s">
        <v>1033</v>
      </c>
      <c r="Q781" s="118" t="s">
        <v>125</v>
      </c>
    </row>
    <row r="782" spans="1:21" x14ac:dyDescent="0.25">
      <c r="A782" s="90" t="s">
        <v>1310</v>
      </c>
      <c r="B782" s="119">
        <v>4</v>
      </c>
      <c r="C782" s="90" t="s">
        <v>812</v>
      </c>
      <c r="D782" s="90" t="s">
        <v>1772</v>
      </c>
      <c r="E782">
        <v>1557</v>
      </c>
      <c r="F782">
        <v>1608</v>
      </c>
      <c r="G782" s="93" t="s">
        <v>68</v>
      </c>
      <c r="H782" t="s">
        <v>1311</v>
      </c>
      <c r="I782">
        <v>1</v>
      </c>
      <c r="J782">
        <f>SUM(K783,K785,K787,K796)</f>
        <v>184267.20439594</v>
      </c>
      <c r="K782">
        <f t="shared" si="29"/>
        <v>184267.20439594</v>
      </c>
      <c r="L782">
        <f>100*(1-(M782/K782))</f>
        <v>55.000000000000007</v>
      </c>
      <c r="M782">
        <f>I782*SUM(M783,M785,M787,M796)</f>
        <v>82920.241978172999</v>
      </c>
      <c r="N782" s="90">
        <v>782</v>
      </c>
      <c r="O782" s="90" t="s">
        <v>1312</v>
      </c>
      <c r="P782" s="118" t="s">
        <v>1035</v>
      </c>
      <c r="Q782" s="118" t="s">
        <v>125</v>
      </c>
      <c r="R782" s="90" t="s">
        <v>2274</v>
      </c>
      <c r="S782" s="90" t="s">
        <v>2378</v>
      </c>
      <c r="T782" s="90" t="s">
        <v>2430</v>
      </c>
      <c r="U782" s="90" t="s">
        <v>2326</v>
      </c>
    </row>
    <row r="783" spans="1:21" x14ac:dyDescent="0.25">
      <c r="A783" s="90" t="s">
        <v>1313</v>
      </c>
      <c r="B783" s="119">
        <v>5</v>
      </c>
      <c r="C783" s="90" t="s">
        <v>1310</v>
      </c>
      <c r="D783" s="90" t="s">
        <v>78</v>
      </c>
      <c r="E783">
        <v>1558</v>
      </c>
      <c r="F783">
        <v>1561</v>
      </c>
      <c r="G783" s="93" t="s">
        <v>68</v>
      </c>
      <c r="H783" t="s">
        <v>856</v>
      </c>
      <c r="I783">
        <v>42</v>
      </c>
      <c r="J783">
        <f>SUM(K784)</f>
        <v>214.52947918000001</v>
      </c>
      <c r="K783">
        <f t="shared" si="29"/>
        <v>9010.2381255600012</v>
      </c>
      <c r="L783">
        <f>100*(1-(M783/K783))</f>
        <v>55.000000000000007</v>
      </c>
      <c r="M783">
        <f>I783*SUM(M784)</f>
        <v>4054.6071565020002</v>
      </c>
      <c r="N783" s="90">
        <v>783</v>
      </c>
      <c r="O783" s="90" t="s">
        <v>1314</v>
      </c>
      <c r="P783" s="118" t="s">
        <v>1037</v>
      </c>
      <c r="Q783" s="118" t="s">
        <v>125</v>
      </c>
      <c r="R783" s="90" t="s">
        <v>1839</v>
      </c>
      <c r="S783" s="90" t="s">
        <v>2073</v>
      </c>
      <c r="T783" s="90" t="s">
        <v>2190</v>
      </c>
      <c r="U783" s="90" t="s">
        <v>1956</v>
      </c>
    </row>
    <row r="784" spans="1:21" x14ac:dyDescent="0.25">
      <c r="A784" s="90" t="s">
        <v>1315</v>
      </c>
      <c r="B784" s="119">
        <v>6</v>
      </c>
      <c r="C784" s="90" t="s">
        <v>1313</v>
      </c>
      <c r="D784" s="90" t="s">
        <v>78</v>
      </c>
      <c r="E784">
        <v>1559</v>
      </c>
      <c r="F784">
        <v>1560</v>
      </c>
      <c r="G784" s="93" t="s">
        <v>78</v>
      </c>
      <c r="H784" t="s">
        <v>203</v>
      </c>
      <c r="I784">
        <v>1</v>
      </c>
      <c r="J784">
        <v>214.52947918000001</v>
      </c>
      <c r="K784">
        <f t="shared" si="29"/>
        <v>214.52947918000001</v>
      </c>
      <c r="L784">
        <v>55</v>
      </c>
      <c r="M784">
        <f>(1-(L784/100))*K784</f>
        <v>96.538265631000002</v>
      </c>
      <c r="N784" s="90">
        <v>784</v>
      </c>
      <c r="O784" s="90" t="s">
        <v>1316</v>
      </c>
      <c r="P784" s="118" t="s">
        <v>1039</v>
      </c>
      <c r="Q784" s="118" t="s">
        <v>125</v>
      </c>
    </row>
    <row r="785" spans="1:21" x14ac:dyDescent="0.25">
      <c r="A785" s="90" t="s">
        <v>1317</v>
      </c>
      <c r="B785" s="119">
        <v>5</v>
      </c>
      <c r="C785" s="90" t="s">
        <v>1310</v>
      </c>
      <c r="D785" s="90" t="s">
        <v>79</v>
      </c>
      <c r="E785">
        <v>1562</v>
      </c>
      <c r="F785">
        <v>1565</v>
      </c>
      <c r="G785" s="93" t="s">
        <v>68</v>
      </c>
      <c r="H785" t="s">
        <v>861</v>
      </c>
      <c r="I785">
        <v>100</v>
      </c>
      <c r="J785">
        <f>SUM(K786)</f>
        <v>214.52947918000001</v>
      </c>
      <c r="K785">
        <f t="shared" si="29"/>
        <v>21452.947918000002</v>
      </c>
      <c r="L785">
        <f>100*(1-(M785/K785))</f>
        <v>55.000000000000007</v>
      </c>
      <c r="M785">
        <f>I785*SUM(M786)</f>
        <v>9653.8265630999995</v>
      </c>
      <c r="N785" s="90">
        <v>785</v>
      </c>
      <c r="O785" s="90" t="s">
        <v>1318</v>
      </c>
      <c r="P785" s="118" t="s">
        <v>1041</v>
      </c>
      <c r="Q785" s="118" t="s">
        <v>125</v>
      </c>
      <c r="R785" s="90" t="s">
        <v>1840</v>
      </c>
      <c r="S785" s="90" t="s">
        <v>2074</v>
      </c>
      <c r="T785" s="90" t="s">
        <v>2191</v>
      </c>
      <c r="U785" s="90" t="s">
        <v>1957</v>
      </c>
    </row>
    <row r="786" spans="1:21" x14ac:dyDescent="0.25">
      <c r="A786" s="90" t="s">
        <v>1319</v>
      </c>
      <c r="B786" s="119">
        <v>6</v>
      </c>
      <c r="C786" s="90" t="s">
        <v>1317</v>
      </c>
      <c r="D786" s="90" t="s">
        <v>78</v>
      </c>
      <c r="E786">
        <v>1563</v>
      </c>
      <c r="F786">
        <v>1564</v>
      </c>
      <c r="G786" s="93" t="s">
        <v>78</v>
      </c>
      <c r="H786" t="s">
        <v>205</v>
      </c>
      <c r="I786">
        <v>1</v>
      </c>
      <c r="J786">
        <v>214.52947918000001</v>
      </c>
      <c r="K786">
        <f t="shared" si="29"/>
        <v>214.52947918000001</v>
      </c>
      <c r="L786">
        <v>55</v>
      </c>
      <c r="M786">
        <f>(1-(L786/100))*K786</f>
        <v>96.538265631000002</v>
      </c>
      <c r="N786" s="90">
        <v>786</v>
      </c>
      <c r="O786" s="90" t="s">
        <v>1320</v>
      </c>
      <c r="P786" s="118" t="s">
        <v>1043</v>
      </c>
      <c r="Q786" s="118" t="s">
        <v>125</v>
      </c>
    </row>
    <row r="787" spans="1:21" x14ac:dyDescent="0.25">
      <c r="A787" s="90" t="s">
        <v>1321</v>
      </c>
      <c r="B787" s="119">
        <v>5</v>
      </c>
      <c r="C787" s="90" t="s">
        <v>1310</v>
      </c>
      <c r="D787" s="90" t="s">
        <v>80</v>
      </c>
      <c r="E787">
        <v>1566</v>
      </c>
      <c r="F787">
        <v>1583</v>
      </c>
      <c r="G787" s="93" t="s">
        <v>68</v>
      </c>
      <c r="H787" t="s">
        <v>1322</v>
      </c>
      <c r="I787">
        <v>6</v>
      </c>
      <c r="J787">
        <f>SUM(K788,K789,K790,K791,K792,K793,K794,K795)</f>
        <v>15615.65305873</v>
      </c>
      <c r="K787">
        <f t="shared" si="29"/>
        <v>93693.918352380002</v>
      </c>
      <c r="L787">
        <f>100*(1-(M787/K787))</f>
        <v>55.000000000000007</v>
      </c>
      <c r="M787">
        <f>I787*SUM(M788,M789,M790,M791,M792,M793,M794,M795)</f>
        <v>42162.263258570994</v>
      </c>
      <c r="N787" s="90">
        <v>787</v>
      </c>
      <c r="O787" s="90" t="s">
        <v>1323</v>
      </c>
      <c r="P787" s="118" t="s">
        <v>1045</v>
      </c>
      <c r="Q787" s="118" t="s">
        <v>125</v>
      </c>
      <c r="R787" s="90" t="s">
        <v>1841</v>
      </c>
      <c r="S787" s="90" t="s">
        <v>2075</v>
      </c>
      <c r="T787" s="90" t="s">
        <v>2192</v>
      </c>
      <c r="U787" s="90" t="s">
        <v>1958</v>
      </c>
    </row>
    <row r="788" spans="1:21" x14ac:dyDescent="0.25">
      <c r="A788" s="90" t="s">
        <v>1324</v>
      </c>
      <c r="B788" s="119">
        <v>6</v>
      </c>
      <c r="C788" s="90" t="s">
        <v>1321</v>
      </c>
      <c r="D788" s="90" t="s">
        <v>78</v>
      </c>
      <c r="E788">
        <v>1567</v>
      </c>
      <c r="F788">
        <v>1568</v>
      </c>
      <c r="G788" s="93" t="s">
        <v>78</v>
      </c>
      <c r="H788" t="s">
        <v>141</v>
      </c>
      <c r="I788">
        <v>1</v>
      </c>
      <c r="J788">
        <v>33.99</v>
      </c>
      <c r="K788">
        <f t="shared" si="29"/>
        <v>33.99</v>
      </c>
      <c r="L788">
        <v>55</v>
      </c>
      <c r="M788">
        <f t="shared" ref="M788:M795" si="31">(1-(L788/100))*K788</f>
        <v>15.295499999999999</v>
      </c>
      <c r="N788" s="90">
        <v>788</v>
      </c>
      <c r="O788" s="90" t="s">
        <v>1325</v>
      </c>
      <c r="P788" s="118" t="s">
        <v>1047</v>
      </c>
      <c r="Q788" s="118" t="s">
        <v>125</v>
      </c>
    </row>
    <row r="789" spans="1:21" x14ac:dyDescent="0.25">
      <c r="A789" s="90" t="s">
        <v>1326</v>
      </c>
      <c r="B789" s="119">
        <v>6</v>
      </c>
      <c r="C789" s="90" t="s">
        <v>1321</v>
      </c>
      <c r="D789" s="90" t="s">
        <v>79</v>
      </c>
      <c r="E789">
        <v>1569</v>
      </c>
      <c r="F789">
        <v>1570</v>
      </c>
      <c r="G789" s="93" t="s">
        <v>78</v>
      </c>
      <c r="H789" t="s">
        <v>871</v>
      </c>
      <c r="I789">
        <v>1</v>
      </c>
      <c r="J789">
        <v>537.64166561000002</v>
      </c>
      <c r="K789">
        <f t="shared" si="29"/>
        <v>537.64166561000002</v>
      </c>
      <c r="L789">
        <v>55</v>
      </c>
      <c r="M789">
        <f t="shared" si="31"/>
        <v>241.9387495245</v>
      </c>
      <c r="N789" s="90">
        <v>789</v>
      </c>
      <c r="O789" s="90" t="s">
        <v>1327</v>
      </c>
      <c r="P789" s="118" t="s">
        <v>2551</v>
      </c>
      <c r="Q789" s="118" t="s">
        <v>125</v>
      </c>
    </row>
    <row r="790" spans="1:21" x14ac:dyDescent="0.25">
      <c r="A790" s="90" t="s">
        <v>1328</v>
      </c>
      <c r="B790" s="119">
        <v>6</v>
      </c>
      <c r="C790" s="90" t="s">
        <v>1321</v>
      </c>
      <c r="D790" s="90" t="s">
        <v>80</v>
      </c>
      <c r="E790">
        <v>1571</v>
      </c>
      <c r="F790">
        <v>1572</v>
      </c>
      <c r="G790" s="93" t="s">
        <v>78</v>
      </c>
      <c r="H790" t="s">
        <v>142</v>
      </c>
      <c r="I790">
        <v>1</v>
      </c>
      <c r="J790">
        <v>1625.87546161</v>
      </c>
      <c r="K790">
        <f t="shared" si="29"/>
        <v>1625.87546161</v>
      </c>
      <c r="L790">
        <v>55</v>
      </c>
      <c r="M790">
        <f t="shared" si="31"/>
        <v>731.64395772449996</v>
      </c>
      <c r="N790" s="90">
        <v>790</v>
      </c>
      <c r="O790" s="90" t="s">
        <v>1329</v>
      </c>
      <c r="P790" s="118" t="s">
        <v>1050</v>
      </c>
      <c r="Q790" s="118" t="s">
        <v>125</v>
      </c>
    </row>
    <row r="791" spans="1:21" x14ac:dyDescent="0.25">
      <c r="A791" s="90" t="s">
        <v>1330</v>
      </c>
      <c r="B791" s="119">
        <v>6</v>
      </c>
      <c r="C791" s="90" t="s">
        <v>1321</v>
      </c>
      <c r="D791" s="90" t="s">
        <v>95</v>
      </c>
      <c r="E791">
        <v>1573</v>
      </c>
      <c r="F791">
        <v>1574</v>
      </c>
      <c r="G791" s="93" t="s">
        <v>78</v>
      </c>
      <c r="H791" t="s">
        <v>197</v>
      </c>
      <c r="I791">
        <v>1</v>
      </c>
      <c r="J791">
        <v>10880.466063919999</v>
      </c>
      <c r="K791">
        <f t="shared" si="29"/>
        <v>10880.466063919999</v>
      </c>
      <c r="L791">
        <v>55</v>
      </c>
      <c r="M791">
        <f t="shared" si="31"/>
        <v>4896.209728763999</v>
      </c>
      <c r="N791" s="90">
        <v>791</v>
      </c>
      <c r="O791" s="90" t="s">
        <v>1331</v>
      </c>
      <c r="P791" s="118" t="s">
        <v>1052</v>
      </c>
      <c r="Q791" s="118" t="s">
        <v>125</v>
      </c>
    </row>
    <row r="792" spans="1:21" x14ac:dyDescent="0.25">
      <c r="A792" s="90" t="s">
        <v>1332</v>
      </c>
      <c r="B792" s="119">
        <v>6</v>
      </c>
      <c r="C792" s="90" t="s">
        <v>1321</v>
      </c>
      <c r="D792" s="90" t="s">
        <v>96</v>
      </c>
      <c r="E792">
        <v>1575</v>
      </c>
      <c r="F792">
        <v>1576</v>
      </c>
      <c r="G792" s="93" t="s">
        <v>78</v>
      </c>
      <c r="H792" t="s">
        <v>203</v>
      </c>
      <c r="I792">
        <v>0</v>
      </c>
      <c r="J792">
        <v>214.52947918000001</v>
      </c>
      <c r="K792">
        <f t="shared" si="29"/>
        <v>0</v>
      </c>
      <c r="L792">
        <v>55</v>
      </c>
      <c r="M792">
        <f t="shared" si="31"/>
        <v>0</v>
      </c>
      <c r="N792" s="90">
        <v>792</v>
      </c>
      <c r="O792" s="90" t="s">
        <v>1333</v>
      </c>
      <c r="P792" s="118" t="s">
        <v>1054</v>
      </c>
      <c r="Q792" s="118" t="s">
        <v>125</v>
      </c>
    </row>
    <row r="793" spans="1:21" x14ac:dyDescent="0.25">
      <c r="A793" s="90" t="s">
        <v>1334</v>
      </c>
      <c r="B793" s="119">
        <v>6</v>
      </c>
      <c r="C793" s="90" t="s">
        <v>1321</v>
      </c>
      <c r="D793" s="90" t="s">
        <v>103</v>
      </c>
      <c r="E793">
        <v>1577</v>
      </c>
      <c r="F793">
        <v>1578</v>
      </c>
      <c r="G793" s="93" t="s">
        <v>78</v>
      </c>
      <c r="H793" t="s">
        <v>205</v>
      </c>
      <c r="I793">
        <v>0</v>
      </c>
      <c r="J793">
        <v>214.52947918000001</v>
      </c>
      <c r="K793">
        <f t="shared" si="29"/>
        <v>0</v>
      </c>
      <c r="L793">
        <v>55</v>
      </c>
      <c r="M793">
        <f t="shared" si="31"/>
        <v>0</v>
      </c>
      <c r="N793" s="90">
        <v>793</v>
      </c>
      <c r="O793" s="90" t="s">
        <v>1335</v>
      </c>
      <c r="P793" s="118" t="s">
        <v>2552</v>
      </c>
      <c r="Q793" s="118" t="s">
        <v>125</v>
      </c>
    </row>
    <row r="794" spans="1:21" x14ac:dyDescent="0.25">
      <c r="A794" s="90" t="s">
        <v>1336</v>
      </c>
      <c r="B794" s="119">
        <v>6</v>
      </c>
      <c r="C794" s="90" t="s">
        <v>1321</v>
      </c>
      <c r="D794" s="90" t="s">
        <v>1769</v>
      </c>
      <c r="E794">
        <v>1579</v>
      </c>
      <c r="F794">
        <v>1580</v>
      </c>
      <c r="G794" s="93" t="s">
        <v>78</v>
      </c>
      <c r="H794" t="s">
        <v>194</v>
      </c>
      <c r="I794">
        <v>6</v>
      </c>
      <c r="J794">
        <v>256.72991214000001</v>
      </c>
      <c r="K794">
        <f t="shared" si="29"/>
        <v>1540.3794728400001</v>
      </c>
      <c r="L794">
        <v>55</v>
      </c>
      <c r="M794">
        <f t="shared" si="31"/>
        <v>693.17076277799993</v>
      </c>
      <c r="N794" s="90">
        <v>794</v>
      </c>
      <c r="O794" s="90" t="s">
        <v>1337</v>
      </c>
      <c r="P794" s="118" t="s">
        <v>1056</v>
      </c>
      <c r="Q794" s="118" t="s">
        <v>125</v>
      </c>
    </row>
    <row r="795" spans="1:21" x14ac:dyDescent="0.25">
      <c r="A795" s="90" t="s">
        <v>1338</v>
      </c>
      <c r="B795" s="119">
        <v>6</v>
      </c>
      <c r="C795" s="90" t="s">
        <v>1321</v>
      </c>
      <c r="D795" s="90" t="s">
        <v>1770</v>
      </c>
      <c r="E795">
        <v>1581</v>
      </c>
      <c r="F795">
        <v>1582</v>
      </c>
      <c r="G795" s="93" t="s">
        <v>78</v>
      </c>
      <c r="H795" t="s">
        <v>892</v>
      </c>
      <c r="I795">
        <v>1</v>
      </c>
      <c r="J795">
        <v>997.30039475000001</v>
      </c>
      <c r="K795">
        <f t="shared" si="29"/>
        <v>997.30039475000001</v>
      </c>
      <c r="L795">
        <v>55</v>
      </c>
      <c r="M795">
        <f t="shared" si="31"/>
        <v>448.78517763749994</v>
      </c>
      <c r="N795" s="90">
        <v>795</v>
      </c>
      <c r="O795" s="90" t="s">
        <v>1339</v>
      </c>
      <c r="P795" s="118" t="s">
        <v>1058</v>
      </c>
      <c r="Q795" s="118" t="s">
        <v>125</v>
      </c>
    </row>
    <row r="796" spans="1:21" x14ac:dyDescent="0.25">
      <c r="A796" s="90" t="s">
        <v>1340</v>
      </c>
      <c r="B796" s="119">
        <v>5</v>
      </c>
      <c r="C796" s="90" t="s">
        <v>1310</v>
      </c>
      <c r="D796" s="90" t="s">
        <v>95</v>
      </c>
      <c r="E796">
        <v>1584</v>
      </c>
      <c r="F796">
        <v>1607</v>
      </c>
      <c r="G796" s="93" t="s">
        <v>68</v>
      </c>
      <c r="H796" t="s">
        <v>148</v>
      </c>
      <c r="I796">
        <v>6</v>
      </c>
      <c r="J796">
        <f>SUM(K797)</f>
        <v>10018.349999999999</v>
      </c>
      <c r="K796">
        <f t="shared" si="29"/>
        <v>60110.099999999991</v>
      </c>
      <c r="L796">
        <f>100*(1-(M796/K796))</f>
        <v>55.000000000000007</v>
      </c>
      <c r="M796">
        <f>I796*SUM(M797)</f>
        <v>27049.544999999998</v>
      </c>
      <c r="N796" s="90">
        <v>796</v>
      </c>
      <c r="O796" s="90" t="s">
        <v>1341</v>
      </c>
      <c r="P796" s="118" t="s">
        <v>2553</v>
      </c>
      <c r="Q796" s="118" t="s">
        <v>125</v>
      </c>
      <c r="R796" s="90" t="s">
        <v>2275</v>
      </c>
      <c r="S796" s="90" t="s">
        <v>2379</v>
      </c>
      <c r="T796" s="90" t="s">
        <v>2431</v>
      </c>
      <c r="U796" s="90" t="s">
        <v>2327</v>
      </c>
    </row>
    <row r="797" spans="1:21" x14ac:dyDescent="0.25">
      <c r="A797" s="90" t="s">
        <v>1342</v>
      </c>
      <c r="B797" s="119">
        <v>6</v>
      </c>
      <c r="C797" s="90" t="s">
        <v>1340</v>
      </c>
      <c r="D797" s="90" t="s">
        <v>78</v>
      </c>
      <c r="E797">
        <v>1585</v>
      </c>
      <c r="F797">
        <v>1606</v>
      </c>
      <c r="G797" s="93" t="s">
        <v>68</v>
      </c>
      <c r="H797" t="s">
        <v>149</v>
      </c>
      <c r="I797">
        <v>1</v>
      </c>
      <c r="J797">
        <f>SUM(K798,K799,K800,K801,K802,K803,K804,K805,K806,K807)</f>
        <v>10018.349999999999</v>
      </c>
      <c r="K797">
        <f t="shared" si="29"/>
        <v>10018.349999999999</v>
      </c>
      <c r="L797">
        <f>100*(1-(M797/K797))</f>
        <v>55.000000000000007</v>
      </c>
      <c r="M797">
        <f>I797*SUM(M798,M799,M800,M801,M802,M803,M804,M805,M806,M807)</f>
        <v>4508.2574999999997</v>
      </c>
      <c r="N797" s="90">
        <v>797</v>
      </c>
      <c r="O797" s="90" t="s">
        <v>1343</v>
      </c>
      <c r="P797" s="118" t="s">
        <v>1061</v>
      </c>
      <c r="Q797" s="118" t="s">
        <v>125</v>
      </c>
      <c r="R797" s="90" t="s">
        <v>1842</v>
      </c>
      <c r="S797" s="90" t="s">
        <v>2076</v>
      </c>
      <c r="T797" s="90" t="s">
        <v>2193</v>
      </c>
      <c r="U797" s="90" t="s">
        <v>1959</v>
      </c>
    </row>
    <row r="798" spans="1:21" x14ac:dyDescent="0.25">
      <c r="A798" s="90" t="s">
        <v>1344</v>
      </c>
      <c r="B798" s="119">
        <v>7</v>
      </c>
      <c r="C798" s="90" t="s">
        <v>1342</v>
      </c>
      <c r="D798" s="90" t="s">
        <v>78</v>
      </c>
      <c r="E798">
        <v>1586</v>
      </c>
      <c r="F798">
        <v>1587</v>
      </c>
      <c r="G798" s="93" t="s">
        <v>78</v>
      </c>
      <c r="H798" t="s">
        <v>150</v>
      </c>
      <c r="I798">
        <v>1</v>
      </c>
      <c r="J798">
        <v>213.07</v>
      </c>
      <c r="K798">
        <f t="shared" si="29"/>
        <v>213.07</v>
      </c>
      <c r="L798">
        <v>55</v>
      </c>
      <c r="M798">
        <f t="shared" ref="M798:M807" si="32">(1-(L798/100))*K798</f>
        <v>95.881499999999988</v>
      </c>
      <c r="N798" s="90">
        <v>798</v>
      </c>
      <c r="O798" s="90" t="s">
        <v>1345</v>
      </c>
      <c r="P798" s="118" t="s">
        <v>1063</v>
      </c>
      <c r="Q798" s="118" t="s">
        <v>125</v>
      </c>
    </row>
    <row r="799" spans="1:21" x14ac:dyDescent="0.25">
      <c r="A799" s="90" t="s">
        <v>1346</v>
      </c>
      <c r="B799" s="119">
        <v>7</v>
      </c>
      <c r="C799" s="90" t="s">
        <v>1342</v>
      </c>
      <c r="D799" s="90" t="s">
        <v>79</v>
      </c>
      <c r="E799">
        <v>1588</v>
      </c>
      <c r="F799">
        <v>1589</v>
      </c>
      <c r="G799" s="93" t="s">
        <v>78</v>
      </c>
      <c r="H799" t="s">
        <v>151</v>
      </c>
      <c r="I799">
        <v>6</v>
      </c>
      <c r="J799">
        <v>15.02</v>
      </c>
      <c r="K799">
        <f t="shared" si="29"/>
        <v>90.12</v>
      </c>
      <c r="L799">
        <v>55</v>
      </c>
      <c r="M799">
        <f t="shared" si="32"/>
        <v>40.553999999999995</v>
      </c>
      <c r="N799" s="90">
        <v>799</v>
      </c>
      <c r="O799" s="90" t="s">
        <v>1347</v>
      </c>
      <c r="P799" s="118" t="s">
        <v>1065</v>
      </c>
      <c r="Q799" s="118" t="s">
        <v>125</v>
      </c>
    </row>
    <row r="800" spans="1:21" x14ac:dyDescent="0.25">
      <c r="A800" s="90" t="s">
        <v>1348</v>
      </c>
      <c r="B800" s="119">
        <v>7</v>
      </c>
      <c r="C800" s="90" t="s">
        <v>1342</v>
      </c>
      <c r="D800" s="90" t="s">
        <v>80</v>
      </c>
      <c r="E800">
        <v>1590</v>
      </c>
      <c r="F800">
        <v>1591</v>
      </c>
      <c r="G800" s="93" t="s">
        <v>78</v>
      </c>
      <c r="H800" t="s">
        <v>135</v>
      </c>
      <c r="I800">
        <v>1</v>
      </c>
      <c r="J800">
        <v>91.39</v>
      </c>
      <c r="K800">
        <f t="shared" si="29"/>
        <v>91.39</v>
      </c>
      <c r="L800">
        <v>55</v>
      </c>
      <c r="M800">
        <f t="shared" si="32"/>
        <v>41.125499999999995</v>
      </c>
      <c r="N800" s="90">
        <v>800</v>
      </c>
      <c r="O800" s="90" t="s">
        <v>1349</v>
      </c>
      <c r="P800" s="118" t="s">
        <v>1067</v>
      </c>
      <c r="Q800" s="118" t="s">
        <v>125</v>
      </c>
    </row>
    <row r="801" spans="1:21" x14ac:dyDescent="0.25">
      <c r="A801" s="90" t="s">
        <v>1350</v>
      </c>
      <c r="B801" s="119">
        <v>7</v>
      </c>
      <c r="C801" s="90" t="s">
        <v>1342</v>
      </c>
      <c r="D801" s="90" t="s">
        <v>95</v>
      </c>
      <c r="E801">
        <v>1592</v>
      </c>
      <c r="F801">
        <v>1593</v>
      </c>
      <c r="G801" s="93" t="s">
        <v>78</v>
      </c>
      <c r="H801" t="s">
        <v>152</v>
      </c>
      <c r="I801">
        <v>1</v>
      </c>
      <c r="J801">
        <v>11.44</v>
      </c>
      <c r="K801">
        <f t="shared" si="29"/>
        <v>11.44</v>
      </c>
      <c r="L801">
        <v>55</v>
      </c>
      <c r="M801">
        <f t="shared" si="32"/>
        <v>5.1479999999999997</v>
      </c>
      <c r="N801" s="90">
        <v>801</v>
      </c>
      <c r="O801" s="90" t="s">
        <v>1351</v>
      </c>
      <c r="P801" s="118" t="s">
        <v>1069</v>
      </c>
      <c r="Q801" s="118" t="s">
        <v>125</v>
      </c>
    </row>
    <row r="802" spans="1:21" x14ac:dyDescent="0.25">
      <c r="A802" s="90" t="s">
        <v>1352</v>
      </c>
      <c r="B802" s="119">
        <v>7</v>
      </c>
      <c r="C802" s="90" t="s">
        <v>1342</v>
      </c>
      <c r="D802" s="90" t="s">
        <v>96</v>
      </c>
      <c r="E802">
        <v>1594</v>
      </c>
      <c r="F802">
        <v>1595</v>
      </c>
      <c r="G802" s="93" t="s">
        <v>78</v>
      </c>
      <c r="H802" t="s">
        <v>153</v>
      </c>
      <c r="I802">
        <v>1</v>
      </c>
      <c r="J802">
        <v>27.03</v>
      </c>
      <c r="K802">
        <f t="shared" si="29"/>
        <v>27.03</v>
      </c>
      <c r="L802">
        <v>55</v>
      </c>
      <c r="M802">
        <f t="shared" si="32"/>
        <v>12.163499999999999</v>
      </c>
      <c r="N802" s="90">
        <v>802</v>
      </c>
      <c r="O802" s="90" t="s">
        <v>1353</v>
      </c>
      <c r="P802" s="118" t="s">
        <v>1071</v>
      </c>
      <c r="Q802" s="118" t="s">
        <v>125</v>
      </c>
    </row>
    <row r="803" spans="1:21" x14ac:dyDescent="0.25">
      <c r="A803" s="90" t="s">
        <v>1354</v>
      </c>
      <c r="B803" s="119">
        <v>7</v>
      </c>
      <c r="C803" s="90" t="s">
        <v>1342</v>
      </c>
      <c r="D803" s="90" t="s">
        <v>103</v>
      </c>
      <c r="E803">
        <v>1596</v>
      </c>
      <c r="F803">
        <v>1597</v>
      </c>
      <c r="G803" s="93" t="s">
        <v>78</v>
      </c>
      <c r="H803" t="s">
        <v>154</v>
      </c>
      <c r="I803">
        <v>4</v>
      </c>
      <c r="J803">
        <v>54.81</v>
      </c>
      <c r="K803">
        <f t="shared" si="29"/>
        <v>219.24</v>
      </c>
      <c r="L803">
        <v>55</v>
      </c>
      <c r="M803">
        <f t="shared" si="32"/>
        <v>98.658000000000001</v>
      </c>
      <c r="N803" s="90">
        <v>803</v>
      </c>
      <c r="O803" s="90" t="s">
        <v>1355</v>
      </c>
      <c r="P803" s="118" t="s">
        <v>1073</v>
      </c>
      <c r="Q803" s="118" t="s">
        <v>125</v>
      </c>
    </row>
    <row r="804" spans="1:21" x14ac:dyDescent="0.25">
      <c r="A804" s="90" t="s">
        <v>1356</v>
      </c>
      <c r="B804" s="119">
        <v>7</v>
      </c>
      <c r="C804" s="90" t="s">
        <v>1342</v>
      </c>
      <c r="D804" s="90" t="s">
        <v>1769</v>
      </c>
      <c r="E804">
        <v>1598</v>
      </c>
      <c r="F804">
        <v>1599</v>
      </c>
      <c r="G804" s="93" t="s">
        <v>78</v>
      </c>
      <c r="H804" t="s">
        <v>155</v>
      </c>
      <c r="I804">
        <v>1</v>
      </c>
      <c r="J804">
        <v>9009.01</v>
      </c>
      <c r="K804">
        <f t="shared" si="29"/>
        <v>9009.01</v>
      </c>
      <c r="L804">
        <v>55</v>
      </c>
      <c r="M804">
        <f t="shared" si="32"/>
        <v>4054.0544999999997</v>
      </c>
      <c r="N804" s="90">
        <v>804</v>
      </c>
      <c r="O804" s="90" t="s">
        <v>1357</v>
      </c>
      <c r="P804" s="118" t="s">
        <v>1075</v>
      </c>
      <c r="Q804" s="118" t="s">
        <v>125</v>
      </c>
    </row>
    <row r="805" spans="1:21" x14ac:dyDescent="0.25">
      <c r="A805" s="90" t="s">
        <v>1358</v>
      </c>
      <c r="B805" s="119">
        <v>7</v>
      </c>
      <c r="C805" s="90" t="s">
        <v>1342</v>
      </c>
      <c r="D805" s="90" t="s">
        <v>1770</v>
      </c>
      <c r="E805">
        <v>1600</v>
      </c>
      <c r="F805">
        <v>1601</v>
      </c>
      <c r="G805" s="93" t="s">
        <v>78</v>
      </c>
      <c r="H805" t="s">
        <v>156</v>
      </c>
      <c r="I805">
        <v>1</v>
      </c>
      <c r="J805">
        <v>90.09</v>
      </c>
      <c r="K805">
        <f t="shared" si="29"/>
        <v>90.09</v>
      </c>
      <c r="L805">
        <v>55</v>
      </c>
      <c r="M805">
        <f t="shared" si="32"/>
        <v>40.540499999999994</v>
      </c>
      <c r="N805" s="90">
        <v>805</v>
      </c>
      <c r="O805" s="90" t="s">
        <v>1359</v>
      </c>
      <c r="P805" s="118" t="s">
        <v>1077</v>
      </c>
      <c r="Q805" s="118" t="s">
        <v>125</v>
      </c>
    </row>
    <row r="806" spans="1:21" x14ac:dyDescent="0.25">
      <c r="A806" s="90" t="s">
        <v>1360</v>
      </c>
      <c r="B806" s="119">
        <v>7</v>
      </c>
      <c r="C806" s="90" t="s">
        <v>1342</v>
      </c>
      <c r="D806" s="90" t="s">
        <v>1771</v>
      </c>
      <c r="E806">
        <v>1602</v>
      </c>
      <c r="F806">
        <v>1603</v>
      </c>
      <c r="G806" s="93" t="s">
        <v>78</v>
      </c>
      <c r="H806" t="s">
        <v>113</v>
      </c>
      <c r="I806">
        <v>1</v>
      </c>
      <c r="J806">
        <v>121.31</v>
      </c>
      <c r="K806">
        <f t="shared" si="29"/>
        <v>121.31</v>
      </c>
      <c r="L806">
        <v>55</v>
      </c>
      <c r="M806">
        <f t="shared" si="32"/>
        <v>54.589499999999994</v>
      </c>
      <c r="N806" s="90">
        <v>806</v>
      </c>
      <c r="O806" s="90" t="s">
        <v>1361</v>
      </c>
      <c r="P806" s="118" t="s">
        <v>1079</v>
      </c>
      <c r="Q806" s="118" t="s">
        <v>125</v>
      </c>
    </row>
    <row r="807" spans="1:21" x14ac:dyDescent="0.25">
      <c r="A807" s="90" t="s">
        <v>1362</v>
      </c>
      <c r="B807" s="119">
        <v>7</v>
      </c>
      <c r="C807" s="90" t="s">
        <v>1342</v>
      </c>
      <c r="D807" s="90" t="s">
        <v>1772</v>
      </c>
      <c r="E807">
        <v>1604</v>
      </c>
      <c r="F807">
        <v>1605</v>
      </c>
      <c r="G807" s="93" t="s">
        <v>78</v>
      </c>
      <c r="H807" t="s">
        <v>157</v>
      </c>
      <c r="I807">
        <v>1</v>
      </c>
      <c r="J807">
        <v>145.65</v>
      </c>
      <c r="K807">
        <f t="shared" si="29"/>
        <v>145.65</v>
      </c>
      <c r="L807">
        <v>55</v>
      </c>
      <c r="M807">
        <f t="shared" si="32"/>
        <v>65.54249999999999</v>
      </c>
      <c r="N807" s="90">
        <v>807</v>
      </c>
      <c r="O807" s="90" t="s">
        <v>1363</v>
      </c>
      <c r="P807" s="118" t="s">
        <v>1081</v>
      </c>
      <c r="Q807" s="118" t="s">
        <v>125</v>
      </c>
    </row>
    <row r="808" spans="1:21" x14ac:dyDescent="0.25">
      <c r="A808" s="90" t="s">
        <v>1364</v>
      </c>
      <c r="B808" s="119">
        <v>4</v>
      </c>
      <c r="C808" s="90" t="s">
        <v>812</v>
      </c>
      <c r="D808" s="90" t="s">
        <v>97</v>
      </c>
      <c r="E808">
        <v>1609</v>
      </c>
      <c r="F808">
        <v>1660</v>
      </c>
      <c r="G808" s="93" t="s">
        <v>68</v>
      </c>
      <c r="H808" t="s">
        <v>1365</v>
      </c>
      <c r="I808">
        <v>1</v>
      </c>
      <c r="J808">
        <f>SUM(K809,K811,K813,K822)</f>
        <v>256499.26246817998</v>
      </c>
      <c r="K808">
        <f t="shared" si="29"/>
        <v>256499.26246817998</v>
      </c>
      <c r="L808">
        <f>100*(1-(M808/K808))</f>
        <v>55.000000000000007</v>
      </c>
      <c r="M808">
        <f>I808*SUM(M809,M811,M813,M822)</f>
        <v>115424.66811068098</v>
      </c>
      <c r="N808" s="90">
        <v>808</v>
      </c>
      <c r="O808" s="90" t="s">
        <v>1366</v>
      </c>
      <c r="P808" s="118" t="s">
        <v>1083</v>
      </c>
      <c r="Q808" s="118" t="s">
        <v>125</v>
      </c>
      <c r="R808" s="90" t="s">
        <v>2276</v>
      </c>
      <c r="S808" s="90" t="s">
        <v>2380</v>
      </c>
      <c r="T808" s="90" t="s">
        <v>2432</v>
      </c>
      <c r="U808" s="90" t="s">
        <v>2328</v>
      </c>
    </row>
    <row r="809" spans="1:21" x14ac:dyDescent="0.25">
      <c r="A809" s="90" t="s">
        <v>1367</v>
      </c>
      <c r="B809" s="119">
        <v>5</v>
      </c>
      <c r="C809" s="90" t="s">
        <v>1364</v>
      </c>
      <c r="D809" s="90" t="s">
        <v>78</v>
      </c>
      <c r="E809">
        <v>1610</v>
      </c>
      <c r="F809">
        <v>1613</v>
      </c>
      <c r="G809" s="93" t="s">
        <v>68</v>
      </c>
      <c r="H809" t="s">
        <v>856</v>
      </c>
      <c r="I809">
        <v>62</v>
      </c>
      <c r="J809">
        <f>SUM(K810)</f>
        <v>214.52947918000001</v>
      </c>
      <c r="K809">
        <f t="shared" si="29"/>
        <v>13300.827709160001</v>
      </c>
      <c r="L809">
        <f>100*(1-(M809/K809))</f>
        <v>55.000000000000007</v>
      </c>
      <c r="M809">
        <f>I809*SUM(M810)</f>
        <v>5985.3724691220004</v>
      </c>
      <c r="N809" s="90">
        <v>809</v>
      </c>
      <c r="O809" s="90" t="s">
        <v>1368</v>
      </c>
      <c r="P809" s="118" t="s">
        <v>1085</v>
      </c>
      <c r="Q809" s="118" t="s">
        <v>125</v>
      </c>
      <c r="R809" s="90" t="s">
        <v>1843</v>
      </c>
      <c r="S809" s="90" t="s">
        <v>2077</v>
      </c>
      <c r="T809" s="90" t="s">
        <v>2194</v>
      </c>
      <c r="U809" s="90" t="s">
        <v>1960</v>
      </c>
    </row>
    <row r="810" spans="1:21" x14ac:dyDescent="0.25">
      <c r="A810" s="90" t="s">
        <v>1369</v>
      </c>
      <c r="B810" s="119">
        <v>6</v>
      </c>
      <c r="C810" s="90" t="s">
        <v>1367</v>
      </c>
      <c r="D810" s="90" t="s">
        <v>78</v>
      </c>
      <c r="E810">
        <v>1611</v>
      </c>
      <c r="F810">
        <v>1612</v>
      </c>
      <c r="G810" s="93" t="s">
        <v>78</v>
      </c>
      <c r="H810" t="s">
        <v>203</v>
      </c>
      <c r="I810">
        <v>1</v>
      </c>
      <c r="J810">
        <v>214.52947918000001</v>
      </c>
      <c r="K810">
        <f t="shared" si="29"/>
        <v>214.52947918000001</v>
      </c>
      <c r="L810">
        <v>55</v>
      </c>
      <c r="M810">
        <f>(1-(L810/100))*K810</f>
        <v>96.538265631000002</v>
      </c>
      <c r="N810" s="90">
        <v>810</v>
      </c>
      <c r="O810" s="90" t="s">
        <v>1370</v>
      </c>
      <c r="P810" s="118" t="s">
        <v>1087</v>
      </c>
      <c r="Q810" s="118" t="s">
        <v>125</v>
      </c>
    </row>
    <row r="811" spans="1:21" x14ac:dyDescent="0.25">
      <c r="A811" s="90" t="s">
        <v>1371</v>
      </c>
      <c r="B811" s="119">
        <v>5</v>
      </c>
      <c r="C811" s="90" t="s">
        <v>1364</v>
      </c>
      <c r="D811" s="90" t="s">
        <v>79</v>
      </c>
      <c r="E811">
        <v>1614</v>
      </c>
      <c r="F811">
        <v>1617</v>
      </c>
      <c r="G811" s="93" t="s">
        <v>68</v>
      </c>
      <c r="H811" t="s">
        <v>861</v>
      </c>
      <c r="I811">
        <v>149</v>
      </c>
      <c r="J811">
        <f>SUM(K812)</f>
        <v>214.52947918000001</v>
      </c>
      <c r="K811">
        <f t="shared" si="29"/>
        <v>31964.89239782</v>
      </c>
      <c r="L811">
        <f>100*(1-(M811/K811))</f>
        <v>55.000000000000007</v>
      </c>
      <c r="M811">
        <f>I811*SUM(M812)</f>
        <v>14384.201579019</v>
      </c>
      <c r="N811" s="90">
        <v>811</v>
      </c>
      <c r="O811" s="90" t="s">
        <v>1372</v>
      </c>
      <c r="P811" s="118" t="s">
        <v>1089</v>
      </c>
      <c r="Q811" s="118" t="s">
        <v>125</v>
      </c>
      <c r="R811" s="90" t="s">
        <v>1844</v>
      </c>
      <c r="S811" s="90" t="s">
        <v>2078</v>
      </c>
      <c r="T811" s="90" t="s">
        <v>2195</v>
      </c>
      <c r="U811" s="90" t="s">
        <v>1961</v>
      </c>
    </row>
    <row r="812" spans="1:21" x14ac:dyDescent="0.25">
      <c r="A812" s="90" t="s">
        <v>1373</v>
      </c>
      <c r="B812" s="119">
        <v>6</v>
      </c>
      <c r="C812" s="90" t="s">
        <v>1371</v>
      </c>
      <c r="D812" s="90" t="s">
        <v>78</v>
      </c>
      <c r="E812">
        <v>1615</v>
      </c>
      <c r="F812">
        <v>1616</v>
      </c>
      <c r="G812" s="93" t="s">
        <v>78</v>
      </c>
      <c r="H812" t="s">
        <v>205</v>
      </c>
      <c r="I812">
        <v>1</v>
      </c>
      <c r="J812">
        <v>214.52947918000001</v>
      </c>
      <c r="K812">
        <f t="shared" si="29"/>
        <v>214.52947918000001</v>
      </c>
      <c r="L812">
        <v>55</v>
      </c>
      <c r="M812">
        <f>(1-(L812/100))*K812</f>
        <v>96.538265631000002</v>
      </c>
      <c r="N812" s="90">
        <v>812</v>
      </c>
      <c r="O812" s="90" t="s">
        <v>1374</v>
      </c>
      <c r="P812" s="118" t="s">
        <v>1091</v>
      </c>
      <c r="Q812" s="118" t="s">
        <v>125</v>
      </c>
    </row>
    <row r="813" spans="1:21" x14ac:dyDescent="0.25">
      <c r="A813" s="90" t="s">
        <v>1375</v>
      </c>
      <c r="B813" s="119">
        <v>5</v>
      </c>
      <c r="C813" s="90" t="s">
        <v>1364</v>
      </c>
      <c r="D813" s="90" t="s">
        <v>80</v>
      </c>
      <c r="E813">
        <v>1618</v>
      </c>
      <c r="F813">
        <v>1635</v>
      </c>
      <c r="G813" s="93" t="s">
        <v>68</v>
      </c>
      <c r="H813" t="s">
        <v>1376</v>
      </c>
      <c r="I813">
        <v>8</v>
      </c>
      <c r="J813">
        <f>SUM(K814,K815,K816,K817,K818,K819,K820,K821)</f>
        <v>16385.842795149998</v>
      </c>
      <c r="K813">
        <f t="shared" si="29"/>
        <v>131086.74236119998</v>
      </c>
      <c r="L813">
        <f>100*(1-(M813/K813))</f>
        <v>55.000000000000007</v>
      </c>
      <c r="M813">
        <f>I813*SUM(M814,M815,M816,M817,M818,M819,M820,M821)</f>
        <v>58989.034062539991</v>
      </c>
      <c r="N813" s="90">
        <v>813</v>
      </c>
      <c r="O813" s="90" t="s">
        <v>1377</v>
      </c>
      <c r="P813" s="118" t="s">
        <v>1093</v>
      </c>
      <c r="Q813" s="118" t="s">
        <v>125</v>
      </c>
      <c r="R813" s="90" t="s">
        <v>1845</v>
      </c>
      <c r="S813" s="90" t="s">
        <v>2079</v>
      </c>
      <c r="T813" s="90" t="s">
        <v>2196</v>
      </c>
      <c r="U813" s="90" t="s">
        <v>1962</v>
      </c>
    </row>
    <row r="814" spans="1:21" x14ac:dyDescent="0.25">
      <c r="A814" s="90" t="s">
        <v>1378</v>
      </c>
      <c r="B814" s="119">
        <v>6</v>
      </c>
      <c r="C814" s="90" t="s">
        <v>1375</v>
      </c>
      <c r="D814" s="90" t="s">
        <v>78</v>
      </c>
      <c r="E814">
        <v>1619</v>
      </c>
      <c r="F814">
        <v>1620</v>
      </c>
      <c r="G814" s="93" t="s">
        <v>78</v>
      </c>
      <c r="H814" t="s">
        <v>141</v>
      </c>
      <c r="I814">
        <v>1</v>
      </c>
      <c r="J814">
        <v>33.99</v>
      </c>
      <c r="K814">
        <f t="shared" si="29"/>
        <v>33.99</v>
      </c>
      <c r="L814">
        <v>55</v>
      </c>
      <c r="M814">
        <f t="shared" ref="M814:M821" si="33">(1-(L814/100))*K814</f>
        <v>15.295499999999999</v>
      </c>
      <c r="N814" s="90">
        <v>814</v>
      </c>
      <c r="O814" s="90" t="s">
        <v>1379</v>
      </c>
      <c r="P814" s="118" t="s">
        <v>1095</v>
      </c>
      <c r="Q814" s="118" t="s">
        <v>125</v>
      </c>
    </row>
    <row r="815" spans="1:21" x14ac:dyDescent="0.25">
      <c r="A815" s="90" t="s">
        <v>1380</v>
      </c>
      <c r="B815" s="119">
        <v>6</v>
      </c>
      <c r="C815" s="90" t="s">
        <v>1375</v>
      </c>
      <c r="D815" s="90" t="s">
        <v>79</v>
      </c>
      <c r="E815">
        <v>1621</v>
      </c>
      <c r="F815">
        <v>1622</v>
      </c>
      <c r="G815" s="93" t="s">
        <v>78</v>
      </c>
      <c r="H815" t="s">
        <v>871</v>
      </c>
      <c r="I815">
        <v>1</v>
      </c>
      <c r="J815">
        <v>537.64166561000002</v>
      </c>
      <c r="K815">
        <f t="shared" si="29"/>
        <v>537.64166561000002</v>
      </c>
      <c r="L815">
        <v>55</v>
      </c>
      <c r="M815">
        <f t="shared" si="33"/>
        <v>241.9387495245</v>
      </c>
      <c r="N815" s="90">
        <v>815</v>
      </c>
      <c r="O815" s="90" t="s">
        <v>1381</v>
      </c>
      <c r="P815" s="118" t="s">
        <v>1097</v>
      </c>
      <c r="Q815" s="118" t="s">
        <v>125</v>
      </c>
    </row>
    <row r="816" spans="1:21" x14ac:dyDescent="0.25">
      <c r="A816" s="90" t="s">
        <v>1382</v>
      </c>
      <c r="B816" s="119">
        <v>6</v>
      </c>
      <c r="C816" s="90" t="s">
        <v>1375</v>
      </c>
      <c r="D816" s="90" t="s">
        <v>80</v>
      </c>
      <c r="E816">
        <v>1623</v>
      </c>
      <c r="F816">
        <v>1624</v>
      </c>
      <c r="G816" s="93" t="s">
        <v>78</v>
      </c>
      <c r="H816" t="s">
        <v>142</v>
      </c>
      <c r="I816">
        <v>1</v>
      </c>
      <c r="J816">
        <v>1625.87546161</v>
      </c>
      <c r="K816">
        <f t="shared" si="29"/>
        <v>1625.87546161</v>
      </c>
      <c r="L816">
        <v>55</v>
      </c>
      <c r="M816">
        <f t="shared" si="33"/>
        <v>731.64395772449996</v>
      </c>
      <c r="N816" s="90">
        <v>816</v>
      </c>
      <c r="O816" s="90" t="s">
        <v>1383</v>
      </c>
      <c r="P816" s="118" t="s">
        <v>1099</v>
      </c>
      <c r="Q816" s="118" t="s">
        <v>125</v>
      </c>
    </row>
    <row r="817" spans="1:21" x14ac:dyDescent="0.25">
      <c r="A817" s="90" t="s">
        <v>1384</v>
      </c>
      <c r="B817" s="119">
        <v>6</v>
      </c>
      <c r="C817" s="90" t="s">
        <v>1375</v>
      </c>
      <c r="D817" s="90" t="s">
        <v>95</v>
      </c>
      <c r="E817">
        <v>1625</v>
      </c>
      <c r="F817">
        <v>1626</v>
      </c>
      <c r="G817" s="93" t="s">
        <v>78</v>
      </c>
      <c r="H817" t="s">
        <v>197</v>
      </c>
      <c r="I817">
        <v>1</v>
      </c>
      <c r="J817">
        <v>10880.466063919999</v>
      </c>
      <c r="K817">
        <f t="shared" si="29"/>
        <v>10880.466063919999</v>
      </c>
      <c r="L817">
        <v>55</v>
      </c>
      <c r="M817">
        <f t="shared" si="33"/>
        <v>4896.209728763999</v>
      </c>
      <c r="N817" s="90">
        <v>817</v>
      </c>
      <c r="O817" s="90" t="s">
        <v>1385</v>
      </c>
      <c r="P817" s="118" t="s">
        <v>1101</v>
      </c>
      <c r="Q817" s="118" t="s">
        <v>125</v>
      </c>
    </row>
    <row r="818" spans="1:21" x14ac:dyDescent="0.25">
      <c r="A818" s="90" t="s">
        <v>1386</v>
      </c>
      <c r="B818" s="119">
        <v>6</v>
      </c>
      <c r="C818" s="90" t="s">
        <v>1375</v>
      </c>
      <c r="D818" s="90" t="s">
        <v>96</v>
      </c>
      <c r="E818">
        <v>1627</v>
      </c>
      <c r="F818">
        <v>1628</v>
      </c>
      <c r="G818" s="93" t="s">
        <v>78</v>
      </c>
      <c r="H818" t="s">
        <v>203</v>
      </c>
      <c r="I818">
        <v>0</v>
      </c>
      <c r="J818">
        <v>214.52947918000001</v>
      </c>
      <c r="K818">
        <f t="shared" si="29"/>
        <v>0</v>
      </c>
      <c r="L818">
        <v>55</v>
      </c>
      <c r="M818">
        <f t="shared" si="33"/>
        <v>0</v>
      </c>
      <c r="N818" s="90">
        <v>818</v>
      </c>
      <c r="O818" s="90" t="s">
        <v>1387</v>
      </c>
      <c r="P818" s="118" t="s">
        <v>1103</v>
      </c>
      <c r="Q818" s="118" t="s">
        <v>125</v>
      </c>
    </row>
    <row r="819" spans="1:21" x14ac:dyDescent="0.25">
      <c r="A819" s="90" t="s">
        <v>1388</v>
      </c>
      <c r="B819" s="119">
        <v>6</v>
      </c>
      <c r="C819" s="90" t="s">
        <v>1375</v>
      </c>
      <c r="D819" s="90" t="s">
        <v>103</v>
      </c>
      <c r="E819">
        <v>1629</v>
      </c>
      <c r="F819">
        <v>1630</v>
      </c>
      <c r="G819" s="93" t="s">
        <v>78</v>
      </c>
      <c r="H819" t="s">
        <v>205</v>
      </c>
      <c r="I819">
        <v>0</v>
      </c>
      <c r="J819">
        <v>214.52947918000001</v>
      </c>
      <c r="K819">
        <f t="shared" si="29"/>
        <v>0</v>
      </c>
      <c r="L819">
        <v>55</v>
      </c>
      <c r="M819">
        <f t="shared" si="33"/>
        <v>0</v>
      </c>
      <c r="N819" s="90">
        <v>819</v>
      </c>
      <c r="O819" s="90" t="s">
        <v>1389</v>
      </c>
      <c r="P819" s="118" t="s">
        <v>1105</v>
      </c>
      <c r="Q819" s="118" t="s">
        <v>125</v>
      </c>
    </row>
    <row r="820" spans="1:21" x14ac:dyDescent="0.25">
      <c r="A820" s="90" t="s">
        <v>1390</v>
      </c>
      <c r="B820" s="119">
        <v>6</v>
      </c>
      <c r="C820" s="90" t="s">
        <v>1375</v>
      </c>
      <c r="D820" s="90" t="s">
        <v>1769</v>
      </c>
      <c r="E820">
        <v>1631</v>
      </c>
      <c r="F820">
        <v>1632</v>
      </c>
      <c r="G820" s="93" t="s">
        <v>78</v>
      </c>
      <c r="H820" t="s">
        <v>194</v>
      </c>
      <c r="I820">
        <v>9</v>
      </c>
      <c r="J820">
        <v>256.72991214000001</v>
      </c>
      <c r="K820">
        <f t="shared" si="29"/>
        <v>2310.5692092600002</v>
      </c>
      <c r="L820">
        <v>55</v>
      </c>
      <c r="M820">
        <f t="shared" si="33"/>
        <v>1039.756144167</v>
      </c>
      <c r="N820" s="90">
        <v>820</v>
      </c>
      <c r="O820" s="90" t="s">
        <v>1391</v>
      </c>
      <c r="P820" s="118" t="s">
        <v>1107</v>
      </c>
      <c r="Q820" s="118" t="s">
        <v>125</v>
      </c>
    </row>
    <row r="821" spans="1:21" x14ac:dyDescent="0.25">
      <c r="A821" s="90" t="s">
        <v>1392</v>
      </c>
      <c r="B821" s="119">
        <v>6</v>
      </c>
      <c r="C821" s="90" t="s">
        <v>1375</v>
      </c>
      <c r="D821" s="90" t="s">
        <v>1770</v>
      </c>
      <c r="E821">
        <v>1633</v>
      </c>
      <c r="F821">
        <v>1634</v>
      </c>
      <c r="G821" s="93" t="s">
        <v>78</v>
      </c>
      <c r="H821" t="s">
        <v>892</v>
      </c>
      <c r="I821">
        <v>1</v>
      </c>
      <c r="J821">
        <v>997.30039475000001</v>
      </c>
      <c r="K821">
        <f t="shared" si="29"/>
        <v>997.30039475000001</v>
      </c>
      <c r="L821">
        <v>55</v>
      </c>
      <c r="M821">
        <f t="shared" si="33"/>
        <v>448.78517763749994</v>
      </c>
      <c r="N821" s="90">
        <v>821</v>
      </c>
      <c r="O821" s="90" t="s">
        <v>1393</v>
      </c>
      <c r="P821" s="118" t="s">
        <v>1109</v>
      </c>
      <c r="Q821" s="118" t="s">
        <v>125</v>
      </c>
    </row>
    <row r="822" spans="1:21" x14ac:dyDescent="0.25">
      <c r="A822" s="90" t="s">
        <v>1394</v>
      </c>
      <c r="B822" s="119">
        <v>5</v>
      </c>
      <c r="C822" s="90" t="s">
        <v>1364</v>
      </c>
      <c r="D822" s="90" t="s">
        <v>95</v>
      </c>
      <c r="E822">
        <v>1636</v>
      </c>
      <c r="F822">
        <v>1659</v>
      </c>
      <c r="G822" s="93" t="s">
        <v>68</v>
      </c>
      <c r="H822" t="s">
        <v>148</v>
      </c>
      <c r="I822">
        <v>8</v>
      </c>
      <c r="J822">
        <f>SUM(K823)</f>
        <v>10018.349999999999</v>
      </c>
      <c r="K822">
        <f t="shared" si="29"/>
        <v>80146.799999999988</v>
      </c>
      <c r="L822">
        <f>100*(1-(M822/K822))</f>
        <v>55.000000000000007</v>
      </c>
      <c r="M822">
        <f>I822*SUM(M823)</f>
        <v>36066.06</v>
      </c>
      <c r="N822" s="90">
        <v>822</v>
      </c>
      <c r="O822" s="90" t="s">
        <v>1395</v>
      </c>
      <c r="P822" s="118" t="s">
        <v>1111</v>
      </c>
      <c r="Q822" s="118" t="s">
        <v>125</v>
      </c>
      <c r="R822" s="90" t="s">
        <v>2277</v>
      </c>
      <c r="S822" s="90" t="s">
        <v>2381</v>
      </c>
      <c r="T822" s="90" t="s">
        <v>2433</v>
      </c>
      <c r="U822" s="90" t="s">
        <v>2329</v>
      </c>
    </row>
    <row r="823" spans="1:21" x14ac:dyDescent="0.25">
      <c r="A823" s="90" t="s">
        <v>1396</v>
      </c>
      <c r="B823" s="119">
        <v>6</v>
      </c>
      <c r="C823" s="90" t="s">
        <v>1394</v>
      </c>
      <c r="D823" s="90" t="s">
        <v>78</v>
      </c>
      <c r="E823">
        <v>1637</v>
      </c>
      <c r="F823">
        <v>1658</v>
      </c>
      <c r="G823" s="93" t="s">
        <v>68</v>
      </c>
      <c r="H823" t="s">
        <v>149</v>
      </c>
      <c r="I823">
        <v>1</v>
      </c>
      <c r="J823">
        <f>SUM(K824,K825,K826,K827,K828,K829,K830,K831,K832,K833)</f>
        <v>10018.349999999999</v>
      </c>
      <c r="K823">
        <f t="shared" si="29"/>
        <v>10018.349999999999</v>
      </c>
      <c r="L823">
        <f>100*(1-(M823/K823))</f>
        <v>55.000000000000007</v>
      </c>
      <c r="M823">
        <f>I823*SUM(M824,M825,M826,M827,M828,M829,M830,M831,M832,M833)</f>
        <v>4508.2574999999997</v>
      </c>
      <c r="N823" s="90">
        <v>823</v>
      </c>
      <c r="O823" s="90" t="s">
        <v>1397</v>
      </c>
      <c r="P823" s="118" t="s">
        <v>1113</v>
      </c>
      <c r="Q823" s="118" t="s">
        <v>125</v>
      </c>
      <c r="R823" s="90" t="s">
        <v>1846</v>
      </c>
      <c r="S823" s="90" t="s">
        <v>2080</v>
      </c>
      <c r="T823" s="90" t="s">
        <v>2197</v>
      </c>
      <c r="U823" s="90" t="s">
        <v>1963</v>
      </c>
    </row>
    <row r="824" spans="1:21" x14ac:dyDescent="0.25">
      <c r="A824" s="90" t="s">
        <v>1398</v>
      </c>
      <c r="B824" s="119">
        <v>7</v>
      </c>
      <c r="C824" s="90" t="s">
        <v>1396</v>
      </c>
      <c r="D824" s="90" t="s">
        <v>78</v>
      </c>
      <c r="E824">
        <v>1638</v>
      </c>
      <c r="F824">
        <v>1639</v>
      </c>
      <c r="G824" s="93" t="s">
        <v>78</v>
      </c>
      <c r="H824" t="s">
        <v>150</v>
      </c>
      <c r="I824">
        <v>1</v>
      </c>
      <c r="J824">
        <v>213.07</v>
      </c>
      <c r="K824">
        <f t="shared" si="29"/>
        <v>213.07</v>
      </c>
      <c r="L824">
        <v>55</v>
      </c>
      <c r="M824">
        <f t="shared" ref="M824:M833" si="34">(1-(L824/100))*K824</f>
        <v>95.881499999999988</v>
      </c>
      <c r="N824" s="90">
        <v>824</v>
      </c>
      <c r="O824" s="90" t="s">
        <v>1399</v>
      </c>
      <c r="P824" s="118" t="s">
        <v>2554</v>
      </c>
      <c r="Q824" s="118" t="s">
        <v>125</v>
      </c>
    </row>
    <row r="825" spans="1:21" x14ac:dyDescent="0.25">
      <c r="A825" s="90" t="s">
        <v>1400</v>
      </c>
      <c r="B825" s="119">
        <v>7</v>
      </c>
      <c r="C825" s="90" t="s">
        <v>1396</v>
      </c>
      <c r="D825" s="90" t="s">
        <v>79</v>
      </c>
      <c r="E825">
        <v>1640</v>
      </c>
      <c r="F825">
        <v>1641</v>
      </c>
      <c r="G825" s="93" t="s">
        <v>78</v>
      </c>
      <c r="H825" t="s">
        <v>151</v>
      </c>
      <c r="I825">
        <v>6</v>
      </c>
      <c r="J825">
        <v>15.02</v>
      </c>
      <c r="K825">
        <f t="shared" si="29"/>
        <v>90.12</v>
      </c>
      <c r="L825">
        <v>55</v>
      </c>
      <c r="M825">
        <f t="shared" si="34"/>
        <v>40.553999999999995</v>
      </c>
      <c r="N825" s="90">
        <v>825</v>
      </c>
      <c r="O825" s="90" t="s">
        <v>1401</v>
      </c>
      <c r="P825" s="118" t="s">
        <v>1116</v>
      </c>
      <c r="Q825" s="118" t="s">
        <v>125</v>
      </c>
    </row>
    <row r="826" spans="1:21" x14ac:dyDescent="0.25">
      <c r="A826" s="90" t="s">
        <v>1402</v>
      </c>
      <c r="B826" s="119">
        <v>7</v>
      </c>
      <c r="C826" s="90" t="s">
        <v>1396</v>
      </c>
      <c r="D826" s="90" t="s">
        <v>80</v>
      </c>
      <c r="E826">
        <v>1642</v>
      </c>
      <c r="F826">
        <v>1643</v>
      </c>
      <c r="G826" s="93" t="s">
        <v>78</v>
      </c>
      <c r="H826" t="s">
        <v>135</v>
      </c>
      <c r="I826">
        <v>1</v>
      </c>
      <c r="J826">
        <v>91.39</v>
      </c>
      <c r="K826">
        <f t="shared" si="29"/>
        <v>91.39</v>
      </c>
      <c r="L826">
        <v>55</v>
      </c>
      <c r="M826">
        <f t="shared" si="34"/>
        <v>41.125499999999995</v>
      </c>
      <c r="N826" s="90">
        <v>826</v>
      </c>
      <c r="O826" s="90" t="s">
        <v>1403</v>
      </c>
      <c r="P826" s="118" t="s">
        <v>1118</v>
      </c>
      <c r="Q826" s="118" t="s">
        <v>125</v>
      </c>
    </row>
    <row r="827" spans="1:21" x14ac:dyDescent="0.25">
      <c r="A827" s="90" t="s">
        <v>1404</v>
      </c>
      <c r="B827" s="119">
        <v>7</v>
      </c>
      <c r="C827" s="90" t="s">
        <v>1396</v>
      </c>
      <c r="D827" s="90" t="s">
        <v>95</v>
      </c>
      <c r="E827">
        <v>1644</v>
      </c>
      <c r="F827">
        <v>1645</v>
      </c>
      <c r="G827" s="93" t="s">
        <v>78</v>
      </c>
      <c r="H827" t="s">
        <v>152</v>
      </c>
      <c r="I827">
        <v>1</v>
      </c>
      <c r="J827">
        <v>11.44</v>
      </c>
      <c r="K827">
        <f t="shared" si="29"/>
        <v>11.44</v>
      </c>
      <c r="L827">
        <v>55</v>
      </c>
      <c r="M827">
        <f t="shared" si="34"/>
        <v>5.1479999999999997</v>
      </c>
      <c r="N827" s="90">
        <v>827</v>
      </c>
      <c r="O827" s="90" t="s">
        <v>1405</v>
      </c>
      <c r="P827" s="118" t="s">
        <v>1120</v>
      </c>
      <c r="Q827" s="118" t="s">
        <v>125</v>
      </c>
    </row>
    <row r="828" spans="1:21" x14ac:dyDescent="0.25">
      <c r="A828" s="90" t="s">
        <v>1406</v>
      </c>
      <c r="B828" s="119">
        <v>7</v>
      </c>
      <c r="C828" s="90" t="s">
        <v>1396</v>
      </c>
      <c r="D828" s="90" t="s">
        <v>96</v>
      </c>
      <c r="E828">
        <v>1646</v>
      </c>
      <c r="F828">
        <v>1647</v>
      </c>
      <c r="G828" s="93" t="s">
        <v>78</v>
      </c>
      <c r="H828" t="s">
        <v>153</v>
      </c>
      <c r="I828">
        <v>1</v>
      </c>
      <c r="J828">
        <v>27.03</v>
      </c>
      <c r="K828">
        <f t="shared" si="29"/>
        <v>27.03</v>
      </c>
      <c r="L828">
        <v>55</v>
      </c>
      <c r="M828">
        <f t="shared" si="34"/>
        <v>12.163499999999999</v>
      </c>
      <c r="N828" s="90">
        <v>828</v>
      </c>
      <c r="O828" s="90" t="s">
        <v>1407</v>
      </c>
      <c r="P828" s="118" t="s">
        <v>2555</v>
      </c>
      <c r="Q828" s="118" t="s">
        <v>125</v>
      </c>
    </row>
    <row r="829" spans="1:21" x14ac:dyDescent="0.25">
      <c r="A829" s="90" t="s">
        <v>1408</v>
      </c>
      <c r="B829" s="119">
        <v>7</v>
      </c>
      <c r="C829" s="90" t="s">
        <v>1396</v>
      </c>
      <c r="D829" s="90" t="s">
        <v>103</v>
      </c>
      <c r="E829">
        <v>1648</v>
      </c>
      <c r="F829">
        <v>1649</v>
      </c>
      <c r="G829" s="93" t="s">
        <v>78</v>
      </c>
      <c r="H829" t="s">
        <v>154</v>
      </c>
      <c r="I829">
        <v>4</v>
      </c>
      <c r="J829">
        <v>54.81</v>
      </c>
      <c r="K829">
        <f t="shared" si="29"/>
        <v>219.24</v>
      </c>
      <c r="L829">
        <v>55</v>
      </c>
      <c r="M829">
        <f t="shared" si="34"/>
        <v>98.658000000000001</v>
      </c>
      <c r="N829" s="90">
        <v>829</v>
      </c>
      <c r="O829" s="90" t="s">
        <v>1409</v>
      </c>
      <c r="P829" s="118" t="s">
        <v>1122</v>
      </c>
      <c r="Q829" s="118" t="s">
        <v>125</v>
      </c>
    </row>
    <row r="830" spans="1:21" x14ac:dyDescent="0.25">
      <c r="A830" s="90" t="s">
        <v>1410</v>
      </c>
      <c r="B830" s="119">
        <v>7</v>
      </c>
      <c r="C830" s="90" t="s">
        <v>1396</v>
      </c>
      <c r="D830" s="90" t="s">
        <v>1769</v>
      </c>
      <c r="E830">
        <v>1650</v>
      </c>
      <c r="F830">
        <v>1651</v>
      </c>
      <c r="G830" s="93" t="s">
        <v>78</v>
      </c>
      <c r="H830" t="s">
        <v>155</v>
      </c>
      <c r="I830">
        <v>1</v>
      </c>
      <c r="J830">
        <v>9009.01</v>
      </c>
      <c r="K830">
        <f t="shared" si="29"/>
        <v>9009.01</v>
      </c>
      <c r="L830">
        <v>55</v>
      </c>
      <c r="M830">
        <f t="shared" si="34"/>
        <v>4054.0544999999997</v>
      </c>
      <c r="N830" s="90">
        <v>830</v>
      </c>
      <c r="O830" s="90" t="s">
        <v>1411</v>
      </c>
      <c r="P830" s="118" t="s">
        <v>1124</v>
      </c>
      <c r="Q830" s="118" t="s">
        <v>125</v>
      </c>
    </row>
    <row r="831" spans="1:21" x14ac:dyDescent="0.25">
      <c r="A831" s="90" t="s">
        <v>1412</v>
      </c>
      <c r="B831" s="119">
        <v>7</v>
      </c>
      <c r="C831" s="90" t="s">
        <v>1396</v>
      </c>
      <c r="D831" s="90" t="s">
        <v>1770</v>
      </c>
      <c r="E831">
        <v>1652</v>
      </c>
      <c r="F831">
        <v>1653</v>
      </c>
      <c r="G831" s="93" t="s">
        <v>78</v>
      </c>
      <c r="H831" t="s">
        <v>156</v>
      </c>
      <c r="I831">
        <v>1</v>
      </c>
      <c r="J831">
        <v>90.09</v>
      </c>
      <c r="K831">
        <f t="shared" si="29"/>
        <v>90.09</v>
      </c>
      <c r="L831">
        <v>55</v>
      </c>
      <c r="M831">
        <f t="shared" si="34"/>
        <v>40.540499999999994</v>
      </c>
      <c r="N831" s="90">
        <v>831</v>
      </c>
      <c r="O831" s="90" t="s">
        <v>1413</v>
      </c>
      <c r="P831" s="118" t="s">
        <v>2556</v>
      </c>
      <c r="Q831" s="118" t="s">
        <v>125</v>
      </c>
    </row>
    <row r="832" spans="1:21" x14ac:dyDescent="0.25">
      <c r="A832" s="90" t="s">
        <v>1414</v>
      </c>
      <c r="B832" s="119">
        <v>7</v>
      </c>
      <c r="C832" s="90" t="s">
        <v>1396</v>
      </c>
      <c r="D832" s="90" t="s">
        <v>1771</v>
      </c>
      <c r="E832">
        <v>1654</v>
      </c>
      <c r="F832">
        <v>1655</v>
      </c>
      <c r="G832" s="93" t="s">
        <v>78</v>
      </c>
      <c r="H832" t="s">
        <v>113</v>
      </c>
      <c r="I832">
        <v>1</v>
      </c>
      <c r="J832">
        <v>121.31</v>
      </c>
      <c r="K832">
        <f t="shared" si="29"/>
        <v>121.31</v>
      </c>
      <c r="L832">
        <v>55</v>
      </c>
      <c r="M832">
        <f t="shared" si="34"/>
        <v>54.589499999999994</v>
      </c>
      <c r="N832" s="90">
        <v>832</v>
      </c>
      <c r="O832" s="90" t="s">
        <v>1415</v>
      </c>
      <c r="P832" s="118" t="s">
        <v>1127</v>
      </c>
      <c r="Q832" s="118" t="s">
        <v>125</v>
      </c>
    </row>
    <row r="833" spans="1:21" x14ac:dyDescent="0.25">
      <c r="A833" s="90" t="s">
        <v>1416</v>
      </c>
      <c r="B833" s="119">
        <v>7</v>
      </c>
      <c r="C833" s="90" t="s">
        <v>1396</v>
      </c>
      <c r="D833" s="90" t="s">
        <v>1772</v>
      </c>
      <c r="E833">
        <v>1656</v>
      </c>
      <c r="F833">
        <v>1657</v>
      </c>
      <c r="G833" s="93" t="s">
        <v>78</v>
      </c>
      <c r="H833" t="s">
        <v>157</v>
      </c>
      <c r="I833">
        <v>1</v>
      </c>
      <c r="J833">
        <v>145.65</v>
      </c>
      <c r="K833">
        <f t="shared" si="29"/>
        <v>145.65</v>
      </c>
      <c r="L833">
        <v>55</v>
      </c>
      <c r="M833">
        <f t="shared" si="34"/>
        <v>65.54249999999999</v>
      </c>
      <c r="N833" s="90">
        <v>833</v>
      </c>
      <c r="O833" s="90" t="s">
        <v>1417</v>
      </c>
      <c r="P833" s="118" t="s">
        <v>1129</v>
      </c>
      <c r="Q833" s="118" t="s">
        <v>125</v>
      </c>
    </row>
    <row r="834" spans="1:21" x14ac:dyDescent="0.25">
      <c r="A834" s="90" t="s">
        <v>1418</v>
      </c>
      <c r="B834" s="119">
        <v>4</v>
      </c>
      <c r="C834" s="90" t="s">
        <v>812</v>
      </c>
      <c r="D834" s="90" t="s">
        <v>98</v>
      </c>
      <c r="E834">
        <v>1661</v>
      </c>
      <c r="F834">
        <v>1716</v>
      </c>
      <c r="G834" s="93" t="s">
        <v>68</v>
      </c>
      <c r="H834" t="s">
        <v>1419</v>
      </c>
      <c r="I834">
        <v>1</v>
      </c>
      <c r="J834">
        <f>SUM(K835,K837,K839)</f>
        <v>584745.37119606999</v>
      </c>
      <c r="K834">
        <f t="shared" si="29"/>
        <v>584745.37119606999</v>
      </c>
      <c r="L834">
        <f>100*(1-(M834/K834))</f>
        <v>55.000000000000007</v>
      </c>
      <c r="M834">
        <f>I834*SUM(M835,M837,M839)</f>
        <v>263135.41703823151</v>
      </c>
      <c r="N834" s="90">
        <v>834</v>
      </c>
      <c r="O834" s="90" t="s">
        <v>1420</v>
      </c>
      <c r="P834" s="118" t="s">
        <v>1131</v>
      </c>
      <c r="Q834" s="118" t="s">
        <v>125</v>
      </c>
      <c r="R834" s="90" t="s">
        <v>2278</v>
      </c>
      <c r="S834" s="90" t="s">
        <v>2382</v>
      </c>
      <c r="T834" s="90" t="s">
        <v>2434</v>
      </c>
      <c r="U834" s="90" t="s">
        <v>2330</v>
      </c>
    </row>
    <row r="835" spans="1:21" x14ac:dyDescent="0.25">
      <c r="A835" s="90" t="s">
        <v>1421</v>
      </c>
      <c r="B835" s="119">
        <v>5</v>
      </c>
      <c r="C835" s="90" t="s">
        <v>1418</v>
      </c>
      <c r="D835" s="90" t="s">
        <v>78</v>
      </c>
      <c r="E835">
        <v>1662</v>
      </c>
      <c r="F835">
        <v>1665</v>
      </c>
      <c r="G835" s="93" t="s">
        <v>68</v>
      </c>
      <c r="H835" t="s">
        <v>856</v>
      </c>
      <c r="I835">
        <v>74</v>
      </c>
      <c r="J835">
        <f>SUM(K836)</f>
        <v>214.52947918000001</v>
      </c>
      <c r="K835">
        <f t="shared" ref="K835:K898" si="35">I835*J835</f>
        <v>15875.181459320002</v>
      </c>
      <c r="L835">
        <f>100*(1-(M835/K835))</f>
        <v>55.000000000000007</v>
      </c>
      <c r="M835">
        <f>I835*SUM(M836)</f>
        <v>7143.8316566940002</v>
      </c>
      <c r="N835" s="90">
        <v>835</v>
      </c>
      <c r="O835" s="90" t="s">
        <v>1422</v>
      </c>
      <c r="P835" s="118" t="s">
        <v>1133</v>
      </c>
      <c r="Q835" s="118" t="s">
        <v>125</v>
      </c>
      <c r="R835" s="90" t="s">
        <v>1847</v>
      </c>
      <c r="S835" s="90" t="s">
        <v>2081</v>
      </c>
      <c r="T835" s="90" t="s">
        <v>2198</v>
      </c>
      <c r="U835" s="90" t="s">
        <v>1964</v>
      </c>
    </row>
    <row r="836" spans="1:21" x14ac:dyDescent="0.25">
      <c r="A836" s="90" t="s">
        <v>1423</v>
      </c>
      <c r="B836" s="119">
        <v>6</v>
      </c>
      <c r="C836" s="90" t="s">
        <v>1421</v>
      </c>
      <c r="D836" s="90" t="s">
        <v>78</v>
      </c>
      <c r="E836">
        <v>1663</v>
      </c>
      <c r="F836">
        <v>1664</v>
      </c>
      <c r="G836" s="93" t="s">
        <v>78</v>
      </c>
      <c r="H836" t="s">
        <v>203</v>
      </c>
      <c r="I836">
        <v>1</v>
      </c>
      <c r="J836">
        <v>214.52947918000001</v>
      </c>
      <c r="K836">
        <f t="shared" si="35"/>
        <v>214.52947918000001</v>
      </c>
      <c r="L836">
        <v>55</v>
      </c>
      <c r="M836">
        <f>(1-(L836/100))*K836</f>
        <v>96.538265631000002</v>
      </c>
      <c r="N836" s="90">
        <v>836</v>
      </c>
      <c r="O836" s="90" t="s">
        <v>1424</v>
      </c>
      <c r="P836" s="118" t="s">
        <v>1135</v>
      </c>
      <c r="Q836" s="118" t="s">
        <v>125</v>
      </c>
    </row>
    <row r="837" spans="1:21" x14ac:dyDescent="0.25">
      <c r="A837" s="90" t="s">
        <v>1425</v>
      </c>
      <c r="B837" s="119">
        <v>5</v>
      </c>
      <c r="C837" s="90" t="s">
        <v>1418</v>
      </c>
      <c r="D837" s="90" t="s">
        <v>79</v>
      </c>
      <c r="E837">
        <v>1666</v>
      </c>
      <c r="F837">
        <v>1669</v>
      </c>
      <c r="G837" s="93" t="s">
        <v>68</v>
      </c>
      <c r="H837" t="s">
        <v>861</v>
      </c>
      <c r="I837">
        <v>209</v>
      </c>
      <c r="J837">
        <f>SUM(K838)</f>
        <v>214.52947918000001</v>
      </c>
      <c r="K837">
        <f t="shared" si="35"/>
        <v>44836.661148620005</v>
      </c>
      <c r="L837">
        <f>100*(1-(M837/K837))</f>
        <v>55.000000000000007</v>
      </c>
      <c r="M837">
        <f>I837*SUM(M838)</f>
        <v>20176.497516879001</v>
      </c>
      <c r="N837" s="90">
        <v>837</v>
      </c>
      <c r="O837" s="90" t="s">
        <v>1426</v>
      </c>
      <c r="P837" s="118" t="s">
        <v>1137</v>
      </c>
      <c r="Q837" s="118" t="s">
        <v>125</v>
      </c>
      <c r="R837" s="90" t="s">
        <v>1848</v>
      </c>
      <c r="S837" s="90" t="s">
        <v>2082</v>
      </c>
      <c r="T837" s="90" t="s">
        <v>2199</v>
      </c>
      <c r="U837" s="90" t="s">
        <v>1965</v>
      </c>
    </row>
    <row r="838" spans="1:21" x14ac:dyDescent="0.25">
      <c r="A838" s="90" t="s">
        <v>1427</v>
      </c>
      <c r="B838" s="119">
        <v>6</v>
      </c>
      <c r="C838" s="90" t="s">
        <v>1425</v>
      </c>
      <c r="D838" s="90" t="s">
        <v>78</v>
      </c>
      <c r="E838">
        <v>1667</v>
      </c>
      <c r="F838">
        <v>1668</v>
      </c>
      <c r="G838" s="93" t="s">
        <v>78</v>
      </c>
      <c r="H838" t="s">
        <v>205</v>
      </c>
      <c r="I838">
        <v>1</v>
      </c>
      <c r="J838">
        <v>214.52947918000001</v>
      </c>
      <c r="K838">
        <f t="shared" si="35"/>
        <v>214.52947918000001</v>
      </c>
      <c r="L838">
        <v>55</v>
      </c>
      <c r="M838">
        <f>(1-(L838/100))*K838</f>
        <v>96.538265631000002</v>
      </c>
      <c r="N838" s="90">
        <v>838</v>
      </c>
      <c r="O838" s="90" t="s">
        <v>1428</v>
      </c>
      <c r="P838" s="118" t="s">
        <v>1139</v>
      </c>
      <c r="Q838" s="118" t="s">
        <v>125</v>
      </c>
    </row>
    <row r="839" spans="1:21" x14ac:dyDescent="0.25">
      <c r="A839" s="90" t="s">
        <v>1429</v>
      </c>
      <c r="B839" s="119">
        <v>5</v>
      </c>
      <c r="C839" s="90" t="s">
        <v>1418</v>
      </c>
      <c r="D839" s="90" t="s">
        <v>80</v>
      </c>
      <c r="E839">
        <v>1670</v>
      </c>
      <c r="F839">
        <v>1715</v>
      </c>
      <c r="G839" s="93" t="s">
        <v>68</v>
      </c>
      <c r="H839" t="s">
        <v>1430</v>
      </c>
      <c r="I839">
        <v>33</v>
      </c>
      <c r="J839">
        <f>SUM(K840,K841,K842,K843,K844,K845,K846,K847,K848,K849,K850,K851,K852,K853,K854,K855,K856,K857,K858,K859,K860,K861)</f>
        <v>15879.803896609999</v>
      </c>
      <c r="K839">
        <f t="shared" si="35"/>
        <v>524033.52858812996</v>
      </c>
      <c r="L839">
        <f>100*(1-(M839/K839))</f>
        <v>55.000000000000007</v>
      </c>
      <c r="M839">
        <f>I839*SUM(M840,M841,M842,M843,M844,M845,M846,M847,M848,M849,M850,M851,M852,M853,M854,M855,M856,M857,M858,M859,M860,M861)</f>
        <v>235815.08786465848</v>
      </c>
      <c r="N839" s="90">
        <v>839</v>
      </c>
      <c r="O839" s="90" t="s">
        <v>1431</v>
      </c>
      <c r="P839" s="118" t="s">
        <v>1141</v>
      </c>
      <c r="Q839" s="118" t="s">
        <v>125</v>
      </c>
      <c r="R839" s="90" t="s">
        <v>1849</v>
      </c>
      <c r="S839" s="90" t="s">
        <v>2083</v>
      </c>
      <c r="T839" s="90" t="s">
        <v>2200</v>
      </c>
      <c r="U839" s="90" t="s">
        <v>1966</v>
      </c>
    </row>
    <row r="840" spans="1:21" x14ac:dyDescent="0.25">
      <c r="A840" s="90" t="s">
        <v>1432</v>
      </c>
      <c r="B840" s="119">
        <v>6</v>
      </c>
      <c r="C840" s="90" t="s">
        <v>1429</v>
      </c>
      <c r="D840" s="90" t="s">
        <v>78</v>
      </c>
      <c r="E840">
        <v>1671</v>
      </c>
      <c r="F840">
        <v>1672</v>
      </c>
      <c r="G840" s="93" t="s">
        <v>78</v>
      </c>
      <c r="H840" t="s">
        <v>124</v>
      </c>
      <c r="I840">
        <v>0</v>
      </c>
      <c r="J840">
        <v>6097.03298103</v>
      </c>
      <c r="K840">
        <f t="shared" si="35"/>
        <v>0</v>
      </c>
      <c r="L840">
        <v>55</v>
      </c>
      <c r="M840">
        <f t="shared" ref="M840:M861" si="36">(1-(L840/100))*K840</f>
        <v>0</v>
      </c>
      <c r="N840" s="90">
        <v>840</v>
      </c>
      <c r="O840" s="90" t="s">
        <v>1433</v>
      </c>
      <c r="P840" s="118" t="s">
        <v>1143</v>
      </c>
      <c r="Q840" s="118" t="s">
        <v>125</v>
      </c>
    </row>
    <row r="841" spans="1:21" x14ac:dyDescent="0.25">
      <c r="A841" s="90" t="s">
        <v>1434</v>
      </c>
      <c r="B841" s="119">
        <v>6</v>
      </c>
      <c r="C841" s="90" t="s">
        <v>1429</v>
      </c>
      <c r="D841" s="90" t="s">
        <v>79</v>
      </c>
      <c r="E841">
        <v>1673</v>
      </c>
      <c r="F841">
        <v>1674</v>
      </c>
      <c r="G841" s="93" t="s">
        <v>78</v>
      </c>
      <c r="H841" t="s">
        <v>871</v>
      </c>
      <c r="I841">
        <v>1</v>
      </c>
      <c r="J841">
        <v>537.64166561000002</v>
      </c>
      <c r="K841">
        <f t="shared" si="35"/>
        <v>537.64166561000002</v>
      </c>
      <c r="L841">
        <v>55</v>
      </c>
      <c r="M841">
        <f t="shared" si="36"/>
        <v>241.9387495245</v>
      </c>
      <c r="N841" s="90">
        <v>841</v>
      </c>
      <c r="O841" s="90" t="s">
        <v>1435</v>
      </c>
      <c r="P841" s="118" t="s">
        <v>1145</v>
      </c>
      <c r="Q841" s="118" t="s">
        <v>125</v>
      </c>
    </row>
    <row r="842" spans="1:21" x14ac:dyDescent="0.25">
      <c r="A842" s="90" t="s">
        <v>1436</v>
      </c>
      <c r="B842" s="119">
        <v>6</v>
      </c>
      <c r="C842" s="90" t="s">
        <v>1429</v>
      </c>
      <c r="D842" s="90" t="s">
        <v>80</v>
      </c>
      <c r="E842">
        <v>1675</v>
      </c>
      <c r="F842">
        <v>1676</v>
      </c>
      <c r="G842" s="93" t="s">
        <v>78</v>
      </c>
      <c r="H842" t="s">
        <v>123</v>
      </c>
      <c r="I842">
        <v>1</v>
      </c>
      <c r="J842">
        <v>313.76543995999998</v>
      </c>
      <c r="K842">
        <f t="shared" si="35"/>
        <v>313.76543995999998</v>
      </c>
      <c r="L842">
        <v>55</v>
      </c>
      <c r="M842">
        <f t="shared" si="36"/>
        <v>141.19444798199999</v>
      </c>
      <c r="N842" s="90">
        <v>842</v>
      </c>
      <c r="O842" s="90" t="s">
        <v>1437</v>
      </c>
      <c r="P842" s="118" t="s">
        <v>1147</v>
      </c>
      <c r="Q842" s="118" t="s">
        <v>125</v>
      </c>
    </row>
    <row r="843" spans="1:21" x14ac:dyDescent="0.25">
      <c r="A843" s="90" t="s">
        <v>1438</v>
      </c>
      <c r="B843" s="119">
        <v>6</v>
      </c>
      <c r="C843" s="90" t="s">
        <v>1429</v>
      </c>
      <c r="D843" s="90" t="s">
        <v>95</v>
      </c>
      <c r="E843">
        <v>1677</v>
      </c>
      <c r="F843">
        <v>1678</v>
      </c>
      <c r="G843" s="93" t="s">
        <v>78</v>
      </c>
      <c r="H843" t="s">
        <v>120</v>
      </c>
      <c r="I843">
        <v>1</v>
      </c>
      <c r="J843">
        <v>1231.376544</v>
      </c>
      <c r="K843">
        <f t="shared" si="35"/>
        <v>1231.376544</v>
      </c>
      <c r="L843">
        <v>55</v>
      </c>
      <c r="M843">
        <f t="shared" si="36"/>
        <v>554.11944479999988</v>
      </c>
      <c r="N843" s="90">
        <v>843</v>
      </c>
      <c r="O843" s="90" t="s">
        <v>1439</v>
      </c>
      <c r="P843" s="118" t="s">
        <v>1149</v>
      </c>
      <c r="Q843" s="118" t="s">
        <v>125</v>
      </c>
    </row>
    <row r="844" spans="1:21" x14ac:dyDescent="0.25">
      <c r="A844" s="90" t="s">
        <v>1440</v>
      </c>
      <c r="B844" s="119">
        <v>6</v>
      </c>
      <c r="C844" s="90" t="s">
        <v>1429</v>
      </c>
      <c r="D844" s="90" t="s">
        <v>96</v>
      </c>
      <c r="E844">
        <v>1679</v>
      </c>
      <c r="F844">
        <v>1680</v>
      </c>
      <c r="G844" s="93" t="s">
        <v>78</v>
      </c>
      <c r="H844" t="s">
        <v>126</v>
      </c>
      <c r="I844">
        <v>1</v>
      </c>
      <c r="J844">
        <v>967.93582071000003</v>
      </c>
      <c r="K844">
        <f t="shared" si="35"/>
        <v>967.93582071000003</v>
      </c>
      <c r="L844">
        <v>55</v>
      </c>
      <c r="M844">
        <f t="shared" si="36"/>
        <v>435.57111931949999</v>
      </c>
      <c r="N844" s="90">
        <v>844</v>
      </c>
      <c r="O844" s="90" t="s">
        <v>1441</v>
      </c>
      <c r="P844" s="118" t="s">
        <v>1151</v>
      </c>
      <c r="Q844" s="118" t="s">
        <v>125</v>
      </c>
    </row>
    <row r="845" spans="1:21" x14ac:dyDescent="0.25">
      <c r="A845" s="90" t="s">
        <v>1442</v>
      </c>
      <c r="B845" s="119">
        <v>6</v>
      </c>
      <c r="C845" s="90" t="s">
        <v>1429</v>
      </c>
      <c r="D845" s="90" t="s">
        <v>103</v>
      </c>
      <c r="E845">
        <v>1681</v>
      </c>
      <c r="F845">
        <v>1682</v>
      </c>
      <c r="G845" s="93" t="s">
        <v>78</v>
      </c>
      <c r="H845" t="s">
        <v>199</v>
      </c>
      <c r="I845">
        <v>2</v>
      </c>
      <c r="J845">
        <v>862.86769387000004</v>
      </c>
      <c r="K845">
        <f t="shared" si="35"/>
        <v>1725.7353877400001</v>
      </c>
      <c r="L845">
        <v>55</v>
      </c>
      <c r="M845">
        <f t="shared" si="36"/>
        <v>776.58092448299999</v>
      </c>
      <c r="N845" s="90">
        <v>845</v>
      </c>
      <c r="O845" s="90" t="s">
        <v>1443</v>
      </c>
      <c r="P845" s="118" t="s">
        <v>1153</v>
      </c>
      <c r="Q845" s="118" t="s">
        <v>125</v>
      </c>
    </row>
    <row r="846" spans="1:21" x14ac:dyDescent="0.25">
      <c r="A846" s="90" t="s">
        <v>1444</v>
      </c>
      <c r="B846" s="119">
        <v>6</v>
      </c>
      <c r="C846" s="90" t="s">
        <v>1429</v>
      </c>
      <c r="D846" s="90" t="s">
        <v>1769</v>
      </c>
      <c r="E846">
        <v>1683</v>
      </c>
      <c r="F846">
        <v>1684</v>
      </c>
      <c r="G846" s="93" t="s">
        <v>78</v>
      </c>
      <c r="H846" t="s">
        <v>224</v>
      </c>
      <c r="I846">
        <v>1</v>
      </c>
      <c r="J846">
        <v>2064.00101872</v>
      </c>
      <c r="K846">
        <f t="shared" si="35"/>
        <v>2064.00101872</v>
      </c>
      <c r="L846">
        <v>55</v>
      </c>
      <c r="M846">
        <f t="shared" si="36"/>
        <v>928.80045842399988</v>
      </c>
      <c r="N846" s="90">
        <v>846</v>
      </c>
      <c r="O846" s="90" t="s">
        <v>1445</v>
      </c>
      <c r="P846" s="118" t="s">
        <v>1155</v>
      </c>
      <c r="Q846" s="118" t="s">
        <v>125</v>
      </c>
    </row>
    <row r="847" spans="1:21" x14ac:dyDescent="0.25">
      <c r="A847" s="90" t="s">
        <v>1446</v>
      </c>
      <c r="B847" s="119">
        <v>6</v>
      </c>
      <c r="C847" s="90" t="s">
        <v>1429</v>
      </c>
      <c r="D847" s="90" t="s">
        <v>1770</v>
      </c>
      <c r="E847">
        <v>1685</v>
      </c>
      <c r="F847">
        <v>1686</v>
      </c>
      <c r="G847" s="93" t="s">
        <v>78</v>
      </c>
      <c r="H847" t="s">
        <v>201</v>
      </c>
      <c r="I847">
        <v>1</v>
      </c>
      <c r="J847">
        <v>7211.7152680500003</v>
      </c>
      <c r="K847">
        <f t="shared" si="35"/>
        <v>7211.7152680500003</v>
      </c>
      <c r="L847">
        <v>55</v>
      </c>
      <c r="M847">
        <f t="shared" si="36"/>
        <v>3245.2718706224996</v>
      </c>
      <c r="N847" s="90">
        <v>847</v>
      </c>
      <c r="O847" s="90" t="s">
        <v>1447</v>
      </c>
      <c r="P847" s="118" t="s">
        <v>1157</v>
      </c>
      <c r="Q847" s="118" t="s">
        <v>125</v>
      </c>
    </row>
    <row r="848" spans="1:21" x14ac:dyDescent="0.25">
      <c r="A848" s="90" t="s">
        <v>1448</v>
      </c>
      <c r="B848" s="119">
        <v>6</v>
      </c>
      <c r="C848" s="90" t="s">
        <v>1429</v>
      </c>
      <c r="D848" s="90" t="s">
        <v>1771</v>
      </c>
      <c r="E848">
        <v>1687</v>
      </c>
      <c r="F848">
        <v>1688</v>
      </c>
      <c r="G848" s="93" t="s">
        <v>78</v>
      </c>
      <c r="H848" t="s">
        <v>203</v>
      </c>
      <c r="I848">
        <v>0</v>
      </c>
      <c r="J848">
        <v>214.52947918000001</v>
      </c>
      <c r="K848">
        <f t="shared" si="35"/>
        <v>0</v>
      </c>
      <c r="L848">
        <v>55</v>
      </c>
      <c r="M848">
        <f t="shared" si="36"/>
        <v>0</v>
      </c>
      <c r="N848" s="90">
        <v>848</v>
      </c>
      <c r="O848" s="90" t="s">
        <v>1449</v>
      </c>
      <c r="P848" s="118" t="s">
        <v>1159</v>
      </c>
      <c r="Q848" s="118" t="s">
        <v>125</v>
      </c>
    </row>
    <row r="849" spans="1:21" x14ac:dyDescent="0.25">
      <c r="A849" s="90" t="s">
        <v>1450</v>
      </c>
      <c r="B849" s="119">
        <v>6</v>
      </c>
      <c r="C849" s="90" t="s">
        <v>1429</v>
      </c>
      <c r="D849" s="90" t="s">
        <v>1772</v>
      </c>
      <c r="E849">
        <v>1689</v>
      </c>
      <c r="F849">
        <v>1690</v>
      </c>
      <c r="G849" s="93" t="s">
        <v>78</v>
      </c>
      <c r="H849" t="s">
        <v>205</v>
      </c>
      <c r="I849">
        <v>0</v>
      </c>
      <c r="J849">
        <v>214.52947918000001</v>
      </c>
      <c r="K849">
        <f t="shared" si="35"/>
        <v>0</v>
      </c>
      <c r="L849">
        <v>55</v>
      </c>
      <c r="M849">
        <f t="shared" si="36"/>
        <v>0</v>
      </c>
      <c r="N849" s="90">
        <v>849</v>
      </c>
      <c r="O849" s="90" t="s">
        <v>1451</v>
      </c>
      <c r="P849" s="118" t="s">
        <v>1161</v>
      </c>
      <c r="Q849" s="118" t="s">
        <v>125</v>
      </c>
    </row>
    <row r="850" spans="1:21" x14ac:dyDescent="0.25">
      <c r="A850" s="90" t="s">
        <v>1452</v>
      </c>
      <c r="B850" s="119">
        <v>6</v>
      </c>
      <c r="C850" s="90" t="s">
        <v>1429</v>
      </c>
      <c r="D850" s="90" t="s">
        <v>97</v>
      </c>
      <c r="E850">
        <v>1691</v>
      </c>
      <c r="F850">
        <v>1692</v>
      </c>
      <c r="G850" s="93" t="s">
        <v>78</v>
      </c>
      <c r="H850" t="s">
        <v>194</v>
      </c>
      <c r="I850">
        <v>3</v>
      </c>
      <c r="J850">
        <v>256.72991214000001</v>
      </c>
      <c r="K850">
        <f t="shared" si="35"/>
        <v>770.18973642000003</v>
      </c>
      <c r="L850">
        <v>55</v>
      </c>
      <c r="M850">
        <f t="shared" si="36"/>
        <v>346.58538138899996</v>
      </c>
      <c r="N850" s="90">
        <v>850</v>
      </c>
      <c r="O850" s="90" t="s">
        <v>1453</v>
      </c>
      <c r="P850" s="118" t="s">
        <v>2557</v>
      </c>
      <c r="Q850" s="118" t="s">
        <v>125</v>
      </c>
    </row>
    <row r="851" spans="1:21" x14ac:dyDescent="0.25">
      <c r="A851" s="90" t="s">
        <v>1454</v>
      </c>
      <c r="B851" s="119">
        <v>6</v>
      </c>
      <c r="C851" s="90" t="s">
        <v>1429</v>
      </c>
      <c r="D851" s="90" t="s">
        <v>98</v>
      </c>
      <c r="E851">
        <v>1693</v>
      </c>
      <c r="F851">
        <v>1694</v>
      </c>
      <c r="G851" s="93" t="s">
        <v>78</v>
      </c>
      <c r="H851" t="s">
        <v>892</v>
      </c>
      <c r="I851">
        <v>1</v>
      </c>
      <c r="J851">
        <v>997.30039475000001</v>
      </c>
      <c r="K851">
        <f t="shared" si="35"/>
        <v>997.30039475000001</v>
      </c>
      <c r="L851">
        <v>55</v>
      </c>
      <c r="M851">
        <f t="shared" si="36"/>
        <v>448.78517763749994</v>
      </c>
      <c r="N851" s="90">
        <v>851</v>
      </c>
      <c r="O851" s="90" t="s">
        <v>1455</v>
      </c>
      <c r="P851" s="118" t="s">
        <v>1164</v>
      </c>
      <c r="Q851" s="118" t="s">
        <v>125</v>
      </c>
    </row>
    <row r="852" spans="1:21" x14ac:dyDescent="0.25">
      <c r="A852" s="90" t="s">
        <v>1456</v>
      </c>
      <c r="B852" s="119">
        <v>6</v>
      </c>
      <c r="C852" s="90" t="s">
        <v>1429</v>
      </c>
      <c r="D852" s="90" t="s">
        <v>99</v>
      </c>
      <c r="E852">
        <v>1695</v>
      </c>
      <c r="F852">
        <v>1696</v>
      </c>
      <c r="G852" s="93" t="s">
        <v>78</v>
      </c>
      <c r="H852" t="s">
        <v>895</v>
      </c>
      <c r="I852">
        <v>0</v>
      </c>
      <c r="J852">
        <v>938.16375906999997</v>
      </c>
      <c r="K852">
        <f t="shared" si="35"/>
        <v>0</v>
      </c>
      <c r="L852">
        <v>55</v>
      </c>
      <c r="M852">
        <f t="shared" si="36"/>
        <v>0</v>
      </c>
      <c r="N852" s="90">
        <v>852</v>
      </c>
      <c r="O852" s="90" t="s">
        <v>1457</v>
      </c>
      <c r="P852" s="118" t="s">
        <v>1166</v>
      </c>
      <c r="Q852" s="118" t="s">
        <v>125</v>
      </c>
    </row>
    <row r="853" spans="1:21" x14ac:dyDescent="0.25">
      <c r="A853" s="90" t="s">
        <v>1458</v>
      </c>
      <c r="B853" s="119">
        <v>6</v>
      </c>
      <c r="C853" s="90" t="s">
        <v>1429</v>
      </c>
      <c r="D853" s="90" t="s">
        <v>100</v>
      </c>
      <c r="E853">
        <v>1697</v>
      </c>
      <c r="F853">
        <v>1698</v>
      </c>
      <c r="G853" s="93" t="s">
        <v>78</v>
      </c>
      <c r="H853" t="s">
        <v>119</v>
      </c>
      <c r="I853">
        <v>0</v>
      </c>
      <c r="J853">
        <v>594.85546925000006</v>
      </c>
      <c r="K853">
        <f t="shared" si="35"/>
        <v>0</v>
      </c>
      <c r="L853">
        <v>55</v>
      </c>
      <c r="M853">
        <f t="shared" si="36"/>
        <v>0</v>
      </c>
      <c r="N853" s="90">
        <v>853</v>
      </c>
      <c r="O853" s="90" t="s">
        <v>1459</v>
      </c>
      <c r="P853" s="118" t="s">
        <v>1168</v>
      </c>
      <c r="Q853" s="118" t="s">
        <v>125</v>
      </c>
    </row>
    <row r="854" spans="1:21" x14ac:dyDescent="0.25">
      <c r="A854" s="90" t="s">
        <v>1460</v>
      </c>
      <c r="B854" s="119">
        <v>6</v>
      </c>
      <c r="C854" s="90" t="s">
        <v>1429</v>
      </c>
      <c r="D854" s="90" t="s">
        <v>81</v>
      </c>
      <c r="E854">
        <v>1699</v>
      </c>
      <c r="F854">
        <v>1700</v>
      </c>
      <c r="G854" s="93" t="s">
        <v>78</v>
      </c>
      <c r="H854" t="s">
        <v>128</v>
      </c>
      <c r="I854">
        <v>0</v>
      </c>
      <c r="J854">
        <v>275.43613906000002</v>
      </c>
      <c r="K854">
        <f t="shared" si="35"/>
        <v>0</v>
      </c>
      <c r="L854">
        <v>55</v>
      </c>
      <c r="M854">
        <f t="shared" si="36"/>
        <v>0</v>
      </c>
      <c r="N854" s="90">
        <v>854</v>
      </c>
      <c r="O854" s="90" t="s">
        <v>1461</v>
      </c>
      <c r="P854" s="118" t="s">
        <v>2558</v>
      </c>
      <c r="Q854" s="118" t="s">
        <v>125</v>
      </c>
    </row>
    <row r="855" spans="1:21" x14ac:dyDescent="0.25">
      <c r="A855" s="90" t="s">
        <v>1462</v>
      </c>
      <c r="B855" s="119">
        <v>6</v>
      </c>
      <c r="C855" s="90" t="s">
        <v>1429</v>
      </c>
      <c r="D855" s="90" t="s">
        <v>83</v>
      </c>
      <c r="E855">
        <v>1701</v>
      </c>
      <c r="F855">
        <v>1702</v>
      </c>
      <c r="G855" s="93" t="s">
        <v>78</v>
      </c>
      <c r="H855" t="s">
        <v>121</v>
      </c>
      <c r="I855">
        <v>0</v>
      </c>
      <c r="J855">
        <v>78.186680249999995</v>
      </c>
      <c r="K855">
        <f t="shared" si="35"/>
        <v>0</v>
      </c>
      <c r="L855">
        <v>55</v>
      </c>
      <c r="M855">
        <f t="shared" si="36"/>
        <v>0</v>
      </c>
      <c r="N855" s="90">
        <v>855</v>
      </c>
      <c r="O855" s="90" t="s">
        <v>1463</v>
      </c>
      <c r="P855" s="118" t="s">
        <v>1170</v>
      </c>
      <c r="Q855" s="118" t="s">
        <v>125</v>
      </c>
    </row>
    <row r="856" spans="1:21" x14ac:dyDescent="0.25">
      <c r="A856" s="90" t="s">
        <v>1464</v>
      </c>
      <c r="B856" s="119">
        <v>6</v>
      </c>
      <c r="C856" s="90" t="s">
        <v>1429</v>
      </c>
      <c r="D856" s="90" t="s">
        <v>84</v>
      </c>
      <c r="E856">
        <v>1703</v>
      </c>
      <c r="F856">
        <v>1704</v>
      </c>
      <c r="G856" s="93" t="s">
        <v>78</v>
      </c>
      <c r="H856" t="s">
        <v>122</v>
      </c>
      <c r="I856">
        <v>0</v>
      </c>
      <c r="J856">
        <v>823.90169361999995</v>
      </c>
      <c r="K856">
        <f t="shared" si="35"/>
        <v>0</v>
      </c>
      <c r="L856">
        <v>55</v>
      </c>
      <c r="M856">
        <f t="shared" si="36"/>
        <v>0</v>
      </c>
      <c r="N856" s="90">
        <v>856</v>
      </c>
      <c r="O856" s="90" t="s">
        <v>1465</v>
      </c>
      <c r="P856" s="118" t="s">
        <v>1172</v>
      </c>
      <c r="Q856" s="118" t="s">
        <v>125</v>
      </c>
    </row>
    <row r="857" spans="1:21" x14ac:dyDescent="0.25">
      <c r="A857" s="90" t="s">
        <v>1466</v>
      </c>
      <c r="B857" s="119">
        <v>6</v>
      </c>
      <c r="C857" s="90" t="s">
        <v>1429</v>
      </c>
      <c r="D857" s="90" t="s">
        <v>85</v>
      </c>
      <c r="E857">
        <v>1705</v>
      </c>
      <c r="F857">
        <v>1706</v>
      </c>
      <c r="G857" s="93" t="s">
        <v>78</v>
      </c>
      <c r="H857" t="s">
        <v>129</v>
      </c>
      <c r="I857">
        <v>0</v>
      </c>
      <c r="J857">
        <v>270.62269196</v>
      </c>
      <c r="K857">
        <f t="shared" si="35"/>
        <v>0</v>
      </c>
      <c r="L857">
        <v>55</v>
      </c>
      <c r="M857">
        <f t="shared" si="36"/>
        <v>0</v>
      </c>
      <c r="N857" s="90">
        <v>857</v>
      </c>
      <c r="O857" s="90" t="s">
        <v>1467</v>
      </c>
      <c r="P857" s="118" t="s">
        <v>2559</v>
      </c>
      <c r="Q857" s="118" t="s">
        <v>125</v>
      </c>
    </row>
    <row r="858" spans="1:21" x14ac:dyDescent="0.25">
      <c r="A858" s="90" t="s">
        <v>1468</v>
      </c>
      <c r="B858" s="119">
        <v>6</v>
      </c>
      <c r="C858" s="90" t="s">
        <v>1429</v>
      </c>
      <c r="D858" s="90" t="s">
        <v>86</v>
      </c>
      <c r="E858">
        <v>1707</v>
      </c>
      <c r="F858">
        <v>1708</v>
      </c>
      <c r="G858" s="93" t="s">
        <v>78</v>
      </c>
      <c r="H858" t="s">
        <v>908</v>
      </c>
      <c r="I858">
        <v>1</v>
      </c>
      <c r="J858">
        <v>60.142620649999998</v>
      </c>
      <c r="K858">
        <f t="shared" si="35"/>
        <v>60.142620649999998</v>
      </c>
      <c r="L858">
        <v>55</v>
      </c>
      <c r="M858">
        <f t="shared" si="36"/>
        <v>27.064179292499997</v>
      </c>
      <c r="N858" s="90">
        <v>858</v>
      </c>
      <c r="O858" s="90" t="s">
        <v>1469</v>
      </c>
      <c r="P858" s="118" t="s">
        <v>1175</v>
      </c>
      <c r="Q858" s="118" t="s">
        <v>125</v>
      </c>
    </row>
    <row r="859" spans="1:21" x14ac:dyDescent="0.25">
      <c r="A859" s="90" t="s">
        <v>1470</v>
      </c>
      <c r="B859" s="119">
        <v>6</v>
      </c>
      <c r="C859" s="90" t="s">
        <v>1429</v>
      </c>
      <c r="D859" s="90" t="s">
        <v>87</v>
      </c>
      <c r="E859">
        <v>1709</v>
      </c>
      <c r="F859">
        <v>1710</v>
      </c>
      <c r="G859" s="93" t="s">
        <v>78</v>
      </c>
      <c r="H859" t="s">
        <v>135</v>
      </c>
      <c r="I859">
        <v>0</v>
      </c>
      <c r="J859">
        <v>119.07551254000001</v>
      </c>
      <c r="K859">
        <f t="shared" si="35"/>
        <v>0</v>
      </c>
      <c r="L859">
        <v>55</v>
      </c>
      <c r="M859">
        <f t="shared" si="36"/>
        <v>0</v>
      </c>
      <c r="N859" s="90">
        <v>859</v>
      </c>
      <c r="O859" s="90" t="s">
        <v>1471</v>
      </c>
      <c r="P859" s="118" t="s">
        <v>1177</v>
      </c>
      <c r="Q859" s="118" t="s">
        <v>125</v>
      </c>
    </row>
    <row r="860" spans="1:21" x14ac:dyDescent="0.25">
      <c r="A860" s="90" t="s">
        <v>1472</v>
      </c>
      <c r="B860" s="119">
        <v>6</v>
      </c>
      <c r="C860" s="90" t="s">
        <v>1429</v>
      </c>
      <c r="D860" s="90" t="s">
        <v>101</v>
      </c>
      <c r="E860">
        <v>1711</v>
      </c>
      <c r="F860">
        <v>1712</v>
      </c>
      <c r="G860" s="93" t="s">
        <v>78</v>
      </c>
      <c r="H860" t="s">
        <v>130</v>
      </c>
      <c r="I860">
        <v>0</v>
      </c>
      <c r="J860">
        <v>212.88679486000001</v>
      </c>
      <c r="K860">
        <f t="shared" si="35"/>
        <v>0</v>
      </c>
      <c r="L860">
        <v>55</v>
      </c>
      <c r="M860">
        <f t="shared" si="36"/>
        <v>0</v>
      </c>
      <c r="N860" s="90">
        <v>860</v>
      </c>
      <c r="O860" s="90" t="s">
        <v>1473</v>
      </c>
      <c r="P860" s="118" t="s">
        <v>1179</v>
      </c>
      <c r="Q860" s="118" t="s">
        <v>125</v>
      </c>
    </row>
    <row r="861" spans="1:21" x14ac:dyDescent="0.25">
      <c r="A861" s="90" t="s">
        <v>1474</v>
      </c>
      <c r="B861" s="119">
        <v>6</v>
      </c>
      <c r="C861" s="90" t="s">
        <v>1429</v>
      </c>
      <c r="D861" s="90" t="s">
        <v>88</v>
      </c>
      <c r="E861">
        <v>1713</v>
      </c>
      <c r="F861">
        <v>1714</v>
      </c>
      <c r="G861" s="93" t="s">
        <v>78</v>
      </c>
      <c r="H861" t="s">
        <v>131</v>
      </c>
      <c r="I861">
        <v>0</v>
      </c>
      <c r="J861">
        <v>206.87635298999999</v>
      </c>
      <c r="K861">
        <f t="shared" si="35"/>
        <v>0</v>
      </c>
      <c r="L861">
        <v>55</v>
      </c>
      <c r="M861">
        <f t="shared" si="36"/>
        <v>0</v>
      </c>
      <c r="N861" s="90">
        <v>861</v>
      </c>
      <c r="O861" s="90" t="s">
        <v>1475</v>
      </c>
      <c r="P861" s="118" t="s">
        <v>1181</v>
      </c>
      <c r="Q861" s="118" t="s">
        <v>125</v>
      </c>
    </row>
    <row r="862" spans="1:21" x14ac:dyDescent="0.25">
      <c r="A862" s="90" t="s">
        <v>1476</v>
      </c>
      <c r="B862" s="119">
        <v>4</v>
      </c>
      <c r="C862" s="90" t="s">
        <v>812</v>
      </c>
      <c r="D862" s="90" t="s">
        <v>99</v>
      </c>
      <c r="E862">
        <v>1717</v>
      </c>
      <c r="F862">
        <v>1784</v>
      </c>
      <c r="G862" s="93" t="s">
        <v>68</v>
      </c>
      <c r="H862" t="s">
        <v>1477</v>
      </c>
      <c r="I862">
        <v>1</v>
      </c>
      <c r="J862">
        <f>SUM(K863,K865,K867)</f>
        <v>170711.30778054002</v>
      </c>
      <c r="K862">
        <f t="shared" si="35"/>
        <v>170711.30778054002</v>
      </c>
      <c r="L862">
        <f>100*(1-(M862/K862))</f>
        <v>55.000000000000028</v>
      </c>
      <c r="M862">
        <f>I862*SUM(M863,M865,M867)</f>
        <v>76820.088501242979</v>
      </c>
      <c r="N862" s="90">
        <v>862</v>
      </c>
      <c r="O862" s="90" t="s">
        <v>1478</v>
      </c>
      <c r="P862" s="118" t="s">
        <v>1183</v>
      </c>
      <c r="Q862" s="118" t="s">
        <v>125</v>
      </c>
      <c r="R862" s="90" t="s">
        <v>2279</v>
      </c>
      <c r="S862" s="90" t="s">
        <v>2383</v>
      </c>
      <c r="T862" s="90" t="s">
        <v>2435</v>
      </c>
      <c r="U862" s="90" t="s">
        <v>2331</v>
      </c>
    </row>
    <row r="863" spans="1:21" x14ac:dyDescent="0.25">
      <c r="A863" s="90" t="s">
        <v>1479</v>
      </c>
      <c r="B863" s="119">
        <v>5</v>
      </c>
      <c r="C863" s="90" t="s">
        <v>1476</v>
      </c>
      <c r="D863" s="90" t="s">
        <v>78</v>
      </c>
      <c r="E863">
        <v>1718</v>
      </c>
      <c r="F863">
        <v>1721</v>
      </c>
      <c r="G863" s="93" t="s">
        <v>68</v>
      </c>
      <c r="H863" t="s">
        <v>856</v>
      </c>
      <c r="I863">
        <v>21</v>
      </c>
      <c r="J863">
        <f>SUM(K864)</f>
        <v>214.52947918000001</v>
      </c>
      <c r="K863">
        <f t="shared" si="35"/>
        <v>4505.1190627800006</v>
      </c>
      <c r="L863">
        <f>100*(1-(M863/K863))</f>
        <v>55.000000000000007</v>
      </c>
      <c r="M863">
        <f>I863*SUM(M864)</f>
        <v>2027.3035782510001</v>
      </c>
      <c r="N863" s="90">
        <v>863</v>
      </c>
      <c r="O863" s="90" t="s">
        <v>1480</v>
      </c>
      <c r="P863" s="118" t="s">
        <v>1185</v>
      </c>
      <c r="Q863" s="118" t="s">
        <v>125</v>
      </c>
      <c r="R863" s="90" t="s">
        <v>1850</v>
      </c>
      <c r="S863" s="90" t="s">
        <v>2084</v>
      </c>
      <c r="T863" s="90" t="s">
        <v>2201</v>
      </c>
      <c r="U863" s="90" t="s">
        <v>1967</v>
      </c>
    </row>
    <row r="864" spans="1:21" x14ac:dyDescent="0.25">
      <c r="A864" s="90" t="s">
        <v>1481</v>
      </c>
      <c r="B864" s="119">
        <v>6</v>
      </c>
      <c r="C864" s="90" t="s">
        <v>1479</v>
      </c>
      <c r="D864" s="90" t="s">
        <v>78</v>
      </c>
      <c r="E864">
        <v>1719</v>
      </c>
      <c r="F864">
        <v>1720</v>
      </c>
      <c r="G864" s="93" t="s">
        <v>78</v>
      </c>
      <c r="H864" t="s">
        <v>203</v>
      </c>
      <c r="I864">
        <v>1</v>
      </c>
      <c r="J864">
        <v>214.52947918000001</v>
      </c>
      <c r="K864">
        <f t="shared" si="35"/>
        <v>214.52947918000001</v>
      </c>
      <c r="L864">
        <v>55</v>
      </c>
      <c r="M864">
        <f>(1-(L864/100))*K864</f>
        <v>96.538265631000002</v>
      </c>
      <c r="N864" s="90">
        <v>864</v>
      </c>
      <c r="O864" s="90" t="s">
        <v>1482</v>
      </c>
      <c r="P864" s="118" t="s">
        <v>1187</v>
      </c>
      <c r="Q864" s="118" t="s">
        <v>125</v>
      </c>
    </row>
    <row r="865" spans="1:21" x14ac:dyDescent="0.25">
      <c r="A865" s="90" t="s">
        <v>1483</v>
      </c>
      <c r="B865" s="119">
        <v>5</v>
      </c>
      <c r="C865" s="90" t="s">
        <v>1476</v>
      </c>
      <c r="D865" s="90" t="s">
        <v>79</v>
      </c>
      <c r="E865">
        <v>1722</v>
      </c>
      <c r="F865">
        <v>1725</v>
      </c>
      <c r="G865" s="93" t="s">
        <v>68</v>
      </c>
      <c r="H865" t="s">
        <v>861</v>
      </c>
      <c r="I865">
        <v>52</v>
      </c>
      <c r="J865">
        <f>SUM(K866)</f>
        <v>214.52947918000001</v>
      </c>
      <c r="K865">
        <f t="shared" si="35"/>
        <v>11155.53291736</v>
      </c>
      <c r="L865">
        <f>100*(1-(M865/K865))</f>
        <v>55.000000000000007</v>
      </c>
      <c r="M865">
        <f>I865*SUM(M866)</f>
        <v>5019.9898128120003</v>
      </c>
      <c r="N865" s="90">
        <v>865</v>
      </c>
      <c r="O865" s="90" t="s">
        <v>1484</v>
      </c>
      <c r="P865" s="118" t="s">
        <v>1189</v>
      </c>
      <c r="Q865" s="118" t="s">
        <v>125</v>
      </c>
      <c r="R865" s="90" t="s">
        <v>1851</v>
      </c>
      <c r="S865" s="90" t="s">
        <v>2085</v>
      </c>
      <c r="T865" s="90" t="s">
        <v>2202</v>
      </c>
      <c r="U865" s="90" t="s">
        <v>1968</v>
      </c>
    </row>
    <row r="866" spans="1:21" x14ac:dyDescent="0.25">
      <c r="A866" s="90" t="s">
        <v>1485</v>
      </c>
      <c r="B866" s="119">
        <v>6</v>
      </c>
      <c r="C866" s="90" t="s">
        <v>1483</v>
      </c>
      <c r="D866" s="90" t="s">
        <v>78</v>
      </c>
      <c r="E866">
        <v>1723</v>
      </c>
      <c r="F866">
        <v>1724</v>
      </c>
      <c r="G866" s="93" t="s">
        <v>78</v>
      </c>
      <c r="H866" t="s">
        <v>205</v>
      </c>
      <c r="I866">
        <v>1</v>
      </c>
      <c r="J866">
        <v>214.52947918000001</v>
      </c>
      <c r="K866">
        <f t="shared" si="35"/>
        <v>214.52947918000001</v>
      </c>
      <c r="L866">
        <v>55</v>
      </c>
      <c r="M866">
        <f>(1-(L866/100))*K866</f>
        <v>96.538265631000002</v>
      </c>
      <c r="N866" s="90">
        <v>866</v>
      </c>
      <c r="O866" s="90" t="s">
        <v>1486</v>
      </c>
      <c r="P866" s="118" t="s">
        <v>1191</v>
      </c>
      <c r="Q866" s="118" t="s">
        <v>125</v>
      </c>
    </row>
    <row r="867" spans="1:21" x14ac:dyDescent="0.25">
      <c r="A867" s="90" t="s">
        <v>1487</v>
      </c>
      <c r="B867" s="119">
        <v>5</v>
      </c>
      <c r="C867" s="90" t="s">
        <v>1476</v>
      </c>
      <c r="D867" s="90" t="s">
        <v>80</v>
      </c>
      <c r="E867">
        <v>1726</v>
      </c>
      <c r="F867">
        <v>1783</v>
      </c>
      <c r="G867" s="93" t="s">
        <v>68</v>
      </c>
      <c r="H867" t="s">
        <v>1488</v>
      </c>
      <c r="I867">
        <v>8</v>
      </c>
      <c r="J867">
        <f>SUM(K868,K869,K870,K871,K872,K873,K874,K875,K876,K877,K878,K879,K880,K881,K882,K883,K884,K885,K886,K887,K888,K889,K890,K891,K892,K893,K894,K895)</f>
        <v>19381.331975050001</v>
      </c>
      <c r="K867">
        <f t="shared" si="35"/>
        <v>155050.65580040001</v>
      </c>
      <c r="L867">
        <f>100*(1-(M867/K867))</f>
        <v>55.000000000000014</v>
      </c>
      <c r="M867">
        <f>I867*SUM(M868,M869,M870,M871,M872,M873,M874,M875,M876,M877,M878,M879,M880,M881,M882,M883,M884,M885,M886,M887,M888,M889,M890,M891,M892,M893,M894,M895)</f>
        <v>69772.795110179984</v>
      </c>
      <c r="N867" s="90">
        <v>867</v>
      </c>
      <c r="O867" s="90" t="s">
        <v>1489</v>
      </c>
      <c r="P867" s="118" t="s">
        <v>1193</v>
      </c>
      <c r="Q867" s="118" t="s">
        <v>125</v>
      </c>
      <c r="R867" s="90" t="s">
        <v>1852</v>
      </c>
      <c r="S867" s="90" t="s">
        <v>2086</v>
      </c>
      <c r="T867" s="90" t="s">
        <v>2203</v>
      </c>
      <c r="U867" s="90" t="s">
        <v>1969</v>
      </c>
    </row>
    <row r="868" spans="1:21" x14ac:dyDescent="0.25">
      <c r="A868" s="90" t="s">
        <v>1490</v>
      </c>
      <c r="B868" s="119">
        <v>6</v>
      </c>
      <c r="C868" s="90" t="s">
        <v>1487</v>
      </c>
      <c r="D868" s="90" t="s">
        <v>78</v>
      </c>
      <c r="E868">
        <v>1727</v>
      </c>
      <c r="F868">
        <v>1728</v>
      </c>
      <c r="G868" s="93" t="s">
        <v>78</v>
      </c>
      <c r="H868" t="s">
        <v>127</v>
      </c>
      <c r="I868">
        <v>0</v>
      </c>
      <c r="J868">
        <v>491.93938622000002</v>
      </c>
      <c r="K868">
        <f t="shared" si="35"/>
        <v>0</v>
      </c>
      <c r="L868">
        <v>55</v>
      </c>
      <c r="M868">
        <f t="shared" ref="M868:M895" si="37">(1-(L868/100))*K868</f>
        <v>0</v>
      </c>
      <c r="N868" s="90">
        <v>868</v>
      </c>
      <c r="O868" s="90" t="s">
        <v>1491</v>
      </c>
      <c r="P868" s="118" t="s">
        <v>1195</v>
      </c>
      <c r="Q868" s="118" t="s">
        <v>125</v>
      </c>
    </row>
    <row r="869" spans="1:21" x14ac:dyDescent="0.25">
      <c r="A869" s="90" t="s">
        <v>1492</v>
      </c>
      <c r="B869" s="119">
        <v>6</v>
      </c>
      <c r="C869" s="90" t="s">
        <v>1487</v>
      </c>
      <c r="D869" s="90" t="s">
        <v>79</v>
      </c>
      <c r="E869">
        <v>1729</v>
      </c>
      <c r="F869">
        <v>1730</v>
      </c>
      <c r="G869" s="93" t="s">
        <v>78</v>
      </c>
      <c r="H869" t="s">
        <v>132</v>
      </c>
      <c r="I869">
        <v>1</v>
      </c>
      <c r="J869">
        <v>926.14287533000004</v>
      </c>
      <c r="K869">
        <f t="shared" si="35"/>
        <v>926.14287533000004</v>
      </c>
      <c r="L869">
        <v>55</v>
      </c>
      <c r="M869">
        <f t="shared" si="37"/>
        <v>416.7642938985</v>
      </c>
      <c r="N869" s="90">
        <v>869</v>
      </c>
      <c r="O869" s="90" t="s">
        <v>1493</v>
      </c>
      <c r="P869" s="118" t="s">
        <v>1197</v>
      </c>
      <c r="Q869" s="118" t="s">
        <v>125</v>
      </c>
    </row>
    <row r="870" spans="1:21" x14ac:dyDescent="0.25">
      <c r="A870" s="90" t="s">
        <v>1494</v>
      </c>
      <c r="B870" s="119">
        <v>6</v>
      </c>
      <c r="C870" s="90" t="s">
        <v>1487</v>
      </c>
      <c r="D870" s="90" t="s">
        <v>80</v>
      </c>
      <c r="E870">
        <v>1731</v>
      </c>
      <c r="F870">
        <v>1732</v>
      </c>
      <c r="G870" s="93" t="s">
        <v>78</v>
      </c>
      <c r="H870" t="s">
        <v>1495</v>
      </c>
      <c r="I870">
        <v>1</v>
      </c>
      <c r="J870">
        <v>1655.4183114699999</v>
      </c>
      <c r="K870">
        <f t="shared" si="35"/>
        <v>1655.4183114699999</v>
      </c>
      <c r="L870">
        <v>55</v>
      </c>
      <c r="M870">
        <f t="shared" si="37"/>
        <v>744.93824016149995</v>
      </c>
      <c r="N870" s="90">
        <v>870</v>
      </c>
      <c r="O870" s="90" t="s">
        <v>1496</v>
      </c>
      <c r="P870" s="118" t="s">
        <v>1199</v>
      </c>
      <c r="Q870" s="118" t="s">
        <v>125</v>
      </c>
    </row>
    <row r="871" spans="1:21" x14ac:dyDescent="0.25">
      <c r="A871" s="90" t="s">
        <v>1497</v>
      </c>
      <c r="B871" s="119">
        <v>6</v>
      </c>
      <c r="C871" s="90" t="s">
        <v>1487</v>
      </c>
      <c r="D871" s="90" t="s">
        <v>95</v>
      </c>
      <c r="E871">
        <v>1733</v>
      </c>
      <c r="F871">
        <v>1734</v>
      </c>
      <c r="G871" s="93" t="s">
        <v>78</v>
      </c>
      <c r="H871" t="s">
        <v>871</v>
      </c>
      <c r="I871">
        <v>1</v>
      </c>
      <c r="J871">
        <v>537.64166561000002</v>
      </c>
      <c r="K871">
        <f t="shared" si="35"/>
        <v>537.64166561000002</v>
      </c>
      <c r="L871">
        <v>55</v>
      </c>
      <c r="M871">
        <f t="shared" si="37"/>
        <v>241.9387495245</v>
      </c>
      <c r="N871" s="90">
        <v>871</v>
      </c>
      <c r="O871" s="90" t="s">
        <v>1498</v>
      </c>
      <c r="P871" s="118" t="s">
        <v>1201</v>
      </c>
      <c r="Q871" s="118" t="s">
        <v>125</v>
      </c>
    </row>
    <row r="872" spans="1:21" x14ac:dyDescent="0.25">
      <c r="A872" s="90" t="s">
        <v>1499</v>
      </c>
      <c r="B872" s="119">
        <v>6</v>
      </c>
      <c r="C872" s="90" t="s">
        <v>1487</v>
      </c>
      <c r="D872" s="90" t="s">
        <v>96</v>
      </c>
      <c r="E872">
        <v>1735</v>
      </c>
      <c r="F872">
        <v>1736</v>
      </c>
      <c r="G872" s="93" t="s">
        <v>78</v>
      </c>
      <c r="H872" t="s">
        <v>123</v>
      </c>
      <c r="I872">
        <v>2</v>
      </c>
      <c r="J872">
        <v>313.76543995999998</v>
      </c>
      <c r="K872">
        <f t="shared" si="35"/>
        <v>627.53087991999996</v>
      </c>
      <c r="L872">
        <v>55</v>
      </c>
      <c r="M872">
        <f t="shared" si="37"/>
        <v>282.38889596399997</v>
      </c>
      <c r="N872" s="90">
        <v>872</v>
      </c>
      <c r="O872" s="90" t="s">
        <v>1500</v>
      </c>
      <c r="P872" s="118" t="s">
        <v>1203</v>
      </c>
      <c r="Q872" s="118" t="s">
        <v>125</v>
      </c>
    </row>
    <row r="873" spans="1:21" x14ac:dyDescent="0.25">
      <c r="A873" s="90" t="s">
        <v>1501</v>
      </c>
      <c r="B873" s="119">
        <v>6</v>
      </c>
      <c r="C873" s="90" t="s">
        <v>1487</v>
      </c>
      <c r="D873" s="90" t="s">
        <v>103</v>
      </c>
      <c r="E873">
        <v>1737</v>
      </c>
      <c r="F873">
        <v>1738</v>
      </c>
      <c r="G873" s="93" t="s">
        <v>78</v>
      </c>
      <c r="H873" t="s">
        <v>133</v>
      </c>
      <c r="I873">
        <v>0</v>
      </c>
      <c r="J873">
        <v>5940.1629950300003</v>
      </c>
      <c r="K873">
        <f t="shared" si="35"/>
        <v>0</v>
      </c>
      <c r="L873">
        <v>55</v>
      </c>
      <c r="M873">
        <f t="shared" si="37"/>
        <v>0</v>
      </c>
      <c r="N873" s="90">
        <v>873</v>
      </c>
      <c r="O873" s="90" t="s">
        <v>1502</v>
      </c>
      <c r="P873" s="118" t="s">
        <v>1205</v>
      </c>
      <c r="Q873" s="118" t="s">
        <v>125</v>
      </c>
    </row>
    <row r="874" spans="1:21" x14ac:dyDescent="0.25">
      <c r="A874" s="90" t="s">
        <v>1503</v>
      </c>
      <c r="B874" s="119">
        <v>6</v>
      </c>
      <c r="C874" s="90" t="s">
        <v>1487</v>
      </c>
      <c r="D874" s="90" t="s">
        <v>1769</v>
      </c>
      <c r="E874">
        <v>1739</v>
      </c>
      <c r="F874">
        <v>1740</v>
      </c>
      <c r="G874" s="93" t="s">
        <v>78</v>
      </c>
      <c r="H874" t="s">
        <v>1504</v>
      </c>
      <c r="I874">
        <v>1</v>
      </c>
      <c r="J874">
        <v>666.34407233000002</v>
      </c>
      <c r="K874">
        <f t="shared" si="35"/>
        <v>666.34407233000002</v>
      </c>
      <c r="L874">
        <v>55</v>
      </c>
      <c r="M874">
        <f t="shared" si="37"/>
        <v>299.85483254849999</v>
      </c>
      <c r="N874" s="90">
        <v>874</v>
      </c>
      <c r="O874" s="90" t="s">
        <v>1505</v>
      </c>
      <c r="P874" s="118" t="s">
        <v>1207</v>
      </c>
      <c r="Q874" s="118" t="s">
        <v>125</v>
      </c>
    </row>
    <row r="875" spans="1:21" x14ac:dyDescent="0.25">
      <c r="A875" s="90" t="s">
        <v>1506</v>
      </c>
      <c r="B875" s="119">
        <v>6</v>
      </c>
      <c r="C875" s="90" t="s">
        <v>1487</v>
      </c>
      <c r="D875" s="90" t="s">
        <v>1770</v>
      </c>
      <c r="E875">
        <v>1741</v>
      </c>
      <c r="F875">
        <v>1742</v>
      </c>
      <c r="G875" s="93" t="s">
        <v>78</v>
      </c>
      <c r="H875" t="s">
        <v>120</v>
      </c>
      <c r="I875">
        <v>1</v>
      </c>
      <c r="J875">
        <v>1231.376544</v>
      </c>
      <c r="K875">
        <f t="shared" si="35"/>
        <v>1231.376544</v>
      </c>
      <c r="L875">
        <v>55</v>
      </c>
      <c r="M875">
        <f t="shared" si="37"/>
        <v>554.11944479999988</v>
      </c>
      <c r="N875" s="90">
        <v>875</v>
      </c>
      <c r="O875" s="90" t="s">
        <v>1507</v>
      </c>
      <c r="P875" s="118" t="s">
        <v>2560</v>
      </c>
      <c r="Q875" s="118" t="s">
        <v>125</v>
      </c>
    </row>
    <row r="876" spans="1:21" x14ac:dyDescent="0.25">
      <c r="A876" s="90" t="s">
        <v>1508</v>
      </c>
      <c r="B876" s="119">
        <v>6</v>
      </c>
      <c r="C876" s="90" t="s">
        <v>1487</v>
      </c>
      <c r="D876" s="90" t="s">
        <v>1771</v>
      </c>
      <c r="E876">
        <v>1743</v>
      </c>
      <c r="F876">
        <v>1744</v>
      </c>
      <c r="G876" s="93" t="s">
        <v>78</v>
      </c>
      <c r="H876" t="s">
        <v>126</v>
      </c>
      <c r="I876">
        <v>1</v>
      </c>
      <c r="J876">
        <v>967.93582071000003</v>
      </c>
      <c r="K876">
        <f t="shared" si="35"/>
        <v>967.93582071000003</v>
      </c>
      <c r="L876">
        <v>55</v>
      </c>
      <c r="M876">
        <f t="shared" si="37"/>
        <v>435.57111931949999</v>
      </c>
      <c r="N876" s="90">
        <v>876</v>
      </c>
      <c r="O876" s="90" t="s">
        <v>1509</v>
      </c>
      <c r="P876" s="118" t="s">
        <v>1210</v>
      </c>
      <c r="Q876" s="118" t="s">
        <v>125</v>
      </c>
    </row>
    <row r="877" spans="1:21" x14ac:dyDescent="0.25">
      <c r="A877" s="90" t="s">
        <v>1510</v>
      </c>
      <c r="B877" s="119">
        <v>6</v>
      </c>
      <c r="C877" s="90" t="s">
        <v>1487</v>
      </c>
      <c r="D877" s="90" t="s">
        <v>1772</v>
      </c>
      <c r="E877">
        <v>1745</v>
      </c>
      <c r="F877">
        <v>1746</v>
      </c>
      <c r="G877" s="93" t="s">
        <v>78</v>
      </c>
      <c r="H877" t="s">
        <v>199</v>
      </c>
      <c r="I877">
        <v>2</v>
      </c>
      <c r="J877">
        <v>862.86769387000004</v>
      </c>
      <c r="K877">
        <f t="shared" si="35"/>
        <v>1725.7353877400001</v>
      </c>
      <c r="L877">
        <v>55</v>
      </c>
      <c r="M877">
        <f t="shared" si="37"/>
        <v>776.58092448299999</v>
      </c>
      <c r="N877" s="90">
        <v>877</v>
      </c>
      <c r="O877" s="90" t="s">
        <v>1511</v>
      </c>
      <c r="P877" s="118" t="s">
        <v>1212</v>
      </c>
      <c r="Q877" s="118" t="s">
        <v>125</v>
      </c>
    </row>
    <row r="878" spans="1:21" x14ac:dyDescent="0.25">
      <c r="A878" s="90" t="s">
        <v>1512</v>
      </c>
      <c r="B878" s="119">
        <v>6</v>
      </c>
      <c r="C878" s="90" t="s">
        <v>1487</v>
      </c>
      <c r="D878" s="90" t="s">
        <v>97</v>
      </c>
      <c r="E878">
        <v>1747</v>
      </c>
      <c r="F878">
        <v>1748</v>
      </c>
      <c r="G878" s="93" t="s">
        <v>78</v>
      </c>
      <c r="H878" t="s">
        <v>224</v>
      </c>
      <c r="I878">
        <v>1</v>
      </c>
      <c r="J878">
        <v>2064.00101872</v>
      </c>
      <c r="K878">
        <f t="shared" si="35"/>
        <v>2064.00101872</v>
      </c>
      <c r="L878">
        <v>55</v>
      </c>
      <c r="M878">
        <f t="shared" si="37"/>
        <v>928.80045842399988</v>
      </c>
      <c r="N878" s="90">
        <v>878</v>
      </c>
      <c r="O878" s="90" t="s">
        <v>1513</v>
      </c>
      <c r="P878" s="118" t="s">
        <v>1214</v>
      </c>
      <c r="Q878" s="118" t="s">
        <v>125</v>
      </c>
    </row>
    <row r="879" spans="1:21" x14ac:dyDescent="0.25">
      <c r="A879" s="90" t="s">
        <v>1514</v>
      </c>
      <c r="B879" s="119">
        <v>6</v>
      </c>
      <c r="C879" s="90" t="s">
        <v>1487</v>
      </c>
      <c r="D879" s="90" t="s">
        <v>98</v>
      </c>
      <c r="E879">
        <v>1749</v>
      </c>
      <c r="F879">
        <v>1750</v>
      </c>
      <c r="G879" s="93" t="s">
        <v>78</v>
      </c>
      <c r="H879" t="s">
        <v>201</v>
      </c>
      <c r="I879">
        <v>1</v>
      </c>
      <c r="J879">
        <v>7211.7152680500003</v>
      </c>
      <c r="K879">
        <f t="shared" si="35"/>
        <v>7211.7152680500003</v>
      </c>
      <c r="L879">
        <v>55</v>
      </c>
      <c r="M879">
        <f t="shared" si="37"/>
        <v>3245.2718706224996</v>
      </c>
      <c r="N879" s="90">
        <v>879</v>
      </c>
      <c r="O879" s="90" t="s">
        <v>1515</v>
      </c>
      <c r="P879" s="118" t="s">
        <v>2561</v>
      </c>
      <c r="Q879" s="118" t="s">
        <v>125</v>
      </c>
    </row>
    <row r="880" spans="1:21" x14ac:dyDescent="0.25">
      <c r="A880" s="90" t="s">
        <v>1516</v>
      </c>
      <c r="B880" s="119">
        <v>6</v>
      </c>
      <c r="C880" s="90" t="s">
        <v>1487</v>
      </c>
      <c r="D880" s="90" t="s">
        <v>99</v>
      </c>
      <c r="E880">
        <v>1751</v>
      </c>
      <c r="F880">
        <v>1752</v>
      </c>
      <c r="G880" s="93" t="s">
        <v>78</v>
      </c>
      <c r="H880" t="s">
        <v>203</v>
      </c>
      <c r="I880">
        <v>0</v>
      </c>
      <c r="J880">
        <v>214.52947918000001</v>
      </c>
      <c r="K880">
        <f t="shared" si="35"/>
        <v>0</v>
      </c>
      <c r="L880">
        <v>55</v>
      </c>
      <c r="M880">
        <f t="shared" si="37"/>
        <v>0</v>
      </c>
      <c r="N880" s="90">
        <v>880</v>
      </c>
      <c r="O880" s="90" t="s">
        <v>1517</v>
      </c>
      <c r="P880" s="118" t="s">
        <v>1216</v>
      </c>
      <c r="Q880" s="118" t="s">
        <v>125</v>
      </c>
    </row>
    <row r="881" spans="1:21" x14ac:dyDescent="0.25">
      <c r="A881" s="90" t="s">
        <v>1518</v>
      </c>
      <c r="B881" s="119">
        <v>6</v>
      </c>
      <c r="C881" s="90" t="s">
        <v>1487</v>
      </c>
      <c r="D881" s="90" t="s">
        <v>100</v>
      </c>
      <c r="E881">
        <v>1753</v>
      </c>
      <c r="F881">
        <v>1754</v>
      </c>
      <c r="G881" s="93" t="s">
        <v>78</v>
      </c>
      <c r="H881" t="s">
        <v>205</v>
      </c>
      <c r="I881">
        <v>0</v>
      </c>
      <c r="J881">
        <v>214.52947918000001</v>
      </c>
      <c r="K881">
        <f t="shared" si="35"/>
        <v>0</v>
      </c>
      <c r="L881">
        <v>55</v>
      </c>
      <c r="M881">
        <f t="shared" si="37"/>
        <v>0</v>
      </c>
      <c r="N881" s="90">
        <v>881</v>
      </c>
      <c r="O881" s="90" t="s">
        <v>1519</v>
      </c>
      <c r="P881" s="118" t="s">
        <v>1218</v>
      </c>
      <c r="Q881" s="118" t="s">
        <v>125</v>
      </c>
    </row>
    <row r="882" spans="1:21" x14ac:dyDescent="0.25">
      <c r="A882" s="90" t="s">
        <v>1520</v>
      </c>
      <c r="B882" s="119">
        <v>6</v>
      </c>
      <c r="C882" s="90" t="s">
        <v>1487</v>
      </c>
      <c r="D882" s="90" t="s">
        <v>81</v>
      </c>
      <c r="E882">
        <v>1755</v>
      </c>
      <c r="F882">
        <v>1756</v>
      </c>
      <c r="G882" s="93" t="s">
        <v>78</v>
      </c>
      <c r="H882" t="s">
        <v>194</v>
      </c>
      <c r="I882">
        <v>3</v>
      </c>
      <c r="J882">
        <v>256.72991214000001</v>
      </c>
      <c r="K882">
        <f t="shared" si="35"/>
        <v>770.18973642000003</v>
      </c>
      <c r="L882">
        <v>55</v>
      </c>
      <c r="M882">
        <f t="shared" si="37"/>
        <v>346.58538138899996</v>
      </c>
      <c r="N882" s="90">
        <v>882</v>
      </c>
      <c r="O882" s="90" t="s">
        <v>1521</v>
      </c>
      <c r="P882" s="118" t="s">
        <v>2562</v>
      </c>
      <c r="Q882" s="118" t="s">
        <v>125</v>
      </c>
    </row>
    <row r="883" spans="1:21" x14ac:dyDescent="0.25">
      <c r="A883" s="90" t="s">
        <v>1522</v>
      </c>
      <c r="B883" s="119">
        <v>6</v>
      </c>
      <c r="C883" s="90" t="s">
        <v>1487</v>
      </c>
      <c r="D883" s="90" t="s">
        <v>83</v>
      </c>
      <c r="E883">
        <v>1757</v>
      </c>
      <c r="F883">
        <v>1758</v>
      </c>
      <c r="G883" s="93" t="s">
        <v>78</v>
      </c>
      <c r="H883" t="s">
        <v>892</v>
      </c>
      <c r="I883">
        <v>1</v>
      </c>
      <c r="J883">
        <v>997.30039475000001</v>
      </c>
      <c r="K883">
        <f t="shared" si="35"/>
        <v>997.30039475000001</v>
      </c>
      <c r="L883">
        <v>55</v>
      </c>
      <c r="M883">
        <f t="shared" si="37"/>
        <v>448.78517763749994</v>
      </c>
      <c r="N883" s="90">
        <v>883</v>
      </c>
      <c r="O883" s="90" t="s">
        <v>1523</v>
      </c>
      <c r="P883" s="118" t="s">
        <v>1221</v>
      </c>
      <c r="Q883" s="118" t="s">
        <v>125</v>
      </c>
    </row>
    <row r="884" spans="1:21" x14ac:dyDescent="0.25">
      <c r="A884" s="90" t="s">
        <v>1524</v>
      </c>
      <c r="B884" s="119">
        <v>6</v>
      </c>
      <c r="C884" s="90" t="s">
        <v>1487</v>
      </c>
      <c r="D884" s="90" t="s">
        <v>84</v>
      </c>
      <c r="E884">
        <v>1759</v>
      </c>
      <c r="F884">
        <v>1760</v>
      </c>
      <c r="G884" s="93" t="s">
        <v>78</v>
      </c>
      <c r="H884" t="s">
        <v>134</v>
      </c>
      <c r="I884">
        <v>0</v>
      </c>
      <c r="J884">
        <v>1527.53087992</v>
      </c>
      <c r="K884">
        <f t="shared" si="35"/>
        <v>0</v>
      </c>
      <c r="L884">
        <v>55</v>
      </c>
      <c r="M884">
        <f t="shared" si="37"/>
        <v>0</v>
      </c>
      <c r="N884" s="90">
        <v>884</v>
      </c>
      <c r="O884" s="90" t="s">
        <v>1525</v>
      </c>
      <c r="P884" s="118" t="s">
        <v>1223</v>
      </c>
      <c r="Q884" s="118" t="s">
        <v>125</v>
      </c>
    </row>
    <row r="885" spans="1:21" x14ac:dyDescent="0.25">
      <c r="A885" s="90" t="s">
        <v>1526</v>
      </c>
      <c r="B885" s="119">
        <v>6</v>
      </c>
      <c r="C885" s="90" t="s">
        <v>1487</v>
      </c>
      <c r="D885" s="90" t="s">
        <v>85</v>
      </c>
      <c r="E885">
        <v>1761</v>
      </c>
      <c r="F885">
        <v>1762</v>
      </c>
      <c r="G885" s="93" t="s">
        <v>78</v>
      </c>
      <c r="H885" t="s">
        <v>119</v>
      </c>
      <c r="I885">
        <v>0</v>
      </c>
      <c r="J885">
        <v>594.85546925000006</v>
      </c>
      <c r="K885">
        <f t="shared" si="35"/>
        <v>0</v>
      </c>
      <c r="L885">
        <v>55</v>
      </c>
      <c r="M885">
        <f t="shared" si="37"/>
        <v>0</v>
      </c>
      <c r="N885" s="90">
        <v>885</v>
      </c>
      <c r="O885" s="90" t="s">
        <v>1527</v>
      </c>
      <c r="P885" s="118" t="s">
        <v>1225</v>
      </c>
      <c r="Q885" s="118" t="s">
        <v>125</v>
      </c>
    </row>
    <row r="886" spans="1:21" x14ac:dyDescent="0.25">
      <c r="A886" s="90" t="s">
        <v>1528</v>
      </c>
      <c r="B886" s="119">
        <v>6</v>
      </c>
      <c r="C886" s="90" t="s">
        <v>1487</v>
      </c>
      <c r="D886" s="90" t="s">
        <v>86</v>
      </c>
      <c r="E886">
        <v>1763</v>
      </c>
      <c r="F886">
        <v>1764</v>
      </c>
      <c r="G886" s="93" t="s">
        <v>78</v>
      </c>
      <c r="H886" t="s">
        <v>107</v>
      </c>
      <c r="I886">
        <v>0</v>
      </c>
      <c r="J886">
        <v>5209</v>
      </c>
      <c r="K886">
        <f t="shared" si="35"/>
        <v>0</v>
      </c>
      <c r="L886">
        <v>55</v>
      </c>
      <c r="M886">
        <f t="shared" si="37"/>
        <v>0</v>
      </c>
      <c r="N886" s="90">
        <v>886</v>
      </c>
      <c r="O886" s="90" t="s">
        <v>1529</v>
      </c>
      <c r="P886" s="118" t="s">
        <v>1227</v>
      </c>
      <c r="Q886" s="118" t="s">
        <v>125</v>
      </c>
    </row>
    <row r="887" spans="1:21" x14ac:dyDescent="0.25">
      <c r="A887" s="90" t="s">
        <v>1530</v>
      </c>
      <c r="B887" s="119">
        <v>6</v>
      </c>
      <c r="C887" s="90" t="s">
        <v>1487</v>
      </c>
      <c r="D887" s="90" t="s">
        <v>87</v>
      </c>
      <c r="E887">
        <v>1765</v>
      </c>
      <c r="F887">
        <v>1766</v>
      </c>
      <c r="G887" s="93" t="s">
        <v>78</v>
      </c>
      <c r="H887" t="s">
        <v>128</v>
      </c>
      <c r="I887">
        <v>0</v>
      </c>
      <c r="J887">
        <v>275.43613906000002</v>
      </c>
      <c r="K887">
        <f t="shared" si="35"/>
        <v>0</v>
      </c>
      <c r="L887">
        <v>55</v>
      </c>
      <c r="M887">
        <f t="shared" si="37"/>
        <v>0</v>
      </c>
      <c r="N887" s="90">
        <v>887</v>
      </c>
      <c r="O887" s="90" t="s">
        <v>1531</v>
      </c>
      <c r="P887" s="118" t="s">
        <v>1229</v>
      </c>
      <c r="Q887" s="118" t="s">
        <v>125</v>
      </c>
    </row>
    <row r="888" spans="1:21" x14ac:dyDescent="0.25">
      <c r="A888" s="90" t="s">
        <v>1532</v>
      </c>
      <c r="B888" s="119">
        <v>6</v>
      </c>
      <c r="C888" s="90" t="s">
        <v>1487</v>
      </c>
      <c r="D888" s="90" t="s">
        <v>101</v>
      </c>
      <c r="E888">
        <v>1767</v>
      </c>
      <c r="F888">
        <v>1768</v>
      </c>
      <c r="G888" s="93" t="s">
        <v>78</v>
      </c>
      <c r="H888" t="s">
        <v>121</v>
      </c>
      <c r="I888">
        <v>0</v>
      </c>
      <c r="J888">
        <v>78.186680249999995</v>
      </c>
      <c r="K888">
        <f t="shared" si="35"/>
        <v>0</v>
      </c>
      <c r="L888">
        <v>55</v>
      </c>
      <c r="M888">
        <f t="shared" si="37"/>
        <v>0</v>
      </c>
      <c r="N888" s="90">
        <v>888</v>
      </c>
      <c r="O888" s="90" t="s">
        <v>1533</v>
      </c>
      <c r="P888" s="118" t="s">
        <v>1231</v>
      </c>
      <c r="Q888" s="118" t="s">
        <v>125</v>
      </c>
    </row>
    <row r="889" spans="1:21" x14ac:dyDescent="0.25">
      <c r="A889" s="90" t="s">
        <v>1534</v>
      </c>
      <c r="B889" s="119">
        <v>6</v>
      </c>
      <c r="C889" s="90" t="s">
        <v>1487</v>
      </c>
      <c r="D889" s="90" t="s">
        <v>88</v>
      </c>
      <c r="E889">
        <v>1769</v>
      </c>
      <c r="F889">
        <v>1770</v>
      </c>
      <c r="G889" s="93" t="s">
        <v>78</v>
      </c>
      <c r="H889" t="s">
        <v>122</v>
      </c>
      <c r="I889">
        <v>0</v>
      </c>
      <c r="J889">
        <v>823.90169361999995</v>
      </c>
      <c r="K889">
        <f t="shared" si="35"/>
        <v>0</v>
      </c>
      <c r="L889">
        <v>55</v>
      </c>
      <c r="M889">
        <f t="shared" si="37"/>
        <v>0</v>
      </c>
      <c r="N889" s="90">
        <v>889</v>
      </c>
      <c r="O889" s="90" t="s">
        <v>1535</v>
      </c>
      <c r="P889" s="118" t="s">
        <v>1233</v>
      </c>
      <c r="Q889" s="118" t="s">
        <v>125</v>
      </c>
    </row>
    <row r="890" spans="1:21" x14ac:dyDescent="0.25">
      <c r="A890" s="90" t="s">
        <v>1536</v>
      </c>
      <c r="B890" s="119">
        <v>6</v>
      </c>
      <c r="C890" s="90" t="s">
        <v>1487</v>
      </c>
      <c r="D890" s="90" t="s">
        <v>89</v>
      </c>
      <c r="E890">
        <v>1771</v>
      </c>
      <c r="F890">
        <v>1772</v>
      </c>
      <c r="G890" s="93" t="s">
        <v>78</v>
      </c>
      <c r="H890" t="s">
        <v>129</v>
      </c>
      <c r="I890">
        <v>0</v>
      </c>
      <c r="J890">
        <v>270.62269196</v>
      </c>
      <c r="K890">
        <f t="shared" si="35"/>
        <v>0</v>
      </c>
      <c r="L890">
        <v>55</v>
      </c>
      <c r="M890">
        <f t="shared" si="37"/>
        <v>0</v>
      </c>
      <c r="N890" s="90">
        <v>890</v>
      </c>
      <c r="O890" s="90" t="s">
        <v>1537</v>
      </c>
      <c r="P890" s="118" t="s">
        <v>1235</v>
      </c>
      <c r="Q890" s="118" t="s">
        <v>125</v>
      </c>
    </row>
    <row r="891" spans="1:21" x14ac:dyDescent="0.25">
      <c r="A891" s="90" t="s">
        <v>1538</v>
      </c>
      <c r="B891" s="119">
        <v>6</v>
      </c>
      <c r="C891" s="90" t="s">
        <v>1487</v>
      </c>
      <c r="D891" s="90" t="s">
        <v>102</v>
      </c>
      <c r="E891">
        <v>1773</v>
      </c>
      <c r="F891">
        <v>1774</v>
      </c>
      <c r="G891" s="93" t="s">
        <v>78</v>
      </c>
      <c r="H891" t="s">
        <v>135</v>
      </c>
      <c r="I891">
        <v>0</v>
      </c>
      <c r="J891">
        <v>119.07551254000001</v>
      </c>
      <c r="K891">
        <f t="shared" si="35"/>
        <v>0</v>
      </c>
      <c r="L891">
        <v>55</v>
      </c>
      <c r="M891">
        <f t="shared" si="37"/>
        <v>0</v>
      </c>
      <c r="N891" s="90">
        <v>891</v>
      </c>
      <c r="O891" s="90" t="s">
        <v>1539</v>
      </c>
      <c r="P891" s="118" t="s">
        <v>1237</v>
      </c>
      <c r="Q891" s="118" t="s">
        <v>125</v>
      </c>
    </row>
    <row r="892" spans="1:21" x14ac:dyDescent="0.25">
      <c r="A892" s="90" t="s">
        <v>1540</v>
      </c>
      <c r="B892" s="119">
        <v>6</v>
      </c>
      <c r="C892" s="90" t="s">
        <v>1487</v>
      </c>
      <c r="D892" s="90" t="s">
        <v>90</v>
      </c>
      <c r="E892">
        <v>1775</v>
      </c>
      <c r="F892">
        <v>1776</v>
      </c>
      <c r="G892" s="93" t="s">
        <v>78</v>
      </c>
      <c r="H892" t="s">
        <v>136</v>
      </c>
      <c r="I892">
        <v>0</v>
      </c>
      <c r="J892">
        <v>56.526168339999998</v>
      </c>
      <c r="K892">
        <f t="shared" si="35"/>
        <v>0</v>
      </c>
      <c r="L892">
        <v>55</v>
      </c>
      <c r="M892">
        <f t="shared" si="37"/>
        <v>0</v>
      </c>
      <c r="N892" s="90">
        <v>892</v>
      </c>
      <c r="O892" s="90" t="s">
        <v>1541</v>
      </c>
      <c r="P892" s="118" t="s">
        <v>1239</v>
      </c>
      <c r="Q892" s="118" t="s">
        <v>125</v>
      </c>
    </row>
    <row r="893" spans="1:21" x14ac:dyDescent="0.25">
      <c r="A893" s="90" t="s">
        <v>1542</v>
      </c>
      <c r="B893" s="119">
        <v>6</v>
      </c>
      <c r="C893" s="90" t="s">
        <v>1487</v>
      </c>
      <c r="D893" s="90" t="s">
        <v>91</v>
      </c>
      <c r="E893">
        <v>1777</v>
      </c>
      <c r="F893">
        <v>1778</v>
      </c>
      <c r="G893" s="93" t="s">
        <v>78</v>
      </c>
      <c r="H893" t="s">
        <v>130</v>
      </c>
      <c r="I893">
        <v>0</v>
      </c>
      <c r="J893">
        <v>212.88679486000001</v>
      </c>
      <c r="K893">
        <f t="shared" si="35"/>
        <v>0</v>
      </c>
      <c r="L893">
        <v>55</v>
      </c>
      <c r="M893">
        <f t="shared" si="37"/>
        <v>0</v>
      </c>
      <c r="N893" s="90">
        <v>893</v>
      </c>
      <c r="O893" s="90" t="s">
        <v>1543</v>
      </c>
      <c r="P893" s="118" t="s">
        <v>1241</v>
      </c>
      <c r="Q893" s="118" t="s">
        <v>125</v>
      </c>
    </row>
    <row r="894" spans="1:21" x14ac:dyDescent="0.25">
      <c r="A894" s="90" t="s">
        <v>1544</v>
      </c>
      <c r="B894" s="119">
        <v>6</v>
      </c>
      <c r="C894" s="90" t="s">
        <v>1487</v>
      </c>
      <c r="D894" s="90" t="s">
        <v>92</v>
      </c>
      <c r="E894">
        <v>1779</v>
      </c>
      <c r="F894">
        <v>1780</v>
      </c>
      <c r="G894" s="93" t="s">
        <v>78</v>
      </c>
      <c r="H894" t="s">
        <v>131</v>
      </c>
      <c r="I894">
        <v>0</v>
      </c>
      <c r="J894">
        <v>206.87635298999999</v>
      </c>
      <c r="K894">
        <f t="shared" si="35"/>
        <v>0</v>
      </c>
      <c r="L894">
        <v>55</v>
      </c>
      <c r="M894">
        <f t="shared" si="37"/>
        <v>0</v>
      </c>
      <c r="N894" s="90">
        <v>894</v>
      </c>
      <c r="O894" s="90" t="s">
        <v>1545</v>
      </c>
      <c r="P894" s="118" t="s">
        <v>1243</v>
      </c>
      <c r="Q894" s="118" t="s">
        <v>125</v>
      </c>
    </row>
    <row r="895" spans="1:21" x14ac:dyDescent="0.25">
      <c r="A895" s="90" t="s">
        <v>1546</v>
      </c>
      <c r="B895" s="119">
        <v>6</v>
      </c>
      <c r="C895" s="90" t="s">
        <v>1487</v>
      </c>
      <c r="D895" s="90" t="s">
        <v>93</v>
      </c>
      <c r="E895">
        <v>1781</v>
      </c>
      <c r="F895">
        <v>1782</v>
      </c>
      <c r="G895" s="93" t="s">
        <v>78</v>
      </c>
      <c r="H895" t="s">
        <v>137</v>
      </c>
      <c r="I895">
        <v>0</v>
      </c>
      <c r="J895">
        <v>1142.63338851</v>
      </c>
      <c r="K895">
        <f t="shared" si="35"/>
        <v>0</v>
      </c>
      <c r="L895">
        <v>55</v>
      </c>
      <c r="M895">
        <f t="shared" si="37"/>
        <v>0</v>
      </c>
      <c r="N895" s="90">
        <v>895</v>
      </c>
      <c r="O895" s="90" t="s">
        <v>1547</v>
      </c>
      <c r="P895" s="118" t="s">
        <v>1245</v>
      </c>
      <c r="Q895" s="118" t="s">
        <v>125</v>
      </c>
    </row>
    <row r="896" spans="1:21" x14ac:dyDescent="0.25">
      <c r="A896" s="90" t="s">
        <v>1548</v>
      </c>
      <c r="B896" s="119">
        <v>4</v>
      </c>
      <c r="C896" s="90" t="s">
        <v>812</v>
      </c>
      <c r="D896" s="90" t="s">
        <v>100</v>
      </c>
      <c r="E896">
        <v>1785</v>
      </c>
      <c r="F896">
        <v>1830</v>
      </c>
      <c r="G896" s="93" t="s">
        <v>68</v>
      </c>
      <c r="H896" t="s">
        <v>1549</v>
      </c>
      <c r="I896">
        <v>1</v>
      </c>
      <c r="J896">
        <f>SUM(K897,K899,K901)</f>
        <v>39962.714886059999</v>
      </c>
      <c r="K896">
        <f t="shared" si="35"/>
        <v>39962.714886059999</v>
      </c>
      <c r="L896">
        <f>100*(1-(M896/K896))</f>
        <v>55.000000000000007</v>
      </c>
      <c r="M896">
        <f>I896*SUM(M897,M899,M901)</f>
        <v>17983.221698726997</v>
      </c>
      <c r="N896" s="90">
        <v>896</v>
      </c>
      <c r="O896" s="90" t="s">
        <v>1550</v>
      </c>
      <c r="P896" s="118" t="s">
        <v>1247</v>
      </c>
      <c r="Q896" s="118" t="s">
        <v>125</v>
      </c>
      <c r="R896" s="90" t="s">
        <v>2280</v>
      </c>
      <c r="S896" s="90" t="s">
        <v>2384</v>
      </c>
      <c r="T896" s="90" t="s">
        <v>2436</v>
      </c>
      <c r="U896" s="90" t="s">
        <v>2332</v>
      </c>
    </row>
    <row r="897" spans="1:21" x14ac:dyDescent="0.25">
      <c r="A897" s="90" t="s">
        <v>1551</v>
      </c>
      <c r="B897" s="119">
        <v>5</v>
      </c>
      <c r="C897" s="90" t="s">
        <v>1548</v>
      </c>
      <c r="D897" s="90" t="s">
        <v>78</v>
      </c>
      <c r="E897">
        <v>1786</v>
      </c>
      <c r="F897">
        <v>1789</v>
      </c>
      <c r="G897" s="93" t="s">
        <v>68</v>
      </c>
      <c r="H897" t="s">
        <v>856</v>
      </c>
      <c r="I897">
        <v>7</v>
      </c>
      <c r="J897">
        <f>SUM(K898)</f>
        <v>214.52947918000001</v>
      </c>
      <c r="K897">
        <f t="shared" si="35"/>
        <v>1501.7063542600001</v>
      </c>
      <c r="L897">
        <f>100*(1-(M897/K897))</f>
        <v>55.000000000000007</v>
      </c>
      <c r="M897">
        <f>I897*SUM(M898)</f>
        <v>675.76785941699995</v>
      </c>
      <c r="N897" s="90">
        <v>897</v>
      </c>
      <c r="O897" s="90" t="s">
        <v>1552</v>
      </c>
      <c r="P897" s="118" t="s">
        <v>1249</v>
      </c>
      <c r="Q897" s="118" t="s">
        <v>125</v>
      </c>
      <c r="R897" s="90" t="s">
        <v>1853</v>
      </c>
      <c r="S897" s="90" t="s">
        <v>2087</v>
      </c>
      <c r="T897" s="90" t="s">
        <v>2204</v>
      </c>
      <c r="U897" s="90" t="s">
        <v>1970</v>
      </c>
    </row>
    <row r="898" spans="1:21" x14ac:dyDescent="0.25">
      <c r="A898" s="90" t="s">
        <v>1553</v>
      </c>
      <c r="B898" s="119">
        <v>6</v>
      </c>
      <c r="C898" s="90" t="s">
        <v>1551</v>
      </c>
      <c r="D898" s="90" t="s">
        <v>78</v>
      </c>
      <c r="E898">
        <v>1787</v>
      </c>
      <c r="F898">
        <v>1788</v>
      </c>
      <c r="G898" s="93" t="s">
        <v>78</v>
      </c>
      <c r="H898" t="s">
        <v>203</v>
      </c>
      <c r="I898">
        <v>1</v>
      </c>
      <c r="J898">
        <v>214.52947918000001</v>
      </c>
      <c r="K898">
        <f t="shared" si="35"/>
        <v>214.52947918000001</v>
      </c>
      <c r="L898">
        <v>55</v>
      </c>
      <c r="M898">
        <f>(1-(L898/100))*K898</f>
        <v>96.538265631000002</v>
      </c>
      <c r="N898" s="90">
        <v>898</v>
      </c>
      <c r="O898" s="90" t="s">
        <v>1554</v>
      </c>
      <c r="P898" s="118" t="s">
        <v>1251</v>
      </c>
      <c r="Q898" s="118" t="s">
        <v>125</v>
      </c>
    </row>
    <row r="899" spans="1:21" x14ac:dyDescent="0.25">
      <c r="A899" s="90" t="s">
        <v>1555</v>
      </c>
      <c r="B899" s="119">
        <v>5</v>
      </c>
      <c r="C899" s="90" t="s">
        <v>1548</v>
      </c>
      <c r="D899" s="90" t="s">
        <v>79</v>
      </c>
      <c r="E899">
        <v>1790</v>
      </c>
      <c r="F899">
        <v>1793</v>
      </c>
      <c r="G899" s="93" t="s">
        <v>68</v>
      </c>
      <c r="H899" t="s">
        <v>861</v>
      </c>
      <c r="I899">
        <v>21</v>
      </c>
      <c r="J899">
        <f>SUM(K900)</f>
        <v>214.52947918000001</v>
      </c>
      <c r="K899">
        <f t="shared" ref="K899:K962" si="38">I899*J899</f>
        <v>4505.1190627800006</v>
      </c>
      <c r="L899">
        <f>100*(1-(M899/K899))</f>
        <v>55.000000000000007</v>
      </c>
      <c r="M899">
        <f>I899*SUM(M900)</f>
        <v>2027.3035782510001</v>
      </c>
      <c r="N899" s="90">
        <v>899</v>
      </c>
      <c r="O899" s="90" t="s">
        <v>1556</v>
      </c>
      <c r="P899" s="118" t="s">
        <v>1253</v>
      </c>
      <c r="Q899" s="118" t="s">
        <v>125</v>
      </c>
      <c r="R899" s="90" t="s">
        <v>1854</v>
      </c>
      <c r="S899" s="90" t="s">
        <v>2088</v>
      </c>
      <c r="T899" s="90" t="s">
        <v>2205</v>
      </c>
      <c r="U899" s="90" t="s">
        <v>1971</v>
      </c>
    </row>
    <row r="900" spans="1:21" x14ac:dyDescent="0.25">
      <c r="A900" s="90" t="s">
        <v>1557</v>
      </c>
      <c r="B900" s="119">
        <v>6</v>
      </c>
      <c r="C900" s="90" t="s">
        <v>1555</v>
      </c>
      <c r="D900" s="90" t="s">
        <v>78</v>
      </c>
      <c r="E900">
        <v>1791</v>
      </c>
      <c r="F900">
        <v>1792</v>
      </c>
      <c r="G900" s="93" t="s">
        <v>78</v>
      </c>
      <c r="H900" t="s">
        <v>205</v>
      </c>
      <c r="I900">
        <v>1</v>
      </c>
      <c r="J900">
        <v>214.52947918000001</v>
      </c>
      <c r="K900">
        <f t="shared" si="38"/>
        <v>214.52947918000001</v>
      </c>
      <c r="L900">
        <v>55</v>
      </c>
      <c r="M900">
        <f>(1-(L900/100))*K900</f>
        <v>96.538265631000002</v>
      </c>
      <c r="N900" s="90">
        <v>900</v>
      </c>
      <c r="O900" s="90" t="s">
        <v>1558</v>
      </c>
      <c r="P900" s="118" t="s">
        <v>2563</v>
      </c>
      <c r="Q900" s="118" t="s">
        <v>125</v>
      </c>
    </row>
    <row r="901" spans="1:21" x14ac:dyDescent="0.25">
      <c r="A901" s="90" t="s">
        <v>1559</v>
      </c>
      <c r="B901" s="119">
        <v>5</v>
      </c>
      <c r="C901" s="90" t="s">
        <v>1548</v>
      </c>
      <c r="D901" s="90" t="s">
        <v>80</v>
      </c>
      <c r="E901">
        <v>1794</v>
      </c>
      <c r="F901">
        <v>1829</v>
      </c>
      <c r="G901" s="93" t="s">
        <v>68</v>
      </c>
      <c r="H901" t="s">
        <v>1560</v>
      </c>
      <c r="I901">
        <v>2</v>
      </c>
      <c r="J901">
        <f>SUM(K902,K903,K904,K905,K906,K907,K908,K909,K910,K911,K912,K913,K914,K915,K916,K917,K918)</f>
        <v>16977.944734509998</v>
      </c>
      <c r="K901">
        <f t="shared" si="38"/>
        <v>33955.889469019996</v>
      </c>
      <c r="L901">
        <f>100*(1-(M901/K901))</f>
        <v>55.000000000000007</v>
      </c>
      <c r="M901">
        <f>I901*SUM(M902,M903,M904,M905,M906,M907,M908,M909,M910,M911,M912,M913,M914,M915,M916,M917,M918)</f>
        <v>15280.150261058998</v>
      </c>
      <c r="N901" s="90">
        <v>901</v>
      </c>
      <c r="O901" s="90" t="s">
        <v>1561</v>
      </c>
      <c r="P901" s="118" t="s">
        <v>1256</v>
      </c>
      <c r="Q901" s="118" t="s">
        <v>125</v>
      </c>
      <c r="R901" s="90" t="s">
        <v>1855</v>
      </c>
      <c r="S901" s="90" t="s">
        <v>2089</v>
      </c>
      <c r="T901" s="90" t="s">
        <v>2206</v>
      </c>
      <c r="U901" s="90" t="s">
        <v>1972</v>
      </c>
    </row>
    <row r="902" spans="1:21" x14ac:dyDescent="0.25">
      <c r="A902" s="90" t="s">
        <v>1562</v>
      </c>
      <c r="B902" s="119">
        <v>6</v>
      </c>
      <c r="C902" s="90" t="s">
        <v>1559</v>
      </c>
      <c r="D902" s="90" t="s">
        <v>78</v>
      </c>
      <c r="E902">
        <v>1795</v>
      </c>
      <c r="F902">
        <v>1796</v>
      </c>
      <c r="G902" s="93" t="s">
        <v>78</v>
      </c>
      <c r="H902" t="s">
        <v>140</v>
      </c>
      <c r="I902">
        <v>0</v>
      </c>
      <c r="J902">
        <v>2631.3510760200002</v>
      </c>
      <c r="K902">
        <f t="shared" si="38"/>
        <v>0</v>
      </c>
      <c r="L902">
        <v>55</v>
      </c>
      <c r="M902">
        <f t="shared" ref="M902:M918" si="39">(1-(L902/100))*K902</f>
        <v>0</v>
      </c>
      <c r="N902" s="90">
        <v>902</v>
      </c>
      <c r="O902" s="90" t="s">
        <v>1563</v>
      </c>
      <c r="P902" s="118" t="s">
        <v>1258</v>
      </c>
      <c r="Q902" s="118" t="s">
        <v>125</v>
      </c>
    </row>
    <row r="903" spans="1:21" x14ac:dyDescent="0.25">
      <c r="A903" s="90" t="s">
        <v>1564</v>
      </c>
      <c r="B903" s="119">
        <v>6</v>
      </c>
      <c r="C903" s="90" t="s">
        <v>1559</v>
      </c>
      <c r="D903" s="90" t="s">
        <v>79</v>
      </c>
      <c r="E903">
        <v>1797</v>
      </c>
      <c r="F903">
        <v>1798</v>
      </c>
      <c r="G903" s="93" t="s">
        <v>78</v>
      </c>
      <c r="H903" t="s">
        <v>127</v>
      </c>
      <c r="I903">
        <v>1</v>
      </c>
      <c r="J903">
        <v>491.93938622000002</v>
      </c>
      <c r="K903">
        <f t="shared" si="38"/>
        <v>491.93938622000002</v>
      </c>
      <c r="L903">
        <v>55</v>
      </c>
      <c r="M903">
        <f t="shared" si="39"/>
        <v>221.372723799</v>
      </c>
      <c r="N903" s="90">
        <v>903</v>
      </c>
      <c r="O903" s="90" t="s">
        <v>1565</v>
      </c>
      <c r="P903" s="118" t="s">
        <v>1260</v>
      </c>
      <c r="Q903" s="118" t="s">
        <v>125</v>
      </c>
    </row>
    <row r="904" spans="1:21" x14ac:dyDescent="0.25">
      <c r="A904" s="90" t="s">
        <v>1566</v>
      </c>
      <c r="B904" s="119">
        <v>6</v>
      </c>
      <c r="C904" s="90" t="s">
        <v>1559</v>
      </c>
      <c r="D904" s="90" t="s">
        <v>80</v>
      </c>
      <c r="E904">
        <v>1799</v>
      </c>
      <c r="F904">
        <v>1800</v>
      </c>
      <c r="G904" s="93" t="s">
        <v>78</v>
      </c>
      <c r="H904" t="s">
        <v>138</v>
      </c>
      <c r="I904">
        <v>0</v>
      </c>
      <c r="J904">
        <v>36.08811919</v>
      </c>
      <c r="K904">
        <f t="shared" si="38"/>
        <v>0</v>
      </c>
      <c r="L904">
        <v>55</v>
      </c>
      <c r="M904">
        <f t="shared" si="39"/>
        <v>0</v>
      </c>
      <c r="N904" s="90">
        <v>904</v>
      </c>
      <c r="O904" s="90" t="s">
        <v>1567</v>
      </c>
      <c r="P904" s="118" t="s">
        <v>2564</v>
      </c>
      <c r="Q904" s="118" t="s">
        <v>125</v>
      </c>
    </row>
    <row r="905" spans="1:21" x14ac:dyDescent="0.25">
      <c r="A905" s="90" t="s">
        <v>1568</v>
      </c>
      <c r="B905" s="119">
        <v>6</v>
      </c>
      <c r="C905" s="90" t="s">
        <v>1559</v>
      </c>
      <c r="D905" s="90" t="s">
        <v>95</v>
      </c>
      <c r="E905">
        <v>1801</v>
      </c>
      <c r="F905">
        <v>1802</v>
      </c>
      <c r="G905" s="93" t="s">
        <v>78</v>
      </c>
      <c r="H905" t="s">
        <v>871</v>
      </c>
      <c r="I905">
        <v>1</v>
      </c>
      <c r="J905">
        <v>537.64166561000002</v>
      </c>
      <c r="K905">
        <f t="shared" si="38"/>
        <v>537.64166561000002</v>
      </c>
      <c r="L905">
        <v>55</v>
      </c>
      <c r="M905">
        <f t="shared" si="39"/>
        <v>241.9387495245</v>
      </c>
      <c r="N905" s="90">
        <v>905</v>
      </c>
      <c r="O905" s="90" t="s">
        <v>1569</v>
      </c>
      <c r="P905" s="118" t="s">
        <v>1262</v>
      </c>
      <c r="Q905" s="118" t="s">
        <v>125</v>
      </c>
    </row>
    <row r="906" spans="1:21" x14ac:dyDescent="0.25">
      <c r="A906" s="90" t="s">
        <v>1570</v>
      </c>
      <c r="B906" s="119">
        <v>6</v>
      </c>
      <c r="C906" s="90" t="s">
        <v>1559</v>
      </c>
      <c r="D906" s="90" t="s">
        <v>96</v>
      </c>
      <c r="E906">
        <v>1803</v>
      </c>
      <c r="F906">
        <v>1804</v>
      </c>
      <c r="G906" s="93" t="s">
        <v>78</v>
      </c>
      <c r="H906" t="s">
        <v>123</v>
      </c>
      <c r="I906">
        <v>1</v>
      </c>
      <c r="J906">
        <v>313.76543995999998</v>
      </c>
      <c r="K906">
        <f t="shared" si="38"/>
        <v>313.76543995999998</v>
      </c>
      <c r="L906">
        <v>55</v>
      </c>
      <c r="M906">
        <f t="shared" si="39"/>
        <v>141.19444798199999</v>
      </c>
      <c r="N906" s="90">
        <v>906</v>
      </c>
      <c r="O906" s="90" t="s">
        <v>1571</v>
      </c>
      <c r="P906" s="118" t="s">
        <v>1264</v>
      </c>
      <c r="Q906" s="118" t="s">
        <v>125</v>
      </c>
    </row>
    <row r="907" spans="1:21" x14ac:dyDescent="0.25">
      <c r="A907" s="90" t="s">
        <v>1572</v>
      </c>
      <c r="B907" s="119">
        <v>6</v>
      </c>
      <c r="C907" s="90" t="s">
        <v>1559</v>
      </c>
      <c r="D907" s="90" t="s">
        <v>103</v>
      </c>
      <c r="E907">
        <v>1805</v>
      </c>
      <c r="F907">
        <v>1806</v>
      </c>
      <c r="G907" s="93" t="s">
        <v>78</v>
      </c>
      <c r="H907" t="s">
        <v>1504</v>
      </c>
      <c r="I907">
        <v>1</v>
      </c>
      <c r="J907">
        <v>666.34407233000002</v>
      </c>
      <c r="K907">
        <f t="shared" si="38"/>
        <v>666.34407233000002</v>
      </c>
      <c r="L907">
        <v>55</v>
      </c>
      <c r="M907">
        <f t="shared" si="39"/>
        <v>299.85483254849999</v>
      </c>
      <c r="N907" s="90">
        <v>907</v>
      </c>
      <c r="O907" s="90" t="s">
        <v>1573</v>
      </c>
      <c r="P907" s="118" t="s">
        <v>2565</v>
      </c>
      <c r="Q907" s="118" t="s">
        <v>125</v>
      </c>
    </row>
    <row r="908" spans="1:21" x14ac:dyDescent="0.25">
      <c r="A908" s="90" t="s">
        <v>1574</v>
      </c>
      <c r="B908" s="119">
        <v>6</v>
      </c>
      <c r="C908" s="90" t="s">
        <v>1559</v>
      </c>
      <c r="D908" s="90" t="s">
        <v>1769</v>
      </c>
      <c r="E908">
        <v>1807</v>
      </c>
      <c r="F908">
        <v>1808</v>
      </c>
      <c r="G908" s="93" t="s">
        <v>78</v>
      </c>
      <c r="H908" t="s">
        <v>120</v>
      </c>
      <c r="I908">
        <v>1</v>
      </c>
      <c r="J908">
        <v>1231.376544</v>
      </c>
      <c r="K908">
        <f t="shared" si="38"/>
        <v>1231.376544</v>
      </c>
      <c r="L908">
        <v>55</v>
      </c>
      <c r="M908">
        <f t="shared" si="39"/>
        <v>554.11944479999988</v>
      </c>
      <c r="N908" s="90">
        <v>908</v>
      </c>
      <c r="O908" s="90" t="s">
        <v>1575</v>
      </c>
      <c r="P908" s="118" t="s">
        <v>1267</v>
      </c>
      <c r="Q908" s="118" t="s">
        <v>125</v>
      </c>
    </row>
    <row r="909" spans="1:21" x14ac:dyDescent="0.25">
      <c r="A909" s="90" t="s">
        <v>1576</v>
      </c>
      <c r="B909" s="119">
        <v>6</v>
      </c>
      <c r="C909" s="90" t="s">
        <v>1559</v>
      </c>
      <c r="D909" s="90" t="s">
        <v>1770</v>
      </c>
      <c r="E909">
        <v>1809</v>
      </c>
      <c r="F909">
        <v>1810</v>
      </c>
      <c r="G909" s="93" t="s">
        <v>78</v>
      </c>
      <c r="H909" t="s">
        <v>126</v>
      </c>
      <c r="I909">
        <v>1</v>
      </c>
      <c r="J909">
        <v>967.93582071000003</v>
      </c>
      <c r="K909">
        <f t="shared" si="38"/>
        <v>967.93582071000003</v>
      </c>
      <c r="L909">
        <v>55</v>
      </c>
      <c r="M909">
        <f t="shared" si="39"/>
        <v>435.57111931949999</v>
      </c>
      <c r="N909" s="90">
        <v>909</v>
      </c>
      <c r="O909" s="90" t="s">
        <v>1577</v>
      </c>
      <c r="P909" s="118" t="s">
        <v>1269</v>
      </c>
      <c r="Q909" s="118" t="s">
        <v>125</v>
      </c>
    </row>
    <row r="910" spans="1:21" x14ac:dyDescent="0.25">
      <c r="A910" s="90" t="s">
        <v>1578</v>
      </c>
      <c r="B910" s="119">
        <v>6</v>
      </c>
      <c r="C910" s="90" t="s">
        <v>1559</v>
      </c>
      <c r="D910" s="90" t="s">
        <v>1771</v>
      </c>
      <c r="E910">
        <v>1811</v>
      </c>
      <c r="F910">
        <v>1812</v>
      </c>
      <c r="G910" s="93" t="s">
        <v>78</v>
      </c>
      <c r="H910" t="s">
        <v>199</v>
      </c>
      <c r="I910">
        <v>2</v>
      </c>
      <c r="J910">
        <v>862.86769387000004</v>
      </c>
      <c r="K910">
        <f t="shared" si="38"/>
        <v>1725.7353877400001</v>
      </c>
      <c r="L910">
        <v>55</v>
      </c>
      <c r="M910">
        <f t="shared" si="39"/>
        <v>776.58092448299999</v>
      </c>
      <c r="N910" s="90">
        <v>910</v>
      </c>
      <c r="O910" s="90" t="s">
        <v>1579</v>
      </c>
      <c r="P910" s="118" t="s">
        <v>1271</v>
      </c>
      <c r="Q910" s="118" t="s">
        <v>125</v>
      </c>
    </row>
    <row r="911" spans="1:21" x14ac:dyDescent="0.25">
      <c r="A911" s="90" t="s">
        <v>1580</v>
      </c>
      <c r="B911" s="119">
        <v>6</v>
      </c>
      <c r="C911" s="90" t="s">
        <v>1559</v>
      </c>
      <c r="D911" s="90" t="s">
        <v>1772</v>
      </c>
      <c r="E911">
        <v>1813</v>
      </c>
      <c r="F911">
        <v>1814</v>
      </c>
      <c r="G911" s="93" t="s">
        <v>78</v>
      </c>
      <c r="H911" t="s">
        <v>224</v>
      </c>
      <c r="I911">
        <v>1</v>
      </c>
      <c r="J911">
        <v>2064.00101872</v>
      </c>
      <c r="K911">
        <f t="shared" si="38"/>
        <v>2064.00101872</v>
      </c>
      <c r="L911">
        <v>55</v>
      </c>
      <c r="M911">
        <f t="shared" si="39"/>
        <v>928.80045842399988</v>
      </c>
      <c r="N911" s="90">
        <v>911</v>
      </c>
      <c r="O911" s="90" t="s">
        <v>1581</v>
      </c>
      <c r="P911" s="118" t="s">
        <v>1273</v>
      </c>
      <c r="Q911" s="118" t="s">
        <v>125</v>
      </c>
    </row>
    <row r="912" spans="1:21" x14ac:dyDescent="0.25">
      <c r="A912" s="90" t="s">
        <v>1582</v>
      </c>
      <c r="B912" s="119">
        <v>6</v>
      </c>
      <c r="C912" s="90" t="s">
        <v>1559</v>
      </c>
      <c r="D912" s="90" t="s">
        <v>97</v>
      </c>
      <c r="E912">
        <v>1815</v>
      </c>
      <c r="F912">
        <v>1816</v>
      </c>
      <c r="G912" s="93" t="s">
        <v>78</v>
      </c>
      <c r="H912" t="s">
        <v>201</v>
      </c>
      <c r="I912">
        <v>1</v>
      </c>
      <c r="J912">
        <v>7211.7152680500003</v>
      </c>
      <c r="K912">
        <f t="shared" si="38"/>
        <v>7211.7152680500003</v>
      </c>
      <c r="L912">
        <v>55</v>
      </c>
      <c r="M912">
        <f t="shared" si="39"/>
        <v>3245.2718706224996</v>
      </c>
      <c r="N912" s="90">
        <v>912</v>
      </c>
      <c r="O912" s="90" t="s">
        <v>1583</v>
      </c>
      <c r="P912" s="118" t="s">
        <v>1275</v>
      </c>
      <c r="Q912" s="118" t="s">
        <v>125</v>
      </c>
    </row>
    <row r="913" spans="1:21" x14ac:dyDescent="0.25">
      <c r="A913" s="90" t="s">
        <v>1584</v>
      </c>
      <c r="B913" s="119">
        <v>6</v>
      </c>
      <c r="C913" s="90" t="s">
        <v>1559</v>
      </c>
      <c r="D913" s="90" t="s">
        <v>98</v>
      </c>
      <c r="E913">
        <v>1817</v>
      </c>
      <c r="F913">
        <v>1818</v>
      </c>
      <c r="G913" s="93" t="s">
        <v>78</v>
      </c>
      <c r="H913" t="s">
        <v>203</v>
      </c>
      <c r="I913">
        <v>0</v>
      </c>
      <c r="J913">
        <v>214.52947918000001</v>
      </c>
      <c r="K913">
        <f t="shared" si="38"/>
        <v>0</v>
      </c>
      <c r="L913">
        <v>55</v>
      </c>
      <c r="M913">
        <f t="shared" si="39"/>
        <v>0</v>
      </c>
      <c r="N913" s="90">
        <v>913</v>
      </c>
      <c r="O913" s="90" t="s">
        <v>1585</v>
      </c>
      <c r="P913" s="118" t="s">
        <v>1277</v>
      </c>
      <c r="Q913" s="118" t="s">
        <v>125</v>
      </c>
    </row>
    <row r="914" spans="1:21" x14ac:dyDescent="0.25">
      <c r="A914" s="90" t="s">
        <v>1586</v>
      </c>
      <c r="B914" s="119">
        <v>6</v>
      </c>
      <c r="C914" s="90" t="s">
        <v>1559</v>
      </c>
      <c r="D914" s="90" t="s">
        <v>99</v>
      </c>
      <c r="E914">
        <v>1819</v>
      </c>
      <c r="F914">
        <v>1820</v>
      </c>
      <c r="G914" s="93" t="s">
        <v>78</v>
      </c>
      <c r="H914" t="s">
        <v>205</v>
      </c>
      <c r="I914">
        <v>0</v>
      </c>
      <c r="J914">
        <v>214.52947918000001</v>
      </c>
      <c r="K914">
        <f t="shared" si="38"/>
        <v>0</v>
      </c>
      <c r="L914">
        <v>55</v>
      </c>
      <c r="M914">
        <f t="shared" si="39"/>
        <v>0</v>
      </c>
      <c r="N914" s="90">
        <v>914</v>
      </c>
      <c r="O914" s="90" t="s">
        <v>1587</v>
      </c>
      <c r="P914" s="118" t="s">
        <v>1279</v>
      </c>
      <c r="Q914" s="118" t="s">
        <v>125</v>
      </c>
    </row>
    <row r="915" spans="1:21" x14ac:dyDescent="0.25">
      <c r="A915" s="90" t="s">
        <v>1588</v>
      </c>
      <c r="B915" s="119">
        <v>6</v>
      </c>
      <c r="C915" s="90" t="s">
        <v>1559</v>
      </c>
      <c r="D915" s="90" t="s">
        <v>100</v>
      </c>
      <c r="E915">
        <v>1821</v>
      </c>
      <c r="F915">
        <v>1822</v>
      </c>
      <c r="G915" s="93" t="s">
        <v>78</v>
      </c>
      <c r="H915" t="s">
        <v>194</v>
      </c>
      <c r="I915">
        <v>3</v>
      </c>
      <c r="J915">
        <v>256.72991214000001</v>
      </c>
      <c r="K915">
        <f t="shared" si="38"/>
        <v>770.18973642000003</v>
      </c>
      <c r="L915">
        <v>55</v>
      </c>
      <c r="M915">
        <f t="shared" si="39"/>
        <v>346.58538138899996</v>
      </c>
      <c r="N915" s="90">
        <v>915</v>
      </c>
      <c r="O915" s="90" t="s">
        <v>1589</v>
      </c>
      <c r="P915" s="118" t="s">
        <v>1281</v>
      </c>
      <c r="Q915" s="118" t="s">
        <v>125</v>
      </c>
    </row>
    <row r="916" spans="1:21" x14ac:dyDescent="0.25">
      <c r="A916" s="90" t="s">
        <v>1590</v>
      </c>
      <c r="B916" s="119">
        <v>6</v>
      </c>
      <c r="C916" s="90" t="s">
        <v>1559</v>
      </c>
      <c r="D916" s="90" t="s">
        <v>81</v>
      </c>
      <c r="E916">
        <v>1823</v>
      </c>
      <c r="F916">
        <v>1824</v>
      </c>
      <c r="G916" s="93" t="s">
        <v>78</v>
      </c>
      <c r="H916" t="s">
        <v>892</v>
      </c>
      <c r="I916">
        <v>1</v>
      </c>
      <c r="J916">
        <v>997.30039475000001</v>
      </c>
      <c r="K916">
        <f t="shared" si="38"/>
        <v>997.30039475000001</v>
      </c>
      <c r="L916">
        <v>55</v>
      </c>
      <c r="M916">
        <f t="shared" si="39"/>
        <v>448.78517763749994</v>
      </c>
      <c r="N916" s="90">
        <v>916</v>
      </c>
      <c r="O916" s="90" t="s">
        <v>1591</v>
      </c>
      <c r="P916" s="118" t="s">
        <v>1283</v>
      </c>
      <c r="Q916" s="118" t="s">
        <v>125</v>
      </c>
    </row>
    <row r="917" spans="1:21" x14ac:dyDescent="0.25">
      <c r="A917" s="90" t="s">
        <v>1592</v>
      </c>
      <c r="B917" s="119">
        <v>6</v>
      </c>
      <c r="C917" s="90" t="s">
        <v>1559</v>
      </c>
      <c r="D917" s="90" t="s">
        <v>83</v>
      </c>
      <c r="E917">
        <v>1825</v>
      </c>
      <c r="F917">
        <v>1826</v>
      </c>
      <c r="G917" s="93" t="s">
        <v>78</v>
      </c>
      <c r="H917" t="s">
        <v>119</v>
      </c>
      <c r="I917">
        <v>0</v>
      </c>
      <c r="J917">
        <v>594.85546925000006</v>
      </c>
      <c r="K917">
        <f t="shared" si="38"/>
        <v>0</v>
      </c>
      <c r="L917">
        <v>55</v>
      </c>
      <c r="M917">
        <f t="shared" si="39"/>
        <v>0</v>
      </c>
      <c r="N917" s="90">
        <v>917</v>
      </c>
      <c r="O917" s="90" t="s">
        <v>1593</v>
      </c>
      <c r="P917" s="118" t="s">
        <v>1285</v>
      </c>
      <c r="Q917" s="118" t="s">
        <v>125</v>
      </c>
    </row>
    <row r="918" spans="1:21" x14ac:dyDescent="0.25">
      <c r="A918" s="90" t="s">
        <v>1594</v>
      </c>
      <c r="B918" s="119">
        <v>6</v>
      </c>
      <c r="C918" s="90" t="s">
        <v>1559</v>
      </c>
      <c r="D918" s="90" t="s">
        <v>84</v>
      </c>
      <c r="E918">
        <v>1827</v>
      </c>
      <c r="F918">
        <v>1828</v>
      </c>
      <c r="G918" s="93" t="s">
        <v>78</v>
      </c>
      <c r="H918" t="s">
        <v>139</v>
      </c>
      <c r="I918">
        <v>0</v>
      </c>
      <c r="J918">
        <v>227.32713613000001</v>
      </c>
      <c r="K918">
        <f t="shared" si="38"/>
        <v>0</v>
      </c>
      <c r="L918">
        <v>55</v>
      </c>
      <c r="M918">
        <f t="shared" si="39"/>
        <v>0</v>
      </c>
      <c r="N918" s="90">
        <v>918</v>
      </c>
      <c r="O918" s="90" t="s">
        <v>1595</v>
      </c>
      <c r="P918" s="118" t="s">
        <v>2566</v>
      </c>
      <c r="Q918" s="118" t="s">
        <v>125</v>
      </c>
    </row>
    <row r="919" spans="1:21" x14ac:dyDescent="0.25">
      <c r="A919" s="90" t="s">
        <v>1596</v>
      </c>
      <c r="B919" s="119">
        <v>4</v>
      </c>
      <c r="C919" s="90" t="s">
        <v>812</v>
      </c>
      <c r="D919" s="90" t="s">
        <v>81</v>
      </c>
      <c r="E919">
        <v>1831</v>
      </c>
      <c r="F919">
        <v>1860</v>
      </c>
      <c r="G919" s="93" t="s">
        <v>68</v>
      </c>
      <c r="H919" t="s">
        <v>1597</v>
      </c>
      <c r="I919">
        <v>1</v>
      </c>
      <c r="J919">
        <f>SUM(K920,K922,K924)</f>
        <v>215082.88240445999</v>
      </c>
      <c r="K919">
        <f t="shared" si="38"/>
        <v>215082.88240445999</v>
      </c>
      <c r="L919">
        <f>100*(1-(M919/K919))</f>
        <v>55.000000000000007</v>
      </c>
      <c r="M919">
        <f>I919*SUM(M920,M922,M924)</f>
        <v>96787.29708200699</v>
      </c>
      <c r="N919" s="90">
        <v>919</v>
      </c>
      <c r="O919" s="90" t="s">
        <v>1598</v>
      </c>
      <c r="P919" s="118" t="s">
        <v>1287</v>
      </c>
      <c r="Q919" s="118" t="s">
        <v>125</v>
      </c>
      <c r="R919" s="90" t="s">
        <v>2281</v>
      </c>
      <c r="S919" s="90" t="s">
        <v>2385</v>
      </c>
      <c r="T919" s="90" t="s">
        <v>2437</v>
      </c>
      <c r="U919" s="90" t="s">
        <v>2333</v>
      </c>
    </row>
    <row r="920" spans="1:21" x14ac:dyDescent="0.25">
      <c r="A920" s="90" t="s">
        <v>1599</v>
      </c>
      <c r="B920" s="119">
        <v>5</v>
      </c>
      <c r="C920" s="90" t="s">
        <v>1596</v>
      </c>
      <c r="D920" s="90" t="s">
        <v>78</v>
      </c>
      <c r="E920">
        <v>1832</v>
      </c>
      <c r="F920">
        <v>1835</v>
      </c>
      <c r="G920" s="93" t="s">
        <v>68</v>
      </c>
      <c r="H920" t="s">
        <v>856</v>
      </c>
      <c r="I920">
        <v>52</v>
      </c>
      <c r="J920">
        <f>SUM(K921)</f>
        <v>214.52947918000001</v>
      </c>
      <c r="K920">
        <f t="shared" si="38"/>
        <v>11155.53291736</v>
      </c>
      <c r="L920">
        <f>100*(1-(M920/K920))</f>
        <v>55.000000000000007</v>
      </c>
      <c r="M920">
        <f>I920*SUM(M921)</f>
        <v>5019.9898128120003</v>
      </c>
      <c r="N920" s="90">
        <v>920</v>
      </c>
      <c r="O920" s="90" t="s">
        <v>1600</v>
      </c>
      <c r="P920" s="118" t="s">
        <v>1289</v>
      </c>
      <c r="Q920" s="118" t="s">
        <v>125</v>
      </c>
      <c r="R920" s="90" t="s">
        <v>1856</v>
      </c>
      <c r="S920" s="90" t="s">
        <v>2090</v>
      </c>
      <c r="T920" s="90" t="s">
        <v>2207</v>
      </c>
      <c r="U920" s="90" t="s">
        <v>1973</v>
      </c>
    </row>
    <row r="921" spans="1:21" x14ac:dyDescent="0.25">
      <c r="A921" s="90" t="s">
        <v>1601</v>
      </c>
      <c r="B921" s="119">
        <v>6</v>
      </c>
      <c r="C921" s="90" t="s">
        <v>1599</v>
      </c>
      <c r="D921" s="90" t="s">
        <v>78</v>
      </c>
      <c r="E921">
        <v>1833</v>
      </c>
      <c r="F921">
        <v>1834</v>
      </c>
      <c r="G921" s="93" t="s">
        <v>78</v>
      </c>
      <c r="H921" t="s">
        <v>203</v>
      </c>
      <c r="I921">
        <v>1</v>
      </c>
      <c r="J921">
        <v>214.52947918000001</v>
      </c>
      <c r="K921">
        <f t="shared" si="38"/>
        <v>214.52947918000001</v>
      </c>
      <c r="L921">
        <v>55</v>
      </c>
      <c r="M921">
        <f>(1-(L921/100))*K921</f>
        <v>96.538265631000002</v>
      </c>
      <c r="N921" s="90">
        <v>921</v>
      </c>
      <c r="O921" s="90" t="s">
        <v>1602</v>
      </c>
      <c r="P921" s="118" t="s">
        <v>2567</v>
      </c>
      <c r="Q921" s="118" t="s">
        <v>125</v>
      </c>
    </row>
    <row r="922" spans="1:21" x14ac:dyDescent="0.25">
      <c r="A922" s="90" t="s">
        <v>1603</v>
      </c>
      <c r="B922" s="119">
        <v>5</v>
      </c>
      <c r="C922" s="90" t="s">
        <v>1596</v>
      </c>
      <c r="D922" s="90" t="s">
        <v>79</v>
      </c>
      <c r="E922">
        <v>1836</v>
      </c>
      <c r="F922">
        <v>1839</v>
      </c>
      <c r="G922" s="93" t="s">
        <v>68</v>
      </c>
      <c r="H922" t="s">
        <v>861</v>
      </c>
      <c r="I922">
        <v>117</v>
      </c>
      <c r="J922">
        <f>SUM(K923)</f>
        <v>214.52947918000001</v>
      </c>
      <c r="K922">
        <f t="shared" si="38"/>
        <v>25099.949064060002</v>
      </c>
      <c r="L922">
        <f>100*(1-(M922/K922))</f>
        <v>55.000000000000007</v>
      </c>
      <c r="M922">
        <f>I922*SUM(M923)</f>
        <v>11294.977078827</v>
      </c>
      <c r="N922" s="90">
        <v>922</v>
      </c>
      <c r="O922" s="90" t="s">
        <v>1604</v>
      </c>
      <c r="P922" s="118" t="s">
        <v>1291</v>
      </c>
      <c r="Q922" s="118" t="s">
        <v>125</v>
      </c>
      <c r="R922" s="90" t="s">
        <v>1857</v>
      </c>
      <c r="S922" s="90" t="s">
        <v>2091</v>
      </c>
      <c r="T922" s="90" t="s">
        <v>2208</v>
      </c>
      <c r="U922" s="90" t="s">
        <v>1974</v>
      </c>
    </row>
    <row r="923" spans="1:21" x14ac:dyDescent="0.25">
      <c r="A923" s="90" t="s">
        <v>1605</v>
      </c>
      <c r="B923" s="119">
        <v>6</v>
      </c>
      <c r="C923" s="90" t="s">
        <v>1603</v>
      </c>
      <c r="D923" s="90" t="s">
        <v>78</v>
      </c>
      <c r="E923">
        <v>1837</v>
      </c>
      <c r="F923">
        <v>1838</v>
      </c>
      <c r="G923" s="93" t="s">
        <v>78</v>
      </c>
      <c r="H923" t="s">
        <v>205</v>
      </c>
      <c r="I923">
        <v>1</v>
      </c>
      <c r="J923">
        <v>214.52947918000001</v>
      </c>
      <c r="K923">
        <f t="shared" si="38"/>
        <v>214.52947918000001</v>
      </c>
      <c r="L923">
        <v>55</v>
      </c>
      <c r="M923">
        <f>(1-(L923/100))*K923</f>
        <v>96.538265631000002</v>
      </c>
      <c r="N923" s="90">
        <v>923</v>
      </c>
      <c r="O923" s="90" t="s">
        <v>1606</v>
      </c>
      <c r="P923" s="118" t="s">
        <v>1293</v>
      </c>
      <c r="Q923" s="118" t="s">
        <v>125</v>
      </c>
    </row>
    <row r="924" spans="1:21" x14ac:dyDescent="0.25">
      <c r="A924" s="90" t="s">
        <v>1607</v>
      </c>
      <c r="B924" s="119">
        <v>5</v>
      </c>
      <c r="C924" s="90" t="s">
        <v>1596</v>
      </c>
      <c r="D924" s="90" t="s">
        <v>80</v>
      </c>
      <c r="E924">
        <v>1840</v>
      </c>
      <c r="F924">
        <v>1859</v>
      </c>
      <c r="G924" s="93" t="s">
        <v>68</v>
      </c>
      <c r="H924" t="s">
        <v>1266</v>
      </c>
      <c r="I924">
        <v>16</v>
      </c>
      <c r="J924">
        <f>SUM(K925,K926,K927,K928,K929,K930,K931,K932,K933)</f>
        <v>11176.71252644</v>
      </c>
      <c r="K924">
        <f t="shared" si="38"/>
        <v>178827.40042304</v>
      </c>
      <c r="L924">
        <f>100*(1-(M924/K924))</f>
        <v>55.000000000000007</v>
      </c>
      <c r="M924">
        <f>I924*SUM(M925,M926,M927,M928,M929,M930,M931,M932,M933)</f>
        <v>80472.330190367997</v>
      </c>
      <c r="N924" s="90">
        <v>924</v>
      </c>
      <c r="O924" s="90" t="s">
        <v>1608</v>
      </c>
      <c r="P924" s="118" t="s">
        <v>1295</v>
      </c>
      <c r="Q924" s="118" t="s">
        <v>125</v>
      </c>
      <c r="R924" s="90" t="s">
        <v>1858</v>
      </c>
      <c r="S924" s="90" t="s">
        <v>2092</v>
      </c>
      <c r="T924" s="90" t="s">
        <v>2209</v>
      </c>
      <c r="U924" s="90" t="s">
        <v>1975</v>
      </c>
    </row>
    <row r="925" spans="1:21" x14ac:dyDescent="0.25">
      <c r="A925" s="90" t="s">
        <v>1609</v>
      </c>
      <c r="B925" s="119">
        <v>6</v>
      </c>
      <c r="C925" s="90" t="s">
        <v>1607</v>
      </c>
      <c r="D925" s="90" t="s">
        <v>78</v>
      </c>
      <c r="E925">
        <v>1841</v>
      </c>
      <c r="F925">
        <v>1842</v>
      </c>
      <c r="G925" s="93" t="s">
        <v>78</v>
      </c>
      <c r="H925" t="s">
        <v>201</v>
      </c>
      <c r="I925">
        <v>1</v>
      </c>
      <c r="J925">
        <v>7211.7152680500003</v>
      </c>
      <c r="K925">
        <f t="shared" si="38"/>
        <v>7211.7152680500003</v>
      </c>
      <c r="L925">
        <v>55</v>
      </c>
      <c r="M925">
        <f t="shared" ref="M925:M933" si="40">(1-(L925/100))*K925</f>
        <v>3245.2718706224996</v>
      </c>
      <c r="N925" s="90">
        <v>925</v>
      </c>
      <c r="O925" s="90" t="s">
        <v>1610</v>
      </c>
      <c r="P925" s="118" t="s">
        <v>1297</v>
      </c>
      <c r="Q925" s="118" t="s">
        <v>125</v>
      </c>
    </row>
    <row r="926" spans="1:21" x14ac:dyDescent="0.25">
      <c r="A926" s="90" t="s">
        <v>1611</v>
      </c>
      <c r="B926" s="119">
        <v>6</v>
      </c>
      <c r="C926" s="90" t="s">
        <v>1607</v>
      </c>
      <c r="D926" s="90" t="s">
        <v>79</v>
      </c>
      <c r="E926">
        <v>1843</v>
      </c>
      <c r="F926">
        <v>1844</v>
      </c>
      <c r="G926" s="93" t="s">
        <v>78</v>
      </c>
      <c r="H926" t="s">
        <v>141</v>
      </c>
      <c r="I926">
        <v>1</v>
      </c>
      <c r="J926">
        <v>33.99</v>
      </c>
      <c r="K926">
        <f t="shared" si="38"/>
        <v>33.99</v>
      </c>
      <c r="L926">
        <v>55</v>
      </c>
      <c r="M926">
        <f t="shared" si="40"/>
        <v>15.295499999999999</v>
      </c>
      <c r="N926" s="90">
        <v>926</v>
      </c>
      <c r="O926" s="90" t="s">
        <v>1612</v>
      </c>
      <c r="P926" s="118" t="s">
        <v>1299</v>
      </c>
      <c r="Q926" s="118" t="s">
        <v>125</v>
      </c>
    </row>
    <row r="927" spans="1:21" x14ac:dyDescent="0.25">
      <c r="A927" s="90" t="s">
        <v>1613</v>
      </c>
      <c r="B927" s="119">
        <v>6</v>
      </c>
      <c r="C927" s="90" t="s">
        <v>1607</v>
      </c>
      <c r="D927" s="90" t="s">
        <v>80</v>
      </c>
      <c r="E927">
        <v>1845</v>
      </c>
      <c r="F927">
        <v>1846</v>
      </c>
      <c r="G927" s="93" t="s">
        <v>78</v>
      </c>
      <c r="H927" t="s">
        <v>871</v>
      </c>
      <c r="I927">
        <v>1</v>
      </c>
      <c r="J927">
        <v>537.64166561000002</v>
      </c>
      <c r="K927">
        <f t="shared" si="38"/>
        <v>537.64166561000002</v>
      </c>
      <c r="L927">
        <v>55</v>
      </c>
      <c r="M927">
        <f t="shared" si="40"/>
        <v>241.9387495245</v>
      </c>
      <c r="N927" s="90">
        <v>927</v>
      </c>
      <c r="O927" s="90" t="s">
        <v>1614</v>
      </c>
      <c r="P927" s="118" t="s">
        <v>1301</v>
      </c>
      <c r="Q927" s="118" t="s">
        <v>125</v>
      </c>
    </row>
    <row r="928" spans="1:21" x14ac:dyDescent="0.25">
      <c r="A928" s="90" t="s">
        <v>1615</v>
      </c>
      <c r="B928" s="119">
        <v>6</v>
      </c>
      <c r="C928" s="90" t="s">
        <v>1607</v>
      </c>
      <c r="D928" s="90" t="s">
        <v>95</v>
      </c>
      <c r="E928">
        <v>1847</v>
      </c>
      <c r="F928">
        <v>1848</v>
      </c>
      <c r="G928" s="93" t="s">
        <v>78</v>
      </c>
      <c r="H928" t="s">
        <v>142</v>
      </c>
      <c r="I928">
        <v>1</v>
      </c>
      <c r="J928">
        <v>1625.87546161</v>
      </c>
      <c r="K928">
        <f t="shared" si="38"/>
        <v>1625.87546161</v>
      </c>
      <c r="L928">
        <v>55</v>
      </c>
      <c r="M928">
        <f t="shared" si="40"/>
        <v>731.64395772449996</v>
      </c>
      <c r="N928" s="90">
        <v>928</v>
      </c>
      <c r="O928" s="90" t="s">
        <v>1616</v>
      </c>
      <c r="P928" s="118" t="s">
        <v>1303</v>
      </c>
      <c r="Q928" s="118" t="s">
        <v>125</v>
      </c>
    </row>
    <row r="929" spans="1:21" x14ac:dyDescent="0.25">
      <c r="A929" s="90" t="s">
        <v>1617</v>
      </c>
      <c r="B929" s="119">
        <v>6</v>
      </c>
      <c r="C929" s="90" t="s">
        <v>1607</v>
      </c>
      <c r="D929" s="90" t="s">
        <v>96</v>
      </c>
      <c r="E929">
        <v>1849</v>
      </c>
      <c r="F929">
        <v>1850</v>
      </c>
      <c r="G929" s="93" t="s">
        <v>78</v>
      </c>
      <c r="H929" t="s">
        <v>197</v>
      </c>
      <c r="I929">
        <v>0</v>
      </c>
      <c r="J929">
        <v>10880.466063919999</v>
      </c>
      <c r="K929">
        <f t="shared" si="38"/>
        <v>0</v>
      </c>
      <c r="L929">
        <v>55</v>
      </c>
      <c r="M929">
        <f t="shared" si="40"/>
        <v>0</v>
      </c>
      <c r="N929" s="90">
        <v>929</v>
      </c>
      <c r="O929" s="90" t="s">
        <v>1618</v>
      </c>
      <c r="P929" s="118" t="s">
        <v>1305</v>
      </c>
      <c r="Q929" s="118" t="s">
        <v>125</v>
      </c>
    </row>
    <row r="930" spans="1:21" x14ac:dyDescent="0.25">
      <c r="A930" s="90" t="s">
        <v>1619</v>
      </c>
      <c r="B930" s="119">
        <v>6</v>
      </c>
      <c r="C930" s="90" t="s">
        <v>1607</v>
      </c>
      <c r="D930" s="90" t="s">
        <v>103</v>
      </c>
      <c r="E930">
        <v>1851</v>
      </c>
      <c r="F930">
        <v>1852</v>
      </c>
      <c r="G930" s="93" t="s">
        <v>78</v>
      </c>
      <c r="H930" t="s">
        <v>203</v>
      </c>
      <c r="I930">
        <v>0</v>
      </c>
      <c r="J930">
        <v>214.52947918000001</v>
      </c>
      <c r="K930">
        <f t="shared" si="38"/>
        <v>0</v>
      </c>
      <c r="L930">
        <v>55</v>
      </c>
      <c r="M930">
        <f t="shared" si="40"/>
        <v>0</v>
      </c>
      <c r="N930" s="90">
        <v>930</v>
      </c>
      <c r="O930" s="90" t="s">
        <v>1620</v>
      </c>
      <c r="P930" s="118" t="s">
        <v>1307</v>
      </c>
      <c r="Q930" s="118" t="s">
        <v>125</v>
      </c>
    </row>
    <row r="931" spans="1:21" x14ac:dyDescent="0.25">
      <c r="A931" s="90" t="s">
        <v>1621</v>
      </c>
      <c r="B931" s="119">
        <v>6</v>
      </c>
      <c r="C931" s="90" t="s">
        <v>1607</v>
      </c>
      <c r="D931" s="90" t="s">
        <v>1769</v>
      </c>
      <c r="E931">
        <v>1853</v>
      </c>
      <c r="F931">
        <v>1854</v>
      </c>
      <c r="G931" s="93" t="s">
        <v>78</v>
      </c>
      <c r="H931" t="s">
        <v>205</v>
      </c>
      <c r="I931">
        <v>0</v>
      </c>
      <c r="J931">
        <v>214.52947918000001</v>
      </c>
      <c r="K931">
        <f t="shared" si="38"/>
        <v>0</v>
      </c>
      <c r="L931">
        <v>55</v>
      </c>
      <c r="M931">
        <f t="shared" si="40"/>
        <v>0</v>
      </c>
      <c r="N931" s="90">
        <v>931</v>
      </c>
      <c r="O931" s="90" t="s">
        <v>1622</v>
      </c>
      <c r="P931" s="118" t="s">
        <v>1309</v>
      </c>
      <c r="Q931" s="118" t="s">
        <v>125</v>
      </c>
    </row>
    <row r="932" spans="1:21" x14ac:dyDescent="0.25">
      <c r="A932" s="90" t="s">
        <v>1623</v>
      </c>
      <c r="B932" s="119">
        <v>6</v>
      </c>
      <c r="C932" s="90" t="s">
        <v>1607</v>
      </c>
      <c r="D932" s="90" t="s">
        <v>1770</v>
      </c>
      <c r="E932">
        <v>1855</v>
      </c>
      <c r="F932">
        <v>1856</v>
      </c>
      <c r="G932" s="93" t="s">
        <v>78</v>
      </c>
      <c r="H932" t="s">
        <v>194</v>
      </c>
      <c r="I932">
        <v>3</v>
      </c>
      <c r="J932">
        <v>256.72991214000001</v>
      </c>
      <c r="K932">
        <f t="shared" si="38"/>
        <v>770.18973642000003</v>
      </c>
      <c r="L932">
        <v>55</v>
      </c>
      <c r="M932">
        <f t="shared" si="40"/>
        <v>346.58538138899996</v>
      </c>
      <c r="N932" s="90">
        <v>932</v>
      </c>
      <c r="O932" s="90" t="s">
        <v>1624</v>
      </c>
      <c r="P932" s="118" t="s">
        <v>2568</v>
      </c>
      <c r="Q932" s="118" t="s">
        <v>125</v>
      </c>
    </row>
    <row r="933" spans="1:21" x14ac:dyDescent="0.25">
      <c r="A933" s="90" t="s">
        <v>1625</v>
      </c>
      <c r="B933" s="119">
        <v>6</v>
      </c>
      <c r="C933" s="90" t="s">
        <v>1607</v>
      </c>
      <c r="D933" s="90" t="s">
        <v>1771</v>
      </c>
      <c r="E933">
        <v>1857</v>
      </c>
      <c r="F933">
        <v>1858</v>
      </c>
      <c r="G933" s="93" t="s">
        <v>78</v>
      </c>
      <c r="H933" t="s">
        <v>892</v>
      </c>
      <c r="I933">
        <v>1</v>
      </c>
      <c r="J933">
        <v>997.30039475000001</v>
      </c>
      <c r="K933">
        <f t="shared" si="38"/>
        <v>997.30039475000001</v>
      </c>
      <c r="L933">
        <v>55</v>
      </c>
      <c r="M933">
        <f t="shared" si="40"/>
        <v>448.78517763749994</v>
      </c>
      <c r="N933" s="90">
        <v>933</v>
      </c>
      <c r="O933" s="90" t="s">
        <v>1626</v>
      </c>
      <c r="P933" s="118" t="s">
        <v>1312</v>
      </c>
      <c r="Q933" s="118" t="s">
        <v>125</v>
      </c>
    </row>
    <row r="934" spans="1:21" x14ac:dyDescent="0.25">
      <c r="A934" s="90" t="s">
        <v>1627</v>
      </c>
      <c r="B934" s="119">
        <v>4</v>
      </c>
      <c r="C934" s="90" t="s">
        <v>812</v>
      </c>
      <c r="D934" s="90" t="s">
        <v>83</v>
      </c>
      <c r="E934">
        <v>1861</v>
      </c>
      <c r="F934">
        <v>1930</v>
      </c>
      <c r="G934" s="93" t="s">
        <v>68</v>
      </c>
      <c r="H934" t="s">
        <v>1628</v>
      </c>
      <c r="I934">
        <v>1</v>
      </c>
      <c r="J934">
        <f>SUM(K935,K937,K939)</f>
        <v>80941.500063720014</v>
      </c>
      <c r="K934">
        <f t="shared" si="38"/>
        <v>80941.500063720014</v>
      </c>
      <c r="L934">
        <f>100*(1-(M934/K934))</f>
        <v>55.000000000000007</v>
      </c>
      <c r="M934">
        <f>I934*SUM(M935,M937,M939)</f>
        <v>36423.675028673999</v>
      </c>
      <c r="N934" s="90">
        <v>934</v>
      </c>
      <c r="O934" s="90" t="s">
        <v>1629</v>
      </c>
      <c r="P934" s="118" t="s">
        <v>1314</v>
      </c>
      <c r="Q934" s="118" t="s">
        <v>125</v>
      </c>
      <c r="R934" s="90" t="s">
        <v>2282</v>
      </c>
      <c r="S934" s="90" t="s">
        <v>2386</v>
      </c>
      <c r="T934" s="90" t="s">
        <v>2438</v>
      </c>
      <c r="U934" s="90" t="s">
        <v>2334</v>
      </c>
    </row>
    <row r="935" spans="1:21" x14ac:dyDescent="0.25">
      <c r="A935" s="90" t="s">
        <v>1630</v>
      </c>
      <c r="B935" s="119">
        <v>5</v>
      </c>
      <c r="C935" s="90" t="s">
        <v>1627</v>
      </c>
      <c r="D935" s="90" t="s">
        <v>78</v>
      </c>
      <c r="E935">
        <v>1862</v>
      </c>
      <c r="F935">
        <v>1865</v>
      </c>
      <c r="G935" s="93" t="s">
        <v>68</v>
      </c>
      <c r="H935" t="s">
        <v>856</v>
      </c>
      <c r="I935">
        <v>10</v>
      </c>
      <c r="J935">
        <f>SUM(K936)</f>
        <v>214.52947918000001</v>
      </c>
      <c r="K935">
        <f t="shared" si="38"/>
        <v>2145.2947918</v>
      </c>
      <c r="L935">
        <f>100*(1-(M935/K935))</f>
        <v>55.000000000000007</v>
      </c>
      <c r="M935">
        <f>I935*SUM(M936)</f>
        <v>965.38265631000002</v>
      </c>
      <c r="N935" s="90">
        <v>935</v>
      </c>
      <c r="O935" s="90" t="s">
        <v>1631</v>
      </c>
      <c r="P935" s="118" t="s">
        <v>1316</v>
      </c>
      <c r="Q935" s="118" t="s">
        <v>125</v>
      </c>
      <c r="R935" s="90" t="s">
        <v>1859</v>
      </c>
      <c r="S935" s="90" t="s">
        <v>2093</v>
      </c>
      <c r="T935" s="90" t="s">
        <v>2210</v>
      </c>
      <c r="U935" s="90" t="s">
        <v>1976</v>
      </c>
    </row>
    <row r="936" spans="1:21" x14ac:dyDescent="0.25">
      <c r="A936" s="90" t="s">
        <v>1632</v>
      </c>
      <c r="B936" s="119">
        <v>6</v>
      </c>
      <c r="C936" s="90" t="s">
        <v>1630</v>
      </c>
      <c r="D936" s="90" t="s">
        <v>78</v>
      </c>
      <c r="E936">
        <v>1863</v>
      </c>
      <c r="F936">
        <v>1864</v>
      </c>
      <c r="G936" s="93" t="s">
        <v>78</v>
      </c>
      <c r="H936" t="s">
        <v>203</v>
      </c>
      <c r="I936">
        <v>1</v>
      </c>
      <c r="J936">
        <v>214.52947918000001</v>
      </c>
      <c r="K936">
        <f t="shared" si="38"/>
        <v>214.52947918000001</v>
      </c>
      <c r="L936">
        <v>55</v>
      </c>
      <c r="M936">
        <f>(1-(L936/100))*K936</f>
        <v>96.538265631000002</v>
      </c>
      <c r="N936" s="90">
        <v>936</v>
      </c>
      <c r="O936" s="90" t="s">
        <v>1633</v>
      </c>
      <c r="P936" s="118" t="s">
        <v>2569</v>
      </c>
      <c r="Q936" s="118" t="s">
        <v>125</v>
      </c>
    </row>
    <row r="937" spans="1:21" x14ac:dyDescent="0.25">
      <c r="A937" s="90" t="s">
        <v>1634</v>
      </c>
      <c r="B937" s="119">
        <v>5</v>
      </c>
      <c r="C937" s="90" t="s">
        <v>1627</v>
      </c>
      <c r="D937" s="90" t="s">
        <v>79</v>
      </c>
      <c r="E937">
        <v>1866</v>
      </c>
      <c r="F937">
        <v>1869</v>
      </c>
      <c r="G937" s="93" t="s">
        <v>68</v>
      </c>
      <c r="H937" t="s">
        <v>861</v>
      </c>
      <c r="I937">
        <v>36</v>
      </c>
      <c r="J937">
        <f>SUM(K938)</f>
        <v>214.52947918000001</v>
      </c>
      <c r="K937">
        <f t="shared" si="38"/>
        <v>7723.0612504800001</v>
      </c>
      <c r="L937">
        <f>100*(1-(M937/K937))</f>
        <v>55.000000000000007</v>
      </c>
      <c r="M937">
        <f>I937*SUM(M938)</f>
        <v>3475.3775627160003</v>
      </c>
      <c r="N937" s="90">
        <v>937</v>
      </c>
      <c r="O937" s="90" t="s">
        <v>1635</v>
      </c>
      <c r="P937" s="118" t="s">
        <v>1318</v>
      </c>
      <c r="Q937" s="118" t="s">
        <v>125</v>
      </c>
      <c r="R937" s="90" t="s">
        <v>1860</v>
      </c>
      <c r="S937" s="90" t="s">
        <v>2094</v>
      </c>
      <c r="T937" s="90" t="s">
        <v>2211</v>
      </c>
      <c r="U937" s="90" t="s">
        <v>1977</v>
      </c>
    </row>
    <row r="938" spans="1:21" x14ac:dyDescent="0.25">
      <c r="A938" s="90" t="s">
        <v>1636</v>
      </c>
      <c r="B938" s="119">
        <v>6</v>
      </c>
      <c r="C938" s="90" t="s">
        <v>1634</v>
      </c>
      <c r="D938" s="90" t="s">
        <v>78</v>
      </c>
      <c r="E938">
        <v>1867</v>
      </c>
      <c r="F938">
        <v>1868</v>
      </c>
      <c r="G938" s="93" t="s">
        <v>78</v>
      </c>
      <c r="H938" t="s">
        <v>205</v>
      </c>
      <c r="I938">
        <v>1</v>
      </c>
      <c r="J938">
        <v>214.52947918000001</v>
      </c>
      <c r="K938">
        <f t="shared" si="38"/>
        <v>214.52947918000001</v>
      </c>
      <c r="L938">
        <v>55</v>
      </c>
      <c r="M938">
        <f>(1-(L938/100))*K938</f>
        <v>96.538265631000002</v>
      </c>
      <c r="N938" s="90">
        <v>938</v>
      </c>
      <c r="O938" s="90" t="s">
        <v>1637</v>
      </c>
      <c r="P938" s="118" t="s">
        <v>1320</v>
      </c>
      <c r="Q938" s="118" t="s">
        <v>125</v>
      </c>
    </row>
    <row r="939" spans="1:21" x14ac:dyDescent="0.25">
      <c r="A939" s="90" t="s">
        <v>1638</v>
      </c>
      <c r="B939" s="119">
        <v>5</v>
      </c>
      <c r="C939" s="90" t="s">
        <v>1627</v>
      </c>
      <c r="D939" s="90" t="s">
        <v>80</v>
      </c>
      <c r="E939">
        <v>1870</v>
      </c>
      <c r="F939">
        <v>1929</v>
      </c>
      <c r="G939" s="93" t="s">
        <v>68</v>
      </c>
      <c r="H939" t="s">
        <v>1639</v>
      </c>
      <c r="I939">
        <v>2</v>
      </c>
      <c r="J939">
        <f>SUM(K940,K941,K942,K943,K944,K945,K946,K947,K948,K949,K950,K951,K952,K953,K954,K955,K956,K957,K958,K959,K960,K961,K962,K963,K964,K965,K966,K967,K968)</f>
        <v>35536.572010720003</v>
      </c>
      <c r="K939">
        <f t="shared" si="38"/>
        <v>71073.144021440006</v>
      </c>
      <c r="L939">
        <f>100*(1-(M939/K939))</f>
        <v>55.000000000000007</v>
      </c>
      <c r="M939">
        <f>I939*SUM(M940,M941,M942,M943,M944,M945,M946,M947,M948,M949,M950,M951,M952,M953,M954,M955,M956,M957,M958,M959,M960,M961,M962,M963,M964,M965,M966,M967,M968)</f>
        <v>31982.914809647995</v>
      </c>
      <c r="N939" s="90">
        <v>939</v>
      </c>
      <c r="O939" s="90" t="s">
        <v>1640</v>
      </c>
      <c r="P939" s="118" t="s">
        <v>2570</v>
      </c>
      <c r="Q939" s="118" t="s">
        <v>125</v>
      </c>
      <c r="R939" s="90" t="s">
        <v>1861</v>
      </c>
      <c r="S939" s="90" t="s">
        <v>2095</v>
      </c>
      <c r="T939" s="90" t="s">
        <v>2212</v>
      </c>
      <c r="U939" s="90" t="s">
        <v>1978</v>
      </c>
    </row>
    <row r="940" spans="1:21" x14ac:dyDescent="0.25">
      <c r="A940" s="90" t="s">
        <v>1641</v>
      </c>
      <c r="B940" s="119">
        <v>6</v>
      </c>
      <c r="C940" s="90" t="s">
        <v>1638</v>
      </c>
      <c r="D940" s="90" t="s">
        <v>78</v>
      </c>
      <c r="E940">
        <v>1871</v>
      </c>
      <c r="F940">
        <v>1872</v>
      </c>
      <c r="G940" s="93" t="s">
        <v>78</v>
      </c>
      <c r="H940" t="s">
        <v>197</v>
      </c>
      <c r="I940">
        <v>1</v>
      </c>
      <c r="J940">
        <v>10880.466063919999</v>
      </c>
      <c r="K940">
        <f t="shared" si="38"/>
        <v>10880.466063919999</v>
      </c>
      <c r="L940">
        <v>55</v>
      </c>
      <c r="M940">
        <f t="shared" ref="M940:M968" si="41">(1-(L940/100))*K940</f>
        <v>4896.209728763999</v>
      </c>
      <c r="N940" s="90">
        <v>940</v>
      </c>
      <c r="O940" s="90" t="s">
        <v>1642</v>
      </c>
      <c r="P940" s="118" t="s">
        <v>1323</v>
      </c>
      <c r="Q940" s="118" t="s">
        <v>125</v>
      </c>
    </row>
    <row r="941" spans="1:21" x14ac:dyDescent="0.25">
      <c r="A941" s="90" t="s">
        <v>1643</v>
      </c>
      <c r="B941" s="119">
        <v>6</v>
      </c>
      <c r="C941" s="90" t="s">
        <v>1638</v>
      </c>
      <c r="D941" s="90" t="s">
        <v>79</v>
      </c>
      <c r="E941">
        <v>1873</v>
      </c>
      <c r="F941">
        <v>1874</v>
      </c>
      <c r="G941" s="93" t="s">
        <v>78</v>
      </c>
      <c r="H941" t="s">
        <v>127</v>
      </c>
      <c r="I941">
        <v>0</v>
      </c>
      <c r="J941">
        <v>491.93938622000002</v>
      </c>
      <c r="K941">
        <f t="shared" si="38"/>
        <v>0</v>
      </c>
      <c r="L941">
        <v>55</v>
      </c>
      <c r="M941">
        <f t="shared" si="41"/>
        <v>0</v>
      </c>
      <c r="N941" s="90">
        <v>941</v>
      </c>
      <c r="O941" s="90" t="s">
        <v>1644</v>
      </c>
      <c r="P941" s="118" t="s">
        <v>1325</v>
      </c>
      <c r="Q941" s="118" t="s">
        <v>125</v>
      </c>
    </row>
    <row r="942" spans="1:21" x14ac:dyDescent="0.25">
      <c r="A942" s="90" t="s">
        <v>1645</v>
      </c>
      <c r="B942" s="119">
        <v>6</v>
      </c>
      <c r="C942" s="90" t="s">
        <v>1638</v>
      </c>
      <c r="D942" s="90" t="s">
        <v>80</v>
      </c>
      <c r="E942">
        <v>1875</v>
      </c>
      <c r="F942">
        <v>1876</v>
      </c>
      <c r="G942" s="93" t="s">
        <v>78</v>
      </c>
      <c r="H942" t="s">
        <v>132</v>
      </c>
      <c r="I942">
        <v>1</v>
      </c>
      <c r="J942">
        <v>926.14287533000004</v>
      </c>
      <c r="K942">
        <f t="shared" si="38"/>
        <v>926.14287533000004</v>
      </c>
      <c r="L942">
        <v>55</v>
      </c>
      <c r="M942">
        <f t="shared" si="41"/>
        <v>416.7642938985</v>
      </c>
      <c r="N942" s="90">
        <v>942</v>
      </c>
      <c r="O942" s="90" t="s">
        <v>1646</v>
      </c>
      <c r="P942" s="118" t="s">
        <v>1327</v>
      </c>
      <c r="Q942" s="118" t="s">
        <v>125</v>
      </c>
    </row>
    <row r="943" spans="1:21" x14ac:dyDescent="0.25">
      <c r="A943" s="90" t="s">
        <v>1647</v>
      </c>
      <c r="B943" s="119">
        <v>6</v>
      </c>
      <c r="C943" s="90" t="s">
        <v>1638</v>
      </c>
      <c r="D943" s="90" t="s">
        <v>95</v>
      </c>
      <c r="E943">
        <v>1877</v>
      </c>
      <c r="F943">
        <v>1878</v>
      </c>
      <c r="G943" s="93" t="s">
        <v>78</v>
      </c>
      <c r="H943" t="s">
        <v>1495</v>
      </c>
      <c r="I943">
        <v>1</v>
      </c>
      <c r="J943">
        <v>1655.4183114699999</v>
      </c>
      <c r="K943">
        <f t="shared" si="38"/>
        <v>1655.4183114699999</v>
      </c>
      <c r="L943">
        <v>55</v>
      </c>
      <c r="M943">
        <f t="shared" si="41"/>
        <v>744.93824016149995</v>
      </c>
      <c r="N943" s="90">
        <v>943</v>
      </c>
      <c r="O943" s="90" t="s">
        <v>1648</v>
      </c>
      <c r="P943" s="118" t="s">
        <v>1329</v>
      </c>
      <c r="Q943" s="118" t="s">
        <v>125</v>
      </c>
    </row>
    <row r="944" spans="1:21" x14ac:dyDescent="0.25">
      <c r="A944" s="90" t="s">
        <v>1649</v>
      </c>
      <c r="B944" s="119">
        <v>6</v>
      </c>
      <c r="C944" s="90" t="s">
        <v>1638</v>
      </c>
      <c r="D944" s="90" t="s">
        <v>96</v>
      </c>
      <c r="E944">
        <v>1879</v>
      </c>
      <c r="F944">
        <v>1880</v>
      </c>
      <c r="G944" s="93" t="s">
        <v>78</v>
      </c>
      <c r="H944" t="s">
        <v>871</v>
      </c>
      <c r="I944">
        <v>1</v>
      </c>
      <c r="J944">
        <v>537.64166561000002</v>
      </c>
      <c r="K944">
        <f t="shared" si="38"/>
        <v>537.64166561000002</v>
      </c>
      <c r="L944">
        <v>55</v>
      </c>
      <c r="M944">
        <f t="shared" si="41"/>
        <v>241.9387495245</v>
      </c>
      <c r="N944" s="90">
        <v>944</v>
      </c>
      <c r="O944" s="90" t="s">
        <v>1650</v>
      </c>
      <c r="P944" s="118" t="s">
        <v>1331</v>
      </c>
      <c r="Q944" s="118" t="s">
        <v>125</v>
      </c>
    </row>
    <row r="945" spans="1:17" x14ac:dyDescent="0.25">
      <c r="A945" s="90" t="s">
        <v>1651</v>
      </c>
      <c r="B945" s="119">
        <v>6</v>
      </c>
      <c r="C945" s="90" t="s">
        <v>1638</v>
      </c>
      <c r="D945" s="90" t="s">
        <v>103</v>
      </c>
      <c r="E945">
        <v>1881</v>
      </c>
      <c r="F945">
        <v>1882</v>
      </c>
      <c r="G945" s="93" t="s">
        <v>78</v>
      </c>
      <c r="H945" t="s">
        <v>123</v>
      </c>
      <c r="I945">
        <v>2</v>
      </c>
      <c r="J945">
        <v>313.76543995999998</v>
      </c>
      <c r="K945">
        <f t="shared" si="38"/>
        <v>627.53087991999996</v>
      </c>
      <c r="L945">
        <v>55</v>
      </c>
      <c r="M945">
        <f t="shared" si="41"/>
        <v>282.38889596399997</v>
      </c>
      <c r="N945" s="90">
        <v>945</v>
      </c>
      <c r="O945" s="90" t="s">
        <v>1652</v>
      </c>
      <c r="P945" s="118" t="s">
        <v>1333</v>
      </c>
      <c r="Q945" s="118" t="s">
        <v>125</v>
      </c>
    </row>
    <row r="946" spans="1:17" x14ac:dyDescent="0.25">
      <c r="A946" s="90" t="s">
        <v>1653</v>
      </c>
      <c r="B946" s="119">
        <v>6</v>
      </c>
      <c r="C946" s="90" t="s">
        <v>1638</v>
      </c>
      <c r="D946" s="90" t="s">
        <v>1769</v>
      </c>
      <c r="E946">
        <v>1883</v>
      </c>
      <c r="F946">
        <v>1884</v>
      </c>
      <c r="G946" s="93" t="s">
        <v>78</v>
      </c>
      <c r="H946" t="s">
        <v>133</v>
      </c>
      <c r="I946">
        <v>0</v>
      </c>
      <c r="J946">
        <v>5940.1629950300003</v>
      </c>
      <c r="K946">
        <f t="shared" si="38"/>
        <v>0</v>
      </c>
      <c r="L946">
        <v>55</v>
      </c>
      <c r="M946">
        <f t="shared" si="41"/>
        <v>0</v>
      </c>
      <c r="N946" s="90">
        <v>946</v>
      </c>
      <c r="O946" s="90" t="s">
        <v>1654</v>
      </c>
      <c r="P946" s="118" t="s">
        <v>1335</v>
      </c>
      <c r="Q946" s="118" t="s">
        <v>125</v>
      </c>
    </row>
    <row r="947" spans="1:17" x14ac:dyDescent="0.25">
      <c r="A947" s="90" t="s">
        <v>1655</v>
      </c>
      <c r="B947" s="119">
        <v>6</v>
      </c>
      <c r="C947" s="90" t="s">
        <v>1638</v>
      </c>
      <c r="D947" s="90" t="s">
        <v>1770</v>
      </c>
      <c r="E947">
        <v>1885</v>
      </c>
      <c r="F947">
        <v>1886</v>
      </c>
      <c r="G947" s="93" t="s">
        <v>78</v>
      </c>
      <c r="H947" t="s">
        <v>1504</v>
      </c>
      <c r="I947">
        <v>1</v>
      </c>
      <c r="J947">
        <v>666.34407233000002</v>
      </c>
      <c r="K947">
        <f t="shared" si="38"/>
        <v>666.34407233000002</v>
      </c>
      <c r="L947">
        <v>55</v>
      </c>
      <c r="M947">
        <f t="shared" si="41"/>
        <v>299.85483254849999</v>
      </c>
      <c r="N947" s="90">
        <v>947</v>
      </c>
      <c r="O947" s="90" t="s">
        <v>1656</v>
      </c>
      <c r="P947" s="118" t="s">
        <v>1337</v>
      </c>
      <c r="Q947" s="118" t="s">
        <v>125</v>
      </c>
    </row>
    <row r="948" spans="1:17" x14ac:dyDescent="0.25">
      <c r="A948" s="90" t="s">
        <v>1657</v>
      </c>
      <c r="B948" s="119">
        <v>6</v>
      </c>
      <c r="C948" s="90" t="s">
        <v>1638</v>
      </c>
      <c r="D948" s="90" t="s">
        <v>1771</v>
      </c>
      <c r="E948">
        <v>1887</v>
      </c>
      <c r="F948">
        <v>1888</v>
      </c>
      <c r="G948" s="93" t="s">
        <v>78</v>
      </c>
      <c r="H948" t="s">
        <v>120</v>
      </c>
      <c r="I948">
        <v>3</v>
      </c>
      <c r="J948">
        <v>1231.376544</v>
      </c>
      <c r="K948">
        <f t="shared" si="38"/>
        <v>3694.1296320000001</v>
      </c>
      <c r="L948">
        <v>55</v>
      </c>
      <c r="M948">
        <f t="shared" si="41"/>
        <v>1662.3583343999999</v>
      </c>
      <c r="N948" s="90">
        <v>948</v>
      </c>
      <c r="O948" s="90" t="s">
        <v>1658</v>
      </c>
      <c r="P948" s="118" t="s">
        <v>1339</v>
      </c>
      <c r="Q948" s="118" t="s">
        <v>125</v>
      </c>
    </row>
    <row r="949" spans="1:17" x14ac:dyDescent="0.25">
      <c r="A949" s="90" t="s">
        <v>1659</v>
      </c>
      <c r="B949" s="119">
        <v>6</v>
      </c>
      <c r="C949" s="90" t="s">
        <v>1638</v>
      </c>
      <c r="D949" s="90" t="s">
        <v>1772</v>
      </c>
      <c r="E949">
        <v>1889</v>
      </c>
      <c r="F949">
        <v>1890</v>
      </c>
      <c r="G949" s="93" t="s">
        <v>78</v>
      </c>
      <c r="H949" t="s">
        <v>126</v>
      </c>
      <c r="I949">
        <v>3</v>
      </c>
      <c r="J949">
        <v>967.93582071000003</v>
      </c>
      <c r="K949">
        <f t="shared" si="38"/>
        <v>2903.8074621300002</v>
      </c>
      <c r="L949">
        <v>55</v>
      </c>
      <c r="M949">
        <f t="shared" si="41"/>
        <v>1306.7133579585</v>
      </c>
      <c r="N949" s="90">
        <v>949</v>
      </c>
      <c r="O949" s="90" t="s">
        <v>1660</v>
      </c>
      <c r="P949" s="118" t="s">
        <v>2571</v>
      </c>
      <c r="Q949" s="118" t="s">
        <v>125</v>
      </c>
    </row>
    <row r="950" spans="1:17" x14ac:dyDescent="0.25">
      <c r="A950" s="90" t="s">
        <v>1661</v>
      </c>
      <c r="B950" s="119">
        <v>6</v>
      </c>
      <c r="C950" s="90" t="s">
        <v>1638</v>
      </c>
      <c r="D950" s="90" t="s">
        <v>97</v>
      </c>
      <c r="E950">
        <v>1891</v>
      </c>
      <c r="F950">
        <v>1892</v>
      </c>
      <c r="G950" s="93" t="s">
        <v>78</v>
      </c>
      <c r="H950" t="s">
        <v>199</v>
      </c>
      <c r="I950">
        <v>6</v>
      </c>
      <c r="J950">
        <v>862.86769387000004</v>
      </c>
      <c r="K950">
        <f t="shared" si="38"/>
        <v>5177.2061632200002</v>
      </c>
      <c r="L950">
        <v>55</v>
      </c>
      <c r="M950">
        <f t="shared" si="41"/>
        <v>2329.7427734489997</v>
      </c>
      <c r="N950" s="90">
        <v>950</v>
      </c>
      <c r="O950" s="90" t="s">
        <v>1662</v>
      </c>
      <c r="P950" s="118" t="s">
        <v>1341</v>
      </c>
      <c r="Q950" s="118" t="s">
        <v>125</v>
      </c>
    </row>
    <row r="951" spans="1:17" x14ac:dyDescent="0.25">
      <c r="A951" s="90" t="s">
        <v>1663</v>
      </c>
      <c r="B951" s="119">
        <v>6</v>
      </c>
      <c r="C951" s="90" t="s">
        <v>1638</v>
      </c>
      <c r="D951" s="90" t="s">
        <v>98</v>
      </c>
      <c r="E951">
        <v>1893</v>
      </c>
      <c r="F951">
        <v>1894</v>
      </c>
      <c r="G951" s="93" t="s">
        <v>78</v>
      </c>
      <c r="H951" t="s">
        <v>224</v>
      </c>
      <c r="I951">
        <v>0</v>
      </c>
      <c r="J951">
        <v>2064.00101872</v>
      </c>
      <c r="K951">
        <f t="shared" si="38"/>
        <v>0</v>
      </c>
      <c r="L951">
        <v>55</v>
      </c>
      <c r="M951">
        <f t="shared" si="41"/>
        <v>0</v>
      </c>
      <c r="N951" s="90">
        <v>951</v>
      </c>
      <c r="O951" s="90" t="s">
        <v>1664</v>
      </c>
      <c r="P951" s="118" t="s">
        <v>1343</v>
      </c>
      <c r="Q951" s="118" t="s">
        <v>125</v>
      </c>
    </row>
    <row r="952" spans="1:17" x14ac:dyDescent="0.25">
      <c r="A952" s="90" t="s">
        <v>1665</v>
      </c>
      <c r="B952" s="119">
        <v>6</v>
      </c>
      <c r="C952" s="90" t="s">
        <v>1638</v>
      </c>
      <c r="D952" s="90" t="s">
        <v>99</v>
      </c>
      <c r="E952">
        <v>1895</v>
      </c>
      <c r="F952">
        <v>1896</v>
      </c>
      <c r="G952" s="93" t="s">
        <v>78</v>
      </c>
      <c r="H952" t="s">
        <v>203</v>
      </c>
      <c r="I952">
        <v>0</v>
      </c>
      <c r="J952">
        <v>214.52947918000001</v>
      </c>
      <c r="K952">
        <f t="shared" si="38"/>
        <v>0</v>
      </c>
      <c r="L952">
        <v>55</v>
      </c>
      <c r="M952">
        <f t="shared" si="41"/>
        <v>0</v>
      </c>
      <c r="N952" s="90">
        <v>952</v>
      </c>
      <c r="O952" s="90" t="s">
        <v>1666</v>
      </c>
      <c r="P952" s="118" t="s">
        <v>2572</v>
      </c>
      <c r="Q952" s="118" t="s">
        <v>125</v>
      </c>
    </row>
    <row r="953" spans="1:17" x14ac:dyDescent="0.25">
      <c r="A953" s="90" t="s">
        <v>1667</v>
      </c>
      <c r="B953" s="119">
        <v>6</v>
      </c>
      <c r="C953" s="90" t="s">
        <v>1638</v>
      </c>
      <c r="D953" s="90" t="s">
        <v>100</v>
      </c>
      <c r="E953">
        <v>1897</v>
      </c>
      <c r="F953">
        <v>1898</v>
      </c>
      <c r="G953" s="93" t="s">
        <v>78</v>
      </c>
      <c r="H953" t="s">
        <v>205</v>
      </c>
      <c r="I953">
        <v>0</v>
      </c>
      <c r="J953">
        <v>214.52947918000001</v>
      </c>
      <c r="K953">
        <f t="shared" si="38"/>
        <v>0</v>
      </c>
      <c r="L953">
        <v>55</v>
      </c>
      <c r="M953">
        <f t="shared" si="41"/>
        <v>0</v>
      </c>
      <c r="N953" s="90">
        <v>953</v>
      </c>
      <c r="O953" s="90" t="s">
        <v>1668</v>
      </c>
      <c r="P953" s="118" t="s">
        <v>1345</v>
      </c>
      <c r="Q953" s="118" t="s">
        <v>125</v>
      </c>
    </row>
    <row r="954" spans="1:17" x14ac:dyDescent="0.25">
      <c r="A954" s="90" t="s">
        <v>1669</v>
      </c>
      <c r="B954" s="119">
        <v>6</v>
      </c>
      <c r="C954" s="90" t="s">
        <v>1638</v>
      </c>
      <c r="D954" s="90" t="s">
        <v>81</v>
      </c>
      <c r="E954">
        <v>1899</v>
      </c>
      <c r="F954">
        <v>1900</v>
      </c>
      <c r="G954" s="93" t="s">
        <v>78</v>
      </c>
      <c r="H954" t="s">
        <v>194</v>
      </c>
      <c r="I954">
        <v>9</v>
      </c>
      <c r="J954">
        <v>256.72991214000001</v>
      </c>
      <c r="K954">
        <f t="shared" si="38"/>
        <v>2310.5692092600002</v>
      </c>
      <c r="L954">
        <v>55</v>
      </c>
      <c r="M954">
        <f t="shared" si="41"/>
        <v>1039.756144167</v>
      </c>
      <c r="N954" s="90">
        <v>954</v>
      </c>
      <c r="O954" s="90" t="s">
        <v>1670</v>
      </c>
      <c r="P954" s="118" t="s">
        <v>1347</v>
      </c>
      <c r="Q954" s="118" t="s">
        <v>125</v>
      </c>
    </row>
    <row r="955" spans="1:17" x14ac:dyDescent="0.25">
      <c r="A955" s="90" t="s">
        <v>1671</v>
      </c>
      <c r="B955" s="119">
        <v>6</v>
      </c>
      <c r="C955" s="90" t="s">
        <v>1638</v>
      </c>
      <c r="D955" s="90" t="s">
        <v>83</v>
      </c>
      <c r="E955">
        <v>1901</v>
      </c>
      <c r="F955">
        <v>1902</v>
      </c>
      <c r="G955" s="93" t="s">
        <v>78</v>
      </c>
      <c r="H955" t="s">
        <v>892</v>
      </c>
      <c r="I955">
        <v>1</v>
      </c>
      <c r="J955">
        <v>997.30039475000001</v>
      </c>
      <c r="K955">
        <f t="shared" si="38"/>
        <v>997.30039475000001</v>
      </c>
      <c r="L955">
        <v>55</v>
      </c>
      <c r="M955">
        <f t="shared" si="41"/>
        <v>448.78517763749994</v>
      </c>
      <c r="N955" s="90">
        <v>955</v>
      </c>
      <c r="O955" s="90" t="s">
        <v>1672</v>
      </c>
      <c r="P955" s="118" t="s">
        <v>1349</v>
      </c>
      <c r="Q955" s="118" t="s">
        <v>125</v>
      </c>
    </row>
    <row r="956" spans="1:17" x14ac:dyDescent="0.25">
      <c r="A956" s="90" t="s">
        <v>1673</v>
      </c>
      <c r="B956" s="119">
        <v>6</v>
      </c>
      <c r="C956" s="90" t="s">
        <v>1638</v>
      </c>
      <c r="D956" s="90" t="s">
        <v>84</v>
      </c>
      <c r="E956">
        <v>1903</v>
      </c>
      <c r="F956">
        <v>1904</v>
      </c>
      <c r="G956" s="93" t="s">
        <v>78</v>
      </c>
      <c r="H956" t="s">
        <v>134</v>
      </c>
      <c r="I956">
        <v>0</v>
      </c>
      <c r="J956">
        <v>1527.53087992</v>
      </c>
      <c r="K956">
        <f t="shared" si="38"/>
        <v>0</v>
      </c>
      <c r="L956">
        <v>55</v>
      </c>
      <c r="M956">
        <f t="shared" si="41"/>
        <v>0</v>
      </c>
      <c r="N956" s="90">
        <v>956</v>
      </c>
      <c r="O956" s="90" t="s">
        <v>1674</v>
      </c>
      <c r="P956" s="118" t="s">
        <v>1351</v>
      </c>
      <c r="Q956" s="118" t="s">
        <v>125</v>
      </c>
    </row>
    <row r="957" spans="1:17" x14ac:dyDescent="0.25">
      <c r="A957" s="90" t="s">
        <v>1675</v>
      </c>
      <c r="B957" s="119">
        <v>6</v>
      </c>
      <c r="C957" s="90" t="s">
        <v>1638</v>
      </c>
      <c r="D957" s="90" t="s">
        <v>85</v>
      </c>
      <c r="E957">
        <v>1905</v>
      </c>
      <c r="F957">
        <v>1906</v>
      </c>
      <c r="G957" s="93" t="s">
        <v>78</v>
      </c>
      <c r="H957" t="s">
        <v>119</v>
      </c>
      <c r="I957">
        <v>0</v>
      </c>
      <c r="J957">
        <v>594.85546925000006</v>
      </c>
      <c r="K957">
        <f t="shared" si="38"/>
        <v>0</v>
      </c>
      <c r="L957">
        <v>55</v>
      </c>
      <c r="M957">
        <f t="shared" si="41"/>
        <v>0</v>
      </c>
      <c r="N957" s="90">
        <v>957</v>
      </c>
      <c r="O957" s="90" t="s">
        <v>1676</v>
      </c>
      <c r="P957" s="118" t="s">
        <v>1353</v>
      </c>
      <c r="Q957" s="118" t="s">
        <v>125</v>
      </c>
    </row>
    <row r="958" spans="1:17" x14ac:dyDescent="0.25">
      <c r="A958" s="90" t="s">
        <v>1677</v>
      </c>
      <c r="B958" s="119">
        <v>6</v>
      </c>
      <c r="C958" s="90" t="s">
        <v>1638</v>
      </c>
      <c r="D958" s="90" t="s">
        <v>86</v>
      </c>
      <c r="E958">
        <v>1907</v>
      </c>
      <c r="F958">
        <v>1908</v>
      </c>
      <c r="G958" s="93" t="s">
        <v>78</v>
      </c>
      <c r="H958" t="s">
        <v>107</v>
      </c>
      <c r="I958">
        <v>0</v>
      </c>
      <c r="J958">
        <v>5209</v>
      </c>
      <c r="K958">
        <f t="shared" si="38"/>
        <v>0</v>
      </c>
      <c r="L958">
        <v>55</v>
      </c>
      <c r="M958">
        <f t="shared" si="41"/>
        <v>0</v>
      </c>
      <c r="N958" s="90">
        <v>958</v>
      </c>
      <c r="O958" s="90" t="s">
        <v>1678</v>
      </c>
      <c r="P958" s="118" t="s">
        <v>1355</v>
      </c>
      <c r="Q958" s="118" t="s">
        <v>125</v>
      </c>
    </row>
    <row r="959" spans="1:17" x14ac:dyDescent="0.25">
      <c r="A959" s="90" t="s">
        <v>1679</v>
      </c>
      <c r="B959" s="119">
        <v>6</v>
      </c>
      <c r="C959" s="90" t="s">
        <v>1638</v>
      </c>
      <c r="D959" s="90" t="s">
        <v>87</v>
      </c>
      <c r="E959">
        <v>1909</v>
      </c>
      <c r="F959">
        <v>1910</v>
      </c>
      <c r="G959" s="93" t="s">
        <v>78</v>
      </c>
      <c r="H959" t="s">
        <v>128</v>
      </c>
      <c r="I959">
        <v>0</v>
      </c>
      <c r="J959">
        <v>275.43613906000002</v>
      </c>
      <c r="K959">
        <f t="shared" si="38"/>
        <v>0</v>
      </c>
      <c r="L959">
        <v>55</v>
      </c>
      <c r="M959">
        <f t="shared" si="41"/>
        <v>0</v>
      </c>
      <c r="N959" s="90">
        <v>959</v>
      </c>
      <c r="O959" s="90" t="s">
        <v>1680</v>
      </c>
      <c r="P959" s="118" t="s">
        <v>1357</v>
      </c>
      <c r="Q959" s="118" t="s">
        <v>125</v>
      </c>
    </row>
    <row r="960" spans="1:17" x14ac:dyDescent="0.25">
      <c r="A960" s="90" t="s">
        <v>1681</v>
      </c>
      <c r="B960" s="119">
        <v>6</v>
      </c>
      <c r="C960" s="90" t="s">
        <v>1638</v>
      </c>
      <c r="D960" s="90" t="s">
        <v>101</v>
      </c>
      <c r="E960">
        <v>1911</v>
      </c>
      <c r="F960">
        <v>1912</v>
      </c>
      <c r="G960" s="93" t="s">
        <v>78</v>
      </c>
      <c r="H960" t="s">
        <v>121</v>
      </c>
      <c r="I960">
        <v>0</v>
      </c>
      <c r="J960">
        <v>78.186680249999995</v>
      </c>
      <c r="K960">
        <f t="shared" si="38"/>
        <v>0</v>
      </c>
      <c r="L960">
        <v>55</v>
      </c>
      <c r="M960">
        <f t="shared" si="41"/>
        <v>0</v>
      </c>
      <c r="N960" s="90">
        <v>960</v>
      </c>
      <c r="O960" s="90" t="s">
        <v>1682</v>
      </c>
      <c r="P960" s="118" t="s">
        <v>1359</v>
      </c>
      <c r="Q960" s="118" t="s">
        <v>125</v>
      </c>
    </row>
    <row r="961" spans="1:21" x14ac:dyDescent="0.25">
      <c r="A961" s="90" t="s">
        <v>1683</v>
      </c>
      <c r="B961" s="119">
        <v>6</v>
      </c>
      <c r="C961" s="90" t="s">
        <v>1638</v>
      </c>
      <c r="D961" s="90" t="s">
        <v>88</v>
      </c>
      <c r="E961">
        <v>1913</v>
      </c>
      <c r="F961">
        <v>1914</v>
      </c>
      <c r="G961" s="93" t="s">
        <v>78</v>
      </c>
      <c r="H961" t="s">
        <v>122</v>
      </c>
      <c r="I961">
        <v>0</v>
      </c>
      <c r="J961">
        <v>823.90169361999995</v>
      </c>
      <c r="K961">
        <f t="shared" si="38"/>
        <v>0</v>
      </c>
      <c r="L961">
        <v>55</v>
      </c>
      <c r="M961">
        <f t="shared" si="41"/>
        <v>0</v>
      </c>
      <c r="N961" s="90">
        <v>961</v>
      </c>
      <c r="O961" s="90" t="s">
        <v>1684</v>
      </c>
      <c r="P961" s="118" t="s">
        <v>1361</v>
      </c>
      <c r="Q961" s="118" t="s">
        <v>125</v>
      </c>
    </row>
    <row r="962" spans="1:21" x14ac:dyDescent="0.25">
      <c r="A962" s="90" t="s">
        <v>1685</v>
      </c>
      <c r="B962" s="119">
        <v>6</v>
      </c>
      <c r="C962" s="90" t="s">
        <v>1638</v>
      </c>
      <c r="D962" s="90" t="s">
        <v>89</v>
      </c>
      <c r="E962">
        <v>1915</v>
      </c>
      <c r="F962">
        <v>1916</v>
      </c>
      <c r="G962" s="93" t="s">
        <v>78</v>
      </c>
      <c r="H962" t="s">
        <v>129</v>
      </c>
      <c r="I962">
        <v>0</v>
      </c>
      <c r="J962">
        <v>270.62269196</v>
      </c>
      <c r="K962">
        <f t="shared" si="38"/>
        <v>0</v>
      </c>
      <c r="L962">
        <v>55</v>
      </c>
      <c r="M962">
        <f t="shared" si="41"/>
        <v>0</v>
      </c>
      <c r="N962" s="90">
        <v>962</v>
      </c>
      <c r="O962" s="90" t="s">
        <v>1686</v>
      </c>
      <c r="P962" s="118" t="s">
        <v>1363</v>
      </c>
      <c r="Q962" s="118" t="s">
        <v>125</v>
      </c>
    </row>
    <row r="963" spans="1:21" x14ac:dyDescent="0.25">
      <c r="A963" s="90" t="s">
        <v>1687</v>
      </c>
      <c r="B963" s="119">
        <v>6</v>
      </c>
      <c r="C963" s="90" t="s">
        <v>1638</v>
      </c>
      <c r="D963" s="90" t="s">
        <v>102</v>
      </c>
      <c r="E963">
        <v>1917</v>
      </c>
      <c r="F963">
        <v>1918</v>
      </c>
      <c r="G963" s="93" t="s">
        <v>78</v>
      </c>
      <c r="H963" t="s">
        <v>135</v>
      </c>
      <c r="I963">
        <v>0</v>
      </c>
      <c r="J963">
        <v>119.07551254000001</v>
      </c>
      <c r="K963">
        <f t="shared" ref="K963:K1026" si="42">I963*J963</f>
        <v>0</v>
      </c>
      <c r="L963">
        <v>55</v>
      </c>
      <c r="M963">
        <f t="shared" si="41"/>
        <v>0</v>
      </c>
      <c r="N963" s="90">
        <v>963</v>
      </c>
      <c r="O963" s="90" t="s">
        <v>1688</v>
      </c>
      <c r="P963" s="118" t="s">
        <v>2573</v>
      </c>
      <c r="Q963" s="118" t="s">
        <v>125</v>
      </c>
    </row>
    <row r="964" spans="1:21" x14ac:dyDescent="0.25">
      <c r="A964" s="90" t="s">
        <v>1689</v>
      </c>
      <c r="B964" s="119">
        <v>6</v>
      </c>
      <c r="C964" s="90" t="s">
        <v>1638</v>
      </c>
      <c r="D964" s="90" t="s">
        <v>90</v>
      </c>
      <c r="E964">
        <v>1919</v>
      </c>
      <c r="F964">
        <v>1920</v>
      </c>
      <c r="G964" s="93" t="s">
        <v>78</v>
      </c>
      <c r="H964" t="s">
        <v>136</v>
      </c>
      <c r="I964">
        <v>0</v>
      </c>
      <c r="J964">
        <v>56.526168339999998</v>
      </c>
      <c r="K964">
        <f t="shared" si="42"/>
        <v>0</v>
      </c>
      <c r="L964">
        <v>55</v>
      </c>
      <c r="M964">
        <f t="shared" si="41"/>
        <v>0</v>
      </c>
      <c r="N964" s="90">
        <v>964</v>
      </c>
      <c r="O964" s="90" t="s">
        <v>1690</v>
      </c>
      <c r="P964" s="118" t="s">
        <v>1366</v>
      </c>
      <c r="Q964" s="118" t="s">
        <v>125</v>
      </c>
    </row>
    <row r="965" spans="1:21" x14ac:dyDescent="0.25">
      <c r="A965" s="90" t="s">
        <v>1691</v>
      </c>
      <c r="B965" s="119">
        <v>6</v>
      </c>
      <c r="C965" s="90" t="s">
        <v>1638</v>
      </c>
      <c r="D965" s="90" t="s">
        <v>91</v>
      </c>
      <c r="E965">
        <v>1921</v>
      </c>
      <c r="F965">
        <v>1922</v>
      </c>
      <c r="G965" s="93" t="s">
        <v>78</v>
      </c>
      <c r="H965" t="s">
        <v>130</v>
      </c>
      <c r="I965">
        <v>0</v>
      </c>
      <c r="J965">
        <v>212.88679486000001</v>
      </c>
      <c r="K965">
        <f t="shared" si="42"/>
        <v>0</v>
      </c>
      <c r="L965">
        <v>55</v>
      </c>
      <c r="M965">
        <f t="shared" si="41"/>
        <v>0</v>
      </c>
      <c r="N965" s="90">
        <v>965</v>
      </c>
      <c r="O965" s="90" t="s">
        <v>1692</v>
      </c>
      <c r="P965" s="118" t="s">
        <v>1368</v>
      </c>
      <c r="Q965" s="118" t="s">
        <v>125</v>
      </c>
    </row>
    <row r="966" spans="1:21" x14ac:dyDescent="0.25">
      <c r="A966" s="90" t="s">
        <v>1693</v>
      </c>
      <c r="B966" s="119">
        <v>6</v>
      </c>
      <c r="C966" s="90" t="s">
        <v>1638</v>
      </c>
      <c r="D966" s="90" t="s">
        <v>92</v>
      </c>
      <c r="E966">
        <v>1923</v>
      </c>
      <c r="F966">
        <v>1924</v>
      </c>
      <c r="G966" s="93" t="s">
        <v>78</v>
      </c>
      <c r="H966" t="s">
        <v>131</v>
      </c>
      <c r="I966">
        <v>0</v>
      </c>
      <c r="J966">
        <v>206.87635298999999</v>
      </c>
      <c r="K966">
        <f t="shared" si="42"/>
        <v>0</v>
      </c>
      <c r="L966">
        <v>55</v>
      </c>
      <c r="M966">
        <f t="shared" si="41"/>
        <v>0</v>
      </c>
      <c r="N966" s="90">
        <v>966</v>
      </c>
      <c r="O966" s="90" t="s">
        <v>1694</v>
      </c>
      <c r="P966" s="118" t="s">
        <v>1370</v>
      </c>
      <c r="Q966" s="118" t="s">
        <v>125</v>
      </c>
    </row>
    <row r="967" spans="1:21" x14ac:dyDescent="0.25">
      <c r="A967" s="90" t="s">
        <v>1695</v>
      </c>
      <c r="B967" s="119">
        <v>6</v>
      </c>
      <c r="C967" s="90" t="s">
        <v>1638</v>
      </c>
      <c r="D967" s="90" t="s">
        <v>93</v>
      </c>
      <c r="E967">
        <v>1925</v>
      </c>
      <c r="F967">
        <v>1926</v>
      </c>
      <c r="G967" s="93" t="s">
        <v>78</v>
      </c>
      <c r="H967" t="s">
        <v>299</v>
      </c>
      <c r="I967">
        <v>1</v>
      </c>
      <c r="J967">
        <v>5160.0152807799996</v>
      </c>
      <c r="K967">
        <f t="shared" si="42"/>
        <v>5160.0152807799996</v>
      </c>
      <c r="L967">
        <v>55</v>
      </c>
      <c r="M967">
        <f t="shared" si="41"/>
        <v>2322.0068763509994</v>
      </c>
      <c r="N967" s="90">
        <v>967</v>
      </c>
      <c r="O967" s="90" t="s">
        <v>1696</v>
      </c>
      <c r="P967" s="118" t="s">
        <v>2574</v>
      </c>
      <c r="Q967" s="118" t="s">
        <v>125</v>
      </c>
    </row>
    <row r="968" spans="1:21" x14ac:dyDescent="0.25">
      <c r="A968" s="90" t="s">
        <v>1697</v>
      </c>
      <c r="B968" s="119">
        <v>6</v>
      </c>
      <c r="C968" s="90" t="s">
        <v>1638</v>
      </c>
      <c r="D968" s="90" t="s">
        <v>94</v>
      </c>
      <c r="E968">
        <v>1927</v>
      </c>
      <c r="F968">
        <v>1928</v>
      </c>
      <c r="G968" s="93" t="s">
        <v>78</v>
      </c>
      <c r="H968" t="s">
        <v>137</v>
      </c>
      <c r="I968">
        <v>0</v>
      </c>
      <c r="J968">
        <v>1142.63338851</v>
      </c>
      <c r="K968">
        <f t="shared" si="42"/>
        <v>0</v>
      </c>
      <c r="L968">
        <v>55</v>
      </c>
      <c r="M968">
        <f t="shared" si="41"/>
        <v>0</v>
      </c>
      <c r="N968" s="90">
        <v>968</v>
      </c>
      <c r="O968" s="90" t="s">
        <v>1698</v>
      </c>
      <c r="P968" s="118" t="s">
        <v>1372</v>
      </c>
      <c r="Q968" s="118" t="s">
        <v>125</v>
      </c>
    </row>
    <row r="969" spans="1:21" x14ac:dyDescent="0.25">
      <c r="A969" s="90" t="s">
        <v>1699</v>
      </c>
      <c r="B969" s="119">
        <v>4</v>
      </c>
      <c r="C969" s="90" t="s">
        <v>812</v>
      </c>
      <c r="D969" s="90" t="s">
        <v>84</v>
      </c>
      <c r="E969">
        <v>1931</v>
      </c>
      <c r="F969">
        <v>1998</v>
      </c>
      <c r="G969" s="93" t="s">
        <v>68</v>
      </c>
      <c r="H969" t="s">
        <v>1700</v>
      </c>
      <c r="I969">
        <v>1</v>
      </c>
      <c r="J969">
        <f>SUM(K970,K972,K974)</f>
        <v>33027.263466210003</v>
      </c>
      <c r="K969">
        <f t="shared" si="42"/>
        <v>33027.263466210003</v>
      </c>
      <c r="L969">
        <f>100*(1-(M969/K969))</f>
        <v>55.000000000000014</v>
      </c>
      <c r="M969">
        <f>I969*SUM(M970,M972,M974)</f>
        <v>14862.268559794496</v>
      </c>
      <c r="N969" s="90">
        <v>969</v>
      </c>
      <c r="O969" s="90" t="s">
        <v>1701</v>
      </c>
      <c r="P969" s="118" t="s">
        <v>1374</v>
      </c>
      <c r="Q969" s="118" t="s">
        <v>125</v>
      </c>
      <c r="R969" s="90" t="s">
        <v>2283</v>
      </c>
      <c r="S969" s="90" t="s">
        <v>2387</v>
      </c>
      <c r="T969" s="90" t="s">
        <v>2439</v>
      </c>
      <c r="U969" s="90" t="s">
        <v>2335</v>
      </c>
    </row>
    <row r="970" spans="1:21" x14ac:dyDescent="0.25">
      <c r="A970" s="90" t="s">
        <v>1702</v>
      </c>
      <c r="B970" s="119">
        <v>5</v>
      </c>
      <c r="C970" s="90" t="s">
        <v>1699</v>
      </c>
      <c r="D970" s="90" t="s">
        <v>78</v>
      </c>
      <c r="E970">
        <v>1932</v>
      </c>
      <c r="F970">
        <v>1935</v>
      </c>
      <c r="G970" s="93" t="s">
        <v>68</v>
      </c>
      <c r="H970" t="s">
        <v>856</v>
      </c>
      <c r="I970">
        <v>4</v>
      </c>
      <c r="J970">
        <f>SUM(K971)</f>
        <v>214.52947918000001</v>
      </c>
      <c r="K970">
        <f t="shared" si="42"/>
        <v>858.11791672000004</v>
      </c>
      <c r="L970">
        <f>100*(1-(M970/K970))</f>
        <v>55.000000000000007</v>
      </c>
      <c r="M970">
        <f>I970*SUM(M971)</f>
        <v>386.15306252400001</v>
      </c>
      <c r="N970" s="90">
        <v>970</v>
      </c>
      <c r="O970" s="90" t="s">
        <v>1703</v>
      </c>
      <c r="P970" s="118" t="s">
        <v>2575</v>
      </c>
      <c r="Q970" s="118" t="s">
        <v>125</v>
      </c>
      <c r="R970" s="90" t="s">
        <v>1862</v>
      </c>
      <c r="S970" s="90" t="s">
        <v>2096</v>
      </c>
      <c r="T970" s="90" t="s">
        <v>2213</v>
      </c>
      <c r="U970" s="90" t="s">
        <v>1979</v>
      </c>
    </row>
    <row r="971" spans="1:21" x14ac:dyDescent="0.25">
      <c r="A971" s="90" t="s">
        <v>1704</v>
      </c>
      <c r="B971" s="119">
        <v>6</v>
      </c>
      <c r="C971" s="90" t="s">
        <v>1702</v>
      </c>
      <c r="D971" s="90" t="s">
        <v>78</v>
      </c>
      <c r="E971">
        <v>1933</v>
      </c>
      <c r="F971">
        <v>1934</v>
      </c>
      <c r="G971" s="93" t="s">
        <v>78</v>
      </c>
      <c r="H971" t="s">
        <v>203</v>
      </c>
      <c r="I971">
        <v>1</v>
      </c>
      <c r="J971">
        <v>214.52947918000001</v>
      </c>
      <c r="K971">
        <f t="shared" si="42"/>
        <v>214.52947918000001</v>
      </c>
      <c r="L971">
        <v>55</v>
      </c>
      <c r="M971">
        <f>(1-(L971/100))*K971</f>
        <v>96.538265631000002</v>
      </c>
      <c r="N971" s="90">
        <v>971</v>
      </c>
      <c r="O971" s="90" t="s">
        <v>1705</v>
      </c>
      <c r="P971" s="118" t="s">
        <v>1377</v>
      </c>
      <c r="Q971" s="118" t="s">
        <v>125</v>
      </c>
    </row>
    <row r="972" spans="1:21" x14ac:dyDescent="0.25">
      <c r="A972" s="90" t="s">
        <v>1706</v>
      </c>
      <c r="B972" s="119">
        <v>5</v>
      </c>
      <c r="C972" s="90" t="s">
        <v>1699</v>
      </c>
      <c r="D972" s="90" t="s">
        <v>79</v>
      </c>
      <c r="E972">
        <v>1936</v>
      </c>
      <c r="F972">
        <v>1939</v>
      </c>
      <c r="G972" s="93" t="s">
        <v>68</v>
      </c>
      <c r="H972" t="s">
        <v>861</v>
      </c>
      <c r="I972">
        <v>11</v>
      </c>
      <c r="J972">
        <f>SUM(K973)</f>
        <v>214.52947918000001</v>
      </c>
      <c r="K972">
        <f t="shared" si="42"/>
        <v>2359.8242709800002</v>
      </c>
      <c r="L972">
        <f>100*(1-(M972/K972))</f>
        <v>55.000000000000007</v>
      </c>
      <c r="M972">
        <f>I972*SUM(M973)</f>
        <v>1061.920921941</v>
      </c>
      <c r="N972" s="90">
        <v>972</v>
      </c>
      <c r="O972" s="90" t="s">
        <v>1707</v>
      </c>
      <c r="P972" s="118" t="s">
        <v>1379</v>
      </c>
      <c r="Q972" s="118" t="s">
        <v>125</v>
      </c>
      <c r="R972" s="90" t="s">
        <v>1863</v>
      </c>
      <c r="S972" s="90" t="s">
        <v>2097</v>
      </c>
      <c r="T972" s="90" t="s">
        <v>2214</v>
      </c>
      <c r="U972" s="90" t="s">
        <v>1980</v>
      </c>
    </row>
    <row r="973" spans="1:21" x14ac:dyDescent="0.25">
      <c r="A973" s="90" t="s">
        <v>1708</v>
      </c>
      <c r="B973" s="119">
        <v>6</v>
      </c>
      <c r="C973" s="90" t="s">
        <v>1706</v>
      </c>
      <c r="D973" s="90" t="s">
        <v>78</v>
      </c>
      <c r="E973">
        <v>1937</v>
      </c>
      <c r="F973">
        <v>1938</v>
      </c>
      <c r="G973" s="93" t="s">
        <v>78</v>
      </c>
      <c r="H973" t="s">
        <v>205</v>
      </c>
      <c r="I973">
        <v>1</v>
      </c>
      <c r="J973">
        <v>214.52947918000001</v>
      </c>
      <c r="K973">
        <f t="shared" si="42"/>
        <v>214.52947918000001</v>
      </c>
      <c r="L973">
        <v>55</v>
      </c>
      <c r="M973">
        <f>(1-(L973/100))*K973</f>
        <v>96.538265631000002</v>
      </c>
      <c r="N973" s="90">
        <v>973</v>
      </c>
      <c r="O973" s="90" t="s">
        <v>1709</v>
      </c>
      <c r="P973" s="118" t="s">
        <v>1381</v>
      </c>
      <c r="Q973" s="118" t="s">
        <v>125</v>
      </c>
    </row>
    <row r="974" spans="1:21" x14ac:dyDescent="0.25">
      <c r="A974" s="90" t="s">
        <v>1710</v>
      </c>
      <c r="B974" s="119">
        <v>5</v>
      </c>
      <c r="C974" s="90" t="s">
        <v>1699</v>
      </c>
      <c r="D974" s="90" t="s">
        <v>80</v>
      </c>
      <c r="E974">
        <v>1940</v>
      </c>
      <c r="F974">
        <v>1997</v>
      </c>
      <c r="G974" s="93" t="s">
        <v>68</v>
      </c>
      <c r="H974" t="s">
        <v>1711</v>
      </c>
      <c r="I974">
        <v>1</v>
      </c>
      <c r="J974">
        <f>SUM(K975,K976,K977,K978,K979,K980,K981,K982,K983,K984,K985,K986,K987,K988,K989,K990,K991,K992,K993,K994,K995,K996,K997,K998,K999,K1000,K1001,K1002)</f>
        <v>29809.32127851</v>
      </c>
      <c r="K974">
        <f t="shared" si="42"/>
        <v>29809.32127851</v>
      </c>
      <c r="L974">
        <f>100*(1-(M974/K974))</f>
        <v>55.000000000000007</v>
      </c>
      <c r="M974">
        <f>I974*SUM(M975,M976,M977,M978,M979,M980,M981,M982,M983,M984,M985,M986,M987,M988,M989,M990,M991,M992,M993,M994,M995,M996,M997,M998,M999,M1000,M1001,M1002)</f>
        <v>13414.194575329497</v>
      </c>
      <c r="N974" s="90">
        <v>974</v>
      </c>
      <c r="O974" s="90" t="s">
        <v>1712</v>
      </c>
      <c r="P974" s="118" t="s">
        <v>1383</v>
      </c>
      <c r="Q974" s="118" t="s">
        <v>125</v>
      </c>
      <c r="R974" s="90" t="s">
        <v>1864</v>
      </c>
      <c r="S974" s="90" t="s">
        <v>2098</v>
      </c>
      <c r="T974" s="90" t="s">
        <v>2215</v>
      </c>
      <c r="U974" s="90" t="s">
        <v>1981</v>
      </c>
    </row>
    <row r="975" spans="1:21" x14ac:dyDescent="0.25">
      <c r="A975" s="90" t="s">
        <v>1713</v>
      </c>
      <c r="B975" s="119">
        <v>6</v>
      </c>
      <c r="C975" s="90" t="s">
        <v>1710</v>
      </c>
      <c r="D975" s="90" t="s">
        <v>78</v>
      </c>
      <c r="E975">
        <v>1941</v>
      </c>
      <c r="F975">
        <v>1942</v>
      </c>
      <c r="G975" s="93" t="s">
        <v>78</v>
      </c>
      <c r="H975" t="s">
        <v>197</v>
      </c>
      <c r="I975">
        <v>1</v>
      </c>
      <c r="J975">
        <v>10880.466063919999</v>
      </c>
      <c r="K975">
        <f t="shared" si="42"/>
        <v>10880.466063919999</v>
      </c>
      <c r="L975">
        <v>55</v>
      </c>
      <c r="M975">
        <f t="shared" ref="M975:M1002" si="43">(1-(L975/100))*K975</f>
        <v>4896.209728763999</v>
      </c>
      <c r="N975" s="90">
        <v>975</v>
      </c>
      <c r="O975" s="90" t="s">
        <v>1714</v>
      </c>
      <c r="P975" s="118" t="s">
        <v>1385</v>
      </c>
      <c r="Q975" s="118" t="s">
        <v>125</v>
      </c>
    </row>
    <row r="976" spans="1:21" x14ac:dyDescent="0.25">
      <c r="A976" s="90" t="s">
        <v>1715</v>
      </c>
      <c r="B976" s="119">
        <v>6</v>
      </c>
      <c r="C976" s="90" t="s">
        <v>1710</v>
      </c>
      <c r="D976" s="90" t="s">
        <v>79</v>
      </c>
      <c r="E976">
        <v>1943</v>
      </c>
      <c r="F976">
        <v>1944</v>
      </c>
      <c r="G976" s="93" t="s">
        <v>78</v>
      </c>
      <c r="H976" t="s">
        <v>127</v>
      </c>
      <c r="I976">
        <v>0</v>
      </c>
      <c r="J976">
        <v>491.93938622000002</v>
      </c>
      <c r="K976">
        <f t="shared" si="42"/>
        <v>0</v>
      </c>
      <c r="L976">
        <v>55</v>
      </c>
      <c r="M976">
        <f t="shared" si="43"/>
        <v>0</v>
      </c>
      <c r="N976" s="90">
        <v>976</v>
      </c>
      <c r="O976" s="90" t="s">
        <v>1716</v>
      </c>
      <c r="P976" s="118" t="s">
        <v>1387</v>
      </c>
      <c r="Q976" s="118" t="s">
        <v>125</v>
      </c>
    </row>
    <row r="977" spans="1:17" x14ac:dyDescent="0.25">
      <c r="A977" s="90" t="s">
        <v>1717</v>
      </c>
      <c r="B977" s="119">
        <v>6</v>
      </c>
      <c r="C977" s="90" t="s">
        <v>1710</v>
      </c>
      <c r="D977" s="90" t="s">
        <v>80</v>
      </c>
      <c r="E977">
        <v>1945</v>
      </c>
      <c r="F977">
        <v>1946</v>
      </c>
      <c r="G977" s="93" t="s">
        <v>78</v>
      </c>
      <c r="H977" t="s">
        <v>132</v>
      </c>
      <c r="I977">
        <v>1</v>
      </c>
      <c r="J977">
        <v>926.14287533000004</v>
      </c>
      <c r="K977">
        <f t="shared" si="42"/>
        <v>926.14287533000004</v>
      </c>
      <c r="L977">
        <v>55</v>
      </c>
      <c r="M977">
        <f t="shared" si="43"/>
        <v>416.7642938985</v>
      </c>
      <c r="N977" s="90">
        <v>977</v>
      </c>
      <c r="O977" s="90" t="s">
        <v>1718</v>
      </c>
      <c r="P977" s="118" t="s">
        <v>1389</v>
      </c>
      <c r="Q977" s="118" t="s">
        <v>125</v>
      </c>
    </row>
    <row r="978" spans="1:17" x14ac:dyDescent="0.25">
      <c r="A978" s="90" t="s">
        <v>1719</v>
      </c>
      <c r="B978" s="119">
        <v>6</v>
      </c>
      <c r="C978" s="90" t="s">
        <v>1710</v>
      </c>
      <c r="D978" s="90" t="s">
        <v>95</v>
      </c>
      <c r="E978">
        <v>1947</v>
      </c>
      <c r="F978">
        <v>1948</v>
      </c>
      <c r="G978" s="93" t="s">
        <v>78</v>
      </c>
      <c r="H978" t="s">
        <v>1495</v>
      </c>
      <c r="I978">
        <v>1</v>
      </c>
      <c r="J978">
        <v>1655.4183114699999</v>
      </c>
      <c r="K978">
        <f t="shared" si="42"/>
        <v>1655.4183114699999</v>
      </c>
      <c r="L978">
        <v>55</v>
      </c>
      <c r="M978">
        <f t="shared" si="43"/>
        <v>744.93824016149995</v>
      </c>
      <c r="N978" s="90">
        <v>978</v>
      </c>
      <c r="O978" s="90" t="s">
        <v>1720</v>
      </c>
      <c r="P978" s="118" t="s">
        <v>1391</v>
      </c>
      <c r="Q978" s="118" t="s">
        <v>125</v>
      </c>
    </row>
    <row r="979" spans="1:17" x14ac:dyDescent="0.25">
      <c r="A979" s="90" t="s">
        <v>1721</v>
      </c>
      <c r="B979" s="119">
        <v>6</v>
      </c>
      <c r="C979" s="90" t="s">
        <v>1710</v>
      </c>
      <c r="D979" s="90" t="s">
        <v>96</v>
      </c>
      <c r="E979">
        <v>1949</v>
      </c>
      <c r="F979">
        <v>1950</v>
      </c>
      <c r="G979" s="93" t="s">
        <v>78</v>
      </c>
      <c r="H979" t="s">
        <v>871</v>
      </c>
      <c r="I979">
        <v>1</v>
      </c>
      <c r="J979">
        <v>537.64166561000002</v>
      </c>
      <c r="K979">
        <f t="shared" si="42"/>
        <v>537.64166561000002</v>
      </c>
      <c r="L979">
        <v>55</v>
      </c>
      <c r="M979">
        <f t="shared" si="43"/>
        <v>241.9387495245</v>
      </c>
      <c r="N979" s="90">
        <v>979</v>
      </c>
      <c r="O979" s="90" t="s">
        <v>1722</v>
      </c>
      <c r="P979" s="118" t="s">
        <v>1393</v>
      </c>
      <c r="Q979" s="118" t="s">
        <v>125</v>
      </c>
    </row>
    <row r="980" spans="1:17" x14ac:dyDescent="0.25">
      <c r="A980" s="90" t="s">
        <v>1723</v>
      </c>
      <c r="B980" s="119">
        <v>6</v>
      </c>
      <c r="C980" s="90" t="s">
        <v>1710</v>
      </c>
      <c r="D980" s="90" t="s">
        <v>103</v>
      </c>
      <c r="E980">
        <v>1951</v>
      </c>
      <c r="F980">
        <v>1952</v>
      </c>
      <c r="G980" s="93" t="s">
        <v>78</v>
      </c>
      <c r="H980" t="s">
        <v>123</v>
      </c>
      <c r="I980">
        <v>2</v>
      </c>
      <c r="J980">
        <v>313.76543995999998</v>
      </c>
      <c r="K980">
        <f t="shared" si="42"/>
        <v>627.53087991999996</v>
      </c>
      <c r="L980">
        <v>55</v>
      </c>
      <c r="M980">
        <f t="shared" si="43"/>
        <v>282.38889596399997</v>
      </c>
      <c r="N980" s="90">
        <v>980</v>
      </c>
      <c r="O980" s="90" t="s">
        <v>1724</v>
      </c>
      <c r="P980" s="118" t="s">
        <v>2576</v>
      </c>
      <c r="Q980" s="118" t="s">
        <v>125</v>
      </c>
    </row>
    <row r="981" spans="1:17" x14ac:dyDescent="0.25">
      <c r="A981" s="90" t="s">
        <v>1725</v>
      </c>
      <c r="B981" s="119">
        <v>6</v>
      </c>
      <c r="C981" s="90" t="s">
        <v>1710</v>
      </c>
      <c r="D981" s="90" t="s">
        <v>1769</v>
      </c>
      <c r="E981">
        <v>1953</v>
      </c>
      <c r="F981">
        <v>1954</v>
      </c>
      <c r="G981" s="93" t="s">
        <v>78</v>
      </c>
      <c r="H981" t="s">
        <v>133</v>
      </c>
      <c r="I981">
        <v>0</v>
      </c>
      <c r="J981">
        <v>5940.1629950300003</v>
      </c>
      <c r="K981">
        <f t="shared" si="42"/>
        <v>0</v>
      </c>
      <c r="L981">
        <v>55</v>
      </c>
      <c r="M981">
        <f t="shared" si="43"/>
        <v>0</v>
      </c>
      <c r="N981" s="90">
        <v>981</v>
      </c>
      <c r="O981" s="90" t="s">
        <v>1726</v>
      </c>
      <c r="P981" s="118" t="s">
        <v>1395</v>
      </c>
      <c r="Q981" s="118" t="s">
        <v>125</v>
      </c>
    </row>
    <row r="982" spans="1:17" x14ac:dyDescent="0.25">
      <c r="A982" s="90" t="s">
        <v>1727</v>
      </c>
      <c r="B982" s="119">
        <v>6</v>
      </c>
      <c r="C982" s="90" t="s">
        <v>1710</v>
      </c>
      <c r="D982" s="90" t="s">
        <v>1770</v>
      </c>
      <c r="E982">
        <v>1955</v>
      </c>
      <c r="F982">
        <v>1956</v>
      </c>
      <c r="G982" s="93" t="s">
        <v>78</v>
      </c>
      <c r="H982" t="s">
        <v>1504</v>
      </c>
      <c r="I982">
        <v>1</v>
      </c>
      <c r="J982">
        <v>666.34407233000002</v>
      </c>
      <c r="K982">
        <f t="shared" si="42"/>
        <v>666.34407233000002</v>
      </c>
      <c r="L982">
        <v>55</v>
      </c>
      <c r="M982">
        <f t="shared" si="43"/>
        <v>299.85483254849999</v>
      </c>
      <c r="N982" s="90">
        <v>982</v>
      </c>
      <c r="O982" s="90" t="s">
        <v>1728</v>
      </c>
      <c r="P982" s="118" t="s">
        <v>1397</v>
      </c>
      <c r="Q982" s="118" t="s">
        <v>125</v>
      </c>
    </row>
    <row r="983" spans="1:17" x14ac:dyDescent="0.25">
      <c r="A983" s="90" t="s">
        <v>1729</v>
      </c>
      <c r="B983" s="119">
        <v>6</v>
      </c>
      <c r="C983" s="90" t="s">
        <v>1710</v>
      </c>
      <c r="D983" s="90" t="s">
        <v>1771</v>
      </c>
      <c r="E983">
        <v>1957</v>
      </c>
      <c r="F983">
        <v>1958</v>
      </c>
      <c r="G983" s="93" t="s">
        <v>78</v>
      </c>
      <c r="H983" t="s">
        <v>120</v>
      </c>
      <c r="I983">
        <v>2</v>
      </c>
      <c r="J983">
        <v>1231.376544</v>
      </c>
      <c r="K983">
        <f t="shared" si="42"/>
        <v>2462.7530879999999</v>
      </c>
      <c r="L983">
        <v>55</v>
      </c>
      <c r="M983">
        <f t="shared" si="43"/>
        <v>1108.2388895999998</v>
      </c>
      <c r="N983" s="90">
        <v>983</v>
      </c>
      <c r="O983" s="90" t="s">
        <v>1730</v>
      </c>
      <c r="P983" s="118" t="s">
        <v>2577</v>
      </c>
      <c r="Q983" s="118" t="s">
        <v>125</v>
      </c>
    </row>
    <row r="984" spans="1:17" x14ac:dyDescent="0.25">
      <c r="A984" s="90" t="s">
        <v>1731</v>
      </c>
      <c r="B984" s="119">
        <v>6</v>
      </c>
      <c r="C984" s="90" t="s">
        <v>1710</v>
      </c>
      <c r="D984" s="90" t="s">
        <v>1772</v>
      </c>
      <c r="E984">
        <v>1959</v>
      </c>
      <c r="F984">
        <v>1960</v>
      </c>
      <c r="G984" s="93" t="s">
        <v>78</v>
      </c>
      <c r="H984" t="s">
        <v>126</v>
      </c>
      <c r="I984">
        <v>2</v>
      </c>
      <c r="J984">
        <v>967.93582071000003</v>
      </c>
      <c r="K984">
        <f t="shared" si="42"/>
        <v>1935.8716414200001</v>
      </c>
      <c r="L984">
        <v>55</v>
      </c>
      <c r="M984">
        <f t="shared" si="43"/>
        <v>871.14223863899997</v>
      </c>
      <c r="N984" s="90">
        <v>984</v>
      </c>
      <c r="O984" s="90" t="s">
        <v>1732</v>
      </c>
      <c r="P984" s="118" t="s">
        <v>1399</v>
      </c>
      <c r="Q984" s="118" t="s">
        <v>125</v>
      </c>
    </row>
    <row r="985" spans="1:17" x14ac:dyDescent="0.25">
      <c r="A985" s="90" t="s">
        <v>1733</v>
      </c>
      <c r="B985" s="119">
        <v>6</v>
      </c>
      <c r="C985" s="90" t="s">
        <v>1710</v>
      </c>
      <c r="D985" s="90" t="s">
        <v>97</v>
      </c>
      <c r="E985">
        <v>1961</v>
      </c>
      <c r="F985">
        <v>1962</v>
      </c>
      <c r="G985" s="93" t="s">
        <v>78</v>
      </c>
      <c r="H985" t="s">
        <v>199</v>
      </c>
      <c r="I985">
        <v>4</v>
      </c>
      <c r="J985">
        <v>862.86769387000004</v>
      </c>
      <c r="K985">
        <f t="shared" si="42"/>
        <v>3451.4707754800002</v>
      </c>
      <c r="L985">
        <v>55</v>
      </c>
      <c r="M985">
        <f t="shared" si="43"/>
        <v>1553.161848966</v>
      </c>
      <c r="N985" s="90">
        <v>985</v>
      </c>
      <c r="O985" s="90" t="s">
        <v>1734</v>
      </c>
      <c r="P985" s="118" t="s">
        <v>1401</v>
      </c>
      <c r="Q985" s="118" t="s">
        <v>125</v>
      </c>
    </row>
    <row r="986" spans="1:17" x14ac:dyDescent="0.25">
      <c r="A986" s="90" t="s">
        <v>1735</v>
      </c>
      <c r="B986" s="119">
        <v>6</v>
      </c>
      <c r="C986" s="90" t="s">
        <v>1710</v>
      </c>
      <c r="D986" s="90" t="s">
        <v>98</v>
      </c>
      <c r="E986">
        <v>1963</v>
      </c>
      <c r="F986">
        <v>1964</v>
      </c>
      <c r="G986" s="93" t="s">
        <v>78</v>
      </c>
      <c r="H986" t="s">
        <v>224</v>
      </c>
      <c r="I986">
        <v>2</v>
      </c>
      <c r="J986">
        <v>2064.00101872</v>
      </c>
      <c r="K986">
        <f t="shared" si="42"/>
        <v>4128.0020374400001</v>
      </c>
      <c r="L986">
        <v>55</v>
      </c>
      <c r="M986">
        <f t="shared" si="43"/>
        <v>1857.6009168479998</v>
      </c>
      <c r="N986" s="90">
        <v>986</v>
      </c>
      <c r="O986" s="90" t="s">
        <v>1736</v>
      </c>
      <c r="P986" s="118" t="s">
        <v>1403</v>
      </c>
      <c r="Q986" s="118" t="s">
        <v>125</v>
      </c>
    </row>
    <row r="987" spans="1:17" x14ac:dyDescent="0.25">
      <c r="A987" s="90" t="s">
        <v>1737</v>
      </c>
      <c r="B987" s="119">
        <v>6</v>
      </c>
      <c r="C987" s="90" t="s">
        <v>1710</v>
      </c>
      <c r="D987" s="90" t="s">
        <v>99</v>
      </c>
      <c r="E987">
        <v>1965</v>
      </c>
      <c r="F987">
        <v>1966</v>
      </c>
      <c r="G987" s="93" t="s">
        <v>78</v>
      </c>
      <c r="H987" t="s">
        <v>203</v>
      </c>
      <c r="I987">
        <v>0</v>
      </c>
      <c r="J987">
        <v>214.52947918000001</v>
      </c>
      <c r="K987">
        <f t="shared" si="42"/>
        <v>0</v>
      </c>
      <c r="L987">
        <v>55</v>
      </c>
      <c r="M987">
        <f t="shared" si="43"/>
        <v>0</v>
      </c>
      <c r="N987" s="90">
        <v>987</v>
      </c>
      <c r="O987" s="90" t="s">
        <v>1738</v>
      </c>
      <c r="P987" s="118" t="s">
        <v>1405</v>
      </c>
      <c r="Q987" s="118" t="s">
        <v>125</v>
      </c>
    </row>
    <row r="988" spans="1:17" x14ac:dyDescent="0.25">
      <c r="A988" s="90" t="s">
        <v>1739</v>
      </c>
      <c r="B988" s="119">
        <v>6</v>
      </c>
      <c r="C988" s="90" t="s">
        <v>1710</v>
      </c>
      <c r="D988" s="90" t="s">
        <v>100</v>
      </c>
      <c r="E988">
        <v>1967</v>
      </c>
      <c r="F988">
        <v>1968</v>
      </c>
      <c r="G988" s="93" t="s">
        <v>78</v>
      </c>
      <c r="H988" t="s">
        <v>205</v>
      </c>
      <c r="I988">
        <v>0</v>
      </c>
      <c r="J988">
        <v>214.52947918000001</v>
      </c>
      <c r="K988">
        <f t="shared" si="42"/>
        <v>0</v>
      </c>
      <c r="L988">
        <v>55</v>
      </c>
      <c r="M988">
        <f t="shared" si="43"/>
        <v>0</v>
      </c>
      <c r="N988" s="90">
        <v>988</v>
      </c>
      <c r="O988" s="90" t="s">
        <v>1740</v>
      </c>
      <c r="P988" s="118" t="s">
        <v>1407</v>
      </c>
      <c r="Q988" s="118" t="s">
        <v>125</v>
      </c>
    </row>
    <row r="989" spans="1:17" x14ac:dyDescent="0.25">
      <c r="A989" s="90" t="s">
        <v>1741</v>
      </c>
      <c r="B989" s="119">
        <v>6</v>
      </c>
      <c r="C989" s="90" t="s">
        <v>1710</v>
      </c>
      <c r="D989" s="90" t="s">
        <v>81</v>
      </c>
      <c r="E989">
        <v>1969</v>
      </c>
      <c r="F989">
        <v>1970</v>
      </c>
      <c r="G989" s="93" t="s">
        <v>78</v>
      </c>
      <c r="H989" t="s">
        <v>194</v>
      </c>
      <c r="I989">
        <v>6</v>
      </c>
      <c r="J989">
        <v>256.72991214000001</v>
      </c>
      <c r="K989">
        <f t="shared" si="42"/>
        <v>1540.3794728400001</v>
      </c>
      <c r="L989">
        <v>55</v>
      </c>
      <c r="M989">
        <f t="shared" si="43"/>
        <v>693.17076277799993</v>
      </c>
      <c r="N989" s="90">
        <v>989</v>
      </c>
      <c r="O989" s="90" t="s">
        <v>1742</v>
      </c>
      <c r="P989" s="118" t="s">
        <v>1409</v>
      </c>
      <c r="Q989" s="118" t="s">
        <v>125</v>
      </c>
    </row>
    <row r="990" spans="1:17" x14ac:dyDescent="0.25">
      <c r="A990" s="90" t="s">
        <v>1743</v>
      </c>
      <c r="B990" s="119">
        <v>6</v>
      </c>
      <c r="C990" s="90" t="s">
        <v>1710</v>
      </c>
      <c r="D990" s="90" t="s">
        <v>83</v>
      </c>
      <c r="E990">
        <v>1971</v>
      </c>
      <c r="F990">
        <v>1972</v>
      </c>
      <c r="G990" s="93" t="s">
        <v>78</v>
      </c>
      <c r="H990" t="s">
        <v>892</v>
      </c>
      <c r="I990">
        <v>1</v>
      </c>
      <c r="J990">
        <v>997.30039475000001</v>
      </c>
      <c r="K990">
        <f t="shared" si="42"/>
        <v>997.30039475000001</v>
      </c>
      <c r="L990">
        <v>55</v>
      </c>
      <c r="M990">
        <f t="shared" si="43"/>
        <v>448.78517763749994</v>
      </c>
      <c r="N990" s="90">
        <v>990</v>
      </c>
      <c r="O990" s="90" t="s">
        <v>1744</v>
      </c>
      <c r="P990" s="118" t="s">
        <v>1411</v>
      </c>
      <c r="Q990" s="118" t="s">
        <v>125</v>
      </c>
    </row>
    <row r="991" spans="1:17" x14ac:dyDescent="0.25">
      <c r="A991" s="90" t="s">
        <v>1745</v>
      </c>
      <c r="B991" s="119">
        <v>6</v>
      </c>
      <c r="C991" s="90" t="s">
        <v>1710</v>
      </c>
      <c r="D991" s="90" t="s">
        <v>84</v>
      </c>
      <c r="E991">
        <v>1973</v>
      </c>
      <c r="F991">
        <v>1974</v>
      </c>
      <c r="G991" s="93" t="s">
        <v>78</v>
      </c>
      <c r="H991" t="s">
        <v>134</v>
      </c>
      <c r="I991">
        <v>0</v>
      </c>
      <c r="J991">
        <v>1527.53087992</v>
      </c>
      <c r="K991">
        <f t="shared" si="42"/>
        <v>0</v>
      </c>
      <c r="L991">
        <v>55</v>
      </c>
      <c r="M991">
        <f t="shared" si="43"/>
        <v>0</v>
      </c>
      <c r="N991" s="90">
        <v>991</v>
      </c>
      <c r="O991" s="90" t="s">
        <v>1746</v>
      </c>
      <c r="P991" s="118" t="s">
        <v>1413</v>
      </c>
      <c r="Q991" s="118" t="s">
        <v>125</v>
      </c>
    </row>
    <row r="992" spans="1:17" x14ac:dyDescent="0.25">
      <c r="A992" s="90" t="s">
        <v>1747</v>
      </c>
      <c r="B992" s="119">
        <v>6</v>
      </c>
      <c r="C992" s="90" t="s">
        <v>1710</v>
      </c>
      <c r="D992" s="90" t="s">
        <v>85</v>
      </c>
      <c r="E992">
        <v>1975</v>
      </c>
      <c r="F992">
        <v>1976</v>
      </c>
      <c r="G992" s="93" t="s">
        <v>78</v>
      </c>
      <c r="H992" t="s">
        <v>119</v>
      </c>
      <c r="I992">
        <v>0</v>
      </c>
      <c r="J992">
        <v>594.85546925000006</v>
      </c>
      <c r="K992">
        <f t="shared" si="42"/>
        <v>0</v>
      </c>
      <c r="L992">
        <v>55</v>
      </c>
      <c r="M992">
        <f t="shared" si="43"/>
        <v>0</v>
      </c>
      <c r="N992" s="90">
        <v>992</v>
      </c>
      <c r="O992" s="90" t="s">
        <v>1748</v>
      </c>
      <c r="P992" s="118" t="s">
        <v>1415</v>
      </c>
      <c r="Q992" s="118" t="s">
        <v>125</v>
      </c>
    </row>
    <row r="993" spans="1:17" x14ac:dyDescent="0.25">
      <c r="A993" s="90" t="s">
        <v>1749</v>
      </c>
      <c r="B993" s="119">
        <v>6</v>
      </c>
      <c r="C993" s="90" t="s">
        <v>1710</v>
      </c>
      <c r="D993" s="90" t="s">
        <v>86</v>
      </c>
      <c r="E993">
        <v>1977</v>
      </c>
      <c r="F993">
        <v>1978</v>
      </c>
      <c r="G993" s="93" t="s">
        <v>78</v>
      </c>
      <c r="H993" t="s">
        <v>107</v>
      </c>
      <c r="I993">
        <v>0</v>
      </c>
      <c r="J993">
        <v>5209</v>
      </c>
      <c r="K993">
        <f t="shared" si="42"/>
        <v>0</v>
      </c>
      <c r="L993">
        <v>55</v>
      </c>
      <c r="M993">
        <f t="shared" si="43"/>
        <v>0</v>
      </c>
      <c r="N993" s="90">
        <v>993</v>
      </c>
      <c r="O993" s="90" t="s">
        <v>1750</v>
      </c>
      <c r="P993" s="118" t="s">
        <v>1417</v>
      </c>
      <c r="Q993" s="118" t="s">
        <v>125</v>
      </c>
    </row>
    <row r="994" spans="1:17" x14ac:dyDescent="0.25">
      <c r="A994" s="90" t="s">
        <v>1751</v>
      </c>
      <c r="B994" s="119">
        <v>6</v>
      </c>
      <c r="C994" s="90" t="s">
        <v>1710</v>
      </c>
      <c r="D994" s="90" t="s">
        <v>87</v>
      </c>
      <c r="E994">
        <v>1979</v>
      </c>
      <c r="F994">
        <v>1980</v>
      </c>
      <c r="G994" s="93" t="s">
        <v>78</v>
      </c>
      <c r="H994" t="s">
        <v>128</v>
      </c>
      <c r="I994">
        <v>0</v>
      </c>
      <c r="J994">
        <v>275.43613906000002</v>
      </c>
      <c r="K994">
        <f t="shared" si="42"/>
        <v>0</v>
      </c>
      <c r="L994">
        <v>55</v>
      </c>
      <c r="M994">
        <f t="shared" si="43"/>
        <v>0</v>
      </c>
      <c r="N994" s="90">
        <v>994</v>
      </c>
      <c r="O994" s="90" t="s">
        <v>1752</v>
      </c>
      <c r="P994" s="118" t="s">
        <v>2578</v>
      </c>
      <c r="Q994" s="118" t="s">
        <v>125</v>
      </c>
    </row>
    <row r="995" spans="1:17" x14ac:dyDescent="0.25">
      <c r="A995" s="90" t="s">
        <v>1753</v>
      </c>
      <c r="B995" s="119">
        <v>6</v>
      </c>
      <c r="C995" s="90" t="s">
        <v>1710</v>
      </c>
      <c r="D995" s="90" t="s">
        <v>101</v>
      </c>
      <c r="E995">
        <v>1981</v>
      </c>
      <c r="F995">
        <v>1982</v>
      </c>
      <c r="G995" s="93" t="s">
        <v>78</v>
      </c>
      <c r="H995" t="s">
        <v>121</v>
      </c>
      <c r="I995">
        <v>0</v>
      </c>
      <c r="J995">
        <v>78.186680249999995</v>
      </c>
      <c r="K995">
        <f t="shared" si="42"/>
        <v>0</v>
      </c>
      <c r="L995">
        <v>55</v>
      </c>
      <c r="M995">
        <f t="shared" si="43"/>
        <v>0</v>
      </c>
      <c r="N995" s="90">
        <v>995</v>
      </c>
      <c r="O995" s="90" t="s">
        <v>1754</v>
      </c>
      <c r="P995" s="118" t="s">
        <v>1420</v>
      </c>
      <c r="Q995" s="118" t="s">
        <v>125</v>
      </c>
    </row>
    <row r="996" spans="1:17" x14ac:dyDescent="0.25">
      <c r="A996" s="90" t="s">
        <v>1755</v>
      </c>
      <c r="B996" s="119">
        <v>6</v>
      </c>
      <c r="C996" s="90" t="s">
        <v>1710</v>
      </c>
      <c r="D996" s="90" t="s">
        <v>88</v>
      </c>
      <c r="E996">
        <v>1983</v>
      </c>
      <c r="F996">
        <v>1984</v>
      </c>
      <c r="G996" s="93" t="s">
        <v>78</v>
      </c>
      <c r="H996" t="s">
        <v>122</v>
      </c>
      <c r="I996">
        <v>0</v>
      </c>
      <c r="J996">
        <v>823.90169361999995</v>
      </c>
      <c r="K996">
        <f t="shared" si="42"/>
        <v>0</v>
      </c>
      <c r="L996">
        <v>55</v>
      </c>
      <c r="M996">
        <f t="shared" si="43"/>
        <v>0</v>
      </c>
      <c r="N996" s="90">
        <v>996</v>
      </c>
      <c r="O996" s="90" t="s">
        <v>1756</v>
      </c>
      <c r="P996" s="118" t="s">
        <v>1422</v>
      </c>
      <c r="Q996" s="118" t="s">
        <v>125</v>
      </c>
    </row>
    <row r="997" spans="1:17" x14ac:dyDescent="0.25">
      <c r="A997" s="90" t="s">
        <v>1757</v>
      </c>
      <c r="B997" s="119">
        <v>6</v>
      </c>
      <c r="C997" s="90" t="s">
        <v>1710</v>
      </c>
      <c r="D997" s="90" t="s">
        <v>89</v>
      </c>
      <c r="E997">
        <v>1985</v>
      </c>
      <c r="F997">
        <v>1986</v>
      </c>
      <c r="G997" s="93" t="s">
        <v>78</v>
      </c>
      <c r="H997" t="s">
        <v>129</v>
      </c>
      <c r="I997">
        <v>0</v>
      </c>
      <c r="J997">
        <v>270.62269196</v>
      </c>
      <c r="K997">
        <f t="shared" si="42"/>
        <v>0</v>
      </c>
      <c r="L997">
        <v>55</v>
      </c>
      <c r="M997">
        <f t="shared" si="43"/>
        <v>0</v>
      </c>
      <c r="N997" s="90">
        <v>997</v>
      </c>
      <c r="O997" s="90" t="s">
        <v>1758</v>
      </c>
      <c r="P997" s="118" t="s">
        <v>1424</v>
      </c>
      <c r="Q997" s="118" t="s">
        <v>125</v>
      </c>
    </row>
    <row r="998" spans="1:17" x14ac:dyDescent="0.25">
      <c r="A998" s="90" t="s">
        <v>1759</v>
      </c>
      <c r="B998" s="119">
        <v>6</v>
      </c>
      <c r="C998" s="90" t="s">
        <v>1710</v>
      </c>
      <c r="D998" s="90" t="s">
        <v>102</v>
      </c>
      <c r="E998">
        <v>1987</v>
      </c>
      <c r="F998">
        <v>1988</v>
      </c>
      <c r="G998" s="93" t="s">
        <v>78</v>
      </c>
      <c r="H998" t="s">
        <v>135</v>
      </c>
      <c r="I998">
        <v>0</v>
      </c>
      <c r="J998">
        <v>119.07551254000001</v>
      </c>
      <c r="K998">
        <f t="shared" si="42"/>
        <v>0</v>
      </c>
      <c r="L998">
        <v>55</v>
      </c>
      <c r="M998">
        <f t="shared" si="43"/>
        <v>0</v>
      </c>
      <c r="N998" s="90">
        <v>998</v>
      </c>
      <c r="O998" s="90" t="s">
        <v>1760</v>
      </c>
      <c r="P998" s="118" t="s">
        <v>2579</v>
      </c>
      <c r="Q998" s="118" t="s">
        <v>125</v>
      </c>
    </row>
    <row r="999" spans="1:17" x14ac:dyDescent="0.25">
      <c r="A999" s="90" t="s">
        <v>1761</v>
      </c>
      <c r="B999" s="119">
        <v>6</v>
      </c>
      <c r="C999" s="90" t="s">
        <v>1710</v>
      </c>
      <c r="D999" s="90" t="s">
        <v>90</v>
      </c>
      <c r="E999">
        <v>1989</v>
      </c>
      <c r="F999">
        <v>1990</v>
      </c>
      <c r="G999" s="93" t="s">
        <v>78</v>
      </c>
      <c r="H999" t="s">
        <v>136</v>
      </c>
      <c r="I999">
        <v>0</v>
      </c>
      <c r="J999">
        <v>56.526168339999998</v>
      </c>
      <c r="K999">
        <f t="shared" si="42"/>
        <v>0</v>
      </c>
      <c r="L999">
        <v>55</v>
      </c>
      <c r="M999">
        <f t="shared" si="43"/>
        <v>0</v>
      </c>
      <c r="N999" s="90">
        <v>999</v>
      </c>
      <c r="O999" s="90" t="s">
        <v>1762</v>
      </c>
      <c r="P999" s="118" t="s">
        <v>1426</v>
      </c>
      <c r="Q999" s="118" t="s">
        <v>125</v>
      </c>
    </row>
    <row r="1000" spans="1:17" x14ac:dyDescent="0.25">
      <c r="A1000" s="90" t="s">
        <v>1763</v>
      </c>
      <c r="B1000" s="119">
        <v>6</v>
      </c>
      <c r="C1000" s="90" t="s">
        <v>1710</v>
      </c>
      <c r="D1000" s="90" t="s">
        <v>91</v>
      </c>
      <c r="E1000">
        <v>1991</v>
      </c>
      <c r="F1000">
        <v>1992</v>
      </c>
      <c r="G1000" s="93" t="s">
        <v>78</v>
      </c>
      <c r="H1000" t="s">
        <v>130</v>
      </c>
      <c r="I1000">
        <v>0</v>
      </c>
      <c r="J1000">
        <v>212.88679486000001</v>
      </c>
      <c r="K1000">
        <f t="shared" si="42"/>
        <v>0</v>
      </c>
      <c r="L1000">
        <v>55</v>
      </c>
      <c r="M1000">
        <f t="shared" si="43"/>
        <v>0</v>
      </c>
      <c r="N1000" s="90">
        <v>1000</v>
      </c>
      <c r="O1000" s="90" t="s">
        <v>1764</v>
      </c>
      <c r="P1000" s="118" t="s">
        <v>1428</v>
      </c>
      <c r="Q1000" s="118" t="s">
        <v>125</v>
      </c>
    </row>
    <row r="1001" spans="1:17" x14ac:dyDescent="0.25">
      <c r="A1001" s="90" t="s">
        <v>1765</v>
      </c>
      <c r="B1001" s="119">
        <v>6</v>
      </c>
      <c r="C1001" s="90" t="s">
        <v>1710</v>
      </c>
      <c r="D1001" s="90" t="s">
        <v>92</v>
      </c>
      <c r="E1001">
        <v>1993</v>
      </c>
      <c r="F1001">
        <v>1994</v>
      </c>
      <c r="G1001" s="93" t="s">
        <v>78</v>
      </c>
      <c r="H1001" t="s">
        <v>131</v>
      </c>
      <c r="I1001">
        <v>0</v>
      </c>
      <c r="J1001">
        <v>206.87635298999999</v>
      </c>
      <c r="K1001">
        <f t="shared" si="42"/>
        <v>0</v>
      </c>
      <c r="L1001">
        <v>55</v>
      </c>
      <c r="M1001">
        <f t="shared" si="43"/>
        <v>0</v>
      </c>
      <c r="N1001" s="90">
        <v>1001</v>
      </c>
      <c r="O1001" s="90" t="s">
        <v>1766</v>
      </c>
      <c r="P1001" s="118" t="s">
        <v>2580</v>
      </c>
      <c r="Q1001" s="118" t="s">
        <v>125</v>
      </c>
    </row>
    <row r="1002" spans="1:17" x14ac:dyDescent="0.25">
      <c r="A1002" s="90" t="s">
        <v>1767</v>
      </c>
      <c r="B1002" s="119">
        <v>6</v>
      </c>
      <c r="C1002" s="90" t="s">
        <v>1710</v>
      </c>
      <c r="D1002" s="90" t="s">
        <v>93</v>
      </c>
      <c r="E1002">
        <v>1995</v>
      </c>
      <c r="F1002">
        <v>1996</v>
      </c>
      <c r="G1002" s="93" t="s">
        <v>78</v>
      </c>
      <c r="H1002" t="s">
        <v>137</v>
      </c>
      <c r="I1002">
        <v>0</v>
      </c>
      <c r="J1002">
        <v>1142.63338851</v>
      </c>
      <c r="K1002">
        <f t="shared" si="42"/>
        <v>0</v>
      </c>
      <c r="L1002">
        <v>55</v>
      </c>
      <c r="M1002">
        <f t="shared" si="43"/>
        <v>0</v>
      </c>
      <c r="N1002" s="90">
        <v>1002</v>
      </c>
      <c r="O1002" s="90" t="s">
        <v>1768</v>
      </c>
      <c r="P1002" s="118" t="s">
        <v>1431</v>
      </c>
      <c r="Q1002" s="118" t="s">
        <v>125</v>
      </c>
    </row>
  </sheetData>
  <autoFilter ref="A1:G26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zoomScaleSheetLayoutView="100" workbookViewId="0">
      <selection activeCell="B14" sqref="B14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6" customWidth="1"/>
    <col min="6" max="6" width="12.7109375" style="116" customWidth="1"/>
    <col min="7" max="7" width="10" style="117" customWidth="1"/>
    <col min="8" max="8" width="13.140625" style="116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9"/>
      <c r="B1" s="19"/>
      <c r="C1" s="19"/>
      <c r="D1" s="19"/>
      <c r="E1" s="95"/>
      <c r="F1" s="95"/>
      <c r="G1" s="96"/>
      <c r="H1" s="95"/>
      <c r="I1" s="19"/>
    </row>
    <row r="2" spans="1:9" s="2" customFormat="1" x14ac:dyDescent="0.2">
      <c r="A2" s="25"/>
      <c r="B2" s="25"/>
      <c r="C2" s="25"/>
      <c r="D2" s="25"/>
      <c r="E2" s="97"/>
      <c r="F2" s="97"/>
      <c r="G2" s="98"/>
      <c r="H2" s="97"/>
      <c r="I2" s="25"/>
    </row>
    <row r="3" spans="1:9" s="20" customFormat="1" ht="15.75" x14ac:dyDescent="0.25">
      <c r="A3" s="23" t="s">
        <v>14</v>
      </c>
      <c r="B3" s="22" t="s">
        <v>13</v>
      </c>
      <c r="E3" s="99"/>
      <c r="F3" s="99"/>
      <c r="G3" s="100"/>
      <c r="H3" s="99"/>
      <c r="I3" s="21"/>
    </row>
    <row r="4" spans="1:9" s="20" customFormat="1" ht="15.75" x14ac:dyDescent="0.25">
      <c r="A4" s="23" t="s">
        <v>12</v>
      </c>
      <c r="B4" s="24" t="s">
        <v>11</v>
      </c>
      <c r="E4" s="99"/>
      <c r="F4" s="99"/>
      <c r="G4" s="100"/>
      <c r="H4" s="99"/>
      <c r="I4" s="21"/>
    </row>
    <row r="5" spans="1:9" s="20" customFormat="1" ht="15.75" x14ac:dyDescent="0.25">
      <c r="A5" s="23" t="s">
        <v>10</v>
      </c>
      <c r="B5" s="22" t="s">
        <v>60</v>
      </c>
      <c r="E5" s="99"/>
      <c r="F5" s="99"/>
      <c r="G5" s="100"/>
      <c r="H5" s="99"/>
      <c r="I5" s="21"/>
    </row>
    <row r="6" spans="1:9" s="2" customFormat="1" x14ac:dyDescent="0.2">
      <c r="A6" s="19"/>
      <c r="B6" s="19"/>
      <c r="C6" s="19"/>
      <c r="D6" s="19"/>
      <c r="E6" s="95"/>
      <c r="F6" s="95"/>
      <c r="G6" s="96"/>
      <c r="H6" s="95"/>
      <c r="I6" s="19"/>
    </row>
    <row r="7" spans="1:9" s="2" customFormat="1" x14ac:dyDescent="0.2">
      <c r="E7" s="101"/>
      <c r="F7" s="101"/>
      <c r="G7" s="102"/>
      <c r="H7" s="101"/>
    </row>
    <row r="8" spans="1:9" ht="34.5" thickBot="1" x14ac:dyDescent="0.25">
      <c r="A8" s="18" t="s">
        <v>9</v>
      </c>
      <c r="B8" s="17" t="s">
        <v>8</v>
      </c>
      <c r="C8" s="16" t="s">
        <v>7</v>
      </c>
      <c r="D8" s="15" t="s">
        <v>6</v>
      </c>
      <c r="E8" s="103" t="s">
        <v>5</v>
      </c>
      <c r="F8" s="103" t="s">
        <v>4</v>
      </c>
      <c r="G8" s="103" t="s">
        <v>3</v>
      </c>
      <c r="H8" s="103" t="s">
        <v>2</v>
      </c>
      <c r="I8" s="14" t="s">
        <v>1</v>
      </c>
    </row>
    <row r="9" spans="1:9" ht="13.5" thickTop="1" x14ac:dyDescent="0.2">
      <c r="A9" s="9"/>
      <c r="B9" s="13"/>
      <c r="C9" s="8"/>
      <c r="D9" s="8"/>
      <c r="E9" s="104"/>
      <c r="F9" s="104"/>
      <c r="G9" s="105"/>
      <c r="H9" s="104"/>
      <c r="I9" s="8"/>
    </row>
    <row r="10" spans="1:9" x14ac:dyDescent="0.2">
      <c r="A10" s="12"/>
      <c r="B10" s="12"/>
      <c r="C10" s="11"/>
      <c r="D10" s="11"/>
      <c r="E10" s="106"/>
      <c r="F10" s="107"/>
      <c r="G10" s="108"/>
      <c r="H10" s="109"/>
      <c r="I10" s="10"/>
    </row>
    <row r="11" spans="1:9" ht="13.5" thickBot="1" x14ac:dyDescent="0.25">
      <c r="A11" s="7"/>
      <c r="B11" s="6"/>
      <c r="C11" s="5"/>
      <c r="D11" s="5"/>
      <c r="E11" s="110"/>
      <c r="F11" s="111"/>
      <c r="G11" s="112"/>
      <c r="H11" s="113"/>
      <c r="I11" s="5"/>
    </row>
    <row r="12" spans="1:9" x14ac:dyDescent="0.2">
      <c r="A12" s="4"/>
      <c r="B12" s="3" t="s">
        <v>64</v>
      </c>
      <c r="C12" s="4"/>
      <c r="D12" s="4"/>
      <c r="E12" s="114"/>
      <c r="F12" s="107"/>
      <c r="G12" s="115"/>
      <c r="H12" s="114">
        <f>F10</f>
        <v>0</v>
      </c>
      <c r="I12" s="4"/>
    </row>
    <row r="13" spans="1:9" x14ac:dyDescent="0.2">
      <c r="A13" s="2"/>
      <c r="B13" s="3" t="s">
        <v>65</v>
      </c>
      <c r="C13" s="2"/>
      <c r="D13" s="2"/>
      <c r="E13" s="101"/>
      <c r="F13" s="107"/>
      <c r="G13" s="102"/>
      <c r="H13" s="101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1"/>
      <c r="F14" s="107"/>
      <c r="G14" s="102"/>
      <c r="H14" s="101">
        <f>I10</f>
        <v>0</v>
      </c>
      <c r="I14" s="2"/>
    </row>
    <row r="15" spans="1:9" x14ac:dyDescent="0.2">
      <c r="A15" s="2"/>
      <c r="B15" s="3"/>
      <c r="C15" s="2"/>
      <c r="D15" s="2"/>
      <c r="E15" s="101"/>
      <c r="F15" s="107"/>
      <c r="G15" s="102"/>
      <c r="H15" s="101"/>
      <c r="I15" s="2"/>
    </row>
    <row r="16" spans="1:9" x14ac:dyDescent="0.2">
      <c r="A16" s="2"/>
      <c r="B16" s="2" t="s">
        <v>67</v>
      </c>
      <c r="C16" s="2"/>
      <c r="D16" s="2"/>
      <c r="E16" s="101"/>
      <c r="F16" s="107"/>
      <c r="G16" s="102"/>
      <c r="H16" s="101">
        <f>SUM(H13,H14)</f>
        <v>0</v>
      </c>
    </row>
    <row r="17" spans="1:9" x14ac:dyDescent="0.2">
      <c r="A17" s="2"/>
      <c r="B17" s="2"/>
      <c r="C17" s="2"/>
      <c r="D17" s="2"/>
      <c r="E17" s="101"/>
      <c r="F17" s="101"/>
      <c r="G17" s="102"/>
      <c r="H17" s="101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9"/>
      <c r="B1" s="19"/>
      <c r="C1" s="19"/>
      <c r="D1" s="19"/>
      <c r="E1" s="19"/>
      <c r="F1" s="19"/>
      <c r="G1" s="19"/>
      <c r="H1" s="25"/>
    </row>
    <row r="2" spans="1:8" s="2" customFormat="1" x14ac:dyDescent="0.2">
      <c r="A2" s="25"/>
      <c r="B2" s="25"/>
      <c r="C2" s="25"/>
      <c r="D2" s="25"/>
      <c r="E2" s="25"/>
      <c r="F2" s="25"/>
      <c r="G2" s="25"/>
      <c r="H2" s="25"/>
    </row>
    <row r="3" spans="1:8" s="25" customFormat="1" x14ac:dyDescent="0.2">
      <c r="A3" s="32" t="s">
        <v>45</v>
      </c>
      <c r="E3" s="32" t="s">
        <v>44</v>
      </c>
    </row>
    <row r="4" spans="1:8" s="25" customFormat="1" x14ac:dyDescent="0.2">
      <c r="A4" s="32" t="s">
        <v>43</v>
      </c>
      <c r="E4" s="32" t="s">
        <v>42</v>
      </c>
      <c r="F4" s="25" t="s">
        <v>18</v>
      </c>
    </row>
    <row r="5" spans="1:8" s="25" customFormat="1" x14ac:dyDescent="0.2">
      <c r="A5" s="32"/>
      <c r="E5" s="32"/>
    </row>
    <row r="6" spans="1:8" s="25" customFormat="1" x14ac:dyDescent="0.2">
      <c r="A6" s="32" t="s">
        <v>41</v>
      </c>
      <c r="E6" s="32" t="s">
        <v>41</v>
      </c>
    </row>
    <row r="7" spans="1:8" s="2" customFormat="1" x14ac:dyDescent="0.2">
      <c r="A7" s="19"/>
      <c r="B7" s="19"/>
      <c r="C7" s="19"/>
      <c r="D7" s="19"/>
      <c r="E7" s="19"/>
      <c r="F7" s="19"/>
      <c r="G7" s="19"/>
      <c r="H7" s="25"/>
    </row>
    <row r="8" spans="1:8" s="2" customFormat="1" x14ac:dyDescent="0.2">
      <c r="A8" s="25"/>
      <c r="B8" s="25"/>
      <c r="C8" s="25"/>
      <c r="D8" s="25"/>
      <c r="E8" s="25"/>
      <c r="F8" s="25"/>
      <c r="G8" s="25"/>
      <c r="H8" s="25"/>
    </row>
    <row r="9" spans="1:8" s="20" customFormat="1" ht="15.75" x14ac:dyDescent="0.25">
      <c r="A9" s="23" t="s">
        <v>14</v>
      </c>
      <c r="B9" s="22" t="s">
        <v>13</v>
      </c>
    </row>
    <row r="10" spans="1:8" s="20" customFormat="1" ht="15.75" x14ac:dyDescent="0.25">
      <c r="A10" s="23" t="s">
        <v>12</v>
      </c>
      <c r="B10" s="24" t="s">
        <v>11</v>
      </c>
    </row>
    <row r="11" spans="1:8" s="20" customFormat="1" ht="15.75" x14ac:dyDescent="0.25">
      <c r="A11" s="80" t="s">
        <v>10</v>
      </c>
      <c r="B11" s="79" t="s">
        <v>60</v>
      </c>
      <c r="C11" s="21"/>
      <c r="D11" s="21"/>
      <c r="E11" s="21"/>
      <c r="F11" s="21"/>
      <c r="G11" s="21"/>
      <c r="H11" s="21"/>
    </row>
    <row r="12" spans="1:8" s="2" customFormat="1" ht="15.75" x14ac:dyDescent="0.25">
      <c r="A12" s="78"/>
      <c r="B12" s="77"/>
      <c r="C12" s="25"/>
      <c r="D12" s="25"/>
      <c r="E12" s="25"/>
      <c r="F12" s="25"/>
      <c r="G12" s="25"/>
      <c r="H12" s="25"/>
    </row>
    <row r="13" spans="1:8" s="2" customFormat="1" x14ac:dyDescent="0.2">
      <c r="A13" s="25"/>
      <c r="B13" s="25"/>
      <c r="C13" s="25"/>
      <c r="D13" s="25"/>
      <c r="E13" s="25"/>
      <c r="F13" s="25"/>
      <c r="G13" s="25"/>
      <c r="H13" s="25"/>
    </row>
    <row r="14" spans="1:8" s="2" customFormat="1" ht="15.75" x14ac:dyDescent="0.25">
      <c r="A14" s="40" t="s">
        <v>40</v>
      </c>
      <c r="B14" s="39"/>
      <c r="C14" s="39"/>
      <c r="D14" s="39"/>
      <c r="E14" s="39"/>
      <c r="F14" s="39"/>
      <c r="G14" s="38"/>
      <c r="H14" s="39"/>
    </row>
    <row r="15" spans="1:8" s="2" customFormat="1" ht="15.75" x14ac:dyDescent="0.25">
      <c r="A15" s="76"/>
    </row>
    <row r="16" spans="1:8" s="2" customFormat="1" ht="39" thickBot="1" x14ac:dyDescent="0.25">
      <c r="A16" s="32" t="s">
        <v>39</v>
      </c>
      <c r="B16" s="25"/>
      <c r="C16" s="25"/>
      <c r="D16" s="25"/>
      <c r="E16" s="44" t="s">
        <v>61</v>
      </c>
      <c r="G16" s="94" t="s">
        <v>62</v>
      </c>
      <c r="H16" s="94" t="s">
        <v>63</v>
      </c>
    </row>
    <row r="17" spans="1:9" s="4" customFormat="1" ht="13.5" thickTop="1" x14ac:dyDescent="0.2">
      <c r="A17" s="75"/>
      <c r="B17" s="74"/>
      <c r="C17" s="74"/>
      <c r="D17" s="74"/>
      <c r="E17" s="73"/>
      <c r="F17" s="73"/>
      <c r="G17" s="73"/>
      <c r="H17" s="72"/>
    </row>
    <row r="18" spans="1:9" s="2" customFormat="1" ht="13.5" thickBot="1" x14ac:dyDescent="0.25">
      <c r="A18" s="71"/>
      <c r="B18" s="70"/>
      <c r="C18" s="69"/>
      <c r="D18" s="69"/>
      <c r="E18" s="68"/>
      <c r="F18" s="68"/>
      <c r="G18" s="68"/>
      <c r="H18" s="67"/>
    </row>
    <row r="19" spans="1:9" s="4" customFormat="1" ht="13.5" thickTop="1" x14ac:dyDescent="0.2">
      <c r="A19" s="66" t="s">
        <v>38</v>
      </c>
      <c r="B19" s="65"/>
      <c r="C19" s="65"/>
      <c r="D19" s="65"/>
      <c r="E19" s="64">
        <f>SUM(E17:E18)</f>
        <v>0</v>
      </c>
      <c r="F19" s="64" t="e">
        <f>#REF!+F17+#REF!</f>
        <v>#REF!</v>
      </c>
      <c r="G19" s="60">
        <f>SUM(G17:G18)</f>
        <v>0</v>
      </c>
      <c r="H19" s="64"/>
    </row>
    <row r="20" spans="1:9" s="4" customFormat="1" x14ac:dyDescent="0.2">
      <c r="A20" s="63" t="s">
        <v>37</v>
      </c>
      <c r="B20" s="62"/>
      <c r="C20" s="62"/>
      <c r="D20" s="62"/>
      <c r="E20" s="61">
        <f>SUM(E21:E24)</f>
        <v>0</v>
      </c>
      <c r="F20" s="61"/>
      <c r="G20" s="60">
        <f>SUM(G21:G24)</f>
        <v>0</v>
      </c>
      <c r="H20" s="60"/>
    </row>
    <row r="21" spans="1:9" s="54" customFormat="1" ht="12" x14ac:dyDescent="0.2">
      <c r="A21" s="59"/>
      <c r="B21" s="57" t="s">
        <v>36</v>
      </c>
      <c r="C21" s="57"/>
      <c r="D21" s="57"/>
      <c r="E21" s="56"/>
      <c r="F21" s="56"/>
      <c r="G21" s="55"/>
      <c r="H21" s="55"/>
    </row>
    <row r="22" spans="1:9" s="54" customFormat="1" ht="12" x14ac:dyDescent="0.2">
      <c r="A22" s="59"/>
      <c r="B22" s="57" t="s">
        <v>35</v>
      </c>
      <c r="C22" s="57"/>
      <c r="D22" s="57"/>
      <c r="E22" s="56"/>
      <c r="F22" s="56"/>
      <c r="G22" s="55"/>
      <c r="H22" s="55"/>
    </row>
    <row r="23" spans="1:9" s="54" customFormat="1" ht="12" x14ac:dyDescent="0.2">
      <c r="A23" s="59"/>
      <c r="B23" s="57" t="s">
        <v>34</v>
      </c>
      <c r="C23" s="57"/>
      <c r="D23" s="57"/>
      <c r="E23" s="56"/>
      <c r="F23" s="56"/>
      <c r="G23" s="55"/>
      <c r="H23" s="55"/>
    </row>
    <row r="24" spans="1:9" s="54" customFormat="1" ht="12" x14ac:dyDescent="0.2">
      <c r="A24" s="59"/>
      <c r="B24" s="57" t="s">
        <v>33</v>
      </c>
      <c r="C24" s="57"/>
      <c r="D24" s="57"/>
      <c r="E24" s="56"/>
      <c r="F24" s="56"/>
      <c r="G24" s="55"/>
      <c r="H24" s="55"/>
    </row>
    <row r="25" spans="1:9" s="54" customFormat="1" ht="12" x14ac:dyDescent="0.2">
      <c r="A25" s="58" t="s">
        <v>32</v>
      </c>
      <c r="B25" s="57"/>
      <c r="C25" s="57"/>
      <c r="D25" s="57"/>
      <c r="E25" s="56">
        <f>SUM(E26:E27)</f>
        <v>0</v>
      </c>
      <c r="F25" s="56"/>
      <c r="G25" s="55">
        <f>SUM(G26:G27)</f>
        <v>0</v>
      </c>
      <c r="H25" s="55"/>
    </row>
    <row r="26" spans="1:9" s="54" customFormat="1" ht="12" x14ac:dyDescent="0.2">
      <c r="A26" s="58"/>
      <c r="B26" s="57" t="s">
        <v>31</v>
      </c>
      <c r="C26" s="57"/>
      <c r="D26" s="57"/>
      <c r="E26" s="56"/>
      <c r="F26" s="56"/>
      <c r="G26" s="55"/>
      <c r="H26" s="55"/>
    </row>
    <row r="27" spans="1:9" s="2" customFormat="1" ht="13.5" thickBot="1" x14ac:dyDescent="0.25">
      <c r="A27" s="53"/>
      <c r="B27" s="52"/>
      <c r="C27" s="51"/>
      <c r="D27" s="51"/>
      <c r="E27" s="50"/>
      <c r="F27" s="50"/>
      <c r="G27" s="49"/>
      <c r="H27" s="49">
        <f>SUM(E27:G27)</f>
        <v>0</v>
      </c>
    </row>
    <row r="28" spans="1:9" s="4" customFormat="1" ht="14.25" thickTop="1" thickBot="1" x14ac:dyDescent="0.25">
      <c r="A28" s="48" t="s">
        <v>30</v>
      </c>
      <c r="B28" s="47"/>
      <c r="C28" s="47"/>
      <c r="D28" s="47"/>
      <c r="E28" s="46">
        <f>E19-E20</f>
        <v>0</v>
      </c>
      <c r="F28" s="46" t="e">
        <f>F19-F20</f>
        <v>#REF!</v>
      </c>
      <c r="G28" s="45">
        <f>G19-G20</f>
        <v>0</v>
      </c>
      <c r="H28" s="49"/>
    </row>
    <row r="29" spans="1:9" s="4" customFormat="1" ht="13.5" thickTop="1" x14ac:dyDescent="0.2">
      <c r="A29" s="32"/>
      <c r="B29" s="32"/>
      <c r="C29" s="32"/>
      <c r="D29" s="32"/>
      <c r="E29" s="44"/>
      <c r="F29" s="44"/>
      <c r="G29" s="44"/>
      <c r="H29" s="44"/>
    </row>
    <row r="30" spans="1:9" s="2" customFormat="1" x14ac:dyDescent="0.2"/>
    <row r="31" spans="1:9" s="36" customFormat="1" ht="15.75" x14ac:dyDescent="0.25">
      <c r="A31" s="40" t="s">
        <v>29</v>
      </c>
      <c r="B31" s="39"/>
      <c r="C31" s="39"/>
      <c r="D31" s="39"/>
      <c r="E31" s="39"/>
      <c r="F31" s="39"/>
      <c r="G31" s="39"/>
      <c r="H31" s="38"/>
      <c r="I31" s="37"/>
    </row>
    <row r="32" spans="1:9" s="2" customFormat="1" x14ac:dyDescent="0.2"/>
    <row r="33" spans="1:10" s="2" customFormat="1" x14ac:dyDescent="0.2">
      <c r="A33" s="43" t="s">
        <v>28</v>
      </c>
      <c r="B33" s="42"/>
      <c r="C33" s="42"/>
      <c r="D33" s="42"/>
      <c r="E33" s="42"/>
      <c r="F33" s="42"/>
      <c r="G33" s="42"/>
      <c r="H33" s="41"/>
      <c r="I33" s="25"/>
      <c r="J33" s="25"/>
    </row>
    <row r="34" spans="1:10" s="2" customFormat="1" x14ac:dyDescent="0.2">
      <c r="A34" s="31" t="s">
        <v>27</v>
      </c>
      <c r="B34" s="25"/>
      <c r="C34" s="25"/>
      <c r="D34" s="25"/>
      <c r="E34" s="25"/>
      <c r="F34" s="25"/>
      <c r="G34" s="25"/>
      <c r="H34" s="30"/>
      <c r="I34" s="25"/>
      <c r="J34" s="25"/>
    </row>
    <row r="35" spans="1:10" s="2" customFormat="1" x14ac:dyDescent="0.2">
      <c r="A35" s="31" t="s">
        <v>26</v>
      </c>
      <c r="B35" s="25"/>
      <c r="C35" s="25"/>
      <c r="D35" s="25"/>
      <c r="E35" s="25"/>
      <c r="F35" s="25"/>
      <c r="G35" s="25"/>
      <c r="H35" s="30"/>
      <c r="I35" s="25"/>
      <c r="J35" s="25"/>
    </row>
    <row r="36" spans="1:10" s="2" customFormat="1" x14ac:dyDescent="0.2">
      <c r="A36" s="31" t="s">
        <v>25</v>
      </c>
      <c r="B36" s="25"/>
      <c r="C36" s="25"/>
      <c r="D36" s="25"/>
      <c r="E36" s="25"/>
      <c r="F36" s="25"/>
      <c r="G36" s="25"/>
      <c r="H36" s="30"/>
      <c r="I36" s="25"/>
      <c r="J36" s="25"/>
    </row>
    <row r="37" spans="1:10" s="2" customFormat="1" x14ac:dyDescent="0.2">
      <c r="A37" s="31" t="s">
        <v>24</v>
      </c>
      <c r="B37" s="25"/>
      <c r="C37" s="25"/>
      <c r="D37" s="25"/>
      <c r="E37" s="25"/>
      <c r="F37" s="25"/>
      <c r="G37" s="25"/>
      <c r="H37" s="30"/>
      <c r="I37" s="25"/>
      <c r="J37" s="25"/>
    </row>
    <row r="38" spans="1:10" s="2" customFormat="1" x14ac:dyDescent="0.2">
      <c r="A38" s="31" t="s">
        <v>24</v>
      </c>
      <c r="B38" s="25"/>
      <c r="C38" s="25"/>
      <c r="D38" s="25"/>
      <c r="E38" s="25"/>
      <c r="F38" s="25"/>
      <c r="G38" s="25"/>
      <c r="H38" s="30"/>
      <c r="I38" s="25"/>
      <c r="J38" s="25"/>
    </row>
    <row r="39" spans="1:10" s="2" customFormat="1" x14ac:dyDescent="0.2">
      <c r="A39" s="29"/>
      <c r="B39" s="19"/>
      <c r="C39" s="19"/>
      <c r="D39" s="19"/>
      <c r="E39" s="19"/>
      <c r="F39" s="19"/>
      <c r="G39" s="19"/>
      <c r="H39" s="28"/>
      <c r="I39" s="25"/>
      <c r="J39" s="25"/>
    </row>
    <row r="40" spans="1:10" s="2" customFormat="1" x14ac:dyDescent="0.2"/>
    <row r="41" spans="1:10" s="36" customFormat="1" ht="15.75" x14ac:dyDescent="0.25">
      <c r="A41" s="40" t="s">
        <v>23</v>
      </c>
      <c r="B41" s="39"/>
      <c r="C41" s="39"/>
      <c r="D41" s="39"/>
      <c r="E41" s="39"/>
      <c r="F41" s="39"/>
      <c r="G41" s="39"/>
      <c r="H41" s="38"/>
      <c r="I41" s="37"/>
    </row>
    <row r="42" spans="1:10" s="2" customFormat="1" x14ac:dyDescent="0.2"/>
    <row r="43" spans="1:10" s="4" customFormat="1" x14ac:dyDescent="0.2">
      <c r="A43" s="35" t="s">
        <v>22</v>
      </c>
      <c r="B43" s="35" t="s">
        <v>21</v>
      </c>
      <c r="C43" s="35" t="s">
        <v>20</v>
      </c>
      <c r="D43" s="34"/>
      <c r="E43" s="34"/>
      <c r="F43" s="34"/>
      <c r="G43" s="34"/>
      <c r="H43" s="33"/>
      <c r="I43" s="32"/>
      <c r="J43" s="32"/>
    </row>
    <row r="44" spans="1:10" s="2" customFormat="1" x14ac:dyDescent="0.2">
      <c r="A44" s="31" t="s">
        <v>19</v>
      </c>
      <c r="B44" s="31" t="s">
        <v>16</v>
      </c>
      <c r="C44" s="31" t="s">
        <v>18</v>
      </c>
      <c r="D44" s="25"/>
      <c r="E44" s="25"/>
      <c r="F44" s="25"/>
      <c r="G44" s="25"/>
      <c r="H44" s="30"/>
      <c r="I44" s="25"/>
      <c r="J44" s="25"/>
    </row>
    <row r="45" spans="1:10" s="2" customFormat="1" x14ac:dyDescent="0.2">
      <c r="A45" s="31" t="s">
        <v>17</v>
      </c>
      <c r="B45" s="31" t="s">
        <v>16</v>
      </c>
      <c r="C45" s="31" t="s">
        <v>15</v>
      </c>
      <c r="D45" s="25"/>
      <c r="E45" s="25"/>
      <c r="F45" s="25"/>
      <c r="G45" s="25"/>
      <c r="H45" s="30"/>
      <c r="I45" s="25"/>
      <c r="J45" s="25"/>
    </row>
    <row r="46" spans="1:10" s="2" customFormat="1" x14ac:dyDescent="0.2">
      <c r="A46" s="31"/>
      <c r="B46" s="31"/>
      <c r="C46" s="31"/>
      <c r="D46" s="25"/>
      <c r="E46" s="25"/>
      <c r="F46" s="25"/>
      <c r="G46" s="25"/>
      <c r="H46" s="30"/>
      <c r="I46" s="25"/>
      <c r="J46" s="25"/>
    </row>
    <row r="47" spans="1:10" s="2" customFormat="1" x14ac:dyDescent="0.2">
      <c r="A47" s="31"/>
      <c r="B47" s="31"/>
      <c r="C47" s="31"/>
      <c r="D47" s="25"/>
      <c r="E47" s="25"/>
      <c r="F47" s="25"/>
      <c r="G47" s="25"/>
      <c r="H47" s="30"/>
      <c r="I47" s="25"/>
      <c r="J47" s="25"/>
    </row>
    <row r="48" spans="1:10" s="2" customFormat="1" x14ac:dyDescent="0.2">
      <c r="A48" s="29"/>
      <c r="B48" s="29"/>
      <c r="C48" s="29"/>
      <c r="D48" s="19"/>
      <c r="E48" s="19"/>
      <c r="F48" s="19"/>
      <c r="G48" s="19"/>
      <c r="H48" s="28"/>
      <c r="I48" s="25"/>
      <c r="J48" s="25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Database</vt:lpstr>
      <vt:lpstr>detail Template</vt:lpstr>
      <vt:lpstr>Summary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2012-06-02T17:46:28Z</dcterms:modified>
</cp:coreProperties>
</file>
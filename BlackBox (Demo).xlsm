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2" codeName="{8C4F1C90-05EB-6A55-5F09-09C24B55AC0B}"/>
  <workbookPr codeName="ThisWorkbook" defaultThemeVersion="124226"/>
  <bookViews>
    <workbookView xWindow="240" yWindow="1215" windowWidth="13140" windowHeight="4785" activeTab="1"/>
  </bookViews>
  <sheets>
    <sheet name="Sheet1" sheetId="1" r:id="rId1"/>
    <sheet name="Database" sheetId="2" r:id="rId2"/>
    <sheet name="detail Template" sheetId="4" r:id="rId3"/>
    <sheet name="Summary" sheetId="5" r:id="rId4"/>
  </sheets>
  <functionGroups builtInGroupCount="17"/>
  <definedNames>
    <definedName name="_xlnm._FilterDatabase" localSheetId="1" hidden="1">Database!$A$1:$G$258</definedName>
    <definedName name="_xlnm.Print_Area" localSheetId="3">Summary!$A$1:$H$48</definedName>
  </definedNames>
  <calcPr calcId="144525"/>
</workbook>
</file>

<file path=xl/calcChain.xml><?xml version="1.0" encoding="utf-8"?>
<calcChain xmlns="http://schemas.openxmlformats.org/spreadsheetml/2006/main">
  <c r="L2" i="2" l="1"/>
  <c r="K2" i="2"/>
  <c r="M2" i="2"/>
  <c r="J2" i="2"/>
  <c r="L172" i="2"/>
  <c r="L110" i="2"/>
  <c r="L3" i="2"/>
  <c r="K172" i="2"/>
  <c r="K110" i="2"/>
  <c r="K3" i="2"/>
  <c r="M172" i="2"/>
  <c r="M110" i="2"/>
  <c r="M3" i="2"/>
  <c r="J172" i="2"/>
  <c r="J110" i="2"/>
  <c r="J3" i="2"/>
  <c r="L202" i="2"/>
  <c r="L173" i="2"/>
  <c r="L111" i="2"/>
  <c r="L57" i="2"/>
  <c r="L52" i="2"/>
  <c r="L47" i="2"/>
  <c r="L39" i="2"/>
  <c r="L31" i="2"/>
  <c r="L18" i="2"/>
  <c r="L10" i="2"/>
  <c r="L69" i="2"/>
  <c r="L4" i="2"/>
  <c r="K202" i="2"/>
  <c r="K173" i="2"/>
  <c r="K111" i="2"/>
  <c r="K57" i="2"/>
  <c r="K52" i="2"/>
  <c r="K47" i="2"/>
  <c r="K39" i="2"/>
  <c r="K31" i="2"/>
  <c r="K18" i="2"/>
  <c r="K10" i="2"/>
  <c r="K69" i="2"/>
  <c r="K4" i="2"/>
  <c r="M202" i="2"/>
  <c r="M173" i="2"/>
  <c r="M111" i="2"/>
  <c r="M57" i="2"/>
  <c r="M52" i="2"/>
  <c r="M47" i="2"/>
  <c r="M39" i="2"/>
  <c r="M31" i="2"/>
  <c r="M18" i="2"/>
  <c r="M10" i="2"/>
  <c r="M69" i="2"/>
  <c r="M4" i="2"/>
  <c r="J202" i="2"/>
  <c r="J173" i="2"/>
  <c r="J111" i="2"/>
  <c r="J57" i="2"/>
  <c r="J52" i="2"/>
  <c r="J47" i="2"/>
  <c r="J39" i="2"/>
  <c r="J31" i="2"/>
  <c r="J18" i="2"/>
  <c r="J10" i="2"/>
  <c r="J69" i="2"/>
  <c r="J4" i="2"/>
  <c r="L254" i="2"/>
  <c r="L248" i="2"/>
  <c r="L242" i="2"/>
  <c r="L233" i="2"/>
  <c r="L229" i="2"/>
  <c r="L203" i="2"/>
  <c r="L174" i="2"/>
  <c r="L166" i="2"/>
  <c r="L157" i="2"/>
  <c r="L148" i="2"/>
  <c r="L139" i="2"/>
  <c r="L130" i="2"/>
  <c r="L121" i="2"/>
  <c r="L112" i="2"/>
  <c r="L58" i="2"/>
  <c r="L53" i="2"/>
  <c r="L48" i="2"/>
  <c r="L40" i="2"/>
  <c r="L32" i="2"/>
  <c r="L27" i="2"/>
  <c r="L19" i="2"/>
  <c r="L11" i="2"/>
  <c r="L104" i="2"/>
  <c r="L70" i="2"/>
  <c r="L64" i="2"/>
  <c r="L5" i="2"/>
  <c r="K254" i="2"/>
  <c r="K248" i="2"/>
  <c r="K242" i="2"/>
  <c r="K233" i="2"/>
  <c r="K229" i="2"/>
  <c r="K203" i="2"/>
  <c r="K174" i="2"/>
  <c r="K166" i="2"/>
  <c r="K157" i="2"/>
  <c r="K148" i="2"/>
  <c r="K139" i="2"/>
  <c r="K130" i="2"/>
  <c r="K121" i="2"/>
  <c r="K112" i="2"/>
  <c r="K58" i="2"/>
  <c r="K53" i="2"/>
  <c r="K48" i="2"/>
  <c r="K40" i="2"/>
  <c r="K32" i="2"/>
  <c r="K27" i="2"/>
  <c r="K19" i="2"/>
  <c r="K11" i="2"/>
  <c r="K104" i="2"/>
  <c r="K70" i="2"/>
  <c r="K64" i="2"/>
  <c r="K5" i="2"/>
  <c r="M254" i="2"/>
  <c r="M248" i="2"/>
  <c r="M242" i="2"/>
  <c r="M233" i="2"/>
  <c r="M229" i="2"/>
  <c r="M203" i="2"/>
  <c r="M174" i="2"/>
  <c r="M166" i="2"/>
  <c r="M157" i="2"/>
  <c r="M148" i="2"/>
  <c r="M139" i="2"/>
  <c r="M130" i="2"/>
  <c r="M121" i="2"/>
  <c r="M112" i="2"/>
  <c r="M58" i="2"/>
  <c r="M53" i="2"/>
  <c r="M48" i="2"/>
  <c r="M40" i="2"/>
  <c r="M32" i="2"/>
  <c r="M27" i="2"/>
  <c r="M19" i="2"/>
  <c r="M11" i="2"/>
  <c r="M104" i="2"/>
  <c r="M70" i="2"/>
  <c r="M64" i="2"/>
  <c r="M5" i="2"/>
  <c r="J254" i="2"/>
  <c r="J248" i="2"/>
  <c r="J242" i="2"/>
  <c r="J233" i="2"/>
  <c r="J229" i="2"/>
  <c r="J203" i="2"/>
  <c r="J174" i="2"/>
  <c r="J166" i="2"/>
  <c r="J157" i="2"/>
  <c r="J148" i="2"/>
  <c r="J139" i="2"/>
  <c r="J130" i="2"/>
  <c r="J121" i="2"/>
  <c r="J112" i="2"/>
  <c r="J58" i="2"/>
  <c r="J53" i="2"/>
  <c r="J48" i="2"/>
  <c r="J40" i="2"/>
  <c r="J32" i="2"/>
  <c r="J27" i="2"/>
  <c r="J19" i="2"/>
  <c r="J11" i="2"/>
  <c r="J104" i="2"/>
  <c r="J70" i="2"/>
  <c r="J64" i="2"/>
  <c r="J5" i="2"/>
  <c r="L255" i="2"/>
  <c r="L249" i="2"/>
  <c r="L243" i="2"/>
  <c r="L237" i="2"/>
  <c r="L234" i="2"/>
  <c r="L230" i="2"/>
  <c r="L223" i="2"/>
  <c r="L220" i="2"/>
  <c r="L186" i="2"/>
  <c r="L182" i="2"/>
  <c r="L175" i="2"/>
  <c r="L167" i="2"/>
  <c r="L158" i="2"/>
  <c r="L149" i="2"/>
  <c r="L140" i="2"/>
  <c r="L131" i="2"/>
  <c r="L122" i="2"/>
  <c r="L113" i="2"/>
  <c r="L59" i="2"/>
  <c r="L54" i="2"/>
  <c r="L49" i="2"/>
  <c r="L41" i="2"/>
  <c r="L33" i="2"/>
  <c r="L28" i="2"/>
  <c r="L20" i="2"/>
  <c r="L12" i="2"/>
  <c r="L105" i="2"/>
  <c r="L71" i="2"/>
  <c r="L65" i="2"/>
  <c r="L6" i="2"/>
  <c r="K255" i="2"/>
  <c r="K249" i="2"/>
  <c r="K243" i="2"/>
  <c r="K237" i="2"/>
  <c r="K234" i="2"/>
  <c r="K230" i="2"/>
  <c r="K223" i="2"/>
  <c r="K220" i="2"/>
  <c r="K186" i="2"/>
  <c r="K182" i="2"/>
  <c r="K175" i="2"/>
  <c r="K167" i="2"/>
  <c r="K158" i="2"/>
  <c r="K149" i="2"/>
  <c r="K140" i="2"/>
  <c r="K131" i="2"/>
  <c r="K122" i="2"/>
  <c r="K113" i="2"/>
  <c r="K59" i="2"/>
  <c r="K54" i="2"/>
  <c r="K49" i="2"/>
  <c r="K41" i="2"/>
  <c r="K33" i="2"/>
  <c r="K28" i="2"/>
  <c r="K20" i="2"/>
  <c r="K12" i="2"/>
  <c r="K105" i="2"/>
  <c r="K71" i="2"/>
  <c r="K65" i="2"/>
  <c r="K6" i="2"/>
  <c r="M255" i="2"/>
  <c r="M249" i="2"/>
  <c r="M243" i="2"/>
  <c r="M237" i="2"/>
  <c r="M234" i="2"/>
  <c r="M230" i="2"/>
  <c r="M223" i="2"/>
  <c r="M220" i="2"/>
  <c r="M186" i="2"/>
  <c r="M182" i="2"/>
  <c r="M175" i="2"/>
  <c r="M167" i="2"/>
  <c r="M158" i="2"/>
  <c r="M149" i="2"/>
  <c r="M140" i="2"/>
  <c r="M131" i="2"/>
  <c r="M122" i="2"/>
  <c r="M113" i="2"/>
  <c r="M59" i="2"/>
  <c r="M54" i="2"/>
  <c r="M49" i="2"/>
  <c r="M41" i="2"/>
  <c r="M33" i="2"/>
  <c r="M28" i="2"/>
  <c r="M20" i="2"/>
  <c r="M12" i="2"/>
  <c r="M105" i="2"/>
  <c r="M71" i="2"/>
  <c r="M65" i="2"/>
  <c r="M6" i="2"/>
  <c r="J255" i="2"/>
  <c r="J249" i="2"/>
  <c r="J243" i="2"/>
  <c r="J237" i="2"/>
  <c r="J234" i="2"/>
  <c r="J230" i="2"/>
  <c r="J223" i="2"/>
  <c r="J220" i="2"/>
  <c r="J186" i="2"/>
  <c r="J182" i="2"/>
  <c r="J175" i="2"/>
  <c r="J167" i="2"/>
  <c r="J158" i="2"/>
  <c r="J149" i="2"/>
  <c r="J140" i="2"/>
  <c r="J131" i="2"/>
  <c r="J122" i="2"/>
  <c r="J113" i="2"/>
  <c r="J59" i="2"/>
  <c r="J54" i="2"/>
  <c r="J49" i="2"/>
  <c r="J41" i="2"/>
  <c r="J33" i="2"/>
  <c r="J28" i="2"/>
  <c r="J20" i="2"/>
  <c r="J12" i="2"/>
  <c r="J105" i="2"/>
  <c r="J71" i="2"/>
  <c r="J65" i="2"/>
  <c r="J6" i="2"/>
  <c r="L256" i="2"/>
  <c r="L250" i="2"/>
  <c r="L244" i="2"/>
  <c r="L240" i="2"/>
  <c r="L238" i="2"/>
  <c r="L235" i="2"/>
  <c r="L231" i="2"/>
  <c r="L224" i="2"/>
  <c r="L221" i="2"/>
  <c r="L204" i="2"/>
  <c r="L187" i="2"/>
  <c r="L183" i="2"/>
  <c r="L176" i="2"/>
  <c r="L168" i="2"/>
  <c r="L163" i="2"/>
  <c r="L159" i="2"/>
  <c r="L154" i="2"/>
  <c r="L150" i="2"/>
  <c r="L145" i="2"/>
  <c r="L141" i="2"/>
  <c r="L136" i="2"/>
  <c r="L132" i="2"/>
  <c r="L127" i="2"/>
  <c r="L123" i="2"/>
  <c r="L118" i="2"/>
  <c r="L114" i="2"/>
  <c r="L60" i="2"/>
  <c r="L55" i="2"/>
  <c r="L50" i="2"/>
  <c r="L42" i="2"/>
  <c r="L34" i="2"/>
  <c r="L29" i="2"/>
  <c r="L21" i="2"/>
  <c r="L13" i="2"/>
  <c r="L106" i="2"/>
  <c r="L101" i="2"/>
  <c r="L72" i="2"/>
  <c r="L66" i="2"/>
  <c r="L7" i="2"/>
  <c r="K256" i="2"/>
  <c r="K250" i="2"/>
  <c r="K244" i="2"/>
  <c r="K240" i="2"/>
  <c r="K238" i="2"/>
  <c r="K235" i="2"/>
  <c r="K231" i="2"/>
  <c r="K224" i="2"/>
  <c r="K221" i="2"/>
  <c r="K204" i="2"/>
  <c r="K187" i="2"/>
  <c r="K183" i="2"/>
  <c r="K176" i="2"/>
  <c r="K168" i="2"/>
  <c r="K163" i="2"/>
  <c r="K159" i="2"/>
  <c r="K154" i="2"/>
  <c r="K150" i="2"/>
  <c r="K145" i="2"/>
  <c r="K141" i="2"/>
  <c r="K136" i="2"/>
  <c r="K132" i="2"/>
  <c r="K127" i="2"/>
  <c r="K123" i="2"/>
  <c r="K118" i="2"/>
  <c r="K114" i="2"/>
  <c r="K60" i="2"/>
  <c r="K55" i="2"/>
  <c r="K50" i="2"/>
  <c r="K42" i="2"/>
  <c r="K34" i="2"/>
  <c r="K29" i="2"/>
  <c r="K21" i="2"/>
  <c r="K13" i="2"/>
  <c r="K106" i="2"/>
  <c r="K101" i="2"/>
  <c r="K72" i="2"/>
  <c r="K66" i="2"/>
  <c r="K7" i="2"/>
  <c r="M256" i="2"/>
  <c r="M250" i="2"/>
  <c r="M244" i="2"/>
  <c r="M240" i="2"/>
  <c r="M238" i="2"/>
  <c r="M235" i="2"/>
  <c r="M231" i="2"/>
  <c r="M224" i="2"/>
  <c r="M221" i="2"/>
  <c r="M204" i="2"/>
  <c r="M187" i="2"/>
  <c r="M183" i="2"/>
  <c r="M176" i="2"/>
  <c r="M168" i="2"/>
  <c r="M163" i="2"/>
  <c r="M159" i="2"/>
  <c r="M154" i="2"/>
  <c r="M150" i="2"/>
  <c r="M145" i="2"/>
  <c r="M141" i="2"/>
  <c r="M136" i="2"/>
  <c r="M132" i="2"/>
  <c r="M127" i="2"/>
  <c r="M123" i="2"/>
  <c r="M118" i="2"/>
  <c r="M114" i="2"/>
  <c r="M60" i="2"/>
  <c r="M55" i="2"/>
  <c r="M50" i="2"/>
  <c r="M42" i="2"/>
  <c r="M34" i="2"/>
  <c r="M29" i="2"/>
  <c r="M21" i="2"/>
  <c r="M13" i="2"/>
  <c r="M106" i="2"/>
  <c r="M101" i="2"/>
  <c r="M72" i="2"/>
  <c r="M66" i="2"/>
  <c r="M7" i="2"/>
  <c r="J256" i="2"/>
  <c r="J250" i="2"/>
  <c r="J244" i="2"/>
  <c r="J240" i="2"/>
  <c r="J238" i="2"/>
  <c r="J235" i="2"/>
  <c r="J231" i="2"/>
  <c r="J224" i="2"/>
  <c r="J221" i="2"/>
  <c r="J204" i="2"/>
  <c r="J187" i="2"/>
  <c r="J183" i="2"/>
  <c r="J176" i="2"/>
  <c r="J168" i="2"/>
  <c r="J163" i="2"/>
  <c r="J159" i="2"/>
  <c r="J154" i="2"/>
  <c r="J150" i="2"/>
  <c r="J145" i="2"/>
  <c r="J141" i="2"/>
  <c r="J136" i="2"/>
  <c r="J132" i="2"/>
  <c r="J127" i="2"/>
  <c r="J123" i="2"/>
  <c r="J118" i="2"/>
  <c r="J114" i="2"/>
  <c r="J60" i="2"/>
  <c r="J55" i="2"/>
  <c r="J50" i="2"/>
  <c r="J42" i="2"/>
  <c r="J34" i="2"/>
  <c r="J29" i="2"/>
  <c r="J21" i="2"/>
  <c r="J13" i="2"/>
  <c r="J106" i="2"/>
  <c r="J101" i="2"/>
  <c r="J72" i="2"/>
  <c r="J66" i="2"/>
  <c r="J7" i="2"/>
  <c r="M259" i="2"/>
  <c r="K259" i="2"/>
  <c r="M258" i="2"/>
  <c r="K258" i="2"/>
  <c r="M257" i="2"/>
  <c r="K257" i="2"/>
  <c r="M253" i="2"/>
  <c r="K253" i="2"/>
  <c r="M252" i="2"/>
  <c r="K252" i="2"/>
  <c r="M251" i="2"/>
  <c r="K251" i="2"/>
  <c r="M247" i="2"/>
  <c r="K247" i="2"/>
  <c r="M246" i="2"/>
  <c r="K246" i="2"/>
  <c r="M245" i="2"/>
  <c r="K245" i="2"/>
  <c r="M241" i="2"/>
  <c r="K241" i="2"/>
  <c r="M239" i="2"/>
  <c r="K239" i="2"/>
  <c r="M236" i="2"/>
  <c r="K236" i="2"/>
  <c r="M232" i="2"/>
  <c r="K232" i="2"/>
  <c r="M228" i="2"/>
  <c r="K228" i="2"/>
  <c r="M227" i="2"/>
  <c r="K227" i="2"/>
  <c r="M226" i="2"/>
  <c r="K226" i="2"/>
  <c r="M225" i="2"/>
  <c r="K225" i="2"/>
  <c r="M222" i="2"/>
  <c r="K222" i="2"/>
  <c r="M219" i="2"/>
  <c r="K219" i="2"/>
  <c r="M218" i="2"/>
  <c r="K218" i="2"/>
  <c r="M217" i="2"/>
  <c r="K217" i="2"/>
  <c r="M216" i="2"/>
  <c r="K216" i="2"/>
  <c r="M215" i="2"/>
  <c r="K215" i="2"/>
  <c r="M214" i="2"/>
  <c r="K214" i="2"/>
  <c r="M213" i="2"/>
  <c r="K213" i="2"/>
  <c r="M212" i="2"/>
  <c r="K212" i="2"/>
  <c r="M211" i="2"/>
  <c r="K211" i="2"/>
  <c r="M210" i="2"/>
  <c r="K210" i="2"/>
  <c r="M209" i="2"/>
  <c r="K209" i="2"/>
  <c r="M208" i="2"/>
  <c r="K208" i="2"/>
  <c r="M207" i="2"/>
  <c r="K207" i="2"/>
  <c r="M206" i="2"/>
  <c r="K206" i="2"/>
  <c r="M205" i="2"/>
  <c r="K205" i="2"/>
  <c r="M201" i="2"/>
  <c r="K201" i="2"/>
  <c r="M200" i="2"/>
  <c r="K200" i="2"/>
  <c r="M199" i="2"/>
  <c r="K199" i="2"/>
  <c r="M198" i="2"/>
  <c r="K198" i="2"/>
  <c r="M197" i="2"/>
  <c r="K197" i="2"/>
  <c r="M196" i="2"/>
  <c r="K196" i="2"/>
  <c r="M195" i="2"/>
  <c r="K195" i="2"/>
  <c r="M194" i="2"/>
  <c r="K194" i="2"/>
  <c r="M193" i="2"/>
  <c r="K193" i="2"/>
  <c r="M192" i="2"/>
  <c r="K192" i="2"/>
  <c r="M191" i="2"/>
  <c r="K191" i="2"/>
  <c r="M190" i="2"/>
  <c r="K190" i="2"/>
  <c r="M189" i="2"/>
  <c r="K189" i="2"/>
  <c r="M188" i="2"/>
  <c r="K188" i="2"/>
  <c r="M185" i="2"/>
  <c r="K185" i="2"/>
  <c r="M184" i="2"/>
  <c r="K184" i="2"/>
  <c r="M181" i="2"/>
  <c r="K181" i="2"/>
  <c r="M180" i="2"/>
  <c r="K180" i="2"/>
  <c r="M179" i="2"/>
  <c r="K179" i="2"/>
  <c r="M178" i="2"/>
  <c r="K178" i="2"/>
  <c r="M177" i="2"/>
  <c r="K177" i="2"/>
  <c r="M171" i="2"/>
  <c r="K171" i="2"/>
  <c r="M170" i="2"/>
  <c r="K170" i="2"/>
  <c r="M169" i="2"/>
  <c r="K169" i="2"/>
  <c r="M165" i="2"/>
  <c r="K165" i="2"/>
  <c r="M164" i="2"/>
  <c r="K164" i="2"/>
  <c r="M162" i="2"/>
  <c r="K162" i="2"/>
  <c r="M161" i="2"/>
  <c r="K161" i="2"/>
  <c r="M160" i="2"/>
  <c r="K160" i="2"/>
  <c r="M156" i="2"/>
  <c r="K156" i="2"/>
  <c r="M155" i="2"/>
  <c r="K155" i="2"/>
  <c r="M153" i="2"/>
  <c r="K153" i="2"/>
  <c r="M152" i="2"/>
  <c r="K152" i="2"/>
  <c r="M151" i="2"/>
  <c r="K151" i="2"/>
  <c r="M147" i="2"/>
  <c r="K147" i="2"/>
  <c r="M146" i="2"/>
  <c r="K146" i="2"/>
  <c r="M144" i="2"/>
  <c r="K144" i="2"/>
  <c r="M143" i="2"/>
  <c r="K143" i="2"/>
  <c r="M142" i="2"/>
  <c r="K142" i="2"/>
  <c r="M138" i="2"/>
  <c r="K138" i="2"/>
  <c r="M137" i="2"/>
  <c r="K137" i="2"/>
  <c r="M135" i="2"/>
  <c r="K135" i="2"/>
  <c r="M134" i="2"/>
  <c r="K134" i="2"/>
  <c r="M133" i="2"/>
  <c r="K133" i="2"/>
  <c r="M129" i="2"/>
  <c r="K129" i="2"/>
  <c r="M128" i="2"/>
  <c r="K128" i="2"/>
  <c r="M126" i="2"/>
  <c r="K126" i="2"/>
  <c r="M125" i="2"/>
  <c r="K125" i="2"/>
  <c r="M124" i="2"/>
  <c r="K124" i="2"/>
  <c r="M120" i="2"/>
  <c r="K120" i="2"/>
  <c r="M119" i="2"/>
  <c r="K119" i="2"/>
  <c r="M117" i="2"/>
  <c r="K117" i="2"/>
  <c r="M116" i="2"/>
  <c r="K116" i="2"/>
  <c r="M115" i="2"/>
  <c r="K115" i="2"/>
  <c r="M109" i="2"/>
  <c r="K109" i="2"/>
  <c r="M108" i="2"/>
  <c r="K108" i="2"/>
  <c r="M107" i="2"/>
  <c r="K107" i="2"/>
  <c r="M103" i="2"/>
  <c r="K103" i="2"/>
  <c r="M102" i="2"/>
  <c r="K102" i="2"/>
  <c r="M100" i="2"/>
  <c r="K100" i="2"/>
  <c r="M99" i="2"/>
  <c r="K99" i="2"/>
  <c r="M98" i="2"/>
  <c r="K98" i="2"/>
  <c r="M97" i="2"/>
  <c r="K97" i="2"/>
  <c r="M96" i="2"/>
  <c r="K96" i="2"/>
  <c r="M95" i="2"/>
  <c r="K95" i="2"/>
  <c r="M94" i="2"/>
  <c r="K94" i="2"/>
  <c r="M93" i="2"/>
  <c r="K93" i="2"/>
  <c r="M92" i="2"/>
  <c r="K92" i="2"/>
  <c r="M91" i="2"/>
  <c r="K91" i="2"/>
  <c r="M90" i="2"/>
  <c r="K90" i="2"/>
  <c r="M89" i="2"/>
  <c r="K89" i="2"/>
  <c r="M88" i="2"/>
  <c r="K88" i="2"/>
  <c r="M87" i="2"/>
  <c r="K87" i="2"/>
  <c r="M86" i="2"/>
  <c r="K86" i="2"/>
  <c r="M85" i="2"/>
  <c r="K85" i="2"/>
  <c r="M84" i="2"/>
  <c r="K84" i="2"/>
  <c r="M83" i="2"/>
  <c r="K83" i="2"/>
  <c r="M82" i="2"/>
  <c r="K82" i="2"/>
  <c r="M81" i="2"/>
  <c r="K81" i="2"/>
  <c r="M80" i="2"/>
  <c r="K80" i="2"/>
  <c r="M79" i="2"/>
  <c r="K79" i="2"/>
  <c r="M78" i="2"/>
  <c r="K78" i="2"/>
  <c r="M77" i="2"/>
  <c r="K77" i="2"/>
  <c r="M76" i="2"/>
  <c r="K76" i="2"/>
  <c r="M75" i="2"/>
  <c r="K75" i="2"/>
  <c r="M74" i="2"/>
  <c r="K74" i="2"/>
  <c r="M73" i="2"/>
  <c r="K73" i="2"/>
  <c r="M68" i="2"/>
  <c r="K68" i="2"/>
  <c r="M67" i="2"/>
  <c r="K67" i="2"/>
  <c r="M63" i="2"/>
  <c r="K63" i="2"/>
  <c r="M62" i="2"/>
  <c r="K62" i="2"/>
  <c r="M61" i="2"/>
  <c r="K61" i="2"/>
  <c r="M56" i="2"/>
  <c r="K56" i="2"/>
  <c r="M51" i="2"/>
  <c r="K51" i="2"/>
  <c r="M46" i="2"/>
  <c r="K46" i="2"/>
  <c r="M45" i="2"/>
  <c r="K45" i="2"/>
  <c r="M44" i="2"/>
  <c r="K44" i="2"/>
  <c r="M43" i="2"/>
  <c r="K43" i="2"/>
  <c r="M38" i="2"/>
  <c r="K38" i="2"/>
  <c r="M37" i="2"/>
  <c r="K37" i="2"/>
  <c r="M36" i="2"/>
  <c r="K36" i="2"/>
  <c r="M35" i="2"/>
  <c r="K35" i="2"/>
  <c r="M30" i="2"/>
  <c r="K30" i="2"/>
  <c r="M26" i="2"/>
  <c r="K26" i="2"/>
  <c r="M25" i="2"/>
  <c r="K25" i="2"/>
  <c r="M24" i="2"/>
  <c r="K24" i="2"/>
  <c r="M23" i="2"/>
  <c r="K23" i="2"/>
  <c r="M22" i="2"/>
  <c r="K22" i="2"/>
  <c r="M17" i="2"/>
  <c r="K17" i="2"/>
  <c r="M16" i="2"/>
  <c r="K16" i="2"/>
  <c r="M15" i="2"/>
  <c r="K15" i="2"/>
  <c r="M14" i="2"/>
  <c r="K14" i="2"/>
  <c r="M9" i="2"/>
  <c r="K9" i="2"/>
  <c r="M8" i="2"/>
  <c r="K8" i="2"/>
  <c r="H14" i="4" l="1"/>
  <c r="H13" i="4"/>
  <c r="H12" i="4"/>
  <c r="H16" i="4" l="1"/>
  <c r="G25" i="5" l="1"/>
  <c r="E25" i="5"/>
  <c r="G19" i="5"/>
  <c r="G20" i="5"/>
  <c r="E20" i="5"/>
  <c r="E19" i="5"/>
  <c r="H27" i="5" l="1"/>
  <c r="G28" i="5"/>
  <c r="F19" i="5"/>
  <c r="F28" i="5" s="1"/>
  <c r="E28" i="5"/>
</calcChain>
</file>

<file path=xl/sharedStrings.xml><?xml version="1.0" encoding="utf-8"?>
<sst xmlns="http://schemas.openxmlformats.org/spreadsheetml/2006/main" count="2077" uniqueCount="1231">
  <si>
    <t xml:space="preserve"> </t>
  </si>
  <si>
    <t>1.1.1.1.1.1</t>
  </si>
  <si>
    <t>1.1</t>
  </si>
  <si>
    <t>1st Year Support (SGD)</t>
  </si>
  <si>
    <t>Total Net 
(SGD)</t>
  </si>
  <si>
    <t>Discount
(%)</t>
  </si>
  <si>
    <t>Total Gross (SGD)</t>
  </si>
  <si>
    <t>Unit Gross (SGD)</t>
  </si>
  <si>
    <t>Product
Unit</t>
  </si>
  <si>
    <t>Qty</t>
  </si>
  <si>
    <t>Name</t>
  </si>
  <si>
    <t>Item No</t>
  </si>
  <si>
    <t>Date:</t>
  </si>
  <si>
    <t>01</t>
  </si>
  <si>
    <t>Revision:</t>
  </si>
  <si>
    <t>Singtel FY xxxxxx</t>
  </si>
  <si>
    <t>Project name:</t>
  </si>
  <si>
    <t>yyyyyyyyyyy</t>
  </si>
  <si>
    <t>DD month YYYY</t>
  </si>
  <si>
    <t>Rev 02</t>
  </si>
  <si>
    <t>xxxxxxxxxx</t>
  </si>
  <si>
    <t>Rev 01</t>
  </si>
  <si>
    <t>Description of Change</t>
  </si>
  <si>
    <t>Date</t>
  </si>
  <si>
    <t>Rev no.</t>
  </si>
  <si>
    <t>Revision History:</t>
  </si>
  <si>
    <t>etc.</t>
  </si>
  <si>
    <t>Conditions</t>
  </si>
  <si>
    <t>Offer validation period</t>
  </si>
  <si>
    <t>Incoterms</t>
  </si>
  <si>
    <t>Payment terms</t>
  </si>
  <si>
    <t>Terms and Conditions:</t>
  </si>
  <si>
    <t>Grand Total after Incentive</t>
  </si>
  <si>
    <t>Payment Terms incentive</t>
  </si>
  <si>
    <t>Total before payment terms incentive</t>
  </si>
  <si>
    <t>Incentive RAN 2</t>
  </si>
  <si>
    <t>Incentive RAN 1</t>
  </si>
  <si>
    <t>Incentive core 2</t>
  </si>
  <si>
    <t>Incentive core 1</t>
  </si>
  <si>
    <t>Total Incentive</t>
  </si>
  <si>
    <t>Grand Total</t>
  </si>
  <si>
    <t>Currency: SGD</t>
  </si>
  <si>
    <t>Price Summary Table</t>
  </si>
  <si>
    <t>Tel:</t>
  </si>
  <si>
    <t>Address:</t>
  </si>
  <si>
    <r>
      <t xml:space="preserve">Address: </t>
    </r>
    <r>
      <rPr>
        <sz val="10"/>
        <rFont val="Arial"/>
        <family val="2"/>
      </rPr>
      <t>xxxxxxxxx</t>
    </r>
  </si>
  <si>
    <r>
      <t xml:space="preserve">Attn: </t>
    </r>
    <r>
      <rPr>
        <sz val="10"/>
        <rFont val="Arial"/>
        <family val="2"/>
      </rPr>
      <t>xxxxxxx</t>
    </r>
  </si>
  <si>
    <r>
      <t xml:space="preserve">Contact person: </t>
    </r>
    <r>
      <rPr>
        <sz val="10"/>
        <rFont val="Arial"/>
        <family val="2"/>
      </rPr>
      <t>xxxxxxxxxxx</t>
    </r>
  </si>
  <si>
    <t>Item_No</t>
  </si>
  <si>
    <t>Parent</t>
  </si>
  <si>
    <t>Right</t>
  </si>
  <si>
    <t>Bottom</t>
  </si>
  <si>
    <t>Quantity</t>
  </si>
  <si>
    <t>Unit Gross</t>
  </si>
  <si>
    <t>Unit</t>
  </si>
  <si>
    <t>Total Gross</t>
  </si>
  <si>
    <t>Discount</t>
  </si>
  <si>
    <t>Total Net</t>
  </si>
  <si>
    <t>Left</t>
  </si>
  <si>
    <t>1</t>
  </si>
  <si>
    <t>Level</t>
  </si>
  <si>
    <t>Title</t>
  </si>
  <si>
    <t>1.1.1</t>
  </si>
  <si>
    <t>1.1.1.1</t>
  </si>
  <si>
    <t>1.1.1.1.1</t>
  </si>
  <si>
    <t>CurrentRow</t>
  </si>
  <si>
    <t>29 March, 2012</t>
  </si>
  <si>
    <t>total gross</t>
  </si>
  <si>
    <t>total net 
(before payment terms incentives)</t>
  </si>
  <si>
    <t>total net 
(after payment terms incentives)</t>
  </si>
  <si>
    <t>Sub total for gross</t>
  </si>
  <si>
    <t>Sub total for Net</t>
  </si>
  <si>
    <t>Sub total for Support</t>
  </si>
  <si>
    <t>Net total with support</t>
  </si>
  <si>
    <t>Phase 1 : Immediate Expansion</t>
  </si>
  <si>
    <t>UDC HW</t>
  </si>
  <si>
    <t>EVO 1</t>
  </si>
  <si>
    <t>HLR BC_OLP</t>
  </si>
  <si>
    <t>PRODUCT PACKAGE/HLR-FE Blade HW 1.0 (FAP1302383)</t>
  </si>
  <si>
    <t>1.1.1.1.1.1.1</t>
  </si>
  <si>
    <t>HLR Blade Server 1.0 Base Configuration  (incl 3 blades)</t>
  </si>
  <si>
    <t>1.1.1.1.1.1.2</t>
  </si>
  <si>
    <t>Power Cable (6.0 mm2)</t>
  </si>
  <si>
    <t>1.1.2</t>
  </si>
  <si>
    <t>EVO 2</t>
  </si>
  <si>
    <t>1.1.2.1</t>
  </si>
  <si>
    <t>CUDB BC_OLP 1</t>
  </si>
  <si>
    <t>1.1.2.1.1</t>
  </si>
  <si>
    <t>CUDB BC_OLP</t>
  </si>
  <si>
    <t>1.1.2.1.1.1</t>
  </si>
  <si>
    <t>PRODUCT PACKAGE/EBS based CUDB HW v1.0 (FAP1302595)</t>
  </si>
  <si>
    <t/>
  </si>
  <si>
    <t>2</t>
  </si>
  <si>
    <t>0</t>
  </si>
  <si>
    <t>RowInInput</t>
  </si>
  <si>
    <t>RowInOutput</t>
  </si>
  <si>
    <t>OutputSheetName</t>
  </si>
  <si>
    <t>15</t>
  </si>
  <si>
    <t>16</t>
  </si>
  <si>
    <t>17</t>
  </si>
  <si>
    <t>18</t>
  </si>
  <si>
    <t>19</t>
  </si>
  <si>
    <t>20</t>
  </si>
  <si>
    <t>22</t>
  </si>
  <si>
    <t>23</t>
  </si>
  <si>
    <t>25</t>
  </si>
  <si>
    <t>26</t>
  </si>
  <si>
    <t>27</t>
  </si>
  <si>
    <t>28</t>
  </si>
  <si>
    <t>Unit Gross Formula</t>
  </si>
  <si>
    <t>Total Gross Formula</t>
  </si>
  <si>
    <t>Discount Formula</t>
  </si>
  <si>
    <t>Total Net Formula</t>
  </si>
  <si>
    <t>=SUM(K8,K9)</t>
  </si>
  <si>
    <t>=SUM(K13)</t>
  </si>
  <si>
    <t>=SUM(K7)</t>
  </si>
  <si>
    <t>=SUM(K12)</t>
  </si>
  <si>
    <t>=SUM(K6)</t>
  </si>
  <si>
    <t>=SUM(K11)</t>
  </si>
  <si>
    <t>=SUM(K5)</t>
  </si>
  <si>
    <t>=I7*SUM(M8,M9)</t>
  </si>
  <si>
    <t>=I12*SUM(M13)</t>
  </si>
  <si>
    <t>=I7*J7</t>
  </si>
  <si>
    <t>=I12*J12</t>
  </si>
  <si>
    <t>=100*(1-(M7/K7))</t>
  </si>
  <si>
    <t>=100*(1-(M12/K12))</t>
  </si>
  <si>
    <t>=I6*SUM(M7)</t>
  </si>
  <si>
    <t>=I11*SUM(M12)</t>
  </si>
  <si>
    <t>=I6*J6</t>
  </si>
  <si>
    <t>=I11*J11</t>
  </si>
  <si>
    <t>=100*(1-(M6/K6))</t>
  </si>
  <si>
    <t>=100*(1-(M11/K11))</t>
  </si>
  <si>
    <t>=I5*SUM(M6)</t>
  </si>
  <si>
    <t>=I10*SUM(M11)</t>
  </si>
  <si>
    <t>=I5*J5</t>
  </si>
  <si>
    <t>=I10*J10</t>
  </si>
  <si>
    <t>=100*(1-(M5/K5))</t>
  </si>
  <si>
    <t>=100*(1-(M10/K10))</t>
  </si>
  <si>
    <t>=I4*SUM(M5)</t>
  </si>
  <si>
    <t>=I3*J3</t>
  </si>
  <si>
    <t>=I4*J4</t>
  </si>
  <si>
    <t>=100*(1-(M3/K3))</t>
  </si>
  <si>
    <t>=100*(1-(M4/K4))</t>
  </si>
  <si>
    <t>=I2*J2</t>
  </si>
  <si>
    <t>=100*(1-(M2/K2))</t>
  </si>
  <si>
    <t>11</t>
  </si>
  <si>
    <t>12</t>
  </si>
  <si>
    <t>13</t>
  </si>
  <si>
    <t>14</t>
  </si>
  <si>
    <t>10</t>
  </si>
  <si>
    <t>1.1.2.1.1.1.1</t>
  </si>
  <si>
    <t>CUDB Blade v3</t>
  </si>
  <si>
    <t>30</t>
  </si>
  <si>
    <t>1.1.2.1.1.1.2</t>
  </si>
  <si>
    <t>Cabinet</t>
  </si>
  <si>
    <t>31</t>
  </si>
  <si>
    <t>1.1.2.1.1.1.3</t>
  </si>
  <si>
    <t>Network Interface Blade (NWI-E 450A)</t>
  </si>
  <si>
    <t>32</t>
  </si>
  <si>
    <t>1.1.2.1.1.1.4</t>
  </si>
  <si>
    <t>Unequipped subrack with 2 SCXB2</t>
  </si>
  <si>
    <t>33</t>
  </si>
  <si>
    <t>1.1.3</t>
  </si>
  <si>
    <t>CUDB Spares</t>
  </si>
  <si>
    <t>35</t>
  </si>
  <si>
    <t>1.1.3.1</t>
  </si>
  <si>
    <t>CUDB Spares 1</t>
  </si>
  <si>
    <t>36</t>
  </si>
  <si>
    <t>1.1.3.1.1</t>
  </si>
  <si>
    <t>37</t>
  </si>
  <si>
    <t>1.1.3.1.1.1</t>
  </si>
  <si>
    <t>PRODUCT PACKAGE/SP CUDB 11B (FAP1302513)</t>
  </si>
  <si>
    <t>38</t>
  </si>
  <si>
    <t>1.1.3.1.1.1.1</t>
  </si>
  <si>
    <t>GEP3-HD300</t>
  </si>
  <si>
    <t>40</t>
  </si>
  <si>
    <t>1.1.3.1.1.1.2</t>
  </si>
  <si>
    <t>NWI-E 450A</t>
  </si>
  <si>
    <t>41</t>
  </si>
  <si>
    <t>1.1.3.1.1.1.3</t>
  </si>
  <si>
    <t>PFM HOD</t>
  </si>
  <si>
    <t>42</t>
  </si>
  <si>
    <t>1.1.3.1.1.1.4</t>
  </si>
  <si>
    <t>SCXB2</t>
  </si>
  <si>
    <t>43</t>
  </si>
  <si>
    <t>1.1.3.1.1.1.5</t>
  </si>
  <si>
    <t>Subrack + Backplane</t>
  </si>
  <si>
    <t>44</t>
  </si>
  <si>
    <t>1.1.4</t>
  </si>
  <si>
    <t>HLR-FE Spares</t>
  </si>
  <si>
    <t>46</t>
  </si>
  <si>
    <t>1.1.4.1</t>
  </si>
  <si>
    <t>47</t>
  </si>
  <si>
    <t>1.1.4.1.1</t>
  </si>
  <si>
    <t>48</t>
  </si>
  <si>
    <t>1.1.4.1.1.1</t>
  </si>
  <si>
    <t>49</t>
  </si>
  <si>
    <t>1.1.5</t>
  </si>
  <si>
    <t>HLR-FE LIVE (FY12/13)</t>
  </si>
  <si>
    <t>51</t>
  </si>
  <si>
    <t>1.1.5.1</t>
  </si>
  <si>
    <t>52</t>
  </si>
  <si>
    <t>1.1.5.1.1</t>
  </si>
  <si>
    <t>53</t>
  </si>
  <si>
    <t>1.1.5.1.1.1</t>
  </si>
  <si>
    <t>54</t>
  </si>
  <si>
    <t>1.1.5.1.1.1.1</t>
  </si>
  <si>
    <t>HLR-FE 1.0 Blade</t>
  </si>
  <si>
    <t>56</t>
  </si>
  <si>
    <t>1.1.5.1.1.1.2</t>
  </si>
  <si>
    <t>HLR-FE Middleware</t>
  </si>
  <si>
    <t>57</t>
  </si>
  <si>
    <t>1.1.5.1.1.1.3</t>
  </si>
  <si>
    <t>58</t>
  </si>
  <si>
    <t>1.1.5.1.1.1.4</t>
  </si>
  <si>
    <t>HLR-FE on Ericsson Blade HW 1.0 Base Configuration  (incl. 3 blades)</t>
  </si>
  <si>
    <t>59</t>
  </si>
  <si>
    <t>1.1.6</t>
  </si>
  <si>
    <t>CUDB LIVE (FY12/13)</t>
  </si>
  <si>
    <t>61</t>
  </si>
  <si>
    <t>1.1.6.1</t>
  </si>
  <si>
    <t>62</t>
  </si>
  <si>
    <t>1.1.6.1.1</t>
  </si>
  <si>
    <t>63</t>
  </si>
  <si>
    <t>1.1.6.1.1.1</t>
  </si>
  <si>
    <t>64</t>
  </si>
  <si>
    <t>1.1.6.1.1.1.1</t>
  </si>
  <si>
    <t>66</t>
  </si>
  <si>
    <t>1.1.6.1.1.1.2</t>
  </si>
  <si>
    <t>67</t>
  </si>
  <si>
    <t>1.1.6.1.1.1.3</t>
  </si>
  <si>
    <t>68</t>
  </si>
  <si>
    <t>1.1.6.1.1.1.4</t>
  </si>
  <si>
    <t>69</t>
  </si>
  <si>
    <t>1.1.7</t>
  </si>
  <si>
    <t>CUDB SW Testbed</t>
  </si>
  <si>
    <t>71</t>
  </si>
  <si>
    <t>1.1.7.1</t>
  </si>
  <si>
    <t>CUDB SW Testbed 2</t>
  </si>
  <si>
    <t>72</t>
  </si>
  <si>
    <t>1.1.7.1.1</t>
  </si>
  <si>
    <t>73</t>
  </si>
  <si>
    <t>1.1.7.1.1.1</t>
  </si>
  <si>
    <t>PRODUCT PACKAGE/CUDB 11 SW (FAP1302181)</t>
  </si>
  <si>
    <t>74</t>
  </si>
  <si>
    <t>1.1.7.1.1.1.1</t>
  </si>
  <si>
    <t>CUDB Customer Test System</t>
  </si>
  <si>
    <t>76</t>
  </si>
  <si>
    <t>1.1.8</t>
  </si>
  <si>
    <t>HLR FE SW OLP 11B</t>
  </si>
  <si>
    <t>78</t>
  </si>
  <si>
    <t>1.1.8.1</t>
  </si>
  <si>
    <t>79</t>
  </si>
  <si>
    <t>1.1.8.1.1</t>
  </si>
  <si>
    <t>80</t>
  </si>
  <si>
    <t>1.1.8.1.1.1</t>
  </si>
  <si>
    <t>PRODUCT PACKAGE/HLR/AUC-FE 11B (FAP1302463)</t>
  </si>
  <si>
    <t>81</t>
  </si>
  <si>
    <t>1.1.8.1.1.1.1</t>
  </si>
  <si>
    <t>Customer Test Lab System</t>
  </si>
  <si>
    <t>83</t>
  </si>
  <si>
    <t>1.1.9</t>
  </si>
  <si>
    <t>CUDB SW LIVE (FY12/13)</t>
  </si>
  <si>
    <t>85</t>
  </si>
  <si>
    <t>1.1.9.1</t>
  </si>
  <si>
    <t>86</t>
  </si>
  <si>
    <t>1.1.9.1.1</t>
  </si>
  <si>
    <t>87</t>
  </si>
  <si>
    <t>1.1.9.1.1.1</t>
  </si>
  <si>
    <t>88</t>
  </si>
  <si>
    <t>1.1.9.1.1.1.1</t>
  </si>
  <si>
    <t>AUC Profile Basic</t>
  </si>
  <si>
    <t>90</t>
  </si>
  <si>
    <t>1.1.9.1.1.1.2</t>
  </si>
  <si>
    <t>Double Geographical Redundancy</t>
  </si>
  <si>
    <t>91</t>
  </si>
  <si>
    <t>1.1.9.1.1.1.3</t>
  </si>
  <si>
    <t>HLR Profile Basic</t>
  </si>
  <si>
    <t>92</t>
  </si>
  <si>
    <t>1.1.10</t>
  </si>
  <si>
    <t>HLR_3G (FY12/13)</t>
  </si>
  <si>
    <t>94</t>
  </si>
  <si>
    <t>1.1.10.1</t>
  </si>
  <si>
    <t>95</t>
  </si>
  <si>
    <t>1.1.10.1.1</t>
  </si>
  <si>
    <t>96</t>
  </si>
  <si>
    <t>1.1.10.1.1.1</t>
  </si>
  <si>
    <t>3G.324M Multimedia support in HLR</t>
  </si>
  <si>
    <t>97</t>
  </si>
  <si>
    <t>1.1.10.1.1.2</t>
  </si>
  <si>
    <t>GPRS Charging Characteristics Support in HLR</t>
  </si>
  <si>
    <t>98</t>
  </si>
  <si>
    <t>1.1.11</t>
  </si>
  <si>
    <t>HLR_2G/3G (FY12/13)</t>
  </si>
  <si>
    <t>100</t>
  </si>
  <si>
    <t>1.1.11.1</t>
  </si>
  <si>
    <t>101</t>
  </si>
  <si>
    <t>1.1.11.1.1</t>
  </si>
  <si>
    <t>102</t>
  </si>
  <si>
    <t>1.1.11.1.1.1</t>
  </si>
  <si>
    <t>PRODUCT PACKAGE/HLR/AUC and FNR R14.1 (FAP1302048)</t>
  </si>
  <si>
    <t>103</t>
  </si>
  <si>
    <t>1.1.11.1.1.1.1</t>
  </si>
  <si>
    <t>AUC (AXE) Alternative A4 algorithm</t>
  </si>
  <si>
    <t>105</t>
  </si>
  <si>
    <t>1.1.11.1.1.1.2</t>
  </si>
  <si>
    <t>AUC R14.1 Basic GSM SW package</t>
  </si>
  <si>
    <t>106</t>
  </si>
  <si>
    <t>1.1.11.1.1.1.3</t>
  </si>
  <si>
    <t>Access to Mobile IN Services in HLR</t>
  </si>
  <si>
    <t>107</t>
  </si>
  <si>
    <t>1.1.11.1.1.1.4</t>
  </si>
  <si>
    <t>Added AUC R14.1 Basic WCDMA support for GSM/WCDMA combined networks</t>
  </si>
  <si>
    <t>108</t>
  </si>
  <si>
    <t>1.1.11.1.1.1.5</t>
  </si>
  <si>
    <t>Any Time Interrogation in HLR</t>
  </si>
  <si>
    <t>109</t>
  </si>
  <si>
    <t>1.1.11.1.1.1.6</t>
  </si>
  <si>
    <t>Call Barring Services in HLR</t>
  </si>
  <si>
    <t>110</t>
  </si>
  <si>
    <t>1.1.11.1.1.1.7</t>
  </si>
  <si>
    <t>Call Forwarding Services in HLR</t>
  </si>
  <si>
    <t>111</t>
  </si>
  <si>
    <t>1.1.11.1.1.1.8</t>
  </si>
  <si>
    <t>Call Waiting and Call Hold subscription</t>
  </si>
  <si>
    <t>112</t>
  </si>
  <si>
    <t>1.1.11.1.1.1.9</t>
  </si>
  <si>
    <t>Calling Line Identification Services subscription</t>
  </si>
  <si>
    <t>113</t>
  </si>
  <si>
    <t>1.1.11.1.1.1.10</t>
  </si>
  <si>
    <t>Default Call Forwarding</t>
  </si>
  <si>
    <t>114</t>
  </si>
  <si>
    <t>1.1.11.1.1.1.11</t>
  </si>
  <si>
    <t>File Output for Subscriber Data in HLR</t>
  </si>
  <si>
    <t>115</t>
  </si>
  <si>
    <t>1.1.11.1.1.1.12</t>
  </si>
  <si>
    <t>GPRS Support in HLR</t>
  </si>
  <si>
    <t>116</t>
  </si>
  <si>
    <t>1.1.11.1.1.1.13</t>
  </si>
  <si>
    <t>HLR R14.1 Basic SW package</t>
  </si>
  <si>
    <t>117</t>
  </si>
  <si>
    <t>1.1.11.1.1.1.14</t>
  </si>
  <si>
    <t>Immediate Call Itemisation subscription</t>
  </si>
  <si>
    <t>118</t>
  </si>
  <si>
    <t>1.1.11.1.1.1.15</t>
  </si>
  <si>
    <t>MTP Policing</t>
  </si>
  <si>
    <t>119</t>
  </si>
  <si>
    <t>1.1.11.1.1.1.16</t>
  </si>
  <si>
    <t>Multi Party Service subscription</t>
  </si>
  <si>
    <t>120</t>
  </si>
  <si>
    <t>1.1.11.1.1.1.17</t>
  </si>
  <si>
    <t>No. 7 Supervision</t>
  </si>
  <si>
    <t>121</t>
  </si>
  <si>
    <t>1.1.11.1.1.1.18</t>
  </si>
  <si>
    <t>Operator Determined Barring in HLR</t>
  </si>
  <si>
    <t>122</t>
  </si>
  <si>
    <t>1.1.11.1.1.1.19</t>
  </si>
  <si>
    <t>Positioning in HLR for CS</t>
  </si>
  <si>
    <t>123</t>
  </si>
  <si>
    <t>1.1.11.1.1.1.20</t>
  </si>
  <si>
    <t>Positioning in HLR for PS</t>
  </si>
  <si>
    <t>124</t>
  </si>
  <si>
    <t>1.1.11.1.1.1.21</t>
  </si>
  <si>
    <t>Remote Control Equipment</t>
  </si>
  <si>
    <t>125</t>
  </si>
  <si>
    <t>1.1.11.1.1.1.22</t>
  </si>
  <si>
    <t>Roaming Restriction per Subscription</t>
  </si>
  <si>
    <t>126</t>
  </si>
  <si>
    <t>1.1.11.1.1.1.23</t>
  </si>
  <si>
    <t>Roaming Service Restrictions in HLR</t>
  </si>
  <si>
    <t>127</t>
  </si>
  <si>
    <t>1.1.11.1.1.1.24</t>
  </si>
  <si>
    <t>SMS over GPRS in HLR</t>
  </si>
  <si>
    <t>128</t>
  </si>
  <si>
    <t>1.1.11.1.1.1.25</t>
  </si>
  <si>
    <t>Short Message Services in HLR</t>
  </si>
  <si>
    <t>129</t>
  </si>
  <si>
    <t>1.1.11.1.1.1.26</t>
  </si>
  <si>
    <t>Signaling Transport  over IP (SIGTRAN) in HLR</t>
  </si>
  <si>
    <t>130</t>
  </si>
  <si>
    <t>1.1.11.1.1.1.27</t>
  </si>
  <si>
    <t>Unstructured SS Data (USSD) to External Node</t>
  </si>
  <si>
    <t>131</t>
  </si>
  <si>
    <t>1.1.11.1.1.1.28</t>
  </si>
  <si>
    <t>Unstructured SS data in HLR</t>
  </si>
  <si>
    <t>132</t>
  </si>
  <si>
    <t>1.1.11.1.1.2</t>
  </si>
  <si>
    <t>133</t>
  </si>
  <si>
    <t>1.1.11.1.1.2.1</t>
  </si>
  <si>
    <t>Flexible Allocation of MSISDN</t>
  </si>
  <si>
    <t>135</t>
  </si>
  <si>
    <t>1.1.11.1.1.2.2</t>
  </si>
  <si>
    <t>R14.1 SW Basic Package for FNR</t>
  </si>
  <si>
    <t>136</t>
  </si>
  <si>
    <t>1.1.12</t>
  </si>
  <si>
    <t>Services_UDC_PA1</t>
  </si>
  <si>
    <t>138</t>
  </si>
  <si>
    <t>1.1.12.1</t>
  </si>
  <si>
    <t>139</t>
  </si>
  <si>
    <t>1.1.12.1.1</t>
  </si>
  <si>
    <t>140</t>
  </si>
  <si>
    <t>1.1.12.1.1.1</t>
  </si>
  <si>
    <t>UDC_Project_Management</t>
  </si>
  <si>
    <t>141</t>
  </si>
  <si>
    <t>1.1.12.1.1.2</t>
  </si>
  <si>
    <t>UDC_Implementation</t>
  </si>
  <si>
    <t>142</t>
  </si>
  <si>
    <t>1.1.12.1.1.3</t>
  </si>
  <si>
    <t>UDC_Risk Mitigation</t>
  </si>
  <si>
    <t>143</t>
  </si>
  <si>
    <t>1.2</t>
  </si>
  <si>
    <t>MSS 12A SW Upgrade</t>
  </si>
  <si>
    <t>145</t>
  </si>
  <si>
    <t>1.2.1</t>
  </si>
  <si>
    <t>New category</t>
  </si>
  <si>
    <t>146</t>
  </si>
  <si>
    <t>1.2.1.1</t>
  </si>
  <si>
    <t>MSC-S1 12A SW Upgrade ES (IPB 702 1829/1) 1 1</t>
  </si>
  <si>
    <t>147</t>
  </si>
  <si>
    <t>1.2.1.1.1</t>
  </si>
  <si>
    <t>MSC-S1 12A SW Upgrade ES (IPB 702 1829/1)</t>
  </si>
  <si>
    <t>148</t>
  </si>
  <si>
    <t>1.2.1.1.1.1</t>
  </si>
  <si>
    <t>PRODUCT PACKAGE/MSC 12A SW (FAP1302689)</t>
  </si>
  <si>
    <t>149</t>
  </si>
  <si>
    <t>1.2.1.1.1.1.1</t>
  </si>
  <si>
    <t>Upgrade R14.1 to 12A MSC-S Basic SW Package</t>
  </si>
  <si>
    <t>151</t>
  </si>
  <si>
    <t>1.2.1.1.1.1.2</t>
  </si>
  <si>
    <t>Upgrade to Legal Interception of Location Update procedure</t>
  </si>
  <si>
    <t>152</t>
  </si>
  <si>
    <t>1.2.1.1.1.1.3</t>
  </si>
  <si>
    <t>Upgrade to Remote Control Equipment</t>
  </si>
  <si>
    <t>153</t>
  </si>
  <si>
    <t>1.2.1.1.1.2</t>
  </si>
  <si>
    <t>154</t>
  </si>
  <si>
    <t>1.2.1.1.1.2.1</t>
  </si>
  <si>
    <t>LTE to CS Fallback</t>
  </si>
  <si>
    <t>156</t>
  </si>
  <si>
    <t>1.2.1.1.1.2.2</t>
  </si>
  <si>
    <t>SMS over SGs-interface</t>
  </si>
  <si>
    <t>157</t>
  </si>
  <si>
    <t>1.2.1.2</t>
  </si>
  <si>
    <t>MSC-S2 12A SW Upgrade ES (IPB 702 1803/1) 1 1</t>
  </si>
  <si>
    <t>159</t>
  </si>
  <si>
    <t>1.2.1.2.1</t>
  </si>
  <si>
    <t>MSC-S2 12A SW Upgrade ES (IPB 702 1803/1)</t>
  </si>
  <si>
    <t>160</t>
  </si>
  <si>
    <t>1.2.1.2.1.1</t>
  </si>
  <si>
    <t>161</t>
  </si>
  <si>
    <t>1.2.1.2.1.1.1</t>
  </si>
  <si>
    <t>163</t>
  </si>
  <si>
    <t>1.2.1.2.1.1.2</t>
  </si>
  <si>
    <t>164</t>
  </si>
  <si>
    <t>1.2.1.2.1.1.3</t>
  </si>
  <si>
    <t>165</t>
  </si>
  <si>
    <t>1.2.1.2.1.2</t>
  </si>
  <si>
    <t>166</t>
  </si>
  <si>
    <t>1.2.1.2.1.2.1</t>
  </si>
  <si>
    <t>168</t>
  </si>
  <si>
    <t>1.2.1.2.1.2.2</t>
  </si>
  <si>
    <t>169</t>
  </si>
  <si>
    <t>1.2.1.3</t>
  </si>
  <si>
    <t>MSC-S3 12A SW Upgrade ES (IPB 702 1814/1) 1 1</t>
  </si>
  <si>
    <t>171</t>
  </si>
  <si>
    <t>1.2.1.3.1</t>
  </si>
  <si>
    <t>MSC-S3 12A SW Upgrade ES (IPB 702 1814/1)</t>
  </si>
  <si>
    <t>172</t>
  </si>
  <si>
    <t>1.2.1.3.1.1</t>
  </si>
  <si>
    <t>173</t>
  </si>
  <si>
    <t>1.2.1.3.1.1.1</t>
  </si>
  <si>
    <t>175</t>
  </si>
  <si>
    <t>1.2.1.3.1.1.2</t>
  </si>
  <si>
    <t>176</t>
  </si>
  <si>
    <t>1.2.1.3.1.1.3</t>
  </si>
  <si>
    <t>177</t>
  </si>
  <si>
    <t>1.2.1.3.1.2</t>
  </si>
  <si>
    <t>178</t>
  </si>
  <si>
    <t>1.2.1.3.1.2.1</t>
  </si>
  <si>
    <t>180</t>
  </si>
  <si>
    <t>1.2.1.3.1.2.2</t>
  </si>
  <si>
    <t>181</t>
  </si>
  <si>
    <t>1.2.1.4</t>
  </si>
  <si>
    <t>MSC-S4 12A SW Upgrade ES (IPB 702 1830/1) 1 1</t>
  </si>
  <si>
    <t>183</t>
  </si>
  <si>
    <t>1.2.1.4.1</t>
  </si>
  <si>
    <t>MSC-S4 12A SW Upgrade ES (IPB 702 1830/1)</t>
  </si>
  <si>
    <t>184</t>
  </si>
  <si>
    <t>1.2.1.4.1.1</t>
  </si>
  <si>
    <t>185</t>
  </si>
  <si>
    <t>1.2.1.4.1.1.1</t>
  </si>
  <si>
    <t>187</t>
  </si>
  <si>
    <t>1.2.1.4.1.1.2</t>
  </si>
  <si>
    <t>188</t>
  </si>
  <si>
    <t>1.2.1.4.1.1.3</t>
  </si>
  <si>
    <t>189</t>
  </si>
  <si>
    <t>1.2.1.4.1.2</t>
  </si>
  <si>
    <t>190</t>
  </si>
  <si>
    <t>1.2.1.4.1.2.1</t>
  </si>
  <si>
    <t>192</t>
  </si>
  <si>
    <t>1.2.1.4.1.2.2</t>
  </si>
  <si>
    <t>193</t>
  </si>
  <si>
    <t>1.2.1.5</t>
  </si>
  <si>
    <t>MSC-S5 12A SW Upgrade ES (IPB 702 1831/1) 1 1</t>
  </si>
  <si>
    <t>195</t>
  </si>
  <si>
    <t>1.2.1.5.1</t>
  </si>
  <si>
    <t>MSC-S5 12A SW Upgrade ES (IPB 702 1831/1)</t>
  </si>
  <si>
    <t>196</t>
  </si>
  <si>
    <t>1.2.1.5.1.1</t>
  </si>
  <si>
    <t>197</t>
  </si>
  <si>
    <t>1.2.1.5.1.1.1</t>
  </si>
  <si>
    <t>199</t>
  </si>
  <si>
    <t>1.2.1.5.1.1.2</t>
  </si>
  <si>
    <t>200</t>
  </si>
  <si>
    <t>1.2.1.5.1.1.3</t>
  </si>
  <si>
    <t>201</t>
  </si>
  <si>
    <t>1.2.1.5.1.2</t>
  </si>
  <si>
    <t>202</t>
  </si>
  <si>
    <t>1.2.1.5.1.2.1</t>
  </si>
  <si>
    <t>204</t>
  </si>
  <si>
    <t>1.2.1.5.1.2.2</t>
  </si>
  <si>
    <t>205</t>
  </si>
  <si>
    <t>1.2.1.6</t>
  </si>
  <si>
    <t>MSC-S6 12A SW Upgrade ES (IPB 702 1848/1) 1 1</t>
  </si>
  <si>
    <t>207</t>
  </si>
  <si>
    <t>1.2.1.6.1</t>
  </si>
  <si>
    <t>MSC-S6 12A SW Upgrade ES (IPB 702 1848/1)</t>
  </si>
  <si>
    <t>208</t>
  </si>
  <si>
    <t>1.2.1.6.1.1</t>
  </si>
  <si>
    <t>209</t>
  </si>
  <si>
    <t>1.2.1.6.1.1.1</t>
  </si>
  <si>
    <t>211</t>
  </si>
  <si>
    <t>1.2.1.6.1.1.2</t>
  </si>
  <si>
    <t>212</t>
  </si>
  <si>
    <t>1.2.1.6.1.1.3</t>
  </si>
  <si>
    <t>213</t>
  </si>
  <si>
    <t>1.2.1.6.1.2</t>
  </si>
  <si>
    <t>214</t>
  </si>
  <si>
    <t>1.2.1.6.1.2.1</t>
  </si>
  <si>
    <t>216</t>
  </si>
  <si>
    <t>1.2.1.6.1.2.2</t>
  </si>
  <si>
    <t>217</t>
  </si>
  <si>
    <t>1.2.2</t>
  </si>
  <si>
    <t>MSS_R12A_Sw_Upg_PA1</t>
  </si>
  <si>
    <t>219</t>
  </si>
  <si>
    <t>1.2.2.1</t>
  </si>
  <si>
    <t>220</t>
  </si>
  <si>
    <t>1.2.2.1.1</t>
  </si>
  <si>
    <t>221</t>
  </si>
  <si>
    <t>1.2.2.1.1.1</t>
  </si>
  <si>
    <t>MSS_R12A_SW_Upg Project Management</t>
  </si>
  <si>
    <t>222</t>
  </si>
  <si>
    <t>1.2.2.1.1.2</t>
  </si>
  <si>
    <t>MSS_R12A_SW_Upg Implementation</t>
  </si>
  <si>
    <t>223</t>
  </si>
  <si>
    <t>1.2.2.1.1.3</t>
  </si>
  <si>
    <t>MSS_R12A_SW_Upg Risk Mitigation</t>
  </si>
  <si>
    <t>224</t>
  </si>
  <si>
    <t>1.3</t>
  </si>
  <si>
    <t>PS Core HW</t>
  </si>
  <si>
    <t>226</t>
  </si>
  <si>
    <t>1.3.1</t>
  </si>
  <si>
    <t>FY12/13</t>
  </si>
  <si>
    <t>227</t>
  </si>
  <si>
    <t>1.3.1.1</t>
  </si>
  <si>
    <t>SGSN MkVIII - HW</t>
  </si>
  <si>
    <t>228</t>
  </si>
  <si>
    <t>1.3.1.1.1</t>
  </si>
  <si>
    <t>MkVIII upgrade from MkVI</t>
  </si>
  <si>
    <t>229</t>
  </si>
  <si>
    <t>1.3.1.1.1.1</t>
  </si>
  <si>
    <t>PRODUCT PACKAGE/SGSN-MME 2011B MkVIII (FAP1302718)</t>
  </si>
  <si>
    <t>230</t>
  </si>
  <si>
    <t>1.3.1.1.1.1.1</t>
  </si>
  <si>
    <t>SGSN-MME MkVIII Base Platform Upgrade License</t>
  </si>
  <si>
    <t>232</t>
  </si>
  <si>
    <t>1.3.1.1.1.1.2</t>
  </si>
  <si>
    <t>SGSN-MME MkVIII Expansion Blade</t>
  </si>
  <si>
    <t>233</t>
  </si>
  <si>
    <t>1.3.1.1.1.1.3</t>
  </si>
  <si>
    <t>SGSN-MME MkVIII Expansion Blade Platform License</t>
  </si>
  <si>
    <t>234</t>
  </si>
  <si>
    <t>1.3.1.1.1.1.4</t>
  </si>
  <si>
    <t>SGSN-MME MkVIII Expansion Subrack</t>
  </si>
  <si>
    <t>235</t>
  </si>
  <si>
    <t>1.3.1.1.1.1.5</t>
  </si>
  <si>
    <t>SGSN-MME MkVIII HW Base Upgrade Kit (new cabinet)</t>
  </si>
  <si>
    <t>236</t>
  </si>
  <si>
    <t>1.3.1.1.2</t>
  </si>
  <si>
    <t>OLP SGSN-MkVIII/1mag upgrade from MkVI</t>
  </si>
  <si>
    <t>238</t>
  </si>
  <si>
    <t>1.3.1.1.2.1</t>
  </si>
  <si>
    <t>PRODUCT PACKAGE/SGSN-MME 2011A MkVIII (FAP1302485)</t>
  </si>
  <si>
    <t>239</t>
  </si>
  <si>
    <t>1.3.1.1.2.1.1</t>
  </si>
  <si>
    <t>241</t>
  </si>
  <si>
    <t>1.3.1.1.2.1.2</t>
  </si>
  <si>
    <t>242</t>
  </si>
  <si>
    <t>1.3.1.1.3</t>
  </si>
  <si>
    <t>SGSN-MkVIII HW Spare Parts</t>
  </si>
  <si>
    <t>244</t>
  </si>
  <si>
    <t>1.3.1.1.3.1</t>
  </si>
  <si>
    <t>PRODUCT PACKAGE/SP SGSN-MME 2011A MkVIII (FAP1302548)</t>
  </si>
  <si>
    <t>245</t>
  </si>
  <si>
    <t>1.3.1.1.3.1.1</t>
  </si>
  <si>
    <t>CMXB3 EGEM2</t>
  </si>
  <si>
    <t>247</t>
  </si>
  <si>
    <t>1.3.1.1.3.1.2</t>
  </si>
  <si>
    <t>GEP3-24GB</t>
  </si>
  <si>
    <t>248</t>
  </si>
  <si>
    <t>1.3.1.1.3.1.3</t>
  </si>
  <si>
    <t>249</t>
  </si>
  <si>
    <t>1.3.1.1.3.1.4</t>
  </si>
  <si>
    <t>O/E conv.; 1G, 3x10G</t>
  </si>
  <si>
    <t>250</t>
  </si>
  <si>
    <t>1.3.1.1.3.1.5</t>
  </si>
  <si>
    <t>OPTICAL TRANSCEIVER/TRX SM CPRI DUAL RAT</t>
  </si>
  <si>
    <t>251</t>
  </si>
  <si>
    <t>1.3.1.1.3.1.6</t>
  </si>
  <si>
    <t>252</t>
  </si>
  <si>
    <t>1.3.1.1.3.1.7</t>
  </si>
  <si>
    <t>PFM LOD</t>
  </si>
  <si>
    <t>253</t>
  </si>
  <si>
    <t>1.3.1.1.3.1.8</t>
  </si>
  <si>
    <t>254</t>
  </si>
  <si>
    <t>1.3.1.1.3.1.9</t>
  </si>
  <si>
    <t>SFP GB-TX  RJ45 Ethernet transceiver 1000Base-T 1.25G</t>
  </si>
  <si>
    <t>255</t>
  </si>
  <si>
    <t>1.3.1.1.3.1.10</t>
  </si>
  <si>
    <t>256</t>
  </si>
  <si>
    <t>1.3.1.1.3.1.11</t>
  </si>
  <si>
    <t>TRX MM 1000Base-SX LC-SFP -5/+85C (1400421-0010)</t>
  </si>
  <si>
    <t>257</t>
  </si>
  <si>
    <t>1.3.1.1.3.1.12</t>
  </si>
  <si>
    <t>TRX MM 10GBase-LRM 1310nm DBF LC-SFP+ receptacle 0/+70C 3.3V</t>
  </si>
  <si>
    <t>258</t>
  </si>
  <si>
    <t>1.3.1.1.3.1.13</t>
  </si>
  <si>
    <t>TRX MM 10Gbase-SR 850nm VCSEL LC-SFP+ receptacle 0/+70C 3.3V</t>
  </si>
  <si>
    <t>259</t>
  </si>
  <si>
    <t>1.3.1.1.3.1.14</t>
  </si>
  <si>
    <t>TRX SM 10GBase-LR 1310nm DBF LC-SFP+ receptacle 0/+70C 3.3V</t>
  </si>
  <si>
    <t>260</t>
  </si>
  <si>
    <t>1.3.2</t>
  </si>
  <si>
    <t>GSN Sw</t>
  </si>
  <si>
    <t>262</t>
  </si>
  <si>
    <t>1.3.2.1</t>
  </si>
  <si>
    <t>FY12/13 GSN SW</t>
  </si>
  <si>
    <t>263</t>
  </si>
  <si>
    <t>1.3.2.1.1</t>
  </si>
  <si>
    <t>MkVIII SGSN 2011B SW</t>
  </si>
  <si>
    <t>264</t>
  </si>
  <si>
    <t>1.3.2.1.1.1</t>
  </si>
  <si>
    <t>5kPDP HSDPA Support, Exp5 (48-84Mbps)</t>
  </si>
  <si>
    <t>265</t>
  </si>
  <si>
    <t>1.3.2.1.1.2</t>
  </si>
  <si>
    <t>5kPDP HSDPA support, Exp1 (2-8Mbps)</t>
  </si>
  <si>
    <t>266</t>
  </si>
  <si>
    <t>1.3.2.1.1.3</t>
  </si>
  <si>
    <t>APN Resolution Funchtional Extension</t>
  </si>
  <si>
    <t>267</t>
  </si>
  <si>
    <t>1.3.2.1.1.4</t>
  </si>
  <si>
    <t>Enhanced UL Supp. (2-4Mbps)</t>
  </si>
  <si>
    <t>268</t>
  </si>
  <si>
    <t>1.3.2.1.1.5</t>
  </si>
  <si>
    <t>Enhanced UL Supp. Exp1 (4-8Mbps)</t>
  </si>
  <si>
    <t>269</t>
  </si>
  <si>
    <t>1.3.2.1.1.6</t>
  </si>
  <si>
    <t>HSDPA Support Exp 2 (8-16Mbps)</t>
  </si>
  <si>
    <t>270</t>
  </si>
  <si>
    <t>1.3.2.1.1.7</t>
  </si>
  <si>
    <t>HSDPA Support Exp3 (16-32 Mbps)</t>
  </si>
  <si>
    <t>271</t>
  </si>
  <si>
    <t>1.3.2.1.1.8</t>
  </si>
  <si>
    <t>HSDPA Support Exp4 (32-48 Mbps)</t>
  </si>
  <si>
    <t>272</t>
  </si>
  <si>
    <t>1.3.2.1.1.9</t>
  </si>
  <si>
    <t>SGSN-MME 2011B 10 kPPS GSM or 50 kPPS WCDMA Capacity SW License</t>
  </si>
  <si>
    <t>273</t>
  </si>
  <si>
    <t>1.3.2.1.1.10</t>
  </si>
  <si>
    <t>SGSN-MME 2011B 5k IP Sessions Capacity SW License</t>
  </si>
  <si>
    <t>274</t>
  </si>
  <si>
    <t>1.3.2.1.1.11</t>
  </si>
  <si>
    <t>5k IPSession Dual Access for GSM and WCDMA</t>
  </si>
  <si>
    <t>275</t>
  </si>
  <si>
    <t>1.3.2.1.1.12</t>
  </si>
  <si>
    <t>5k IPSession Gb over IP</t>
  </si>
  <si>
    <t>276</t>
  </si>
  <si>
    <t>1.3.2.1.1.13</t>
  </si>
  <si>
    <t>5k IPSessionSGSN Pool for GSM</t>
  </si>
  <si>
    <t>277</t>
  </si>
  <si>
    <t>1.3.2.1.1.14</t>
  </si>
  <si>
    <t>5k IPSession SGSN Pool for WCDMA</t>
  </si>
  <si>
    <t>278</t>
  </si>
  <si>
    <t>1.3.2.1.1.15</t>
  </si>
  <si>
    <t>5k IPSession SS7 over IP (SIGTRAN)</t>
  </si>
  <si>
    <t>279</t>
  </si>
  <si>
    <t>1.3.2.1.2</t>
  </si>
  <si>
    <t>OLP SGSN MkVIII SW</t>
  </si>
  <si>
    <t>281</t>
  </si>
  <si>
    <t>1.3.2.1.2.1</t>
  </si>
  <si>
    <t>PRODUCT PACKAGE/SGSN-MME 2011B Software (FAP1302716)</t>
  </si>
  <si>
    <t>282</t>
  </si>
  <si>
    <t>1.3.2.1.2.1.1</t>
  </si>
  <si>
    <t>SGSN-MME 2011B SW License for Test-lab usage</t>
  </si>
  <si>
    <t>284</t>
  </si>
  <si>
    <t>1.3.2.2</t>
  </si>
  <si>
    <t>FY12/13 SW Upgrade</t>
  </si>
  <si>
    <t>286</t>
  </si>
  <si>
    <t>1.3.2.2.1</t>
  </si>
  <si>
    <t>FY12/13 SW upgrade</t>
  </si>
  <si>
    <t>287</t>
  </si>
  <si>
    <t>1.3.2.2.1.1</t>
  </si>
  <si>
    <t>SGSN-MME 2010B to 2011A 10 kPPS GSM or 50 kPPS WCDMA SW Upgrade License</t>
  </si>
  <si>
    <t>288</t>
  </si>
  <si>
    <t>1.3.2.2.1.2</t>
  </si>
  <si>
    <t>SGSN-MME 2010B to 2011A 5k IP Sessions SW Upgrade License</t>
  </si>
  <si>
    <t>289</t>
  </si>
  <si>
    <t>1.3.2.2.1.3</t>
  </si>
  <si>
    <t>SW Upgrade from GGSN 2010B to GGSN-MPG 2011A License for 1 k IP Session</t>
  </si>
  <si>
    <t>290</t>
  </si>
  <si>
    <t>1.3.2.2.1.4</t>
  </si>
  <si>
    <t>SW Upgrade from GGSN 2010B to GGSN-MPG 2011A License for 1 kPPS</t>
  </si>
  <si>
    <t>291</t>
  </si>
  <si>
    <t>1.3.3</t>
  </si>
  <si>
    <t>Gb over IP</t>
  </si>
  <si>
    <t>293</t>
  </si>
  <si>
    <t>1.3.3.1</t>
  </si>
  <si>
    <t>294</t>
  </si>
  <si>
    <t>1.3.3.1.1</t>
  </si>
  <si>
    <t>295</t>
  </si>
  <si>
    <t>1.3.3.1.1.1</t>
  </si>
  <si>
    <t>296</t>
  </si>
  <si>
    <t>1.3.4</t>
  </si>
  <si>
    <t>SGSN in Pool</t>
  </si>
  <si>
    <t>298</t>
  </si>
  <si>
    <t>1.3.4.1</t>
  </si>
  <si>
    <t>SGSN In Pool Feature</t>
  </si>
  <si>
    <t>299</t>
  </si>
  <si>
    <t>1.3.4.1.1</t>
  </si>
  <si>
    <t>SGSN in Pool Feature</t>
  </si>
  <si>
    <t>300</t>
  </si>
  <si>
    <t>1.3.4.1.1.1</t>
  </si>
  <si>
    <t>SGSN in Pool support in BSC</t>
  </si>
  <si>
    <t>301</t>
  </si>
  <si>
    <t>1.3.4.2</t>
  </si>
  <si>
    <t>p. 16 ChE</t>
  </si>
  <si>
    <t>303</t>
  </si>
  <si>
    <t>1.3.4.2.1</t>
  </si>
  <si>
    <t>FAJ 121 972, Support for SGSN in pool p.16ChE UL</t>
  </si>
  <si>
    <t>304</t>
  </si>
  <si>
    <t>1.3.4.2.1.1</t>
  </si>
  <si>
    <t>UL_Support for SiP, FAJ 121972</t>
  </si>
  <si>
    <t>305</t>
  </si>
  <si>
    <t>1.3.4.2.2</t>
  </si>
  <si>
    <t>FAJ 121 972, Support for SGSN in pool p.16ChE DL</t>
  </si>
  <si>
    <t>307</t>
  </si>
  <si>
    <t>1.3.4.2.2.1</t>
  </si>
  <si>
    <t>DL_Support for SiP, FAJ 121972</t>
  </si>
  <si>
    <t>308</t>
  </si>
  <si>
    <t>1.3.5</t>
  </si>
  <si>
    <t>Gb_Over_IP_PA1</t>
  </si>
  <si>
    <t>310</t>
  </si>
  <si>
    <t>1.3.5.1</t>
  </si>
  <si>
    <t>Gb_Over_IP_PA1 2</t>
  </si>
  <si>
    <t>311</t>
  </si>
  <si>
    <t>1.3.5.1.1</t>
  </si>
  <si>
    <t>312</t>
  </si>
  <si>
    <t>1.3.5.1.1.1</t>
  </si>
  <si>
    <t>Gb Over IP Project Management</t>
  </si>
  <si>
    <t>313</t>
  </si>
  <si>
    <t>1.3.5.1.1.2</t>
  </si>
  <si>
    <t>Gb Over IP Implementation</t>
  </si>
  <si>
    <t>314</t>
  </si>
  <si>
    <t>1.3.5.1.1.3</t>
  </si>
  <si>
    <t>Gb Over IP Risk Mitigation</t>
  </si>
  <si>
    <t>315</t>
  </si>
  <si>
    <t>1.3.6</t>
  </si>
  <si>
    <t>MK8_SGSN_in_Pool_Live_PA1</t>
  </si>
  <si>
    <t>317</t>
  </si>
  <si>
    <t>1.3.6.1</t>
  </si>
  <si>
    <t>MK8_SGSN_in_Pool_Live_PA1 4</t>
  </si>
  <si>
    <t>318</t>
  </si>
  <si>
    <t>1.3.6.1.1</t>
  </si>
  <si>
    <t>319</t>
  </si>
  <si>
    <t>1.3.6.1.1.1</t>
  </si>
  <si>
    <t>MK 8_SGSN in pool Live Project Management</t>
  </si>
  <si>
    <t>320</t>
  </si>
  <si>
    <t>1.3.6.1.1.2</t>
  </si>
  <si>
    <t>MK 8_SGSN in pool Live Implementation</t>
  </si>
  <si>
    <t>321</t>
  </si>
  <si>
    <t>1.3.6.1.1.3</t>
  </si>
  <si>
    <t>MK 8_SGSN in pool Live Risk Mitigation</t>
  </si>
  <si>
    <t>322</t>
  </si>
  <si>
    <t>1.3.7</t>
  </si>
  <si>
    <t>MK8_SGSN_Pool_OLP_PA1</t>
  </si>
  <si>
    <t>324</t>
  </si>
  <si>
    <t>1.3.7.1</t>
  </si>
  <si>
    <t>MK8_SGSN_Pool_OLP_PA1 5</t>
  </si>
  <si>
    <t>325</t>
  </si>
  <si>
    <t>1.3.7.1.1</t>
  </si>
  <si>
    <t>326</t>
  </si>
  <si>
    <t>1.3.7.1.1.1</t>
  </si>
  <si>
    <t>Mk 8_SGSN in pool OLP Project Management</t>
  </si>
  <si>
    <t>327</t>
  </si>
  <si>
    <t>1.3.7.1.1.2</t>
  </si>
  <si>
    <t>Mk 8_SGSN in pool OLP Implementation</t>
  </si>
  <si>
    <t>328</t>
  </si>
  <si>
    <t>1.3.7.1.1.3</t>
  </si>
  <si>
    <t>Mk 8_SGSN in pool OLP Risk Mitigation</t>
  </si>
  <si>
    <t>329</t>
  </si>
  <si>
    <t>3</t>
  </si>
  <si>
    <t>4</t>
  </si>
  <si>
    <t>5</t>
  </si>
  <si>
    <t>6</t>
  </si>
  <si>
    <t>7</t>
  </si>
  <si>
    <t>8</t>
  </si>
  <si>
    <t>9</t>
  </si>
  <si>
    <t>21</t>
  </si>
  <si>
    <t>24</t>
  </si>
  <si>
    <t>=SUM(K67,K68)</t>
  </si>
  <si>
    <t>=SUM(K73,K74,K75,K76,K77,K78,K79,K80,K81,K82,K83,K84,K85,K86,K87,K88,K89,K90,K91,K92,K93,K94,K95,K96,K97,K98,K99,K100)</t>
  </si>
  <si>
    <t>=SUM(K102,K103)</t>
  </si>
  <si>
    <t>=SUM(K107,K108,K109)</t>
  </si>
  <si>
    <t>=SUM(K14,K15,K16,K17)</t>
  </si>
  <si>
    <t>=SUM(K22,K23,K24,K25,K26)</t>
  </si>
  <si>
    <t>=SUM(K30)</t>
  </si>
  <si>
    <t>=SUM(K35,K36,K37,K38)</t>
  </si>
  <si>
    <t>=SUM(K43,K44,K45,K46)</t>
  </si>
  <si>
    <t>=SUM(K51)</t>
  </si>
  <si>
    <t>=SUM(K56)</t>
  </si>
  <si>
    <t>=SUM(K61,K62,K63)</t>
  </si>
  <si>
    <t>=SUM(K115,K116,K117)</t>
  </si>
  <si>
    <t>=SUM(K119,K120)</t>
  </si>
  <si>
    <t>=SUM(K124,K125,K126)</t>
  </si>
  <si>
    <t>=SUM(K128,K129)</t>
  </si>
  <si>
    <t>=SUM(K133,K134,K135)</t>
  </si>
  <si>
    <t>=SUM(K137,K138)</t>
  </si>
  <si>
    <t>=SUM(K142,K143,K144)</t>
  </si>
  <si>
    <t>=SUM(K146,K147)</t>
  </si>
  <si>
    <t>=SUM(K151,K152,K153)</t>
  </si>
  <si>
    <t>=SUM(K155,K156)</t>
  </si>
  <si>
    <t>=SUM(K160,K161,K162)</t>
  </si>
  <si>
    <t>=SUM(K164,K165)</t>
  </si>
  <si>
    <t>=SUM(K169,K170,K171)</t>
  </si>
  <si>
    <t>=SUM(K177,K178,K179,K180,K181)</t>
  </si>
  <si>
    <t>=SUM(K184,K185)</t>
  </si>
  <si>
    <t>=SUM(K188,K189,K190,K191,K192,K193,K194,K195,K196,K197,K198,K199,K200,K201)</t>
  </si>
  <si>
    <t>=SUM(K205,K206,K207,K208,K209,K210,K211,K212,K213,K214,K215,K216,K217,K218,K219)</t>
  </si>
  <si>
    <t>=SUM(K222)</t>
  </si>
  <si>
    <t>=SUM(K225,K226,K227,K228)</t>
  </si>
  <si>
    <t>=SUM(K232)</t>
  </si>
  <si>
    <t>=SUM(K236)</t>
  </si>
  <si>
    <t>=SUM(K239)</t>
  </si>
  <si>
    <t>=SUM(K241)</t>
  </si>
  <si>
    <t>=SUM(K245,K246,K247)</t>
  </si>
  <si>
    <t>=SUM(K251,K252,K253)</t>
  </si>
  <si>
    <t>=SUM(K257,K258,K259)</t>
  </si>
  <si>
    <t>=I66*SUM(M67,M68)</t>
  </si>
  <si>
    <t>=I72*SUM(M73,M74,M75,M76,M77,M78,M79,M80,M81,M82,M83,M84,M85,M86,M87,M88,M89,M90,M91,M92,M93,M94,M95,M96,M97,M98,M99,M100)</t>
  </si>
  <si>
    <t>=I101*SUM(M102,M103)</t>
  </si>
  <si>
    <t>=I106*SUM(M107,M108,M109)</t>
  </si>
  <si>
    <t>=I13*SUM(M14,M15,M16,M17)</t>
  </si>
  <si>
    <t>=I21*SUM(M22,M23,M24,M25,M26)</t>
  </si>
  <si>
    <t>=I29*SUM(M30)</t>
  </si>
  <si>
    <t>=I34*SUM(M35,M36,M37,M38)</t>
  </si>
  <si>
    <t>=I42*SUM(M43,M44,M45,M46)</t>
  </si>
  <si>
    <t>=I50*SUM(M51)</t>
  </si>
  <si>
    <t>=I55*SUM(M56)</t>
  </si>
  <si>
    <t>=I60*SUM(M61,M62,M63)</t>
  </si>
  <si>
    <t>=I114*SUM(M115,M116,M117)</t>
  </si>
  <si>
    <t>=I118*SUM(M119,M120)</t>
  </si>
  <si>
    <t>=I123*SUM(M124,M125,M126)</t>
  </si>
  <si>
    <t>=I127*SUM(M128,M129)</t>
  </si>
  <si>
    <t>=I132*SUM(M133,M134,M135)</t>
  </si>
  <si>
    <t>=I136*SUM(M137,M138)</t>
  </si>
  <si>
    <t>=I141*SUM(M142,M143,M144)</t>
  </si>
  <si>
    <t>=I145*SUM(M146,M147)</t>
  </si>
  <si>
    <t>=I150*SUM(M151,M152,M153)</t>
  </si>
  <si>
    <t>=I154*SUM(M155,M156)</t>
  </si>
  <si>
    <t>=I159*SUM(M160,M161,M162)</t>
  </si>
  <si>
    <t>=I163*SUM(M164,M165)</t>
  </si>
  <si>
    <t>=I168*SUM(M169,M170,M171)</t>
  </si>
  <si>
    <t>=I176*SUM(M177,M178,M179,M180,M181)</t>
  </si>
  <si>
    <t>=I183*SUM(M184,M185)</t>
  </si>
  <si>
    <t>=I187*SUM(M188,M189,M190,M191,M192,M193,M194,M195,M196,M197,M198,M199,M200,M201)</t>
  </si>
  <si>
    <t>=I204*SUM(M205,M206,M207,M208,M209,M210,M211,M212,M213,M214,M215,M216,M217,M218,M219)</t>
  </si>
  <si>
    <t>=I221*SUM(M222)</t>
  </si>
  <si>
    <t>=I224*SUM(M225,M226,M227,M228)</t>
  </si>
  <si>
    <t>=I231*SUM(M232)</t>
  </si>
  <si>
    <t>=I235*SUM(M236)</t>
  </si>
  <si>
    <t>=I238*SUM(M239)</t>
  </si>
  <si>
    <t>=I240*SUM(M241)</t>
  </si>
  <si>
    <t>=I244*SUM(M245,M246,M247)</t>
  </si>
  <si>
    <t>=I250*SUM(M251,M252,M253)</t>
  </si>
  <si>
    <t>=I256*SUM(M257,M258,M259)</t>
  </si>
  <si>
    <t>=I66*J66</t>
  </si>
  <si>
    <t>=I72*J72</t>
  </si>
  <si>
    <t>=I101*J101</t>
  </si>
  <si>
    <t>=I106*J106</t>
  </si>
  <si>
    <t>=I13*J13</t>
  </si>
  <si>
    <t>=I21*J21</t>
  </si>
  <si>
    <t>=I29*J29</t>
  </si>
  <si>
    <t>=I34*J34</t>
  </si>
  <si>
    <t>=I42*J42</t>
  </si>
  <si>
    <t>=I50*J50</t>
  </si>
  <si>
    <t>=I55*J55</t>
  </si>
  <si>
    <t>=I60*J60</t>
  </si>
  <si>
    <t>=I114*J114</t>
  </si>
  <si>
    <t>=I118*J118</t>
  </si>
  <si>
    <t>=I123*J123</t>
  </si>
  <si>
    <t>=I127*J127</t>
  </si>
  <si>
    <t>=I132*J132</t>
  </si>
  <si>
    <t>=I136*J136</t>
  </si>
  <si>
    <t>=I141*J141</t>
  </si>
  <si>
    <t>=I145*J145</t>
  </si>
  <si>
    <t>=I150*J150</t>
  </si>
  <si>
    <t>=I154*J154</t>
  </si>
  <si>
    <t>=I159*J159</t>
  </si>
  <si>
    <t>=I163*J163</t>
  </si>
  <si>
    <t>=I168*J168</t>
  </si>
  <si>
    <t>=I176*J176</t>
  </si>
  <si>
    <t>=I183*J183</t>
  </si>
  <si>
    <t>=I187*J187</t>
  </si>
  <si>
    <t>=I204*J204</t>
  </si>
  <si>
    <t>=I221*J221</t>
  </si>
  <si>
    <t>=I224*J224</t>
  </si>
  <si>
    <t>=I231*J231</t>
  </si>
  <si>
    <t>=I235*J235</t>
  </si>
  <si>
    <t>=I238*J238</t>
  </si>
  <si>
    <t>=I240*J240</t>
  </si>
  <si>
    <t>=I244*J244</t>
  </si>
  <si>
    <t>=I250*J250</t>
  </si>
  <si>
    <t>=I256*J256</t>
  </si>
  <si>
    <t>=100*(1-(M66/K66))</t>
  </si>
  <si>
    <t>=100*(1-(M72/K72))</t>
  </si>
  <si>
    <t>=100*(1-(M101/K101))</t>
  </si>
  <si>
    <t>=100*(1-(M106/K106))</t>
  </si>
  <si>
    <t>=100*(1-(M13/K13))</t>
  </si>
  <si>
    <t>=100*(1-(M21/K21))</t>
  </si>
  <si>
    <t>=100*(1-(M29/K29))</t>
  </si>
  <si>
    <t>=100*(1-(M34/K34))</t>
  </si>
  <si>
    <t>=100*(1-(M42/K42))</t>
  </si>
  <si>
    <t>=100*(1-(M50/K50))</t>
  </si>
  <si>
    <t>=100*(1-(M55/K55))</t>
  </si>
  <si>
    <t>=100*(1-(M60/K60))</t>
  </si>
  <si>
    <t>=100*(1-(M114/K114))</t>
  </si>
  <si>
    <t>=100*(1-(M118/K118))</t>
  </si>
  <si>
    <t>=100*(1-(M123/K123))</t>
  </si>
  <si>
    <t>=100*(1-(M127/K127))</t>
  </si>
  <si>
    <t>=100*(1-(M132/K132))</t>
  </si>
  <si>
    <t>=100*(1-(M136/K136))</t>
  </si>
  <si>
    <t>=100*(1-(M141/K141))</t>
  </si>
  <si>
    <t>=100*(1-(M145/K145))</t>
  </si>
  <si>
    <t>=100*(1-(M150/K150))</t>
  </si>
  <si>
    <t>=100*(1-(M154/K154))</t>
  </si>
  <si>
    <t>=100*(1-(M159/K159))</t>
  </si>
  <si>
    <t>=100*(1-(M163/K163))</t>
  </si>
  <si>
    <t>=100*(1-(M168/K168))</t>
  </si>
  <si>
    <t>=100*(1-(M176/K176))</t>
  </si>
  <si>
    <t>=100*(1-(M183/K183))</t>
  </si>
  <si>
    <t>=100*(1-(M187/K187))</t>
  </si>
  <si>
    <t>=100*(1-(M204/K204))</t>
  </si>
  <si>
    <t>=100*(1-(M221/K221))</t>
  </si>
  <si>
    <t>=100*(1-(M224/K224))</t>
  </si>
  <si>
    <t>=100*(1-(M231/K231))</t>
  </si>
  <si>
    <t>=100*(1-(M235/K235))</t>
  </si>
  <si>
    <t>=100*(1-(M238/K238))</t>
  </si>
  <si>
    <t>=100*(1-(M240/K240))</t>
  </si>
  <si>
    <t>=100*(1-(M244/K244))</t>
  </si>
  <si>
    <t>=100*(1-(M250/K250))</t>
  </si>
  <si>
    <t>=100*(1-(M256/K256))</t>
  </si>
  <si>
    <t>=SUM(K66)</t>
  </si>
  <si>
    <t>=SUM(K72,K101)</t>
  </si>
  <si>
    <t>=SUM(K106)</t>
  </si>
  <si>
    <t>=SUM(K21)</t>
  </si>
  <si>
    <t>=SUM(K29)</t>
  </si>
  <si>
    <t>=SUM(K34)</t>
  </si>
  <si>
    <t>=SUM(K42)</t>
  </si>
  <si>
    <t>=SUM(K50)</t>
  </si>
  <si>
    <t>=SUM(K55)</t>
  </si>
  <si>
    <t>=SUM(K60)</t>
  </si>
  <si>
    <t>=SUM(K114,K118)</t>
  </si>
  <si>
    <t>=SUM(K123,K127)</t>
  </si>
  <si>
    <t>=SUM(K132,K136)</t>
  </si>
  <si>
    <t>=SUM(K141,K145)</t>
  </si>
  <si>
    <t>=SUM(K150,K154)</t>
  </si>
  <si>
    <t>=SUM(K159,K163)</t>
  </si>
  <si>
    <t>=SUM(K168)</t>
  </si>
  <si>
    <t>=SUM(K176)</t>
  </si>
  <si>
    <t>=SUM(K183)</t>
  </si>
  <si>
    <t>=SUM(K187)</t>
  </si>
  <si>
    <t>=SUM(K204,K220)</t>
  </si>
  <si>
    <t>=SUM(K221)</t>
  </si>
  <si>
    <t>=SUM(K224)</t>
  </si>
  <si>
    <t>=SUM(K231)</t>
  </si>
  <si>
    <t>=SUM(K235)</t>
  </si>
  <si>
    <t>=SUM(K238,K240)</t>
  </si>
  <si>
    <t>=SUM(K244)</t>
  </si>
  <si>
    <t>=SUM(K250)</t>
  </si>
  <si>
    <t>=SUM(K256)</t>
  </si>
  <si>
    <t>=I65*SUM(M66)</t>
  </si>
  <si>
    <t>=I71*SUM(M72,M101)</t>
  </si>
  <si>
    <t>=I105*SUM(M106)</t>
  </si>
  <si>
    <t>=I20*SUM(M21)</t>
  </si>
  <si>
    <t>=I28*SUM(M29)</t>
  </si>
  <si>
    <t>=I33*SUM(M34)</t>
  </si>
  <si>
    <t>=I41*SUM(M42)</t>
  </si>
  <si>
    <t>=I49*SUM(M50)</t>
  </si>
  <si>
    <t>=I54*SUM(M55)</t>
  </si>
  <si>
    <t>=I59*SUM(M60)</t>
  </si>
  <si>
    <t>=I113*SUM(M114,M118)</t>
  </si>
  <si>
    <t>=I122*SUM(M123,M127)</t>
  </si>
  <si>
    <t>=I131*SUM(M132,M136)</t>
  </si>
  <si>
    <t>=I140*SUM(M141,M145)</t>
  </si>
  <si>
    <t>=I149*SUM(M150,M154)</t>
  </si>
  <si>
    <t>=I158*SUM(M159,M163)</t>
  </si>
  <si>
    <t>=I167*SUM(M168)</t>
  </si>
  <si>
    <t>=I175*SUM(M176)</t>
  </si>
  <si>
    <t>=I182*SUM(M183)</t>
  </si>
  <si>
    <t>=I186*SUM(M187)</t>
  </si>
  <si>
    <t>=I203*SUM(M204,M220)</t>
  </si>
  <si>
    <t>=I220*SUM(M221)</t>
  </si>
  <si>
    <t>=I223*SUM(M224)</t>
  </si>
  <si>
    <t>=I230*SUM(M231)</t>
  </si>
  <si>
    <t>=I234*SUM(M235)</t>
  </si>
  <si>
    <t>=I237*SUM(M238,M240)</t>
  </si>
  <si>
    <t>=I243*SUM(M244)</t>
  </si>
  <si>
    <t>=I249*SUM(M250)</t>
  </si>
  <si>
    <t>=I255*SUM(M256)</t>
  </si>
  <si>
    <t>=I65*J65</t>
  </si>
  <si>
    <t>=I71*J71</t>
  </si>
  <si>
    <t>=I105*J105</t>
  </si>
  <si>
    <t>=I20*J20</t>
  </si>
  <si>
    <t>=I28*J28</t>
  </si>
  <si>
    <t>=I33*J33</t>
  </si>
  <si>
    <t>=I41*J41</t>
  </si>
  <si>
    <t>=I49*J49</t>
  </si>
  <si>
    <t>=I54*J54</t>
  </si>
  <si>
    <t>=I59*J59</t>
  </si>
  <si>
    <t>=I113*J113</t>
  </si>
  <si>
    <t>=I122*J122</t>
  </si>
  <si>
    <t>=I131*J131</t>
  </si>
  <si>
    <t>=I140*J140</t>
  </si>
  <si>
    <t>=I149*J149</t>
  </si>
  <si>
    <t>=I158*J158</t>
  </si>
  <si>
    <t>=I167*J167</t>
  </si>
  <si>
    <t>=I175*J175</t>
  </si>
  <si>
    <t>=I182*J182</t>
  </si>
  <si>
    <t>=I186*J186</t>
  </si>
  <si>
    <t>=I203*J203</t>
  </si>
  <si>
    <t>=I220*J220</t>
  </si>
  <si>
    <t>=I223*J223</t>
  </si>
  <si>
    <t>=I230*J230</t>
  </si>
  <si>
    <t>=I234*J234</t>
  </si>
  <si>
    <t>=I237*J237</t>
  </si>
  <si>
    <t>=I243*J243</t>
  </si>
  <si>
    <t>=I249*J249</t>
  </si>
  <si>
    <t>=I255*J255</t>
  </si>
  <si>
    <t>=100*(1-(M65/K65))</t>
  </si>
  <si>
    <t>=100*(1-(M71/K71))</t>
  </si>
  <si>
    <t>=100*(1-(M105/K105))</t>
  </si>
  <si>
    <t>=100*(1-(M20/K20))</t>
  </si>
  <si>
    <t>=100*(1-(M28/K28))</t>
  </si>
  <si>
    <t>=100*(1-(M33/K33))</t>
  </si>
  <si>
    <t>=100*(1-(M41/K41))</t>
  </si>
  <si>
    <t>=100*(1-(M49/K49))</t>
  </si>
  <si>
    <t>=100*(1-(M54/K54))</t>
  </si>
  <si>
    <t>=100*(1-(M59/K59))</t>
  </si>
  <si>
    <t>=100*(1-(M113/K113))</t>
  </si>
  <si>
    <t>=100*(1-(M122/K122))</t>
  </si>
  <si>
    <t>=100*(1-(M131/K131))</t>
  </si>
  <si>
    <t>=100*(1-(M140/K140))</t>
  </si>
  <si>
    <t>=100*(1-(M149/K149))</t>
  </si>
  <si>
    <t>=100*(1-(M158/K158))</t>
  </si>
  <si>
    <t>=100*(1-(M167/K167))</t>
  </si>
  <si>
    <t>=100*(1-(M175/K175))</t>
  </si>
  <si>
    <t>=100*(1-(M182/K182))</t>
  </si>
  <si>
    <t>=100*(1-(M186/K186))</t>
  </si>
  <si>
    <t>=100*(1-(M203/K203))</t>
  </si>
  <si>
    <t>=100*(1-(M220/K220))</t>
  </si>
  <si>
    <t>=100*(1-(M223/K223))</t>
  </si>
  <si>
    <t>=100*(1-(M230/K230))</t>
  </si>
  <si>
    <t>=100*(1-(M234/K234))</t>
  </si>
  <si>
    <t>=100*(1-(M237/K237))</t>
  </si>
  <si>
    <t>=100*(1-(M243/K243))</t>
  </si>
  <si>
    <t>=100*(1-(M249/K249))</t>
  </si>
  <si>
    <t>=100*(1-(M255/K255))</t>
  </si>
  <si>
    <t>=SUM(K65)</t>
  </si>
  <si>
    <t>=SUM(K71)</t>
  </si>
  <si>
    <t>=SUM(K105)</t>
  </si>
  <si>
    <t>=SUM(K20)</t>
  </si>
  <si>
    <t>=SUM(K28)</t>
  </si>
  <si>
    <t>=SUM(K33)</t>
  </si>
  <si>
    <t>=SUM(K41)</t>
  </si>
  <si>
    <t>=SUM(K49)</t>
  </si>
  <si>
    <t>=SUM(K54)</t>
  </si>
  <si>
    <t>=SUM(K59)</t>
  </si>
  <si>
    <t>=SUM(K113)</t>
  </si>
  <si>
    <t>=SUM(K122)</t>
  </si>
  <si>
    <t>=SUM(K131)</t>
  </si>
  <si>
    <t>=SUM(K140)</t>
  </si>
  <si>
    <t>=SUM(K149)</t>
  </si>
  <si>
    <t>=SUM(K158)</t>
  </si>
  <si>
    <t>=SUM(K167)</t>
  </si>
  <si>
    <t>=SUM(K175,K182,K186)</t>
  </si>
  <si>
    <t>=SUM(K203,K223)</t>
  </si>
  <si>
    <t>=SUM(K230)</t>
  </si>
  <si>
    <t>=SUM(K234,K237)</t>
  </si>
  <si>
    <t>=SUM(K243)</t>
  </si>
  <si>
    <t>=SUM(K249)</t>
  </si>
  <si>
    <t>=SUM(K255)</t>
  </si>
  <si>
    <t>=I64*SUM(M65)</t>
  </si>
  <si>
    <t>=I70*SUM(M71)</t>
  </si>
  <si>
    <t>=I104*SUM(M105)</t>
  </si>
  <si>
    <t>=I19*SUM(M20)</t>
  </si>
  <si>
    <t>=I27*SUM(M28)</t>
  </si>
  <si>
    <t>=I32*SUM(M33)</t>
  </si>
  <si>
    <t>=I40*SUM(M41)</t>
  </si>
  <si>
    <t>=I48*SUM(M49)</t>
  </si>
  <si>
    <t>=I53*SUM(M54)</t>
  </si>
  <si>
    <t>=I58*SUM(M59)</t>
  </si>
  <si>
    <t>=I112*SUM(M113)</t>
  </si>
  <si>
    <t>=I121*SUM(M122)</t>
  </si>
  <si>
    <t>=I130*SUM(M131)</t>
  </si>
  <si>
    <t>=I139*SUM(M140)</t>
  </si>
  <si>
    <t>=I148*SUM(M149)</t>
  </si>
  <si>
    <t>=I157*SUM(M158)</t>
  </si>
  <si>
    <t>=I166*SUM(M167)</t>
  </si>
  <si>
    <t>=I174*SUM(M175,M182,M186)</t>
  </si>
  <si>
    <t>=I202*SUM(M203,M223)</t>
  </si>
  <si>
    <t>=I229*SUM(M230)</t>
  </si>
  <si>
    <t>=I233*SUM(M234,M237)</t>
  </si>
  <si>
    <t>=I242*SUM(M243)</t>
  </si>
  <si>
    <t>=I248*SUM(M249)</t>
  </si>
  <si>
    <t>=I254*SUM(M255)</t>
  </si>
  <si>
    <t>=I64*J64</t>
  </si>
  <si>
    <t>=I70*J70</t>
  </si>
  <si>
    <t>=I104*J104</t>
  </si>
  <si>
    <t>=I19*J19</t>
  </si>
  <si>
    <t>=I27*J27</t>
  </si>
  <si>
    <t>=I32*J32</t>
  </si>
  <si>
    <t>=I40*J40</t>
  </si>
  <si>
    <t>=I48*J48</t>
  </si>
  <si>
    <t>=I53*J53</t>
  </si>
  <si>
    <t>=I58*J58</t>
  </si>
  <si>
    <t>=I112*J112</t>
  </si>
  <si>
    <t>=I121*J121</t>
  </si>
  <si>
    <t>=I130*J130</t>
  </si>
  <si>
    <t>=I139*J139</t>
  </si>
  <si>
    <t>=I148*J148</t>
  </si>
  <si>
    <t>=I157*J157</t>
  </si>
  <si>
    <t>=I166*J166</t>
  </si>
  <si>
    <t>=I174*J174</t>
  </si>
  <si>
    <t>=I202*J202</t>
  </si>
  <si>
    <t>=I229*J229</t>
  </si>
  <si>
    <t>=I233*J233</t>
  </si>
  <si>
    <t>=I242*J242</t>
  </si>
  <si>
    <t>=I248*J248</t>
  </si>
  <si>
    <t>=I254*J254</t>
  </si>
  <si>
    <t>=100*(1-(M64/K64))</t>
  </si>
  <si>
    <t>=100*(1-(M70/K70))</t>
  </si>
  <si>
    <t>=100*(1-(M104/K104))</t>
  </si>
  <si>
    <t>=100*(1-(M19/K19))</t>
  </si>
  <si>
    <t>=100*(1-(M27/K27))</t>
  </si>
  <si>
    <t>=100*(1-(M32/K32))</t>
  </si>
  <si>
    <t>=100*(1-(M40/K40))</t>
  </si>
  <si>
    <t>=100*(1-(M48/K48))</t>
  </si>
  <si>
    <t>=100*(1-(M53/K53))</t>
  </si>
  <si>
    <t>=100*(1-(M58/K58))</t>
  </si>
  <si>
    <t>=100*(1-(M112/K112))</t>
  </si>
  <si>
    <t>=100*(1-(M121/K121))</t>
  </si>
  <si>
    <t>=100*(1-(M130/K130))</t>
  </si>
  <si>
    <t>=100*(1-(M139/K139))</t>
  </si>
  <si>
    <t>=100*(1-(M148/K148))</t>
  </si>
  <si>
    <t>=100*(1-(M157/K157))</t>
  </si>
  <si>
    <t>=100*(1-(M166/K166))</t>
  </si>
  <si>
    <t>=100*(1-(M174/K174))</t>
  </si>
  <si>
    <t>=100*(1-(M202/K202))</t>
  </si>
  <si>
    <t>=100*(1-(M229/K229))</t>
  </si>
  <si>
    <t>=100*(1-(M233/K233))</t>
  </si>
  <si>
    <t>=100*(1-(M242/K242))</t>
  </si>
  <si>
    <t>=100*(1-(M248/K248))</t>
  </si>
  <si>
    <t>=100*(1-(M254/K254))</t>
  </si>
  <si>
    <t>=SUM(K4,K10,K18,K27,K31,K39,K47,K52,K57,K64,K69,K104)</t>
  </si>
  <si>
    <t>=SUM(K70)</t>
  </si>
  <si>
    <t>=SUM(K19)</t>
  </si>
  <si>
    <t>=SUM(K32)</t>
  </si>
  <si>
    <t>=SUM(K40)</t>
  </si>
  <si>
    <t>=SUM(K48)</t>
  </si>
  <si>
    <t>=SUM(K53)</t>
  </si>
  <si>
    <t>=SUM(K58)</t>
  </si>
  <si>
    <t>=SUM(K111,K166)</t>
  </si>
  <si>
    <t>=SUM(K112,K121,K130,K139,K148,K157)</t>
  </si>
  <si>
    <t>=SUM(K173,K202,K229,K233,K242,K248,K254)</t>
  </si>
  <si>
    <t>=SUM(K174)</t>
  </si>
  <si>
    <t>=I3*SUM(M4,M10,M18,M27,M31,M39,M47,M52,M57,M64,M69,M104)</t>
  </si>
  <si>
    <t>=I69*SUM(M70)</t>
  </si>
  <si>
    <t>=I18*SUM(M19)</t>
  </si>
  <si>
    <t>=I31*SUM(M32)</t>
  </si>
  <si>
    <t>=I39*SUM(M40)</t>
  </si>
  <si>
    <t>=I47*SUM(M48)</t>
  </si>
  <si>
    <t>=I52*SUM(M53)</t>
  </si>
  <si>
    <t>=I57*SUM(M58)</t>
  </si>
  <si>
    <t>=I110*SUM(M111,M166)</t>
  </si>
  <si>
    <t>=I111*SUM(M112,M121,M130,M139,M148,M157)</t>
  </si>
  <si>
    <t>=I172*SUM(M173,M202,M229,M233,M242,M248,M254)</t>
  </si>
  <si>
    <t>=I173*SUM(M174)</t>
  </si>
  <si>
    <t>=I69*J69</t>
  </si>
  <si>
    <t>=I18*J18</t>
  </si>
  <si>
    <t>=I31*J31</t>
  </si>
  <si>
    <t>=I39*J39</t>
  </si>
  <si>
    <t>=I47*J47</t>
  </si>
  <si>
    <t>=I52*J52</t>
  </si>
  <si>
    <t>=I57*J57</t>
  </si>
  <si>
    <t>=I110*J110</t>
  </si>
  <si>
    <t>=I111*J111</t>
  </si>
  <si>
    <t>=I172*J172</t>
  </si>
  <si>
    <t>=I173*J173</t>
  </si>
  <si>
    <t>=100*(1-(M69/K69))</t>
  </si>
  <si>
    <t>=100*(1-(M18/K18))</t>
  </si>
  <si>
    <t>=100*(1-(M31/K31))</t>
  </si>
  <si>
    <t>=100*(1-(M39/K39))</t>
  </si>
  <si>
    <t>=100*(1-(M47/K47))</t>
  </si>
  <si>
    <t>=100*(1-(M52/K52))</t>
  </si>
  <si>
    <t>=100*(1-(M57/K57))</t>
  </si>
  <si>
    <t>=100*(1-(M110/K110))</t>
  </si>
  <si>
    <t>=100*(1-(M111/K111))</t>
  </si>
  <si>
    <t>=100*(1-(M172/K172))</t>
  </si>
  <si>
    <t>=100*(1-(M173/K173))</t>
  </si>
  <si>
    <t>=SUM(K3,K110,K172)</t>
  </si>
  <si>
    <t>=I2*SUM(M3,M110,M172)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</si>
</sst>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#,###,##0"/>
  </numFmts>
  <fonts count="18" x14ac:knownFonts="1">
    <font>
      <sz val="11"/>
      <color theme="1"/>
      <name val="Calibri"/>
      <family val="2"/>
      <scheme val="minor"/>
    </font>
    <font>
      <sz val="10"/>
      <name val="Arial"/>
    </font>
    <font>
      <sz val="8"/>
      <name val="Arial"/>
      <family val="2"/>
    </font>
    <font>
      <b/>
      <sz val="8"/>
      <name val="Arial"/>
      <family val="2"/>
    </font>
    <font>
      <b/>
      <sz val="10"/>
      <name val="Arial"/>
      <family val="2"/>
    </font>
    <font>
      <sz val="8"/>
      <color indexed="10"/>
      <name val="Arial"/>
      <family val="2"/>
    </font>
    <font>
      <sz val="10"/>
      <color indexed="62"/>
      <name val="Arial"/>
      <family val="2"/>
    </font>
    <font>
      <sz val="12"/>
      <color indexed="62"/>
      <name val="Arial"/>
      <family val="2"/>
    </font>
    <font>
      <b/>
      <sz val="12"/>
      <color indexed="62"/>
      <name val="Arial"/>
      <family val="2"/>
    </font>
    <font>
      <sz val="10"/>
      <color indexed="9"/>
      <name val="Arial"/>
      <family val="2"/>
    </font>
    <font>
      <b/>
      <sz val="12"/>
      <color indexed="9"/>
      <name val="Arial"/>
      <family val="2"/>
    </font>
    <font>
      <i/>
      <sz val="10"/>
      <name val="Arial"/>
      <family val="2"/>
    </font>
    <font>
      <i/>
      <sz val="9"/>
      <name val="Arial"/>
      <family val="2"/>
    </font>
    <font>
      <b/>
      <i/>
      <sz val="9"/>
      <name val="Arial"/>
      <family val="2"/>
    </font>
    <font>
      <b/>
      <sz val="12"/>
      <name val="Arial"/>
      <family val="2"/>
    </font>
    <font>
      <sz val="12"/>
      <name val="Arial"/>
      <family val="2"/>
    </font>
    <font>
      <sz val="10"/>
      <name val="Arial"/>
      <family val="2"/>
    </font>
    <font>
      <sz val="11"/>
      <name val="Calibri"/>
      <family val="2"/>
      <scheme val="minor"/>
    </font>
  </fonts>
  <fills count="8">
    <fill>
      <patternFill patternType="none"/>
    </fill>
    <fill>
      <patternFill patternType="gray125"/>
    </fill>
    <fill>
      <patternFill patternType="solid">
        <fgColor indexed="9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18"/>
        <bgColor indexed="64"/>
      </patternFill>
    </fill>
    <fill>
      <patternFill patternType="solid">
        <fgColor indexed="44"/>
        <bgColor indexed="64"/>
      </patternFill>
    </fill>
    <fill>
      <patternFill patternType="solid">
        <fgColor indexed="41"/>
        <bgColor indexed="64"/>
      </patternFill>
    </fill>
  </fills>
  <borders count="23">
    <border>
      <left/>
      <right/>
      <top/>
      <bottom/>
      <diagonal/>
    </border>
    <border>
      <left/>
      <right/>
      <top/>
      <bottom style="medium">
        <color indexed="64"/>
      </bottom>
      <diagonal/>
    </border>
    <border>
      <left/>
      <right/>
      <top/>
      <bottom style="thick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double">
        <color indexed="64"/>
      </right>
      <top/>
      <bottom style="double">
        <color indexed="64"/>
      </bottom>
      <diagonal/>
    </border>
    <border>
      <left/>
      <right/>
      <top/>
      <bottom style="double">
        <color indexed="64"/>
      </bottom>
      <diagonal/>
    </border>
    <border>
      <left style="double">
        <color indexed="64"/>
      </left>
      <right/>
      <top/>
      <bottom style="double">
        <color indexed="64"/>
      </bottom>
      <diagonal/>
    </border>
    <border>
      <left/>
      <right style="double">
        <color indexed="64"/>
      </right>
      <top/>
      <bottom/>
      <diagonal/>
    </border>
    <border>
      <left style="double">
        <color indexed="64"/>
      </left>
      <right/>
      <top/>
      <bottom/>
      <diagonal/>
    </border>
    <border>
      <left/>
      <right/>
      <top style="double">
        <color indexed="64"/>
      </top>
      <bottom/>
      <diagonal/>
    </border>
    <border>
      <left style="double">
        <color indexed="64"/>
      </left>
      <right/>
      <top style="double">
        <color indexed="64"/>
      </top>
      <bottom/>
      <diagonal/>
    </border>
    <border>
      <left style="double">
        <color indexed="64"/>
      </left>
      <right style="double">
        <color indexed="64"/>
      </right>
      <top/>
      <bottom style="double">
        <color indexed="64"/>
      </bottom>
      <diagonal/>
    </border>
    <border>
      <left style="double">
        <color indexed="64"/>
      </left>
      <right style="double">
        <color indexed="64"/>
      </right>
      <top style="double">
        <color indexed="64"/>
      </top>
      <bottom/>
      <diagonal/>
    </border>
  </borders>
  <cellStyleXfs count="8">
    <xf numFmtId="0" fontId="0" fillId="0" borderId="0"/>
    <xf numFmtId="0" fontId="1" fillId="0" borderId="0"/>
    <xf numFmtId="164" fontId="2" fillId="0" borderId="0" applyFill="0" applyBorder="0"/>
    <xf numFmtId="164" fontId="2" fillId="3" borderId="0" applyFill="0" applyBorder="0"/>
    <xf numFmtId="164" fontId="2" fillId="0" borderId="0" applyFill="0" applyBorder="0"/>
    <xf numFmtId="164" fontId="5" fillId="0" borderId="0" applyFill="0" applyBorder="0"/>
    <xf numFmtId="49" fontId="3" fillId="0" borderId="2" applyFill="0" applyBorder="0">
      <alignment wrapText="1"/>
    </xf>
    <xf numFmtId="49" fontId="2" fillId="2" borderId="0" applyFill="0" applyBorder="0"/>
  </cellStyleXfs>
  <cellXfs count="120">
    <xf numFmtId="0" fontId="0" fillId="0" borderId="0" xfId="0"/>
    <xf numFmtId="0" fontId="1" fillId="0" borderId="0" xfId="1"/>
    <xf numFmtId="0" fontId="1" fillId="2" borderId="0" xfId="1" applyFill="1"/>
    <xf numFmtId="0" fontId="3" fillId="2" borderId="0" xfId="1" applyFont="1" applyFill="1" applyAlignment="1">
      <alignment horizontal="left" wrapText="1"/>
    </xf>
    <xf numFmtId="0" fontId="4" fillId="0" borderId="0" xfId="1" applyFont="1"/>
    <xf numFmtId="0" fontId="4" fillId="2" borderId="0" xfId="1" applyFont="1" applyFill="1"/>
    <xf numFmtId="0" fontId="2" fillId="2" borderId="1" xfId="1" applyFont="1" applyFill="1" applyBorder="1" applyAlignment="1"/>
    <xf numFmtId="0" fontId="2" fillId="2" borderId="1" xfId="1" applyFont="1" applyFill="1" applyBorder="1" applyAlignment="1">
      <alignment horizontal="left" wrapText="1"/>
    </xf>
    <xf numFmtId="49" fontId="2" fillId="2" borderId="1" xfId="1" applyNumberFormat="1" applyFont="1" applyFill="1" applyBorder="1" applyAlignment="1"/>
    <xf numFmtId="0" fontId="2" fillId="2" borderId="0" xfId="1" applyFont="1" applyFill="1" applyAlignment="1"/>
    <xf numFmtId="49" fontId="2" fillId="2" borderId="0" xfId="1" applyNumberFormat="1" applyFont="1" applyFill="1" applyAlignment="1"/>
    <xf numFmtId="164" fontId="5" fillId="2" borderId="0" xfId="5" applyFill="1"/>
    <xf numFmtId="0" fontId="3" fillId="2" borderId="0" xfId="1" applyFont="1" applyFill="1" applyAlignment="1"/>
    <xf numFmtId="49" fontId="3" fillId="2" borderId="0" xfId="1" applyNumberFormat="1" applyFont="1" applyFill="1" applyAlignment="1"/>
    <xf numFmtId="0" fontId="2" fillId="2" borderId="0" xfId="1" applyFont="1" applyFill="1" applyAlignment="1">
      <alignment wrapText="1"/>
    </xf>
    <xf numFmtId="49" fontId="3" fillId="4" borderId="2" xfId="6" applyFont="1" applyFill="1" applyBorder="1" applyAlignment="1">
      <alignment horizontal="center" wrapText="1"/>
    </xf>
    <xf numFmtId="49" fontId="3" fillId="2" borderId="2" xfId="6" applyFont="1" applyFill="1" applyBorder="1" applyAlignment="1">
      <alignment horizontal="center" wrapText="1"/>
    </xf>
    <xf numFmtId="49" fontId="3" fillId="2" borderId="2" xfId="6" applyFont="1" applyFill="1" applyBorder="1" applyAlignment="1">
      <alignment horizontal="right" wrapText="1"/>
    </xf>
    <xf numFmtId="49" fontId="3" fillId="2" borderId="2" xfId="6" applyFill="1" applyBorder="1" applyAlignment="1">
      <alignment wrapText="1"/>
    </xf>
    <xf numFmtId="49" fontId="3" fillId="2" borderId="2" xfId="6" applyFill="1" applyBorder="1">
      <alignment wrapText="1"/>
    </xf>
    <xf numFmtId="0" fontId="1" fillId="2" borderId="3" xfId="1" applyFill="1" applyBorder="1"/>
    <xf numFmtId="0" fontId="6" fillId="2" borderId="0" xfId="1" applyFont="1" applyFill="1"/>
    <xf numFmtId="0" fontId="6" fillId="2" borderId="0" xfId="1" applyFont="1" applyFill="1" applyBorder="1"/>
    <xf numFmtId="0" fontId="7" fillId="2" borderId="0" xfId="1" applyFont="1" applyFill="1"/>
    <xf numFmtId="0" fontId="8" fillId="2" borderId="0" xfId="1" applyFont="1" applyFill="1"/>
    <xf numFmtId="0" fontId="7" fillId="2" borderId="0" xfId="1" quotePrefix="1" applyFont="1" applyFill="1"/>
    <xf numFmtId="0" fontId="1" fillId="2" borderId="0" xfId="1" applyFill="1" applyBorder="1"/>
    <xf numFmtId="2" fontId="0" fillId="0" borderId="0" xfId="0" applyNumberFormat="1"/>
    <xf numFmtId="19" fontId="0" fillId="0" borderId="0" xfId="0" applyNumberFormat="1"/>
    <xf numFmtId="0" fontId="1" fillId="2" borderId="4" xfId="1" applyFill="1" applyBorder="1"/>
    <xf numFmtId="0" fontId="1" fillId="2" borderId="5" xfId="1" applyFill="1" applyBorder="1"/>
    <xf numFmtId="0" fontId="1" fillId="2" borderId="6" xfId="1" applyFill="1" applyBorder="1"/>
    <xf numFmtId="0" fontId="1" fillId="2" borderId="7" xfId="1" applyFill="1" applyBorder="1"/>
    <xf numFmtId="0" fontId="4" fillId="2" borderId="0" xfId="1" applyFont="1" applyFill="1" applyBorder="1"/>
    <xf numFmtId="0" fontId="4" fillId="2" borderId="8" xfId="1" applyFont="1" applyFill="1" applyBorder="1"/>
    <xf numFmtId="0" fontId="4" fillId="2" borderId="9" xfId="1" applyFont="1" applyFill="1" applyBorder="1"/>
    <xf numFmtId="0" fontId="4" fillId="2" borderId="10" xfId="1" applyFont="1" applyFill="1" applyBorder="1"/>
    <xf numFmtId="0" fontId="9" fillId="5" borderId="0" xfId="1" applyFont="1" applyFill="1"/>
    <xf numFmtId="0" fontId="9" fillId="5" borderId="0" xfId="1" applyFont="1" applyFill="1" applyBorder="1"/>
    <xf numFmtId="0" fontId="9" fillId="5" borderId="8" xfId="1" applyFont="1" applyFill="1" applyBorder="1"/>
    <xf numFmtId="0" fontId="9" fillId="5" borderId="9" xfId="1" applyFont="1" applyFill="1" applyBorder="1"/>
    <xf numFmtId="0" fontId="10" fillId="5" borderId="10" xfId="1" applyFont="1" applyFill="1" applyBorder="1"/>
    <xf numFmtId="0" fontId="1" fillId="2" borderId="11" xfId="1" applyFill="1" applyBorder="1"/>
    <xf numFmtId="0" fontId="1" fillId="2" borderId="12" xfId="1" applyFill="1" applyBorder="1"/>
    <xf numFmtId="0" fontId="1" fillId="2" borderId="13" xfId="1" applyFill="1" applyBorder="1"/>
    <xf numFmtId="0" fontId="4" fillId="2" borderId="0" xfId="1" applyFont="1" applyFill="1" applyBorder="1" applyAlignment="1">
      <alignment horizontal="center"/>
    </xf>
    <xf numFmtId="0" fontId="4" fillId="6" borderId="14" xfId="1" applyFont="1" applyFill="1" applyBorder="1" applyAlignment="1">
      <alignment horizontal="center"/>
    </xf>
    <xf numFmtId="0" fontId="4" fillId="6" borderId="15" xfId="1" applyFont="1" applyFill="1" applyBorder="1" applyAlignment="1">
      <alignment horizontal="center"/>
    </xf>
    <xf numFmtId="0" fontId="4" fillId="6" borderId="15" xfId="1" applyFont="1" applyFill="1" applyBorder="1"/>
    <xf numFmtId="0" fontId="4" fillId="6" borderId="16" xfId="1" applyFont="1" applyFill="1" applyBorder="1"/>
    <xf numFmtId="0" fontId="1" fillId="7" borderId="14" xfId="1" applyFill="1" applyBorder="1" applyAlignment="1">
      <alignment horizontal="center"/>
    </xf>
    <xf numFmtId="0" fontId="1" fillId="7" borderId="15" xfId="1" applyFill="1" applyBorder="1" applyAlignment="1">
      <alignment horizontal="center"/>
    </xf>
    <xf numFmtId="0" fontId="1" fillId="7" borderId="15" xfId="1" applyFill="1" applyBorder="1"/>
    <xf numFmtId="0" fontId="11" fillId="7" borderId="15" xfId="1" applyFont="1" applyFill="1" applyBorder="1"/>
    <xf numFmtId="0" fontId="1" fillId="7" borderId="16" xfId="1" applyFill="1" applyBorder="1"/>
    <xf numFmtId="0" fontId="12" fillId="2" borderId="0" xfId="1" applyFont="1" applyFill="1"/>
    <xf numFmtId="0" fontId="12" fillId="7" borderId="17" xfId="1" applyFont="1" applyFill="1" applyBorder="1" applyAlignment="1">
      <alignment horizontal="center"/>
    </xf>
    <xf numFmtId="0" fontId="12" fillId="7" borderId="0" xfId="1" applyFont="1" applyFill="1" applyBorder="1" applyAlignment="1">
      <alignment horizontal="center"/>
    </xf>
    <xf numFmtId="0" fontId="12" fillId="7" borderId="0" xfId="1" applyFont="1" applyFill="1" applyBorder="1"/>
    <xf numFmtId="0" fontId="13" fillId="7" borderId="18" xfId="1" applyFont="1" applyFill="1" applyBorder="1"/>
    <xf numFmtId="0" fontId="12" fillId="7" borderId="18" xfId="1" applyFont="1" applyFill="1" applyBorder="1"/>
    <xf numFmtId="0" fontId="4" fillId="7" borderId="17" xfId="1" applyFont="1" applyFill="1" applyBorder="1" applyAlignment="1">
      <alignment horizontal="center"/>
    </xf>
    <xf numFmtId="0" fontId="4" fillId="7" borderId="0" xfId="1" applyFont="1" applyFill="1" applyBorder="1" applyAlignment="1">
      <alignment horizontal="center"/>
    </xf>
    <xf numFmtId="0" fontId="4" fillId="7" borderId="0" xfId="1" applyFont="1" applyFill="1" applyBorder="1"/>
    <xf numFmtId="0" fontId="4" fillId="7" borderId="18" xfId="1" applyFont="1" applyFill="1" applyBorder="1"/>
    <xf numFmtId="0" fontId="4" fillId="7" borderId="19" xfId="1" applyFont="1" applyFill="1" applyBorder="1" applyAlignment="1">
      <alignment horizontal="center"/>
    </xf>
    <xf numFmtId="0" fontId="4" fillId="7" borderId="19" xfId="1" applyFont="1" applyFill="1" applyBorder="1"/>
    <xf numFmtId="0" fontId="4" fillId="7" borderId="20" xfId="1" applyFont="1" applyFill="1" applyBorder="1"/>
    <xf numFmtId="0" fontId="1" fillId="2" borderId="21" xfId="1" applyFill="1" applyBorder="1" applyAlignment="1">
      <alignment horizontal="center"/>
    </xf>
    <xf numFmtId="0" fontId="1" fillId="2" borderId="15" xfId="1" applyFill="1" applyBorder="1" applyAlignment="1">
      <alignment horizontal="center"/>
    </xf>
    <xf numFmtId="0" fontId="1" fillId="2" borderId="15" xfId="1" applyFill="1" applyBorder="1"/>
    <xf numFmtId="0" fontId="11" fillId="2" borderId="15" xfId="1" applyFont="1" applyFill="1" applyBorder="1"/>
    <xf numFmtId="0" fontId="1" fillId="2" borderId="16" xfId="1" applyFill="1" applyBorder="1"/>
    <xf numFmtId="0" fontId="4" fillId="2" borderId="22" xfId="1" applyFont="1" applyFill="1" applyBorder="1" applyAlignment="1">
      <alignment horizontal="center"/>
    </xf>
    <xf numFmtId="0" fontId="4" fillId="2" borderId="19" xfId="1" applyFont="1" applyFill="1" applyBorder="1" applyAlignment="1">
      <alignment horizontal="center"/>
    </xf>
    <xf numFmtId="0" fontId="4" fillId="2" borderId="19" xfId="1" applyFont="1" applyFill="1" applyBorder="1"/>
    <xf numFmtId="0" fontId="4" fillId="2" borderId="20" xfId="1" applyFont="1" applyFill="1" applyBorder="1"/>
    <xf numFmtId="0" fontId="14" fillId="2" borderId="0" xfId="1" applyFont="1" applyFill="1"/>
    <xf numFmtId="0" fontId="15" fillId="2" borderId="0" xfId="1" applyFont="1" applyFill="1" applyBorder="1"/>
    <xf numFmtId="0" fontId="14" fillId="2" borderId="0" xfId="1" applyFont="1" applyFill="1" applyBorder="1"/>
    <xf numFmtId="0" fontId="7" fillId="2" borderId="0" xfId="1" applyFont="1" applyFill="1" applyBorder="1"/>
    <xf numFmtId="0" fontId="8" fillId="2" borderId="0" xfId="1" applyFont="1" applyFill="1" applyBorder="1"/>
    <xf numFmtId="0" fontId="0" fillId="0" borderId="0" xfId="0" applyFont="1"/>
    <xf numFmtId="49" fontId="0" fillId="0" borderId="0" xfId="0" applyNumberFormat="1" applyFont="1"/>
    <xf numFmtId="49" fontId="17" fillId="0" borderId="0" xfId="1" applyNumberFormat="1" applyFont="1" applyFill="1" applyAlignment="1">
      <alignment horizontal="left"/>
    </xf>
    <xf numFmtId="49" fontId="17" fillId="0" borderId="0" xfId="1" applyNumberFormat="1" applyFont="1" applyFill="1" applyAlignment="1"/>
    <xf numFmtId="49" fontId="0" fillId="0" borderId="0" xfId="0" quotePrefix="1" applyNumberFormat="1" applyFont="1"/>
    <xf numFmtId="49" fontId="0" fillId="0" borderId="0" xfId="0" quotePrefix="1" applyNumberFormat="1" applyFont="1" applyFill="1" applyAlignment="1">
      <alignment horizontal="left"/>
    </xf>
    <xf numFmtId="1" fontId="0" fillId="0" borderId="0" xfId="0" quotePrefix="1" applyNumberFormat="1" applyFont="1"/>
    <xf numFmtId="1" fontId="0" fillId="0" borderId="0" xfId="0" applyNumberFormat="1" applyFont="1"/>
    <xf numFmtId="49" fontId="0" fillId="0" borderId="0" xfId="0" applyNumberFormat="1" applyFont="1" applyFill="1"/>
    <xf numFmtId="49" fontId="0" fillId="0" borderId="0" xfId="0" applyNumberFormat="1"/>
    <xf numFmtId="49" fontId="0" fillId="0" borderId="0" xfId="0" applyNumberFormat="1" applyFont="1" applyAlignment="1">
      <alignment horizontal="left"/>
    </xf>
    <xf numFmtId="0" fontId="0" fillId="0" borderId="0" xfId="0" quotePrefix="1" applyFont="1"/>
    <xf numFmtId="0" fontId="0" fillId="0" borderId="0" xfId="0" quotePrefix="1"/>
    <xf numFmtId="0" fontId="4" fillId="2" borderId="0" xfId="1" applyFont="1" applyFill="1" applyBorder="1" applyAlignment="1">
      <alignment horizontal="center" wrapText="1"/>
    </xf>
    <xf numFmtId="2" fontId="1" fillId="2" borderId="3" xfId="1" applyNumberFormat="1" applyFill="1" applyBorder="1"/>
    <xf numFmtId="2" fontId="1" fillId="2" borderId="3" xfId="1" applyNumberFormat="1" applyFill="1" applyBorder="1" applyAlignment="1">
      <alignment horizontal="center"/>
    </xf>
    <xf numFmtId="2" fontId="1" fillId="2" borderId="0" xfId="1" applyNumberFormat="1" applyFill="1" applyBorder="1"/>
    <xf numFmtId="2" fontId="1" fillId="2" borderId="0" xfId="1" applyNumberFormat="1" applyFill="1" applyBorder="1" applyAlignment="1">
      <alignment horizontal="center"/>
    </xf>
    <xf numFmtId="2" fontId="6" fillId="2" borderId="0" xfId="1" applyNumberFormat="1" applyFont="1" applyFill="1"/>
    <xf numFmtId="2" fontId="6" fillId="2" borderId="0" xfId="1" applyNumberFormat="1" applyFont="1" applyFill="1" applyAlignment="1">
      <alignment horizontal="center"/>
    </xf>
    <xf numFmtId="2" fontId="1" fillId="2" borderId="0" xfId="1" applyNumberFormat="1" applyFill="1"/>
    <xf numFmtId="2" fontId="1" fillId="2" borderId="0" xfId="1" applyNumberFormat="1" applyFill="1" applyAlignment="1">
      <alignment horizontal="center"/>
    </xf>
    <xf numFmtId="2" fontId="3" fillId="2" borderId="2" xfId="6" applyNumberFormat="1" applyFont="1" applyFill="1" applyBorder="1" applyAlignment="1">
      <alignment horizontal="center" wrapText="1"/>
    </xf>
    <xf numFmtId="2" fontId="2" fillId="2" borderId="0" xfId="1" applyNumberFormat="1" applyFont="1" applyFill="1" applyAlignment="1"/>
    <xf numFmtId="2" fontId="2" fillId="2" borderId="0" xfId="1" applyNumberFormat="1" applyFont="1" applyFill="1" applyAlignment="1">
      <alignment horizontal="center"/>
    </xf>
    <xf numFmtId="2" fontId="2" fillId="2" borderId="0" xfId="4" applyNumberFormat="1" applyFill="1"/>
    <xf numFmtId="2" fontId="2" fillId="2" borderId="0" xfId="2" applyNumberFormat="1" applyFill="1"/>
    <xf numFmtId="2" fontId="3" fillId="2" borderId="0" xfId="1" applyNumberFormat="1" applyFont="1" applyFill="1" applyAlignment="1">
      <alignment horizontal="center"/>
    </xf>
    <xf numFmtId="2" fontId="2" fillId="2" borderId="0" xfId="3" applyNumberFormat="1" applyFill="1"/>
    <xf numFmtId="2" fontId="2" fillId="2" borderId="1" xfId="4" applyNumberFormat="1" applyFill="1" applyBorder="1"/>
    <xf numFmtId="2" fontId="2" fillId="2" borderId="1" xfId="2" applyNumberFormat="1" applyFill="1" applyBorder="1"/>
    <xf numFmtId="2" fontId="2" fillId="2" borderId="1" xfId="1" applyNumberFormat="1" applyFont="1" applyFill="1" applyBorder="1" applyAlignment="1">
      <alignment horizontal="center"/>
    </xf>
    <xf numFmtId="2" fontId="2" fillId="2" borderId="1" xfId="3" applyNumberFormat="1" applyFill="1" applyBorder="1"/>
    <xf numFmtId="2" fontId="4" fillId="2" borderId="0" xfId="1" applyNumberFormat="1" applyFont="1" applyFill="1"/>
    <xf numFmtId="2" fontId="4" fillId="2" borderId="0" xfId="1" applyNumberFormat="1" applyFont="1" applyFill="1" applyAlignment="1">
      <alignment horizontal="center"/>
    </xf>
    <xf numFmtId="2" fontId="1" fillId="0" borderId="0" xfId="1" applyNumberFormat="1"/>
    <xf numFmtId="2" fontId="1" fillId="0" borderId="0" xfId="1" applyNumberFormat="1" applyAlignment="1">
      <alignment horizontal="center"/>
    </xf>
    <xf numFmtId="49" fontId="0" fillId="0" borderId="0" xfId="0" quotePrefix="1" applyNumberFormat="1"/>
  </cellXfs>
  <cellStyles count="8">
    <cellStyle name="Normal" xfId="0" builtinId="0"/>
    <cellStyle name="Normal 2" xfId="1"/>
    <cellStyle name="VerdiColumnHeader" xfId="6"/>
    <cellStyle name="VerdiCost" xfId="5"/>
    <cellStyle name="VerdiItemNo" xfId="7"/>
    <cellStyle name="VerdiTotalGross" xfId="2"/>
    <cellStyle name="VerdiTotalNetPrice" xfId="3"/>
    <cellStyle name="VerdiUnitGrossPrice" xfId="4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666750</xdr:colOff>
      <xdr:row>3</xdr:row>
      <xdr:rowOff>19050</xdr:rowOff>
    </xdr:from>
    <xdr:to>
      <xdr:col>1</xdr:col>
      <xdr:colOff>542925</xdr:colOff>
      <xdr:row>7</xdr:row>
      <xdr:rowOff>123825</xdr:rowOff>
    </xdr:to>
    <xdr:sp macro="[0]!ThisWorkbook.ImportAndExport" textlink="">
      <xdr:nvSpPr>
        <xdr:cNvPr id="2" name="Oval 1"/>
        <xdr:cNvSpPr/>
      </xdr:nvSpPr>
      <xdr:spPr>
        <a:xfrm>
          <a:off x="666750" y="590550"/>
          <a:ext cx="866775" cy="866775"/>
        </a:xfrm>
        <a:prstGeom prst="ellipse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SG" sz="1100"/>
            <a:t>Go</a:t>
          </a:r>
        </a:p>
      </xdr:txBody>
    </xdr:sp>
    <xdr:clientData/>
  </xdr:twoCellAnchor>
  <xdr:twoCellAnchor>
    <xdr:from>
      <xdr:col>2</xdr:col>
      <xdr:colOff>352425</xdr:colOff>
      <xdr:row>5</xdr:row>
      <xdr:rowOff>47625</xdr:rowOff>
    </xdr:from>
    <xdr:to>
      <xdr:col>4</xdr:col>
      <xdr:colOff>142875</xdr:colOff>
      <xdr:row>9</xdr:row>
      <xdr:rowOff>152400</xdr:rowOff>
    </xdr:to>
    <xdr:sp macro="[0]!ThisWorkbook.ImportAndExportDamien" textlink="">
      <xdr:nvSpPr>
        <xdr:cNvPr id="3" name="Oval 2"/>
        <xdr:cNvSpPr/>
      </xdr:nvSpPr>
      <xdr:spPr>
        <a:xfrm>
          <a:off x="2095500" y="1000125"/>
          <a:ext cx="1009650" cy="866775"/>
        </a:xfrm>
        <a:prstGeom prst="ellipse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SG" sz="1100"/>
            <a:t>Damein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F6"/>
  <sheetViews>
    <sheetView workbookViewId="0">
      <selection activeCell="E21" sqref="E21"/>
    </sheetView>
  </sheetViews>
  <sheetFormatPr defaultRowHeight="15" x14ac:dyDescent="0.25"/>
  <cols>
    <col min="1" max="1" width="17" customWidth="1"/>
  </cols>
  <sheetData>
    <row r="1" spans="1:6" x14ac:dyDescent="0.25">
      <c r="A1" s="28"/>
    </row>
    <row r="2" spans="1:6" x14ac:dyDescent="0.25">
      <c r="A2" t="s">
        <v>0</v>
      </c>
    </row>
    <row r="4" spans="1:6" x14ac:dyDescent="0.25">
      <c r="F4" s="27"/>
    </row>
    <row r="5" spans="1:6" x14ac:dyDescent="0.25">
      <c r="F5" s="27"/>
    </row>
    <row r="6" spans="1:6" x14ac:dyDescent="0.25">
      <c r="F6" s="27"/>
    </row>
  </sheetData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>
    <outlinePr summaryBelow="0"/>
  </sheetPr>
  <dimension ref="A1:U658"/>
  <sheetViews>
    <sheetView tabSelected="1" zoomScale="60" zoomScaleNormal="60" workbookViewId="0">
      <selection activeCell="C16" sqref="C16"/>
    </sheetView>
  </sheetViews>
  <sheetFormatPr defaultRowHeight="15" x14ac:dyDescent="0.25"/>
  <cols>
    <col min="1" max="1" width="12.7109375" style="91" bestFit="1" customWidth="1"/>
    <col min="2" max="2" width="8.5703125" style="91" bestFit="1" customWidth="1"/>
    <col min="3" max="3" width="10.85546875" style="91" bestFit="1" customWidth="1"/>
    <col min="4" max="4" width="7" style="91" bestFit="1" customWidth="1"/>
    <col min="5" max="5" width="7.140625" bestFit="1" customWidth="1"/>
    <col min="6" max="6" width="7.85546875" bestFit="1" customWidth="1"/>
    <col min="7" max="7" width="9.42578125" customWidth="1"/>
    <col min="8" max="8" width="41.85546875" customWidth="1"/>
    <col min="9" max="9" width="8.7109375" customWidth="1"/>
    <col min="10" max="10" width="10" customWidth="1"/>
    <col min="11" max="11" width="10.7109375" bestFit="1" customWidth="1"/>
    <col min="12" max="12" width="8.7109375" bestFit="1" customWidth="1"/>
    <col min="13" max="13" width="11.85546875" customWidth="1"/>
    <col min="14" max="14" width="11.5703125" bestFit="1" customWidth="1"/>
    <col min="15" max="15" width="11.28515625" style="91" bestFit="1" customWidth="1"/>
    <col min="16" max="16" width="12.85546875" style="91" bestFit="1" customWidth="1"/>
    <col min="17" max="17" width="18" style="91" bestFit="1" customWidth="1"/>
    <col min="18" max="18" width="18" style="91" customWidth="1"/>
    <col min="19" max="19" width="18.7109375" style="91" bestFit="1" customWidth="1"/>
    <col min="20" max="20" width="18.5703125" style="91" bestFit="1" customWidth="1"/>
    <col min="21" max="21" width="17" style="91" bestFit="1" customWidth="1"/>
  </cols>
  <sheetData>
    <row r="1" spans="1:21" x14ac:dyDescent="0.25">
      <c r="A1" s="90" t="s">
        <v>48</v>
      </c>
      <c r="B1" s="83" t="s">
        <v>60</v>
      </c>
      <c r="C1" s="83" t="s">
        <v>49</v>
      </c>
      <c r="D1" s="83" t="s">
        <v>54</v>
      </c>
      <c r="E1" s="82" t="s">
        <v>58</v>
      </c>
      <c r="F1" s="82" t="s">
        <v>50</v>
      </c>
      <c r="G1" s="82" t="s">
        <v>51</v>
      </c>
      <c r="H1" s="82" t="s">
        <v>61</v>
      </c>
      <c r="I1" s="82" t="s">
        <v>52</v>
      </c>
      <c r="J1" s="82" t="s">
        <v>53</v>
      </c>
      <c r="K1" s="82" t="s">
        <v>55</v>
      </c>
      <c r="L1" s="82" t="s">
        <v>56</v>
      </c>
      <c r="M1" s="82" t="s">
        <v>57</v>
      </c>
      <c r="N1" s="82" t="s">
        <v>65</v>
      </c>
      <c r="O1" s="83" t="s">
        <v>94</v>
      </c>
      <c r="P1" s="83" t="s">
        <v>95</v>
      </c>
      <c r="Q1" s="83" t="s">
        <v>96</v>
      </c>
      <c r="R1" s="83" t="s">
        <v>109</v>
      </c>
      <c r="S1" s="83" t="s">
        <v>110</v>
      </c>
      <c r="T1" s="83" t="s">
        <v>111</v>
      </c>
      <c r="U1" s="83" t="s">
        <v>112</v>
      </c>
    </row>
    <row r="2" spans="1:21" x14ac:dyDescent="0.25">
      <c r="A2" s="83" t="s">
        <v>59</v>
      </c>
      <c r="B2" s="83">
        <v>1</v>
      </c>
      <c r="C2" s="86" t="s">
        <v>91</v>
      </c>
      <c r="D2" s="83" t="s">
        <v>59</v>
      </c>
      <c r="E2" s="88">
        <v>1</v>
      </c>
      <c r="F2" s="88">
        <v>516</v>
      </c>
      <c r="G2" s="93" t="s">
        <v>93</v>
      </c>
      <c r="H2" s="82" t="s">
        <v>74</v>
      </c>
      <c r="I2" s="82">
        <v>1</v>
      </c>
      <c r="J2" s="82">
        <f>SUM(K3,K110,K172)</f>
        <v>22545542.279570911</v>
      </c>
      <c r="K2" s="82">
        <f>I2*J2</f>
        <v>22545542.279570911</v>
      </c>
      <c r="L2" s="82">
        <f>100*(1-(M2/K2))</f>
        <v>37.936261603169953</v>
      </c>
      <c r="M2" s="82">
        <f>I2*SUM(M3,M110,M172)</f>
        <v>13992606.380539604</v>
      </c>
      <c r="N2">
        <v>2</v>
      </c>
      <c r="O2" s="91" t="s">
        <v>97</v>
      </c>
      <c r="R2" s="91" t="s">
        <v>1229</v>
      </c>
      <c r="S2" s="91" t="s">
        <v>143</v>
      </c>
      <c r="T2" s="91" t="s">
        <v>144</v>
      </c>
      <c r="U2" s="91" t="s">
        <v>1230</v>
      </c>
    </row>
    <row r="3" spans="1:21" x14ac:dyDescent="0.25">
      <c r="A3" s="84" t="s">
        <v>2</v>
      </c>
      <c r="B3" s="83">
        <v>2</v>
      </c>
      <c r="C3" s="87" t="s">
        <v>59</v>
      </c>
      <c r="D3" s="83" t="s">
        <v>59</v>
      </c>
      <c r="E3" s="89">
        <v>2</v>
      </c>
      <c r="F3" s="89">
        <v>215</v>
      </c>
      <c r="G3" s="93" t="s">
        <v>93</v>
      </c>
      <c r="H3" s="82" t="s">
        <v>75</v>
      </c>
      <c r="I3">
        <v>1</v>
      </c>
      <c r="J3">
        <f>SUM(K4,K10,K18,K27,K31,K39,K47,K52,K57,K64,K69,K104)</f>
        <v>8183934.1934779091</v>
      </c>
      <c r="K3">
        <f>I3*J3</f>
        <v>8183934.1934779091</v>
      </c>
      <c r="L3">
        <f>100*(1-(M3/K3))</f>
        <v>43.158877715638198</v>
      </c>
      <c r="M3">
        <f>I3*SUM(M4,M10,M18,M27,M31,M39,M47,M52,M57,M64,M69,M104)</f>
        <v>4651840.0425864765</v>
      </c>
      <c r="N3">
        <v>3</v>
      </c>
      <c r="O3" s="91" t="s">
        <v>98</v>
      </c>
      <c r="P3" s="119"/>
      <c r="Q3" s="119"/>
      <c r="R3" s="91" t="s">
        <v>1183</v>
      </c>
      <c r="S3" s="91" t="s">
        <v>139</v>
      </c>
      <c r="T3" s="91" t="s">
        <v>141</v>
      </c>
      <c r="U3" s="91" t="s">
        <v>1195</v>
      </c>
    </row>
    <row r="4" spans="1:21" x14ac:dyDescent="0.25">
      <c r="A4" s="85" t="s">
        <v>62</v>
      </c>
      <c r="B4" s="83">
        <v>3</v>
      </c>
      <c r="C4" s="84" t="s">
        <v>2</v>
      </c>
      <c r="D4" s="83" t="s">
        <v>59</v>
      </c>
      <c r="E4" s="88">
        <v>3</v>
      </c>
      <c r="F4" s="88">
        <v>14</v>
      </c>
      <c r="G4" s="93" t="s">
        <v>93</v>
      </c>
      <c r="H4" s="82" t="s">
        <v>76</v>
      </c>
      <c r="I4">
        <v>1</v>
      </c>
      <c r="J4">
        <f>SUM(K5)</f>
        <v>2022341.0420985599</v>
      </c>
      <c r="K4">
        <f>I4*J4</f>
        <v>2022341.0420985599</v>
      </c>
      <c r="L4">
        <f>100*(1-(M4/K4))</f>
        <v>100</v>
      </c>
      <c r="M4">
        <f>I4*SUM(M5)</f>
        <v>0</v>
      </c>
      <c r="N4">
        <v>4</v>
      </c>
      <c r="O4" s="91" t="s">
        <v>99</v>
      </c>
      <c r="P4" s="119"/>
      <c r="Q4" s="119"/>
      <c r="R4" s="91" t="s">
        <v>119</v>
      </c>
      <c r="S4" s="91" t="s">
        <v>140</v>
      </c>
      <c r="T4" s="91" t="s">
        <v>142</v>
      </c>
      <c r="U4" s="91" t="s">
        <v>138</v>
      </c>
    </row>
    <row r="5" spans="1:21" x14ac:dyDescent="0.25">
      <c r="A5" s="85" t="s">
        <v>63</v>
      </c>
      <c r="B5" s="83">
        <v>4</v>
      </c>
      <c r="C5" s="84" t="s">
        <v>62</v>
      </c>
      <c r="D5" s="83" t="s">
        <v>59</v>
      </c>
      <c r="E5" s="88">
        <v>4</v>
      </c>
      <c r="F5" s="88">
        <v>13</v>
      </c>
      <c r="G5" s="93" t="s">
        <v>93</v>
      </c>
      <c r="H5" s="82" t="s">
        <v>77</v>
      </c>
      <c r="I5">
        <v>1</v>
      </c>
      <c r="J5">
        <f>SUM(K6)</f>
        <v>2022341.0420985599</v>
      </c>
      <c r="K5">
        <f>I5*J5</f>
        <v>2022341.0420985599</v>
      </c>
      <c r="L5">
        <f>100*(1-(M5/K5))</f>
        <v>100</v>
      </c>
      <c r="M5">
        <f>I5*SUM(M6)</f>
        <v>0</v>
      </c>
      <c r="N5">
        <v>5</v>
      </c>
      <c r="O5" s="91" t="s">
        <v>100</v>
      </c>
      <c r="P5" s="119"/>
      <c r="Q5" s="119"/>
      <c r="R5" s="91" t="s">
        <v>117</v>
      </c>
      <c r="S5" s="91" t="s">
        <v>134</v>
      </c>
      <c r="T5" s="91" t="s">
        <v>136</v>
      </c>
      <c r="U5" s="91" t="s">
        <v>132</v>
      </c>
    </row>
    <row r="6" spans="1:21" x14ac:dyDescent="0.25">
      <c r="A6" s="85" t="s">
        <v>64</v>
      </c>
      <c r="B6" s="83">
        <v>5</v>
      </c>
      <c r="C6" s="85" t="s">
        <v>63</v>
      </c>
      <c r="D6" s="83" t="s">
        <v>59</v>
      </c>
      <c r="E6" s="88">
        <v>5</v>
      </c>
      <c r="F6" s="88">
        <v>12</v>
      </c>
      <c r="G6" s="93" t="s">
        <v>93</v>
      </c>
      <c r="H6" s="82" t="s">
        <v>77</v>
      </c>
      <c r="I6">
        <v>2</v>
      </c>
      <c r="J6">
        <f>SUM(K7)</f>
        <v>1011170.52104928</v>
      </c>
      <c r="K6">
        <f>I6*J6</f>
        <v>2022341.0420985599</v>
      </c>
      <c r="L6">
        <f>100*(1-(M6/K6))</f>
        <v>100</v>
      </c>
      <c r="M6">
        <f>I6*SUM(M7)</f>
        <v>0</v>
      </c>
      <c r="N6">
        <v>6</v>
      </c>
      <c r="O6" s="91" t="s">
        <v>101</v>
      </c>
      <c r="P6" s="119"/>
      <c r="Q6" s="119"/>
      <c r="R6" s="91" t="s">
        <v>115</v>
      </c>
      <c r="S6" s="91" t="s">
        <v>128</v>
      </c>
      <c r="T6" s="91" t="s">
        <v>130</v>
      </c>
      <c r="U6" s="91" t="s">
        <v>126</v>
      </c>
    </row>
    <row r="7" spans="1:21" x14ac:dyDescent="0.25">
      <c r="A7" s="85" t="s">
        <v>1</v>
      </c>
      <c r="B7" s="83">
        <v>6</v>
      </c>
      <c r="C7" s="85" t="s">
        <v>64</v>
      </c>
      <c r="D7" s="83" t="s">
        <v>59</v>
      </c>
      <c r="E7" s="88">
        <v>6</v>
      </c>
      <c r="F7" s="88">
        <v>11</v>
      </c>
      <c r="G7" s="93" t="s">
        <v>93</v>
      </c>
      <c r="H7" s="82" t="s">
        <v>78</v>
      </c>
      <c r="I7">
        <v>1</v>
      </c>
      <c r="J7">
        <f>SUM(K8,K9)</f>
        <v>1011170.52104928</v>
      </c>
      <c r="K7">
        <f>I7*J7</f>
        <v>1011170.52104928</v>
      </c>
      <c r="L7">
        <f>100*(1-(M7/K7))</f>
        <v>100</v>
      </c>
      <c r="M7">
        <f>I7*SUM(M8,M9)</f>
        <v>0</v>
      </c>
      <c r="N7">
        <v>7</v>
      </c>
      <c r="O7" s="91" t="s">
        <v>102</v>
      </c>
      <c r="P7" s="119"/>
      <c r="Q7" s="119"/>
      <c r="R7" s="91" t="s">
        <v>113</v>
      </c>
      <c r="S7" s="91" t="s">
        <v>122</v>
      </c>
      <c r="T7" s="91" t="s">
        <v>124</v>
      </c>
      <c r="U7" s="91" t="s">
        <v>120</v>
      </c>
    </row>
    <row r="8" spans="1:21" x14ac:dyDescent="0.25">
      <c r="A8" s="85" t="s">
        <v>79</v>
      </c>
      <c r="B8" s="83">
        <v>7</v>
      </c>
      <c r="C8" s="85" t="s">
        <v>1</v>
      </c>
      <c r="D8" s="83" t="s">
        <v>59</v>
      </c>
      <c r="E8" s="88">
        <v>7</v>
      </c>
      <c r="F8" s="88">
        <v>8</v>
      </c>
      <c r="G8" s="93" t="s">
        <v>59</v>
      </c>
      <c r="H8" s="82" t="s">
        <v>80</v>
      </c>
      <c r="I8">
        <v>1</v>
      </c>
      <c r="J8">
        <v>1009039.92104928</v>
      </c>
      <c r="K8">
        <f>I8*J8</f>
        <v>1009039.92104928</v>
      </c>
      <c r="L8">
        <v>100</v>
      </c>
      <c r="M8">
        <f>(1-(L8/100))*K8</f>
        <v>0</v>
      </c>
      <c r="N8">
        <v>8</v>
      </c>
      <c r="O8" s="91" t="s">
        <v>103</v>
      </c>
      <c r="P8" s="119"/>
      <c r="Q8" s="119"/>
    </row>
    <row r="9" spans="1:21" x14ac:dyDescent="0.25">
      <c r="A9" s="85" t="s">
        <v>81</v>
      </c>
      <c r="B9" s="83">
        <v>7</v>
      </c>
      <c r="C9" s="85" t="s">
        <v>1</v>
      </c>
      <c r="D9" s="83" t="s">
        <v>92</v>
      </c>
      <c r="E9" s="88">
        <v>9</v>
      </c>
      <c r="F9" s="88">
        <v>10</v>
      </c>
      <c r="G9" s="93" t="s">
        <v>59</v>
      </c>
      <c r="H9" s="82" t="s">
        <v>82</v>
      </c>
      <c r="I9">
        <v>1060</v>
      </c>
      <c r="J9">
        <v>2.0099999999999998</v>
      </c>
      <c r="K9">
        <f>I9*J9</f>
        <v>2130.6</v>
      </c>
      <c r="L9">
        <v>100</v>
      </c>
      <c r="M9">
        <f>(1-(L9/100))*K9</f>
        <v>0</v>
      </c>
      <c r="N9">
        <v>9</v>
      </c>
      <c r="O9" s="91" t="s">
        <v>104</v>
      </c>
      <c r="P9" s="119"/>
      <c r="Q9" s="119"/>
    </row>
    <row r="10" spans="1:21" x14ac:dyDescent="0.25">
      <c r="A10" s="85" t="s">
        <v>83</v>
      </c>
      <c r="B10" s="83">
        <v>3</v>
      </c>
      <c r="C10" s="85" t="s">
        <v>2</v>
      </c>
      <c r="D10" s="83" t="s">
        <v>92</v>
      </c>
      <c r="E10" s="88">
        <v>15</v>
      </c>
      <c r="F10" s="88">
        <v>30</v>
      </c>
      <c r="G10" s="93" t="s">
        <v>93</v>
      </c>
      <c r="H10" s="82" t="s">
        <v>84</v>
      </c>
      <c r="I10">
        <v>1</v>
      </c>
      <c r="J10">
        <f>SUM(K11)</f>
        <v>146280</v>
      </c>
      <c r="K10">
        <f>I10*J10</f>
        <v>146280</v>
      </c>
      <c r="L10">
        <f>100*(1-(M10/K10))</f>
        <v>100</v>
      </c>
      <c r="M10">
        <f>I10*SUM(M11)</f>
        <v>0</v>
      </c>
      <c r="N10">
        <v>10</v>
      </c>
      <c r="O10" s="91" t="s">
        <v>105</v>
      </c>
      <c r="P10" s="119"/>
      <c r="Q10" s="119"/>
      <c r="R10" s="91" t="s">
        <v>118</v>
      </c>
      <c r="S10" s="91" t="s">
        <v>135</v>
      </c>
      <c r="T10" s="91" t="s">
        <v>137</v>
      </c>
      <c r="U10" s="91" t="s">
        <v>133</v>
      </c>
    </row>
    <row r="11" spans="1:21" x14ac:dyDescent="0.25">
      <c r="A11" s="85" t="s">
        <v>85</v>
      </c>
      <c r="B11" s="83">
        <v>4</v>
      </c>
      <c r="C11" s="85" t="s">
        <v>83</v>
      </c>
      <c r="D11" s="83" t="s">
        <v>59</v>
      </c>
      <c r="E11" s="88">
        <v>16</v>
      </c>
      <c r="F11" s="88">
        <v>29</v>
      </c>
      <c r="G11" s="93" t="s">
        <v>93</v>
      </c>
      <c r="H11" s="82" t="s">
        <v>86</v>
      </c>
      <c r="I11">
        <v>1</v>
      </c>
      <c r="J11">
        <f>SUM(K12)</f>
        <v>146280</v>
      </c>
      <c r="K11">
        <f>I11*J11</f>
        <v>146280</v>
      </c>
      <c r="L11">
        <f>100*(1-(M11/K11))</f>
        <v>100</v>
      </c>
      <c r="M11">
        <f>I11*SUM(M12)</f>
        <v>0</v>
      </c>
      <c r="N11">
        <v>11</v>
      </c>
      <c r="O11" s="91" t="s">
        <v>106</v>
      </c>
      <c r="P11" s="119"/>
      <c r="Q11" s="119"/>
      <c r="R11" s="91" t="s">
        <v>116</v>
      </c>
      <c r="S11" s="91" t="s">
        <v>129</v>
      </c>
      <c r="T11" s="91" t="s">
        <v>131</v>
      </c>
      <c r="U11" s="91" t="s">
        <v>127</v>
      </c>
    </row>
    <row r="12" spans="1:21" x14ac:dyDescent="0.25">
      <c r="A12" s="85" t="s">
        <v>87</v>
      </c>
      <c r="B12" s="83">
        <v>5</v>
      </c>
      <c r="C12" s="85" t="s">
        <v>85</v>
      </c>
      <c r="D12" s="83" t="s">
        <v>59</v>
      </c>
      <c r="E12" s="88">
        <v>17</v>
      </c>
      <c r="F12" s="88">
        <v>28</v>
      </c>
      <c r="G12" s="93" t="s">
        <v>93</v>
      </c>
      <c r="H12" s="82" t="s">
        <v>88</v>
      </c>
      <c r="I12">
        <v>2</v>
      </c>
      <c r="J12">
        <f>SUM(K13)</f>
        <v>73140</v>
      </c>
      <c r="K12">
        <f>I12*J12</f>
        <v>146280</v>
      </c>
      <c r="L12">
        <f>100*(1-(M12/K12))</f>
        <v>100</v>
      </c>
      <c r="M12">
        <f>I12*SUM(M13)</f>
        <v>0</v>
      </c>
      <c r="N12">
        <v>12</v>
      </c>
      <c r="O12" s="91" t="s">
        <v>107</v>
      </c>
      <c r="P12" s="119"/>
      <c r="Q12" s="119"/>
      <c r="R12" s="91" t="s">
        <v>114</v>
      </c>
      <c r="S12" s="91" t="s">
        <v>123</v>
      </c>
      <c r="T12" s="91" t="s">
        <v>125</v>
      </c>
      <c r="U12" s="91" t="s">
        <v>121</v>
      </c>
    </row>
    <row r="13" spans="1:21" x14ac:dyDescent="0.25">
      <c r="A13" s="84" t="s">
        <v>89</v>
      </c>
      <c r="B13" s="83">
        <v>6</v>
      </c>
      <c r="C13" s="87" t="s">
        <v>87</v>
      </c>
      <c r="D13" s="83" t="s">
        <v>59</v>
      </c>
      <c r="E13" s="89">
        <v>18</v>
      </c>
      <c r="F13" s="89">
        <v>27</v>
      </c>
      <c r="G13" s="93" t="s">
        <v>93</v>
      </c>
      <c r="H13" s="82" t="s">
        <v>90</v>
      </c>
      <c r="I13">
        <v>1</v>
      </c>
      <c r="J13">
        <f>SUM(K14,K15,K16,K17)</f>
        <v>73140</v>
      </c>
      <c r="K13">
        <f>I13*J13</f>
        <v>73140</v>
      </c>
      <c r="L13">
        <f>100*(1-(M13/K13))</f>
        <v>100</v>
      </c>
      <c r="M13">
        <f>I13*SUM(M14,M15,M16,M17)</f>
        <v>0</v>
      </c>
      <c r="N13">
        <v>13</v>
      </c>
      <c r="O13" s="91" t="s">
        <v>108</v>
      </c>
      <c r="P13" s="119"/>
      <c r="Q13" s="119"/>
      <c r="R13" s="91" t="s">
        <v>823</v>
      </c>
      <c r="S13" s="91" t="s">
        <v>899</v>
      </c>
      <c r="T13" s="91" t="s">
        <v>937</v>
      </c>
      <c r="U13" s="91" t="s">
        <v>861</v>
      </c>
    </row>
    <row r="14" spans="1:21" x14ac:dyDescent="0.25">
      <c r="A14" s="85" t="s">
        <v>150</v>
      </c>
      <c r="B14" s="83">
        <v>7</v>
      </c>
      <c r="C14" s="85" t="s">
        <v>89</v>
      </c>
      <c r="D14" s="83" t="s">
        <v>59</v>
      </c>
      <c r="E14" s="88">
        <v>19</v>
      </c>
      <c r="F14" s="88">
        <v>20</v>
      </c>
      <c r="G14" s="93" t="s">
        <v>59</v>
      </c>
      <c r="H14" s="82" t="s">
        <v>151</v>
      </c>
      <c r="I14">
        <v>8</v>
      </c>
      <c r="J14">
        <v>5616</v>
      </c>
      <c r="K14">
        <f>I14*J14</f>
        <v>44928</v>
      </c>
      <c r="L14">
        <v>100</v>
      </c>
      <c r="M14">
        <f>(1-(L14/100))*K14</f>
        <v>0</v>
      </c>
      <c r="N14">
        <v>14</v>
      </c>
      <c r="O14" s="91" t="s">
        <v>152</v>
      </c>
      <c r="P14" s="119"/>
      <c r="Q14" s="119"/>
    </row>
    <row r="15" spans="1:21" x14ac:dyDescent="0.25">
      <c r="A15" s="85" t="s">
        <v>153</v>
      </c>
      <c r="B15" s="83">
        <v>7</v>
      </c>
      <c r="C15" s="85" t="s">
        <v>89</v>
      </c>
      <c r="D15" s="83" t="s">
        <v>92</v>
      </c>
      <c r="E15" s="88">
        <v>21</v>
      </c>
      <c r="F15" s="88">
        <v>22</v>
      </c>
      <c r="G15" s="93" t="s">
        <v>59</v>
      </c>
      <c r="H15" s="82" t="s">
        <v>154</v>
      </c>
      <c r="I15">
        <v>1</v>
      </c>
      <c r="J15">
        <v>1604</v>
      </c>
      <c r="K15">
        <f>I15*J15</f>
        <v>1604</v>
      </c>
      <c r="L15">
        <v>100</v>
      </c>
      <c r="M15">
        <f>(1-(L15/100))*K15</f>
        <v>0</v>
      </c>
      <c r="N15">
        <v>15</v>
      </c>
      <c r="O15" s="91" t="s">
        <v>155</v>
      </c>
      <c r="P15" s="119"/>
      <c r="Q15" s="119"/>
    </row>
    <row r="16" spans="1:21" x14ac:dyDescent="0.25">
      <c r="A16" s="85" t="s">
        <v>156</v>
      </c>
      <c r="B16" s="83">
        <v>7</v>
      </c>
      <c r="C16" s="85" t="s">
        <v>89</v>
      </c>
      <c r="D16" s="83" t="s">
        <v>810</v>
      </c>
      <c r="E16" s="88">
        <v>23</v>
      </c>
      <c r="F16" s="88">
        <v>24</v>
      </c>
      <c r="G16" s="93" t="s">
        <v>59</v>
      </c>
      <c r="H16" s="82" t="s">
        <v>157</v>
      </c>
      <c r="I16">
        <v>2</v>
      </c>
      <c r="J16">
        <v>7020</v>
      </c>
      <c r="K16">
        <f>I16*J16</f>
        <v>14040</v>
      </c>
      <c r="L16">
        <v>100</v>
      </c>
      <c r="M16">
        <f>(1-(L16/100))*K16</f>
        <v>0</v>
      </c>
      <c r="N16">
        <v>16</v>
      </c>
      <c r="O16" s="91" t="s">
        <v>158</v>
      </c>
      <c r="P16" s="119"/>
      <c r="Q16" s="119"/>
    </row>
    <row r="17" spans="1:21" x14ac:dyDescent="0.25">
      <c r="A17" s="85" t="s">
        <v>159</v>
      </c>
      <c r="B17" s="83">
        <v>7</v>
      </c>
      <c r="C17" s="85" t="s">
        <v>89</v>
      </c>
      <c r="D17" s="83" t="s">
        <v>811</v>
      </c>
      <c r="E17" s="82">
        <v>25</v>
      </c>
      <c r="F17" s="82">
        <v>26</v>
      </c>
      <c r="G17" s="93" t="s">
        <v>59</v>
      </c>
      <c r="H17" s="82" t="s">
        <v>160</v>
      </c>
      <c r="I17">
        <v>1</v>
      </c>
      <c r="J17">
        <v>12568</v>
      </c>
      <c r="K17">
        <f>I17*J17</f>
        <v>12568</v>
      </c>
      <c r="L17">
        <v>100</v>
      </c>
      <c r="M17">
        <f>(1-(L17/100))*K17</f>
        <v>0</v>
      </c>
      <c r="N17">
        <v>17</v>
      </c>
      <c r="O17" s="91" t="s">
        <v>161</v>
      </c>
      <c r="P17" s="119"/>
      <c r="Q17" s="119"/>
    </row>
    <row r="18" spans="1:21" x14ac:dyDescent="0.25">
      <c r="A18" s="90" t="s">
        <v>162</v>
      </c>
      <c r="B18" s="83">
        <v>3</v>
      </c>
      <c r="C18" s="83" t="s">
        <v>2</v>
      </c>
      <c r="D18" s="83" t="s">
        <v>810</v>
      </c>
      <c r="E18" s="82">
        <v>31</v>
      </c>
      <c r="F18" s="82">
        <v>48</v>
      </c>
      <c r="G18" s="93" t="s">
        <v>93</v>
      </c>
      <c r="H18" s="82" t="s">
        <v>163</v>
      </c>
      <c r="I18">
        <v>1</v>
      </c>
      <c r="J18">
        <f>SUM(K19)</f>
        <v>34477.15</v>
      </c>
      <c r="K18">
        <f>I18*J18</f>
        <v>34477.15</v>
      </c>
      <c r="L18">
        <f>100*(1-(M18/K18))</f>
        <v>27.83</v>
      </c>
      <c r="M18">
        <f>I18*SUM(M19)</f>
        <v>24882.159155000001</v>
      </c>
      <c r="N18">
        <v>18</v>
      </c>
      <c r="O18" s="91" t="s">
        <v>164</v>
      </c>
      <c r="P18" s="119"/>
      <c r="Q18" s="119"/>
      <c r="R18" s="91" t="s">
        <v>1185</v>
      </c>
      <c r="S18" s="91" t="s">
        <v>1208</v>
      </c>
      <c r="T18" s="91" t="s">
        <v>1219</v>
      </c>
      <c r="U18" s="91" t="s">
        <v>1197</v>
      </c>
    </row>
    <row r="19" spans="1:21" x14ac:dyDescent="0.25">
      <c r="A19" s="90" t="s">
        <v>165</v>
      </c>
      <c r="B19" s="83">
        <v>4</v>
      </c>
      <c r="C19" s="83" t="s">
        <v>162</v>
      </c>
      <c r="D19" s="83" t="s">
        <v>59</v>
      </c>
      <c r="E19" s="82">
        <v>32</v>
      </c>
      <c r="F19" s="82">
        <v>47</v>
      </c>
      <c r="G19" s="93" t="s">
        <v>93</v>
      </c>
      <c r="H19" s="82" t="s">
        <v>166</v>
      </c>
      <c r="I19">
        <v>1</v>
      </c>
      <c r="J19">
        <f>SUM(K20)</f>
        <v>34477.15</v>
      </c>
      <c r="K19">
        <f>I19*J19</f>
        <v>34477.15</v>
      </c>
      <c r="L19">
        <f>100*(1-(M19/K19))</f>
        <v>27.83</v>
      </c>
      <c r="M19">
        <f>I19*SUM(M20)</f>
        <v>24882.159155000001</v>
      </c>
      <c r="N19">
        <v>19</v>
      </c>
      <c r="O19" s="91" t="s">
        <v>167</v>
      </c>
      <c r="P19" s="119"/>
      <c r="Q19" s="119"/>
      <c r="R19" s="91" t="s">
        <v>1090</v>
      </c>
      <c r="S19" s="91" t="s">
        <v>1138</v>
      </c>
      <c r="T19" s="91" t="s">
        <v>1162</v>
      </c>
      <c r="U19" s="91" t="s">
        <v>1114</v>
      </c>
    </row>
    <row r="20" spans="1:21" x14ac:dyDescent="0.25">
      <c r="A20" s="90" t="s">
        <v>168</v>
      </c>
      <c r="B20" s="83">
        <v>5</v>
      </c>
      <c r="C20" s="83" t="s">
        <v>165</v>
      </c>
      <c r="D20" s="83" t="s">
        <v>59</v>
      </c>
      <c r="E20" s="82">
        <v>33</v>
      </c>
      <c r="F20" s="82">
        <v>46</v>
      </c>
      <c r="G20" s="93" t="s">
        <v>93</v>
      </c>
      <c r="H20" s="82" t="s">
        <v>163</v>
      </c>
      <c r="I20">
        <v>1</v>
      </c>
      <c r="J20">
        <f>SUM(K21)</f>
        <v>34477.15</v>
      </c>
      <c r="K20">
        <f>I20*J20</f>
        <v>34477.15</v>
      </c>
      <c r="L20">
        <f>100*(1-(M20/K20))</f>
        <v>27.83</v>
      </c>
      <c r="M20">
        <f>I20*SUM(M21)</f>
        <v>24882.159155000001</v>
      </c>
      <c r="N20">
        <v>20</v>
      </c>
      <c r="O20" s="91" t="s">
        <v>169</v>
      </c>
      <c r="P20" s="119"/>
      <c r="Q20" s="119"/>
      <c r="R20" s="91" t="s">
        <v>974</v>
      </c>
      <c r="S20" s="91" t="s">
        <v>1032</v>
      </c>
      <c r="T20" s="91" t="s">
        <v>1061</v>
      </c>
      <c r="U20" s="91" t="s">
        <v>1003</v>
      </c>
    </row>
    <row r="21" spans="1:21" x14ac:dyDescent="0.25">
      <c r="A21" s="83" t="s">
        <v>170</v>
      </c>
      <c r="B21" s="83">
        <v>6</v>
      </c>
      <c r="C21" s="83" t="s">
        <v>168</v>
      </c>
      <c r="D21" s="83" t="s">
        <v>59</v>
      </c>
      <c r="E21" s="82">
        <v>34</v>
      </c>
      <c r="F21" s="82">
        <v>45</v>
      </c>
      <c r="G21" s="93" t="s">
        <v>93</v>
      </c>
      <c r="H21" s="82" t="s">
        <v>171</v>
      </c>
      <c r="I21">
        <v>1</v>
      </c>
      <c r="J21">
        <f>SUM(K22,K23,K24,K25,K26)</f>
        <v>34477.15</v>
      </c>
      <c r="K21">
        <f>I21*J21</f>
        <v>34477.15</v>
      </c>
      <c r="L21">
        <f>100*(1-(M21/K21))</f>
        <v>27.83</v>
      </c>
      <c r="M21">
        <f>I21*SUM(M22,M23,M24,M25,M26)</f>
        <v>24882.159155000001</v>
      </c>
      <c r="N21">
        <v>21</v>
      </c>
      <c r="O21" s="91" t="s">
        <v>172</v>
      </c>
      <c r="P21" s="119"/>
      <c r="Q21" s="119"/>
      <c r="R21" s="91" t="s">
        <v>824</v>
      </c>
      <c r="S21" s="91" t="s">
        <v>900</v>
      </c>
      <c r="T21" s="91" t="s">
        <v>938</v>
      </c>
      <c r="U21" s="91" t="s">
        <v>862</v>
      </c>
    </row>
    <row r="22" spans="1:21" x14ac:dyDescent="0.25">
      <c r="A22" s="91" t="s">
        <v>173</v>
      </c>
      <c r="B22" s="91">
        <v>7</v>
      </c>
      <c r="C22" s="91" t="s">
        <v>170</v>
      </c>
      <c r="D22" s="91" t="s">
        <v>59</v>
      </c>
      <c r="E22">
        <v>35</v>
      </c>
      <c r="F22">
        <v>36</v>
      </c>
      <c r="G22" s="94" t="s">
        <v>59</v>
      </c>
      <c r="H22" t="s">
        <v>174</v>
      </c>
      <c r="I22">
        <v>1</v>
      </c>
      <c r="J22">
        <v>15931.63</v>
      </c>
      <c r="K22">
        <f>I22*J22</f>
        <v>15931.63</v>
      </c>
      <c r="L22">
        <v>27.83</v>
      </c>
      <c r="M22">
        <f>(1-(L22/100))*K22</f>
        <v>11497.857371</v>
      </c>
      <c r="N22">
        <v>22</v>
      </c>
      <c r="O22" s="91" t="s">
        <v>175</v>
      </c>
      <c r="P22" s="119"/>
      <c r="Q22" s="119"/>
    </row>
    <row r="23" spans="1:21" x14ac:dyDescent="0.25">
      <c r="A23" s="85" t="s">
        <v>176</v>
      </c>
      <c r="B23" s="83">
        <v>7</v>
      </c>
      <c r="C23" s="92" t="s">
        <v>170</v>
      </c>
      <c r="D23" s="83" t="s">
        <v>92</v>
      </c>
      <c r="E23" s="82">
        <v>37</v>
      </c>
      <c r="F23" s="82">
        <v>38</v>
      </c>
      <c r="G23" s="93" t="s">
        <v>59</v>
      </c>
      <c r="H23" s="82" t="s">
        <v>177</v>
      </c>
      <c r="I23">
        <v>1</v>
      </c>
      <c r="J23">
        <v>5946</v>
      </c>
      <c r="K23">
        <f>I23*J23</f>
        <v>5946</v>
      </c>
      <c r="L23">
        <v>27.83</v>
      </c>
      <c r="M23">
        <f>(1-(L23/100))*K23</f>
        <v>4291.2282000000005</v>
      </c>
      <c r="N23">
        <v>23</v>
      </c>
      <c r="O23" s="91" t="s">
        <v>178</v>
      </c>
      <c r="P23" s="119"/>
      <c r="Q23" s="119"/>
    </row>
    <row r="24" spans="1:21" x14ac:dyDescent="0.25">
      <c r="A24" s="90" t="s">
        <v>179</v>
      </c>
      <c r="B24" s="83">
        <v>7</v>
      </c>
      <c r="C24" s="83" t="s">
        <v>170</v>
      </c>
      <c r="D24" s="83" t="s">
        <v>810</v>
      </c>
      <c r="E24" s="82">
        <v>39</v>
      </c>
      <c r="F24" s="82">
        <v>40</v>
      </c>
      <c r="G24" s="93" t="s">
        <v>59</v>
      </c>
      <c r="H24" s="82" t="s">
        <v>180</v>
      </c>
      <c r="I24">
        <v>1</v>
      </c>
      <c r="J24">
        <v>2728.29</v>
      </c>
      <c r="K24">
        <f>I24*J24</f>
        <v>2728.29</v>
      </c>
      <c r="L24">
        <v>27.83</v>
      </c>
      <c r="M24">
        <f>(1-(L24/100))*K24</f>
        <v>1969.006893</v>
      </c>
      <c r="N24">
        <v>24</v>
      </c>
      <c r="O24" s="91" t="s">
        <v>181</v>
      </c>
      <c r="P24" s="119"/>
      <c r="Q24" s="119"/>
    </row>
    <row r="25" spans="1:21" x14ac:dyDescent="0.25">
      <c r="A25" s="90" t="s">
        <v>182</v>
      </c>
      <c r="B25" s="83">
        <v>7</v>
      </c>
      <c r="C25" s="83" t="s">
        <v>170</v>
      </c>
      <c r="D25" s="83" t="s">
        <v>811</v>
      </c>
      <c r="E25" s="82">
        <v>41</v>
      </c>
      <c r="F25" s="82">
        <v>42</v>
      </c>
      <c r="G25" s="93" t="s">
        <v>59</v>
      </c>
      <c r="H25" s="82" t="s">
        <v>183</v>
      </c>
      <c r="I25">
        <v>1</v>
      </c>
      <c r="J25">
        <v>6810</v>
      </c>
      <c r="K25">
        <f>I25*J25</f>
        <v>6810</v>
      </c>
      <c r="L25">
        <v>27.83</v>
      </c>
      <c r="M25">
        <f>(1-(L25/100))*K25</f>
        <v>4914.777</v>
      </c>
      <c r="N25">
        <v>25</v>
      </c>
      <c r="O25" s="91" t="s">
        <v>184</v>
      </c>
      <c r="P25" s="119"/>
      <c r="Q25" s="119"/>
    </row>
    <row r="26" spans="1:21" x14ac:dyDescent="0.25">
      <c r="A26" s="90" t="s">
        <v>185</v>
      </c>
      <c r="B26" s="83">
        <v>7</v>
      </c>
      <c r="C26" s="83" t="s">
        <v>170</v>
      </c>
      <c r="D26" s="83" t="s">
        <v>812</v>
      </c>
      <c r="E26" s="82">
        <v>43</v>
      </c>
      <c r="F26" s="82">
        <v>44</v>
      </c>
      <c r="G26" s="93" t="s">
        <v>59</v>
      </c>
      <c r="H26" s="82" t="s">
        <v>186</v>
      </c>
      <c r="I26">
        <v>1</v>
      </c>
      <c r="J26">
        <v>3061.23</v>
      </c>
      <c r="K26">
        <f>I26*J26</f>
        <v>3061.23</v>
      </c>
      <c r="L26">
        <v>27.83</v>
      </c>
      <c r="M26">
        <f>(1-(L26/100))*K26</f>
        <v>2209.2896909999999</v>
      </c>
      <c r="N26">
        <v>26</v>
      </c>
      <c r="O26" s="91" t="s">
        <v>187</v>
      </c>
      <c r="P26" s="119"/>
      <c r="Q26" s="119"/>
    </row>
    <row r="27" spans="1:21" x14ac:dyDescent="0.25">
      <c r="A27" s="91" t="s">
        <v>188</v>
      </c>
      <c r="B27" s="91">
        <v>3</v>
      </c>
      <c r="C27" s="91" t="s">
        <v>2</v>
      </c>
      <c r="D27" s="91" t="s">
        <v>811</v>
      </c>
      <c r="E27">
        <v>49</v>
      </c>
      <c r="F27">
        <v>56</v>
      </c>
      <c r="G27" s="94" t="s">
        <v>93</v>
      </c>
      <c r="H27" t="s">
        <v>189</v>
      </c>
      <c r="I27">
        <v>1</v>
      </c>
      <c r="J27">
        <f>SUM(K28)</f>
        <v>1009039.85737935</v>
      </c>
      <c r="K27">
        <f>I27*J27</f>
        <v>1009039.85737935</v>
      </c>
      <c r="L27">
        <f>100*(1-(M27/K27))</f>
        <v>27.83</v>
      </c>
      <c r="M27">
        <f>I27*SUM(M28)</f>
        <v>728224.06507067685</v>
      </c>
      <c r="N27">
        <v>27</v>
      </c>
      <c r="O27" s="91" t="s">
        <v>190</v>
      </c>
      <c r="P27" s="119"/>
      <c r="Q27" s="119"/>
      <c r="R27" s="91" t="s">
        <v>1091</v>
      </c>
      <c r="S27" s="91" t="s">
        <v>1139</v>
      </c>
      <c r="T27" s="91" t="s">
        <v>1163</v>
      </c>
      <c r="U27" s="91" t="s">
        <v>1115</v>
      </c>
    </row>
    <row r="28" spans="1:21" x14ac:dyDescent="0.25">
      <c r="A28" s="91" t="s">
        <v>191</v>
      </c>
      <c r="B28" s="91">
        <v>4</v>
      </c>
      <c r="C28" s="91" t="s">
        <v>188</v>
      </c>
      <c r="D28" s="91" t="s">
        <v>59</v>
      </c>
      <c r="E28">
        <v>50</v>
      </c>
      <c r="F28">
        <v>55</v>
      </c>
      <c r="G28" s="94" t="s">
        <v>93</v>
      </c>
      <c r="H28" t="s">
        <v>189</v>
      </c>
      <c r="I28">
        <v>1</v>
      </c>
      <c r="J28">
        <f>SUM(K29)</f>
        <v>1009039.85737935</v>
      </c>
      <c r="K28">
        <f>I28*J28</f>
        <v>1009039.85737935</v>
      </c>
      <c r="L28">
        <f>100*(1-(M28/K28))</f>
        <v>27.83</v>
      </c>
      <c r="M28">
        <f>I28*SUM(M29)</f>
        <v>728224.06507067685</v>
      </c>
      <c r="N28">
        <v>28</v>
      </c>
      <c r="O28" s="91" t="s">
        <v>192</v>
      </c>
      <c r="P28" s="119"/>
      <c r="Q28" s="119"/>
      <c r="R28" s="91" t="s">
        <v>975</v>
      </c>
      <c r="S28" s="91" t="s">
        <v>1033</v>
      </c>
      <c r="T28" s="91" t="s">
        <v>1062</v>
      </c>
      <c r="U28" s="91" t="s">
        <v>1004</v>
      </c>
    </row>
    <row r="29" spans="1:21" x14ac:dyDescent="0.25">
      <c r="A29" s="91" t="s">
        <v>193</v>
      </c>
      <c r="B29" s="91">
        <v>5</v>
      </c>
      <c r="C29" s="91" t="s">
        <v>191</v>
      </c>
      <c r="D29" s="91" t="s">
        <v>59</v>
      </c>
      <c r="E29">
        <v>51</v>
      </c>
      <c r="F29">
        <v>54</v>
      </c>
      <c r="G29" s="94" t="s">
        <v>93</v>
      </c>
      <c r="H29" t="s">
        <v>189</v>
      </c>
      <c r="I29">
        <v>1</v>
      </c>
      <c r="J29">
        <f>SUM(K30)</f>
        <v>1009039.85737935</v>
      </c>
      <c r="K29">
        <f>I29*J29</f>
        <v>1009039.85737935</v>
      </c>
      <c r="L29">
        <f>100*(1-(M29/K29))</f>
        <v>27.83</v>
      </c>
      <c r="M29">
        <f>I29*SUM(M30)</f>
        <v>728224.06507067685</v>
      </c>
      <c r="N29">
        <v>29</v>
      </c>
      <c r="O29" s="91" t="s">
        <v>194</v>
      </c>
      <c r="P29" s="119"/>
      <c r="Q29" s="119"/>
      <c r="R29" s="91" t="s">
        <v>825</v>
      </c>
      <c r="S29" s="91" t="s">
        <v>901</v>
      </c>
      <c r="T29" s="91" t="s">
        <v>939</v>
      </c>
      <c r="U29" s="91" t="s">
        <v>863</v>
      </c>
    </row>
    <row r="30" spans="1:21" x14ac:dyDescent="0.25">
      <c r="A30" s="91" t="s">
        <v>195</v>
      </c>
      <c r="B30" s="91">
        <v>6</v>
      </c>
      <c r="C30" s="91" t="s">
        <v>193</v>
      </c>
      <c r="D30" s="91" t="s">
        <v>59</v>
      </c>
      <c r="E30">
        <v>52</v>
      </c>
      <c r="F30">
        <v>53</v>
      </c>
      <c r="G30" s="94" t="s">
        <v>59</v>
      </c>
      <c r="H30" t="s">
        <v>80</v>
      </c>
      <c r="I30">
        <v>1</v>
      </c>
      <c r="J30">
        <v>1009039.85737935</v>
      </c>
      <c r="K30">
        <f>I30*J30</f>
        <v>1009039.85737935</v>
      </c>
      <c r="L30">
        <v>27.83</v>
      </c>
      <c r="M30">
        <f>(1-(L30/100))*K30</f>
        <v>728224.06507067685</v>
      </c>
      <c r="N30">
        <v>30</v>
      </c>
      <c r="O30" s="91" t="s">
        <v>196</v>
      </c>
      <c r="P30" s="119"/>
      <c r="Q30" s="119"/>
    </row>
    <row r="31" spans="1:21" x14ac:dyDescent="0.25">
      <c r="A31" s="91" t="s">
        <v>197</v>
      </c>
      <c r="B31" s="91">
        <v>3</v>
      </c>
      <c r="C31" s="91" t="s">
        <v>2</v>
      </c>
      <c r="D31" s="91" t="s">
        <v>812</v>
      </c>
      <c r="E31">
        <v>57</v>
      </c>
      <c r="F31">
        <v>72</v>
      </c>
      <c r="G31" s="94" t="s">
        <v>93</v>
      </c>
      <c r="H31" t="s">
        <v>198</v>
      </c>
      <c r="I31">
        <v>1</v>
      </c>
      <c r="J31">
        <f>SUM(K32)</f>
        <v>2105148</v>
      </c>
      <c r="K31">
        <f>I31*J31</f>
        <v>2105148</v>
      </c>
      <c r="L31">
        <f>100*(1-(M31/K31))</f>
        <v>27.830000000000009</v>
      </c>
      <c r="M31">
        <f>I31*SUM(M32)</f>
        <v>1519285.3115999999</v>
      </c>
      <c r="N31">
        <v>31</v>
      </c>
      <c r="O31" s="91" t="s">
        <v>199</v>
      </c>
      <c r="P31" s="119"/>
      <c r="Q31" s="119"/>
      <c r="R31" s="91" t="s">
        <v>1186</v>
      </c>
      <c r="S31" s="91" t="s">
        <v>1209</v>
      </c>
      <c r="T31" s="91" t="s">
        <v>1220</v>
      </c>
      <c r="U31" s="91" t="s">
        <v>1198</v>
      </c>
    </row>
    <row r="32" spans="1:21" x14ac:dyDescent="0.25">
      <c r="A32" s="91" t="s">
        <v>200</v>
      </c>
      <c r="B32" s="91">
        <v>4</v>
      </c>
      <c r="C32" s="91" t="s">
        <v>197</v>
      </c>
      <c r="D32" s="91" t="s">
        <v>59</v>
      </c>
      <c r="E32">
        <v>58</v>
      </c>
      <c r="F32">
        <v>71</v>
      </c>
      <c r="G32" s="94" t="s">
        <v>93</v>
      </c>
      <c r="H32" t="s">
        <v>198</v>
      </c>
      <c r="I32">
        <v>1</v>
      </c>
      <c r="J32">
        <f>SUM(K33)</f>
        <v>2105148</v>
      </c>
      <c r="K32">
        <f>I32*J32</f>
        <v>2105148</v>
      </c>
      <c r="L32">
        <f>100*(1-(M32/K32))</f>
        <v>27.830000000000009</v>
      </c>
      <c r="M32">
        <f>I32*SUM(M33)</f>
        <v>1519285.3115999999</v>
      </c>
      <c r="N32">
        <v>32</v>
      </c>
      <c r="O32" s="91" t="s">
        <v>201</v>
      </c>
      <c r="P32" s="119"/>
      <c r="Q32" s="119"/>
      <c r="R32" s="91" t="s">
        <v>1092</v>
      </c>
      <c r="S32" s="91" t="s">
        <v>1140</v>
      </c>
      <c r="T32" s="91" t="s">
        <v>1164</v>
      </c>
      <c r="U32" s="91" t="s">
        <v>1116</v>
      </c>
    </row>
    <row r="33" spans="1:21" x14ac:dyDescent="0.25">
      <c r="A33" s="91" t="s">
        <v>202</v>
      </c>
      <c r="B33" s="91">
        <v>5</v>
      </c>
      <c r="C33" s="91" t="s">
        <v>200</v>
      </c>
      <c r="D33" s="91" t="s">
        <v>59</v>
      </c>
      <c r="E33">
        <v>59</v>
      </c>
      <c r="F33">
        <v>70</v>
      </c>
      <c r="G33" s="94" t="s">
        <v>93</v>
      </c>
      <c r="H33" t="s">
        <v>198</v>
      </c>
      <c r="I33">
        <v>2</v>
      </c>
      <c r="J33">
        <f>SUM(K34)</f>
        <v>1052574</v>
      </c>
      <c r="K33">
        <f>I33*J33</f>
        <v>2105148</v>
      </c>
      <c r="L33">
        <f>100*(1-(M33/K33))</f>
        <v>27.830000000000009</v>
      </c>
      <c r="M33">
        <f>I33*SUM(M34)</f>
        <v>1519285.3115999999</v>
      </c>
      <c r="N33">
        <v>33</v>
      </c>
      <c r="O33" s="91" t="s">
        <v>203</v>
      </c>
      <c r="P33" s="119"/>
      <c r="Q33" s="119"/>
      <c r="R33" s="91" t="s">
        <v>976</v>
      </c>
      <c r="S33" s="91" t="s">
        <v>1034</v>
      </c>
      <c r="T33" s="91" t="s">
        <v>1063</v>
      </c>
      <c r="U33" s="91" t="s">
        <v>1005</v>
      </c>
    </row>
    <row r="34" spans="1:21" x14ac:dyDescent="0.25">
      <c r="A34" s="91" t="s">
        <v>204</v>
      </c>
      <c r="B34" s="91">
        <v>6</v>
      </c>
      <c r="C34" s="91" t="s">
        <v>202</v>
      </c>
      <c r="D34" s="91" t="s">
        <v>59</v>
      </c>
      <c r="E34">
        <v>60</v>
      </c>
      <c r="F34">
        <v>69</v>
      </c>
      <c r="G34" s="94" t="s">
        <v>93</v>
      </c>
      <c r="H34" t="s">
        <v>78</v>
      </c>
      <c r="I34">
        <v>1</v>
      </c>
      <c r="J34">
        <f>SUM(K35,K36,K37,K38)</f>
        <v>1052574</v>
      </c>
      <c r="K34">
        <f>I34*J34</f>
        <v>1052574</v>
      </c>
      <c r="L34">
        <f>100*(1-(M34/K34))</f>
        <v>27.830000000000009</v>
      </c>
      <c r="M34">
        <f>I34*SUM(M35,M36,M37,M38)</f>
        <v>759642.65579999995</v>
      </c>
      <c r="N34">
        <v>34</v>
      </c>
      <c r="O34" s="91" t="s">
        <v>205</v>
      </c>
      <c r="P34" s="119"/>
      <c r="Q34" s="119"/>
      <c r="R34" s="91" t="s">
        <v>826</v>
      </c>
      <c r="S34" s="91" t="s">
        <v>902</v>
      </c>
      <c r="T34" s="91" t="s">
        <v>940</v>
      </c>
      <c r="U34" s="91" t="s">
        <v>864</v>
      </c>
    </row>
    <row r="35" spans="1:21" x14ac:dyDescent="0.25">
      <c r="A35" s="91" t="s">
        <v>206</v>
      </c>
      <c r="B35" s="91">
        <v>7</v>
      </c>
      <c r="C35" s="91" t="s">
        <v>204</v>
      </c>
      <c r="D35" s="91" t="s">
        <v>59</v>
      </c>
      <c r="E35">
        <v>61</v>
      </c>
      <c r="F35">
        <v>62</v>
      </c>
      <c r="G35" s="94" t="s">
        <v>59</v>
      </c>
      <c r="H35" t="s">
        <v>207</v>
      </c>
      <c r="I35">
        <v>1</v>
      </c>
      <c r="J35">
        <v>68557.399999999994</v>
      </c>
      <c r="K35">
        <f>I35*J35</f>
        <v>68557.399999999994</v>
      </c>
      <c r="L35">
        <v>27.83</v>
      </c>
      <c r="M35">
        <f>(1-(L35/100))*K35</f>
        <v>49477.87558</v>
      </c>
      <c r="N35">
        <v>35</v>
      </c>
      <c r="O35" s="91" t="s">
        <v>208</v>
      </c>
      <c r="P35" s="119"/>
      <c r="Q35" s="119"/>
    </row>
    <row r="36" spans="1:21" x14ac:dyDescent="0.25">
      <c r="A36" s="91" t="s">
        <v>209</v>
      </c>
      <c r="B36" s="91">
        <v>7</v>
      </c>
      <c r="C36" s="91" t="s">
        <v>204</v>
      </c>
      <c r="D36" s="91" t="s">
        <v>92</v>
      </c>
      <c r="E36">
        <v>63</v>
      </c>
      <c r="F36">
        <v>64</v>
      </c>
      <c r="G36" s="94" t="s">
        <v>59</v>
      </c>
      <c r="H36" t="s">
        <v>210</v>
      </c>
      <c r="I36">
        <v>2000</v>
      </c>
      <c r="J36">
        <v>22.62</v>
      </c>
      <c r="K36">
        <f>I36*J36</f>
        <v>45240</v>
      </c>
      <c r="L36">
        <v>27.83</v>
      </c>
      <c r="M36">
        <f>(1-(L36/100))*K36</f>
        <v>32649.707999999999</v>
      </c>
      <c r="N36">
        <v>36</v>
      </c>
      <c r="O36" s="91" t="s">
        <v>211</v>
      </c>
      <c r="P36" s="119"/>
      <c r="Q36" s="119"/>
    </row>
    <row r="37" spans="1:21" x14ac:dyDescent="0.25">
      <c r="A37" s="91" t="s">
        <v>212</v>
      </c>
      <c r="B37" s="91">
        <v>7</v>
      </c>
      <c r="C37" s="91" t="s">
        <v>204</v>
      </c>
      <c r="D37" s="91" t="s">
        <v>810</v>
      </c>
      <c r="E37">
        <v>65</v>
      </c>
      <c r="F37">
        <v>66</v>
      </c>
      <c r="G37" s="94" t="s">
        <v>59</v>
      </c>
      <c r="H37" t="s">
        <v>82</v>
      </c>
      <c r="I37">
        <v>1060</v>
      </c>
      <c r="J37">
        <v>2.0099999999999998</v>
      </c>
      <c r="K37">
        <f>I37*J37</f>
        <v>2130.6</v>
      </c>
      <c r="L37">
        <v>27.83</v>
      </c>
      <c r="M37">
        <f>(1-(L37/100))*K37</f>
        <v>1537.6540199999999</v>
      </c>
      <c r="N37">
        <v>37</v>
      </c>
      <c r="O37" s="91" t="s">
        <v>213</v>
      </c>
      <c r="P37" s="119"/>
      <c r="Q37" s="119"/>
    </row>
    <row r="38" spans="1:21" x14ac:dyDescent="0.25">
      <c r="A38" s="91" t="s">
        <v>214</v>
      </c>
      <c r="B38" s="91">
        <v>7</v>
      </c>
      <c r="C38" s="91" t="s">
        <v>204</v>
      </c>
      <c r="D38" s="91" t="s">
        <v>811</v>
      </c>
      <c r="E38">
        <v>67</v>
      </c>
      <c r="F38">
        <v>68</v>
      </c>
      <c r="G38" s="94" t="s">
        <v>59</v>
      </c>
      <c r="H38" t="s">
        <v>215</v>
      </c>
      <c r="I38">
        <v>1</v>
      </c>
      <c r="J38">
        <v>936646</v>
      </c>
      <c r="K38">
        <f>I38*J38</f>
        <v>936646</v>
      </c>
      <c r="L38">
        <v>27.83</v>
      </c>
      <c r="M38">
        <f>(1-(L38/100))*K38</f>
        <v>675977.41819999996</v>
      </c>
      <c r="N38">
        <v>38</v>
      </c>
      <c r="O38" s="91" t="s">
        <v>216</v>
      </c>
      <c r="P38" s="119"/>
      <c r="Q38" s="119"/>
    </row>
    <row r="39" spans="1:21" x14ac:dyDescent="0.25">
      <c r="A39" s="91" t="s">
        <v>217</v>
      </c>
      <c r="B39" s="91">
        <v>3</v>
      </c>
      <c r="C39" s="91" t="s">
        <v>2</v>
      </c>
      <c r="D39" s="91" t="s">
        <v>813</v>
      </c>
      <c r="E39">
        <v>73</v>
      </c>
      <c r="F39">
        <v>88</v>
      </c>
      <c r="G39" s="94" t="s">
        <v>93</v>
      </c>
      <c r="H39" t="s">
        <v>218</v>
      </c>
      <c r="I39">
        <v>1</v>
      </c>
      <c r="J39">
        <f>SUM(K40)</f>
        <v>283736</v>
      </c>
      <c r="K39">
        <f>I39*J39</f>
        <v>283736</v>
      </c>
      <c r="L39">
        <f>100*(1-(M39/K39))</f>
        <v>27.83</v>
      </c>
      <c r="M39">
        <f>I39*SUM(M40)</f>
        <v>204772.27120000002</v>
      </c>
      <c r="N39">
        <v>39</v>
      </c>
      <c r="O39" s="91" t="s">
        <v>219</v>
      </c>
      <c r="P39" s="119"/>
      <c r="Q39" s="119"/>
      <c r="R39" s="91" t="s">
        <v>1187</v>
      </c>
      <c r="S39" s="91" t="s">
        <v>1210</v>
      </c>
      <c r="T39" s="91" t="s">
        <v>1221</v>
      </c>
      <c r="U39" s="91" t="s">
        <v>1199</v>
      </c>
    </row>
    <row r="40" spans="1:21" x14ac:dyDescent="0.25">
      <c r="A40" s="91" t="s">
        <v>220</v>
      </c>
      <c r="B40" s="91">
        <v>4</v>
      </c>
      <c r="C40" s="91" t="s">
        <v>217</v>
      </c>
      <c r="D40" s="91" t="s">
        <v>59</v>
      </c>
      <c r="E40">
        <v>74</v>
      </c>
      <c r="F40">
        <v>87</v>
      </c>
      <c r="G40" s="94" t="s">
        <v>93</v>
      </c>
      <c r="H40" t="s">
        <v>218</v>
      </c>
      <c r="I40">
        <v>1</v>
      </c>
      <c r="J40">
        <f>SUM(K41)</f>
        <v>283736</v>
      </c>
      <c r="K40">
        <f>I40*J40</f>
        <v>283736</v>
      </c>
      <c r="L40">
        <f>100*(1-(M40/K40))</f>
        <v>27.83</v>
      </c>
      <c r="M40">
        <f>I40*SUM(M41)</f>
        <v>204772.27120000002</v>
      </c>
      <c r="N40">
        <v>40</v>
      </c>
      <c r="O40" s="91" t="s">
        <v>221</v>
      </c>
      <c r="P40" s="119"/>
      <c r="Q40" s="119"/>
      <c r="R40" s="91" t="s">
        <v>1093</v>
      </c>
      <c r="S40" s="91" t="s">
        <v>1141</v>
      </c>
      <c r="T40" s="91" t="s">
        <v>1165</v>
      </c>
      <c r="U40" s="91" t="s">
        <v>1117</v>
      </c>
    </row>
    <row r="41" spans="1:21" x14ac:dyDescent="0.25">
      <c r="A41" s="91" t="s">
        <v>222</v>
      </c>
      <c r="B41" s="91">
        <v>5</v>
      </c>
      <c r="C41" s="91" t="s">
        <v>220</v>
      </c>
      <c r="D41" s="91" t="s">
        <v>59</v>
      </c>
      <c r="E41">
        <v>75</v>
      </c>
      <c r="F41">
        <v>86</v>
      </c>
      <c r="G41" s="94" t="s">
        <v>93</v>
      </c>
      <c r="H41" t="s">
        <v>218</v>
      </c>
      <c r="I41">
        <v>2</v>
      </c>
      <c r="J41">
        <f>SUM(K42)</f>
        <v>141868</v>
      </c>
      <c r="K41">
        <f>I41*J41</f>
        <v>283736</v>
      </c>
      <c r="L41">
        <f>100*(1-(M41/K41))</f>
        <v>27.83</v>
      </c>
      <c r="M41">
        <f>I41*SUM(M42)</f>
        <v>204772.27120000002</v>
      </c>
      <c r="N41">
        <v>41</v>
      </c>
      <c r="O41" s="91" t="s">
        <v>223</v>
      </c>
      <c r="P41" s="119"/>
      <c r="Q41" s="119"/>
      <c r="R41" s="91" t="s">
        <v>977</v>
      </c>
      <c r="S41" s="91" t="s">
        <v>1035</v>
      </c>
      <c r="T41" s="91" t="s">
        <v>1064</v>
      </c>
      <c r="U41" s="91" t="s">
        <v>1006</v>
      </c>
    </row>
    <row r="42" spans="1:21" x14ac:dyDescent="0.25">
      <c r="A42" s="91" t="s">
        <v>224</v>
      </c>
      <c r="B42" s="91">
        <v>6</v>
      </c>
      <c r="C42" s="91" t="s">
        <v>222</v>
      </c>
      <c r="D42" s="91" t="s">
        <v>59</v>
      </c>
      <c r="E42">
        <v>76</v>
      </c>
      <c r="F42">
        <v>85</v>
      </c>
      <c r="G42" s="94" t="s">
        <v>93</v>
      </c>
      <c r="H42" t="s">
        <v>90</v>
      </c>
      <c r="I42">
        <v>1</v>
      </c>
      <c r="J42">
        <f>SUM(K43,K44,K45,K46)</f>
        <v>141868</v>
      </c>
      <c r="K42">
        <f>I42*J42</f>
        <v>141868</v>
      </c>
      <c r="L42">
        <f>100*(1-(M42/K42))</f>
        <v>27.83</v>
      </c>
      <c r="M42">
        <f>I42*SUM(M43,M44,M45,M46)</f>
        <v>102386.13560000001</v>
      </c>
      <c r="N42">
        <v>42</v>
      </c>
      <c r="O42" s="91" t="s">
        <v>225</v>
      </c>
      <c r="P42" s="119"/>
      <c r="Q42" s="119"/>
      <c r="R42" s="91" t="s">
        <v>827</v>
      </c>
      <c r="S42" s="91" t="s">
        <v>903</v>
      </c>
      <c r="T42" s="91" t="s">
        <v>941</v>
      </c>
      <c r="U42" s="91" t="s">
        <v>865</v>
      </c>
    </row>
    <row r="43" spans="1:21" x14ac:dyDescent="0.25">
      <c r="A43" s="91" t="s">
        <v>226</v>
      </c>
      <c r="B43" s="91">
        <v>7</v>
      </c>
      <c r="C43" s="91" t="s">
        <v>224</v>
      </c>
      <c r="D43" s="91" t="s">
        <v>59</v>
      </c>
      <c r="E43">
        <v>77</v>
      </c>
      <c r="F43">
        <v>78</v>
      </c>
      <c r="G43" s="94" t="s">
        <v>59</v>
      </c>
      <c r="H43" t="s">
        <v>151</v>
      </c>
      <c r="I43">
        <v>18</v>
      </c>
      <c r="J43">
        <v>5616</v>
      </c>
      <c r="K43">
        <f>I43*J43</f>
        <v>101088</v>
      </c>
      <c r="L43">
        <v>27.83</v>
      </c>
      <c r="M43">
        <f>(1-(L43/100))*K43</f>
        <v>72955.209600000002</v>
      </c>
      <c r="N43">
        <v>43</v>
      </c>
      <c r="O43" s="91" t="s">
        <v>227</v>
      </c>
      <c r="P43" s="119"/>
      <c r="Q43" s="119"/>
    </row>
    <row r="44" spans="1:21" x14ac:dyDescent="0.25">
      <c r="A44" s="91" t="s">
        <v>228</v>
      </c>
      <c r="B44" s="91">
        <v>7</v>
      </c>
      <c r="C44" s="91" t="s">
        <v>224</v>
      </c>
      <c r="D44" s="91" t="s">
        <v>92</v>
      </c>
      <c r="E44">
        <v>79</v>
      </c>
      <c r="F44">
        <v>80</v>
      </c>
      <c r="G44" s="94" t="s">
        <v>59</v>
      </c>
      <c r="H44" t="s">
        <v>154</v>
      </c>
      <c r="I44">
        <v>1</v>
      </c>
      <c r="J44">
        <v>1604</v>
      </c>
      <c r="K44">
        <f>I44*J44</f>
        <v>1604</v>
      </c>
      <c r="L44">
        <v>27.83</v>
      </c>
      <c r="M44">
        <f>(1-(L44/100))*K44</f>
        <v>1157.6068</v>
      </c>
      <c r="N44">
        <v>44</v>
      </c>
      <c r="O44" s="91" t="s">
        <v>229</v>
      </c>
      <c r="P44" s="119"/>
      <c r="Q44" s="119"/>
    </row>
    <row r="45" spans="1:21" x14ac:dyDescent="0.25">
      <c r="A45" s="91" t="s">
        <v>230</v>
      </c>
      <c r="B45" s="91">
        <v>7</v>
      </c>
      <c r="C45" s="91" t="s">
        <v>224</v>
      </c>
      <c r="D45" s="91" t="s">
        <v>810</v>
      </c>
      <c r="E45">
        <v>81</v>
      </c>
      <c r="F45">
        <v>82</v>
      </c>
      <c r="G45" s="94" t="s">
        <v>59</v>
      </c>
      <c r="H45" t="s">
        <v>157</v>
      </c>
      <c r="I45">
        <v>2</v>
      </c>
      <c r="J45">
        <v>7020</v>
      </c>
      <c r="K45">
        <f>I45*J45</f>
        <v>14040</v>
      </c>
      <c r="L45">
        <v>27.83</v>
      </c>
      <c r="M45">
        <f>(1-(L45/100))*K45</f>
        <v>10132.668</v>
      </c>
      <c r="N45">
        <v>45</v>
      </c>
      <c r="O45" s="91" t="s">
        <v>231</v>
      </c>
      <c r="P45" s="119"/>
      <c r="Q45" s="119"/>
    </row>
    <row r="46" spans="1:21" x14ac:dyDescent="0.25">
      <c r="A46" s="91" t="s">
        <v>232</v>
      </c>
      <c r="B46" s="91">
        <v>7</v>
      </c>
      <c r="C46" s="91" t="s">
        <v>224</v>
      </c>
      <c r="D46" s="91" t="s">
        <v>811</v>
      </c>
      <c r="E46">
        <v>83</v>
      </c>
      <c r="F46">
        <v>84</v>
      </c>
      <c r="G46" s="94" t="s">
        <v>59</v>
      </c>
      <c r="H46" t="s">
        <v>160</v>
      </c>
      <c r="I46">
        <v>2</v>
      </c>
      <c r="J46">
        <v>12568</v>
      </c>
      <c r="K46">
        <f>I46*J46</f>
        <v>25136</v>
      </c>
      <c r="L46">
        <v>27.83</v>
      </c>
      <c r="M46">
        <f>(1-(L46/100))*K46</f>
        <v>18140.6512</v>
      </c>
      <c r="N46">
        <v>46</v>
      </c>
      <c r="O46" s="91" t="s">
        <v>233</v>
      </c>
      <c r="P46" s="119"/>
      <c r="Q46" s="119"/>
    </row>
    <row r="47" spans="1:21" x14ac:dyDescent="0.25">
      <c r="A47" s="91" t="s">
        <v>234</v>
      </c>
      <c r="B47" s="91">
        <v>3</v>
      </c>
      <c r="C47" s="91" t="s">
        <v>2</v>
      </c>
      <c r="D47" s="91" t="s">
        <v>814</v>
      </c>
      <c r="E47">
        <v>89</v>
      </c>
      <c r="F47">
        <v>98</v>
      </c>
      <c r="G47" s="94" t="s">
        <v>93</v>
      </c>
      <c r="H47" t="s">
        <v>235</v>
      </c>
      <c r="I47">
        <v>1</v>
      </c>
      <c r="J47">
        <f>SUM(K48)</f>
        <v>139055.14000000001</v>
      </c>
      <c r="K47">
        <f>I47*J47</f>
        <v>139055.14000000001</v>
      </c>
      <c r="L47">
        <f>100*(1-(M47/K47))</f>
        <v>27.83</v>
      </c>
      <c r="M47">
        <f>I47*SUM(M48)</f>
        <v>100356.094538</v>
      </c>
      <c r="N47">
        <v>47</v>
      </c>
      <c r="O47" s="91" t="s">
        <v>236</v>
      </c>
      <c r="P47" s="119"/>
      <c r="Q47" s="119"/>
      <c r="R47" s="91" t="s">
        <v>1188</v>
      </c>
      <c r="S47" s="91" t="s">
        <v>1211</v>
      </c>
      <c r="T47" s="91" t="s">
        <v>1222</v>
      </c>
      <c r="U47" s="91" t="s">
        <v>1200</v>
      </c>
    </row>
    <row r="48" spans="1:21" x14ac:dyDescent="0.25">
      <c r="A48" s="91" t="s">
        <v>237</v>
      </c>
      <c r="B48" s="91">
        <v>4</v>
      </c>
      <c r="C48" s="91" t="s">
        <v>234</v>
      </c>
      <c r="D48" s="91" t="s">
        <v>59</v>
      </c>
      <c r="E48">
        <v>90</v>
      </c>
      <c r="F48">
        <v>97</v>
      </c>
      <c r="G48" s="94" t="s">
        <v>93</v>
      </c>
      <c r="H48" t="s">
        <v>238</v>
      </c>
      <c r="I48">
        <v>1</v>
      </c>
      <c r="J48">
        <f>SUM(K49)</f>
        <v>139055.14000000001</v>
      </c>
      <c r="K48">
        <f>I48*J48</f>
        <v>139055.14000000001</v>
      </c>
      <c r="L48">
        <f>100*(1-(M48/K48))</f>
        <v>27.83</v>
      </c>
      <c r="M48">
        <f>I48*SUM(M49)</f>
        <v>100356.094538</v>
      </c>
      <c r="N48">
        <v>48</v>
      </c>
      <c r="O48" s="91" t="s">
        <v>239</v>
      </c>
      <c r="P48" s="119"/>
      <c r="Q48" s="119"/>
      <c r="R48" s="91" t="s">
        <v>1094</v>
      </c>
      <c r="S48" s="91" t="s">
        <v>1142</v>
      </c>
      <c r="T48" s="91" t="s">
        <v>1166</v>
      </c>
      <c r="U48" s="91" t="s">
        <v>1118</v>
      </c>
    </row>
    <row r="49" spans="1:21" x14ac:dyDescent="0.25">
      <c r="A49" s="91" t="s">
        <v>240</v>
      </c>
      <c r="B49" s="91">
        <v>5</v>
      </c>
      <c r="C49" s="91" t="s">
        <v>237</v>
      </c>
      <c r="D49" s="91" t="s">
        <v>59</v>
      </c>
      <c r="E49">
        <v>91</v>
      </c>
      <c r="F49">
        <v>96</v>
      </c>
      <c r="G49" s="94" t="s">
        <v>93</v>
      </c>
      <c r="H49" t="s">
        <v>235</v>
      </c>
      <c r="I49">
        <v>2</v>
      </c>
      <c r="J49">
        <f>SUM(K50)</f>
        <v>69527.570000000007</v>
      </c>
      <c r="K49">
        <f>I49*J49</f>
        <v>139055.14000000001</v>
      </c>
      <c r="L49">
        <f>100*(1-(M49/K49))</f>
        <v>27.83</v>
      </c>
      <c r="M49">
        <f>I49*SUM(M50)</f>
        <v>100356.094538</v>
      </c>
      <c r="N49">
        <v>49</v>
      </c>
      <c r="O49" s="91" t="s">
        <v>241</v>
      </c>
      <c r="P49" s="119"/>
      <c r="Q49" s="119"/>
      <c r="R49" s="91" t="s">
        <v>978</v>
      </c>
      <c r="S49" s="91" t="s">
        <v>1036</v>
      </c>
      <c r="T49" s="91" t="s">
        <v>1065</v>
      </c>
      <c r="U49" s="91" t="s">
        <v>1007</v>
      </c>
    </row>
    <row r="50" spans="1:21" x14ac:dyDescent="0.25">
      <c r="A50" s="91" t="s">
        <v>242</v>
      </c>
      <c r="B50" s="91">
        <v>6</v>
      </c>
      <c r="C50" s="91" t="s">
        <v>240</v>
      </c>
      <c r="D50" s="91" t="s">
        <v>59</v>
      </c>
      <c r="E50">
        <v>92</v>
      </c>
      <c r="F50">
        <v>95</v>
      </c>
      <c r="G50" s="94" t="s">
        <v>93</v>
      </c>
      <c r="H50" t="s">
        <v>243</v>
      </c>
      <c r="I50">
        <v>1</v>
      </c>
      <c r="J50">
        <f>SUM(K51)</f>
        <v>69527.570000000007</v>
      </c>
      <c r="K50">
        <f>I50*J50</f>
        <v>69527.570000000007</v>
      </c>
      <c r="L50">
        <f>100*(1-(M50/K50))</f>
        <v>27.83</v>
      </c>
      <c r="M50">
        <f>I50*SUM(M51)</f>
        <v>50178.047269000002</v>
      </c>
      <c r="N50">
        <v>50</v>
      </c>
      <c r="O50" s="91" t="s">
        <v>244</v>
      </c>
      <c r="P50" s="119"/>
      <c r="Q50" s="119"/>
      <c r="R50" s="91" t="s">
        <v>828</v>
      </c>
      <c r="S50" s="91" t="s">
        <v>904</v>
      </c>
      <c r="T50" s="91" t="s">
        <v>942</v>
      </c>
      <c r="U50" s="91" t="s">
        <v>866</v>
      </c>
    </row>
    <row r="51" spans="1:21" x14ac:dyDescent="0.25">
      <c r="A51" s="91" t="s">
        <v>245</v>
      </c>
      <c r="B51" s="91">
        <v>7</v>
      </c>
      <c r="C51" s="91" t="s">
        <v>242</v>
      </c>
      <c r="D51" s="91" t="s">
        <v>59</v>
      </c>
      <c r="E51">
        <v>93</v>
      </c>
      <c r="F51">
        <v>94</v>
      </c>
      <c r="G51" s="94" t="s">
        <v>59</v>
      </c>
      <c r="H51" t="s">
        <v>246</v>
      </c>
      <c r="I51">
        <v>1</v>
      </c>
      <c r="J51">
        <v>69527.570000000007</v>
      </c>
      <c r="K51">
        <f>I51*J51</f>
        <v>69527.570000000007</v>
      </c>
      <c r="L51">
        <v>27.83</v>
      </c>
      <c r="M51">
        <f>(1-(L51/100))*K51</f>
        <v>50178.047269000002</v>
      </c>
      <c r="N51">
        <v>51</v>
      </c>
      <c r="O51" s="91" t="s">
        <v>247</v>
      </c>
      <c r="P51" s="119"/>
      <c r="Q51" s="119"/>
    </row>
    <row r="52" spans="1:21" x14ac:dyDescent="0.25">
      <c r="A52" s="91" t="s">
        <v>248</v>
      </c>
      <c r="B52" s="91">
        <v>3</v>
      </c>
      <c r="C52" s="91" t="s">
        <v>2</v>
      </c>
      <c r="D52" s="91" t="s">
        <v>815</v>
      </c>
      <c r="E52">
        <v>99</v>
      </c>
      <c r="F52">
        <v>108</v>
      </c>
      <c r="G52" s="94" t="s">
        <v>93</v>
      </c>
      <c r="H52" t="s">
        <v>249</v>
      </c>
      <c r="I52">
        <v>1</v>
      </c>
      <c r="J52">
        <f>SUM(K53)</f>
        <v>24067.24</v>
      </c>
      <c r="K52">
        <f>I52*J52</f>
        <v>24067.24</v>
      </c>
      <c r="L52">
        <f>100*(1-(M52/K52))</f>
        <v>100</v>
      </c>
      <c r="M52">
        <f>I52*SUM(M53)</f>
        <v>0</v>
      </c>
      <c r="N52">
        <v>52</v>
      </c>
      <c r="O52" s="91" t="s">
        <v>250</v>
      </c>
      <c r="P52" s="119"/>
      <c r="Q52" s="119"/>
      <c r="R52" s="91" t="s">
        <v>1189</v>
      </c>
      <c r="S52" s="91" t="s">
        <v>1212</v>
      </c>
      <c r="T52" s="91" t="s">
        <v>1223</v>
      </c>
      <c r="U52" s="91" t="s">
        <v>1201</v>
      </c>
    </row>
    <row r="53" spans="1:21" x14ac:dyDescent="0.25">
      <c r="A53" s="91" t="s">
        <v>251</v>
      </c>
      <c r="B53" s="91">
        <v>4</v>
      </c>
      <c r="C53" s="91" t="s">
        <v>248</v>
      </c>
      <c r="D53" s="91" t="s">
        <v>59</v>
      </c>
      <c r="E53">
        <v>100</v>
      </c>
      <c r="F53">
        <v>107</v>
      </c>
      <c r="G53" s="94" t="s">
        <v>93</v>
      </c>
      <c r="H53" t="s">
        <v>249</v>
      </c>
      <c r="I53">
        <v>1</v>
      </c>
      <c r="J53">
        <f>SUM(K54)</f>
        <v>24067.24</v>
      </c>
      <c r="K53">
        <f>I53*J53</f>
        <v>24067.24</v>
      </c>
      <c r="L53">
        <f>100*(1-(M53/K53))</f>
        <v>100</v>
      </c>
      <c r="M53">
        <f>I53*SUM(M54)</f>
        <v>0</v>
      </c>
      <c r="N53">
        <v>53</v>
      </c>
      <c r="O53" s="91" t="s">
        <v>252</v>
      </c>
      <c r="P53" s="119"/>
      <c r="Q53" s="119"/>
      <c r="R53" s="91" t="s">
        <v>1095</v>
      </c>
      <c r="S53" s="91" t="s">
        <v>1143</v>
      </c>
      <c r="T53" s="91" t="s">
        <v>1167</v>
      </c>
      <c r="U53" s="91" t="s">
        <v>1119</v>
      </c>
    </row>
    <row r="54" spans="1:21" x14ac:dyDescent="0.25">
      <c r="A54" s="91" t="s">
        <v>253</v>
      </c>
      <c r="B54" s="91">
        <v>5</v>
      </c>
      <c r="C54" s="91" t="s">
        <v>251</v>
      </c>
      <c r="D54" s="91" t="s">
        <v>59</v>
      </c>
      <c r="E54">
        <v>101</v>
      </c>
      <c r="F54">
        <v>106</v>
      </c>
      <c r="G54" s="94" t="s">
        <v>93</v>
      </c>
      <c r="H54" t="s">
        <v>249</v>
      </c>
      <c r="I54">
        <v>2</v>
      </c>
      <c r="J54">
        <f>SUM(K55)</f>
        <v>12033.62</v>
      </c>
      <c r="K54">
        <f>I54*J54</f>
        <v>24067.24</v>
      </c>
      <c r="L54">
        <f>100*(1-(M54/K54))</f>
        <v>100</v>
      </c>
      <c r="M54">
        <f>I54*SUM(M55)</f>
        <v>0</v>
      </c>
      <c r="N54">
        <v>54</v>
      </c>
      <c r="O54" s="91" t="s">
        <v>254</v>
      </c>
      <c r="P54" s="119"/>
      <c r="Q54" s="119"/>
      <c r="R54" s="91" t="s">
        <v>979</v>
      </c>
      <c r="S54" s="91" t="s">
        <v>1037</v>
      </c>
      <c r="T54" s="91" t="s">
        <v>1066</v>
      </c>
      <c r="U54" s="91" t="s">
        <v>1008</v>
      </c>
    </row>
    <row r="55" spans="1:21" x14ac:dyDescent="0.25">
      <c r="A55" s="91" t="s">
        <v>255</v>
      </c>
      <c r="B55" s="91">
        <v>6</v>
      </c>
      <c r="C55" s="91" t="s">
        <v>253</v>
      </c>
      <c r="D55" s="91" t="s">
        <v>59</v>
      </c>
      <c r="E55">
        <v>102</v>
      </c>
      <c r="F55">
        <v>105</v>
      </c>
      <c r="G55" s="94" t="s">
        <v>93</v>
      </c>
      <c r="H55" t="s">
        <v>256</v>
      </c>
      <c r="I55">
        <v>1</v>
      </c>
      <c r="J55">
        <f>SUM(K56)</f>
        <v>12033.62</v>
      </c>
      <c r="K55">
        <f>I55*J55</f>
        <v>12033.62</v>
      </c>
      <c r="L55">
        <f>100*(1-(M55/K55))</f>
        <v>100</v>
      </c>
      <c r="M55">
        <f>I55*SUM(M56)</f>
        <v>0</v>
      </c>
      <c r="N55">
        <v>55</v>
      </c>
      <c r="O55" s="91" t="s">
        <v>257</v>
      </c>
      <c r="P55" s="119"/>
      <c r="Q55" s="119"/>
      <c r="R55" s="91" t="s">
        <v>829</v>
      </c>
      <c r="S55" s="91" t="s">
        <v>905</v>
      </c>
      <c r="T55" s="91" t="s">
        <v>943</v>
      </c>
      <c r="U55" s="91" t="s">
        <v>867</v>
      </c>
    </row>
    <row r="56" spans="1:21" x14ac:dyDescent="0.25">
      <c r="A56" s="91" t="s">
        <v>258</v>
      </c>
      <c r="B56" s="91">
        <v>7</v>
      </c>
      <c r="C56" s="91" t="s">
        <v>255</v>
      </c>
      <c r="D56" s="91" t="s">
        <v>59</v>
      </c>
      <c r="E56">
        <v>103</v>
      </c>
      <c r="F56">
        <v>104</v>
      </c>
      <c r="G56" s="94" t="s">
        <v>59</v>
      </c>
      <c r="H56" t="s">
        <v>259</v>
      </c>
      <c r="I56">
        <v>1</v>
      </c>
      <c r="J56">
        <v>12033.62</v>
      </c>
      <c r="K56">
        <f>I56*J56</f>
        <v>12033.62</v>
      </c>
      <c r="L56">
        <v>100</v>
      </c>
      <c r="M56">
        <f>(1-(L56/100))*K56</f>
        <v>0</v>
      </c>
      <c r="N56">
        <v>56</v>
      </c>
      <c r="O56" s="91" t="s">
        <v>260</v>
      </c>
      <c r="P56" s="119"/>
      <c r="Q56" s="119"/>
    </row>
    <row r="57" spans="1:21" x14ac:dyDescent="0.25">
      <c r="A57" s="91" t="s">
        <v>261</v>
      </c>
      <c r="B57" s="91">
        <v>3</v>
      </c>
      <c r="C57" s="91" t="s">
        <v>2</v>
      </c>
      <c r="D57" s="91" t="s">
        <v>816</v>
      </c>
      <c r="E57">
        <v>109</v>
      </c>
      <c r="F57">
        <v>122</v>
      </c>
      <c r="G57" s="94" t="s">
        <v>93</v>
      </c>
      <c r="H57" t="s">
        <v>262</v>
      </c>
      <c r="I57">
        <v>1</v>
      </c>
      <c r="J57">
        <f>SUM(K58)</f>
        <v>638290.58400000003</v>
      </c>
      <c r="K57">
        <f>I57*J57</f>
        <v>638290.58400000003</v>
      </c>
      <c r="L57">
        <f>100*(1-(M57/K57))</f>
        <v>27.83</v>
      </c>
      <c r="M57">
        <f>I57*SUM(M58)</f>
        <v>460654.3144728</v>
      </c>
      <c r="N57">
        <v>57</v>
      </c>
      <c r="O57" s="91" t="s">
        <v>263</v>
      </c>
      <c r="P57" s="119"/>
      <c r="Q57" s="119"/>
      <c r="R57" s="91" t="s">
        <v>1190</v>
      </c>
      <c r="S57" s="91" t="s">
        <v>1213</v>
      </c>
      <c r="T57" s="91" t="s">
        <v>1224</v>
      </c>
      <c r="U57" s="91" t="s">
        <v>1202</v>
      </c>
    </row>
    <row r="58" spans="1:21" x14ac:dyDescent="0.25">
      <c r="A58" s="91" t="s">
        <v>264</v>
      </c>
      <c r="B58" s="91">
        <v>4</v>
      </c>
      <c r="C58" s="91" t="s">
        <v>261</v>
      </c>
      <c r="D58" s="91" t="s">
        <v>59</v>
      </c>
      <c r="E58">
        <v>110</v>
      </c>
      <c r="F58">
        <v>121</v>
      </c>
      <c r="G58" s="94" t="s">
        <v>93</v>
      </c>
      <c r="H58" t="s">
        <v>262</v>
      </c>
      <c r="I58">
        <v>1</v>
      </c>
      <c r="J58">
        <f>SUM(K59)</f>
        <v>638290.58400000003</v>
      </c>
      <c r="K58">
        <f>I58*J58</f>
        <v>638290.58400000003</v>
      </c>
      <c r="L58">
        <f>100*(1-(M58/K58))</f>
        <v>27.83</v>
      </c>
      <c r="M58">
        <f>I58*SUM(M59)</f>
        <v>460654.3144728</v>
      </c>
      <c r="N58">
        <v>58</v>
      </c>
      <c r="O58" s="91" t="s">
        <v>265</v>
      </c>
      <c r="P58" s="119"/>
      <c r="Q58" s="119"/>
      <c r="R58" s="91" t="s">
        <v>1096</v>
      </c>
      <c r="S58" s="91" t="s">
        <v>1144</v>
      </c>
      <c r="T58" s="91" t="s">
        <v>1168</v>
      </c>
      <c r="U58" s="91" t="s">
        <v>1120</v>
      </c>
    </row>
    <row r="59" spans="1:21" x14ac:dyDescent="0.25">
      <c r="A59" s="91" t="s">
        <v>266</v>
      </c>
      <c r="B59" s="91">
        <v>5</v>
      </c>
      <c r="C59" s="91" t="s">
        <v>264</v>
      </c>
      <c r="D59" s="91" t="s">
        <v>59</v>
      </c>
      <c r="E59">
        <v>111</v>
      </c>
      <c r="F59">
        <v>120</v>
      </c>
      <c r="G59" s="94" t="s">
        <v>93</v>
      </c>
      <c r="H59" t="s">
        <v>262</v>
      </c>
      <c r="I59">
        <v>1</v>
      </c>
      <c r="J59">
        <f>SUM(K60)</f>
        <v>638290.58400000003</v>
      </c>
      <c r="K59">
        <f>I59*J59</f>
        <v>638290.58400000003</v>
      </c>
      <c r="L59">
        <f>100*(1-(M59/K59))</f>
        <v>27.83</v>
      </c>
      <c r="M59">
        <f>I59*SUM(M60)</f>
        <v>460654.3144728</v>
      </c>
      <c r="N59">
        <v>59</v>
      </c>
      <c r="O59" s="91" t="s">
        <v>267</v>
      </c>
      <c r="P59" s="119"/>
      <c r="Q59" s="119"/>
      <c r="R59" s="91" t="s">
        <v>980</v>
      </c>
      <c r="S59" s="91" t="s">
        <v>1038</v>
      </c>
      <c r="T59" s="91" t="s">
        <v>1067</v>
      </c>
      <c r="U59" s="91" t="s">
        <v>1009</v>
      </c>
    </row>
    <row r="60" spans="1:21" x14ac:dyDescent="0.25">
      <c r="A60" s="91" t="s">
        <v>268</v>
      </c>
      <c r="B60" s="91">
        <v>6</v>
      </c>
      <c r="C60" s="91" t="s">
        <v>266</v>
      </c>
      <c r="D60" s="91" t="s">
        <v>59</v>
      </c>
      <c r="E60">
        <v>112</v>
      </c>
      <c r="F60">
        <v>119</v>
      </c>
      <c r="G60" s="94" t="s">
        <v>93</v>
      </c>
      <c r="H60" t="s">
        <v>243</v>
      </c>
      <c r="I60">
        <v>1</v>
      </c>
      <c r="J60">
        <f>SUM(K61,K62,K63)</f>
        <v>638290.58400000003</v>
      </c>
      <c r="K60">
        <f>I60*J60</f>
        <v>638290.58400000003</v>
      </c>
      <c r="L60">
        <f>100*(1-(M60/K60))</f>
        <v>27.83</v>
      </c>
      <c r="M60">
        <f>I60*SUM(M61,M62,M63)</f>
        <v>460654.3144728</v>
      </c>
      <c r="N60">
        <v>60</v>
      </c>
      <c r="O60" s="91" t="s">
        <v>269</v>
      </c>
      <c r="P60" s="119"/>
      <c r="Q60" s="119"/>
      <c r="R60" s="91" t="s">
        <v>830</v>
      </c>
      <c r="S60" s="91" t="s">
        <v>906</v>
      </c>
      <c r="T60" s="91" t="s">
        <v>944</v>
      </c>
      <c r="U60" s="91" t="s">
        <v>868</v>
      </c>
    </row>
    <row r="61" spans="1:21" x14ac:dyDescent="0.25">
      <c r="A61" s="91" t="s">
        <v>270</v>
      </c>
      <c r="B61" s="91">
        <v>7</v>
      </c>
      <c r="C61" s="91" t="s">
        <v>268</v>
      </c>
      <c r="D61" s="91" t="s">
        <v>59</v>
      </c>
      <c r="E61">
        <v>113</v>
      </c>
      <c r="F61">
        <v>114</v>
      </c>
      <c r="G61" s="94" t="s">
        <v>59</v>
      </c>
      <c r="H61" t="s">
        <v>271</v>
      </c>
      <c r="I61">
        <v>2700000</v>
      </c>
      <c r="J61">
        <v>0.05</v>
      </c>
      <c r="K61">
        <f>I61*J61</f>
        <v>135000</v>
      </c>
      <c r="L61">
        <v>27.83</v>
      </c>
      <c r="M61">
        <f>(1-(L61/100))*K61</f>
        <v>97429.5</v>
      </c>
      <c r="N61">
        <v>61</v>
      </c>
      <c r="O61" s="91" t="s">
        <v>272</v>
      </c>
      <c r="P61" s="119"/>
      <c r="Q61" s="119"/>
    </row>
    <row r="62" spans="1:21" x14ac:dyDescent="0.25">
      <c r="A62" s="91" t="s">
        <v>273</v>
      </c>
      <c r="B62" s="91">
        <v>7</v>
      </c>
      <c r="C62" s="91" t="s">
        <v>268</v>
      </c>
      <c r="D62" s="91" t="s">
        <v>92</v>
      </c>
      <c r="E62">
        <v>115</v>
      </c>
      <c r="F62">
        <v>116</v>
      </c>
      <c r="G62" s="94" t="s">
        <v>59</v>
      </c>
      <c r="H62" t="s">
        <v>274</v>
      </c>
      <c r="I62">
        <v>5400000</v>
      </c>
      <c r="J62">
        <v>3.820196E-2</v>
      </c>
      <c r="K62">
        <f>I62*J62</f>
        <v>206290.584</v>
      </c>
      <c r="L62">
        <v>27.83</v>
      </c>
      <c r="M62">
        <f>(1-(L62/100))*K62</f>
        <v>148879.91447280001</v>
      </c>
      <c r="N62">
        <v>62</v>
      </c>
      <c r="O62" s="91" t="s">
        <v>275</v>
      </c>
      <c r="P62" s="119"/>
      <c r="Q62" s="119"/>
    </row>
    <row r="63" spans="1:21" x14ac:dyDescent="0.25">
      <c r="A63" s="91" t="s">
        <v>276</v>
      </c>
      <c r="B63" s="91">
        <v>7</v>
      </c>
      <c r="C63" s="91" t="s">
        <v>268</v>
      </c>
      <c r="D63" s="91" t="s">
        <v>810</v>
      </c>
      <c r="E63">
        <v>117</v>
      </c>
      <c r="F63">
        <v>118</v>
      </c>
      <c r="G63" s="94" t="s">
        <v>59</v>
      </c>
      <c r="H63" t="s">
        <v>277</v>
      </c>
      <c r="I63">
        <v>2700000</v>
      </c>
      <c r="J63">
        <v>0.11</v>
      </c>
      <c r="K63">
        <f>I63*J63</f>
        <v>297000</v>
      </c>
      <c r="L63">
        <v>27.83</v>
      </c>
      <c r="M63">
        <f>(1-(L63/100))*K63</f>
        <v>214344.9</v>
      </c>
      <c r="N63">
        <v>63</v>
      </c>
      <c r="O63" s="91" t="s">
        <v>278</v>
      </c>
      <c r="P63" s="119"/>
      <c r="Q63" s="119"/>
    </row>
    <row r="64" spans="1:21" x14ac:dyDescent="0.25">
      <c r="A64" s="91" t="s">
        <v>279</v>
      </c>
      <c r="B64" s="91">
        <v>3</v>
      </c>
      <c r="C64" s="91" t="s">
        <v>2</v>
      </c>
      <c r="D64" s="91" t="s">
        <v>149</v>
      </c>
      <c r="E64">
        <v>123</v>
      </c>
      <c r="F64">
        <v>132</v>
      </c>
      <c r="G64" s="94" t="s">
        <v>93</v>
      </c>
      <c r="H64" t="s">
        <v>280</v>
      </c>
      <c r="I64">
        <v>1</v>
      </c>
      <c r="J64">
        <f>SUM(K65)</f>
        <v>11191.5</v>
      </c>
      <c r="K64">
        <f>I64*J64</f>
        <v>11191.5</v>
      </c>
      <c r="L64">
        <f>100*(1-(M64/K64))</f>
        <v>27.83</v>
      </c>
      <c r="M64">
        <f>I64*SUM(M65)</f>
        <v>8076.9055499999995</v>
      </c>
      <c r="N64">
        <v>64</v>
      </c>
      <c r="O64" s="91" t="s">
        <v>281</v>
      </c>
      <c r="P64" s="119"/>
      <c r="Q64" s="119"/>
      <c r="R64" s="91" t="s">
        <v>1087</v>
      </c>
      <c r="S64" s="91" t="s">
        <v>1135</v>
      </c>
      <c r="T64" s="91" t="s">
        <v>1159</v>
      </c>
      <c r="U64" s="91" t="s">
        <v>1111</v>
      </c>
    </row>
    <row r="65" spans="1:21" x14ac:dyDescent="0.25">
      <c r="A65" s="91" t="s">
        <v>282</v>
      </c>
      <c r="B65" s="91">
        <v>4</v>
      </c>
      <c r="C65" s="91" t="s">
        <v>279</v>
      </c>
      <c r="D65" s="91" t="s">
        <v>59</v>
      </c>
      <c r="E65">
        <v>124</v>
      </c>
      <c r="F65">
        <v>131</v>
      </c>
      <c r="G65" s="94" t="s">
        <v>93</v>
      </c>
      <c r="H65" t="s">
        <v>280</v>
      </c>
      <c r="I65">
        <v>1</v>
      </c>
      <c r="J65">
        <f>SUM(K66)</f>
        <v>11191.5</v>
      </c>
      <c r="K65">
        <f>I65*J65</f>
        <v>11191.5</v>
      </c>
      <c r="L65">
        <f>100*(1-(M65/K65))</f>
        <v>27.83</v>
      </c>
      <c r="M65">
        <f>I65*SUM(M66)</f>
        <v>8076.9055499999995</v>
      </c>
      <c r="N65">
        <v>65</v>
      </c>
      <c r="O65" s="91" t="s">
        <v>283</v>
      </c>
      <c r="P65" s="119"/>
      <c r="Q65" s="119"/>
      <c r="R65" s="91" t="s">
        <v>971</v>
      </c>
      <c r="S65" s="91" t="s">
        <v>1029</v>
      </c>
      <c r="T65" s="91" t="s">
        <v>1058</v>
      </c>
      <c r="U65" s="91" t="s">
        <v>1000</v>
      </c>
    </row>
    <row r="66" spans="1:21" x14ac:dyDescent="0.25">
      <c r="A66" s="91" t="s">
        <v>284</v>
      </c>
      <c r="B66" s="91">
        <v>5</v>
      </c>
      <c r="C66" s="91" t="s">
        <v>282</v>
      </c>
      <c r="D66" s="91" t="s">
        <v>59</v>
      </c>
      <c r="E66">
        <v>125</v>
      </c>
      <c r="F66">
        <v>130</v>
      </c>
      <c r="G66" s="94" t="s">
        <v>93</v>
      </c>
      <c r="H66" t="s">
        <v>280</v>
      </c>
      <c r="I66">
        <v>1</v>
      </c>
      <c r="J66">
        <f>SUM(K67,K68)</f>
        <v>11191.5</v>
      </c>
      <c r="K66">
        <f>I66*J66</f>
        <v>11191.5</v>
      </c>
      <c r="L66">
        <f>100*(1-(M66/K66))</f>
        <v>27.83</v>
      </c>
      <c r="M66">
        <f>I66*SUM(M67,M68)</f>
        <v>8076.9055499999995</v>
      </c>
      <c r="N66">
        <v>66</v>
      </c>
      <c r="O66" s="91" t="s">
        <v>285</v>
      </c>
      <c r="P66" s="119"/>
      <c r="Q66" s="119"/>
      <c r="R66" s="91" t="s">
        <v>819</v>
      </c>
      <c r="S66" s="91" t="s">
        <v>895</v>
      </c>
      <c r="T66" s="91" t="s">
        <v>933</v>
      </c>
      <c r="U66" s="91" t="s">
        <v>857</v>
      </c>
    </row>
    <row r="67" spans="1:21" x14ac:dyDescent="0.25">
      <c r="A67" s="91" t="s">
        <v>286</v>
      </c>
      <c r="B67" s="91">
        <v>6</v>
      </c>
      <c r="C67" s="91" t="s">
        <v>284</v>
      </c>
      <c r="D67" s="91" t="s">
        <v>59</v>
      </c>
      <c r="E67">
        <v>126</v>
      </c>
      <c r="F67">
        <v>127</v>
      </c>
      <c r="G67" s="94" t="s">
        <v>59</v>
      </c>
      <c r="H67" t="s">
        <v>287</v>
      </c>
      <c r="I67">
        <v>450</v>
      </c>
      <c r="J67">
        <v>13.8</v>
      </c>
      <c r="K67">
        <f>I67*J67</f>
        <v>6210</v>
      </c>
      <c r="L67">
        <v>27.83</v>
      </c>
      <c r="M67">
        <f>(1-(L67/100))*K67</f>
        <v>4481.7569999999996</v>
      </c>
      <c r="N67">
        <v>67</v>
      </c>
      <c r="O67" s="91" t="s">
        <v>288</v>
      </c>
      <c r="P67" s="119"/>
      <c r="Q67" s="119"/>
    </row>
    <row r="68" spans="1:21" x14ac:dyDescent="0.25">
      <c r="A68" s="91" t="s">
        <v>289</v>
      </c>
      <c r="B68" s="91">
        <v>6</v>
      </c>
      <c r="C68" s="91" t="s">
        <v>284</v>
      </c>
      <c r="D68" s="91" t="s">
        <v>92</v>
      </c>
      <c r="E68">
        <v>128</v>
      </c>
      <c r="F68">
        <v>129</v>
      </c>
      <c r="G68" s="94" t="s">
        <v>59</v>
      </c>
      <c r="H68" t="s">
        <v>290</v>
      </c>
      <c r="I68">
        <v>450</v>
      </c>
      <c r="J68">
        <v>11.07</v>
      </c>
      <c r="K68">
        <f>I68*J68</f>
        <v>4981.5</v>
      </c>
      <c r="L68">
        <v>27.83</v>
      </c>
      <c r="M68">
        <f>(1-(L68/100))*K68</f>
        <v>3595.1485499999999</v>
      </c>
      <c r="N68">
        <v>68</v>
      </c>
      <c r="O68" s="91" t="s">
        <v>291</v>
      </c>
      <c r="P68" s="119"/>
      <c r="Q68" s="119"/>
    </row>
    <row r="69" spans="1:21" x14ac:dyDescent="0.25">
      <c r="A69" s="91" t="s">
        <v>292</v>
      </c>
      <c r="B69" s="91">
        <v>3</v>
      </c>
      <c r="C69" s="91" t="s">
        <v>2</v>
      </c>
      <c r="D69" s="91" t="s">
        <v>145</v>
      </c>
      <c r="E69">
        <v>133</v>
      </c>
      <c r="F69">
        <v>202</v>
      </c>
      <c r="G69" s="94" t="s">
        <v>93</v>
      </c>
      <c r="H69" t="s">
        <v>293</v>
      </c>
      <c r="I69">
        <v>1</v>
      </c>
      <c r="J69">
        <f>SUM(K70)</f>
        <v>195858</v>
      </c>
      <c r="K69">
        <f>I69*J69</f>
        <v>195858</v>
      </c>
      <c r="L69">
        <f>100*(1-(M69/K69))</f>
        <v>27.829999999999988</v>
      </c>
      <c r="M69">
        <f>I69*SUM(M70)</f>
        <v>141350.71860000002</v>
      </c>
      <c r="N69">
        <v>69</v>
      </c>
      <c r="O69" s="91" t="s">
        <v>294</v>
      </c>
      <c r="P69" s="119"/>
      <c r="Q69" s="119"/>
      <c r="R69" s="91" t="s">
        <v>1184</v>
      </c>
      <c r="S69" s="91" t="s">
        <v>1207</v>
      </c>
      <c r="T69" s="91" t="s">
        <v>1218</v>
      </c>
      <c r="U69" s="91" t="s">
        <v>1196</v>
      </c>
    </row>
    <row r="70" spans="1:21" x14ac:dyDescent="0.25">
      <c r="A70" s="91" t="s">
        <v>295</v>
      </c>
      <c r="B70" s="91">
        <v>4</v>
      </c>
      <c r="C70" s="91" t="s">
        <v>292</v>
      </c>
      <c r="D70" s="91" t="s">
        <v>59</v>
      </c>
      <c r="E70">
        <v>134</v>
      </c>
      <c r="F70">
        <v>201</v>
      </c>
      <c r="G70" s="94" t="s">
        <v>93</v>
      </c>
      <c r="H70" t="s">
        <v>293</v>
      </c>
      <c r="I70">
        <v>1</v>
      </c>
      <c r="J70">
        <f>SUM(K71)</f>
        <v>195858</v>
      </c>
      <c r="K70">
        <f>I70*J70</f>
        <v>195858</v>
      </c>
      <c r="L70">
        <f>100*(1-(M70/K70))</f>
        <v>27.829999999999988</v>
      </c>
      <c r="M70">
        <f>I70*SUM(M71)</f>
        <v>141350.71860000002</v>
      </c>
      <c r="N70">
        <v>70</v>
      </c>
      <c r="O70" s="91" t="s">
        <v>296</v>
      </c>
      <c r="P70" s="119"/>
      <c r="Q70" s="119"/>
      <c r="R70" s="91" t="s">
        <v>1088</v>
      </c>
      <c r="S70" s="91" t="s">
        <v>1136</v>
      </c>
      <c r="T70" s="91" t="s">
        <v>1160</v>
      </c>
      <c r="U70" s="91" t="s">
        <v>1112</v>
      </c>
    </row>
    <row r="71" spans="1:21" x14ac:dyDescent="0.25">
      <c r="A71" s="91" t="s">
        <v>297</v>
      </c>
      <c r="B71" s="91">
        <v>5</v>
      </c>
      <c r="C71" s="91" t="s">
        <v>295</v>
      </c>
      <c r="D71" s="91" t="s">
        <v>59</v>
      </c>
      <c r="E71">
        <v>135</v>
      </c>
      <c r="F71">
        <v>200</v>
      </c>
      <c r="G71" s="94" t="s">
        <v>93</v>
      </c>
      <c r="H71" t="s">
        <v>293</v>
      </c>
      <c r="I71">
        <v>1</v>
      </c>
      <c r="J71">
        <f>SUM(K72,K101)</f>
        <v>195858</v>
      </c>
      <c r="K71">
        <f>I71*J71</f>
        <v>195858</v>
      </c>
      <c r="L71">
        <f>100*(1-(M71/K71))</f>
        <v>27.829999999999988</v>
      </c>
      <c r="M71">
        <f>I71*SUM(M72,M101)</f>
        <v>141350.71860000002</v>
      </c>
      <c r="N71">
        <v>71</v>
      </c>
      <c r="O71" s="91" t="s">
        <v>298</v>
      </c>
      <c r="P71" s="119"/>
      <c r="Q71" s="119"/>
      <c r="R71" s="91" t="s">
        <v>972</v>
      </c>
      <c r="S71" s="91" t="s">
        <v>1030</v>
      </c>
      <c r="T71" s="91" t="s">
        <v>1059</v>
      </c>
      <c r="U71" s="91" t="s">
        <v>1001</v>
      </c>
    </row>
    <row r="72" spans="1:21" x14ac:dyDescent="0.25">
      <c r="A72" s="91" t="s">
        <v>299</v>
      </c>
      <c r="B72" s="91">
        <v>6</v>
      </c>
      <c r="C72" s="91" t="s">
        <v>297</v>
      </c>
      <c r="D72" s="91" t="s">
        <v>59</v>
      </c>
      <c r="E72">
        <v>136</v>
      </c>
      <c r="F72">
        <v>193</v>
      </c>
      <c r="G72" s="94" t="s">
        <v>93</v>
      </c>
      <c r="H72" t="s">
        <v>300</v>
      </c>
      <c r="I72">
        <v>1</v>
      </c>
      <c r="J72">
        <f>SUM(K73,K74,K75,K76,K77,K78,K79,K80,K81,K82,K83,K84,K85,K86,K87,K88,K89,K90,K91,K92,K93,K94,K95,K96,K97,K98,K99,K100)</f>
        <v>183834</v>
      </c>
      <c r="K72">
        <f>I72*J72</f>
        <v>183834</v>
      </c>
      <c r="L72">
        <f>100*(1-(M72/K72))</f>
        <v>27.829999999999988</v>
      </c>
      <c r="M72">
        <f>I72*SUM(M73,M74,M75,M76,M77,M78,M79,M80,M81,M82,M83,M84,M85,M86,M87,M88,M89,M90,M91,M92,M93,M94,M95,M96,M97,M98,M99,M100)</f>
        <v>132672.99780000001</v>
      </c>
      <c r="N72">
        <v>72</v>
      </c>
      <c r="O72" s="91" t="s">
        <v>301</v>
      </c>
      <c r="P72" s="119"/>
      <c r="Q72" s="119"/>
      <c r="R72" s="91" t="s">
        <v>820</v>
      </c>
      <c r="S72" s="91" t="s">
        <v>896</v>
      </c>
      <c r="T72" s="91" t="s">
        <v>934</v>
      </c>
      <c r="U72" s="91" t="s">
        <v>858</v>
      </c>
    </row>
    <row r="73" spans="1:21" x14ac:dyDescent="0.25">
      <c r="A73" s="91" t="s">
        <v>302</v>
      </c>
      <c r="B73" s="91">
        <v>7</v>
      </c>
      <c r="C73" s="91" t="s">
        <v>299</v>
      </c>
      <c r="D73" s="91" t="s">
        <v>59</v>
      </c>
      <c r="E73">
        <v>137</v>
      </c>
      <c r="F73">
        <v>138</v>
      </c>
      <c r="G73" s="94" t="s">
        <v>59</v>
      </c>
      <c r="H73" t="s">
        <v>303</v>
      </c>
      <c r="I73">
        <v>300</v>
      </c>
      <c r="J73">
        <v>16.239999999999998</v>
      </c>
      <c r="K73">
        <f>I73*J73</f>
        <v>4871.9999999999991</v>
      </c>
      <c r="L73">
        <v>27.83</v>
      </c>
      <c r="M73">
        <f>(1-(L73/100))*K73</f>
        <v>3516.1223999999993</v>
      </c>
      <c r="N73">
        <v>73</v>
      </c>
      <c r="O73" s="91" t="s">
        <v>304</v>
      </c>
      <c r="P73" s="119"/>
      <c r="Q73" s="119"/>
    </row>
    <row r="74" spans="1:21" x14ac:dyDescent="0.25">
      <c r="A74" s="91" t="s">
        <v>305</v>
      </c>
      <c r="B74" s="91">
        <v>7</v>
      </c>
      <c r="C74" s="91" t="s">
        <v>299</v>
      </c>
      <c r="D74" s="91" t="s">
        <v>92</v>
      </c>
      <c r="E74">
        <v>139</v>
      </c>
      <c r="F74">
        <v>140</v>
      </c>
      <c r="G74" s="94" t="s">
        <v>59</v>
      </c>
      <c r="H74" t="s">
        <v>306</v>
      </c>
      <c r="I74">
        <v>300</v>
      </c>
      <c r="J74">
        <v>110.71</v>
      </c>
      <c r="K74">
        <f>I74*J74</f>
        <v>33213</v>
      </c>
      <c r="L74">
        <v>27.83</v>
      </c>
      <c r="M74">
        <f>(1-(L74/100))*K74</f>
        <v>23969.822100000001</v>
      </c>
      <c r="N74">
        <v>74</v>
      </c>
      <c r="O74" s="91" t="s">
        <v>307</v>
      </c>
      <c r="P74" s="119"/>
      <c r="Q74" s="119"/>
    </row>
    <row r="75" spans="1:21" x14ac:dyDescent="0.25">
      <c r="A75" s="91" t="s">
        <v>308</v>
      </c>
      <c r="B75" s="91">
        <v>7</v>
      </c>
      <c r="C75" s="91" t="s">
        <v>299</v>
      </c>
      <c r="D75" s="91" t="s">
        <v>810</v>
      </c>
      <c r="E75">
        <v>141</v>
      </c>
      <c r="F75">
        <v>142</v>
      </c>
      <c r="G75" s="94" t="s">
        <v>59</v>
      </c>
      <c r="H75" t="s">
        <v>309</v>
      </c>
      <c r="I75">
        <v>300</v>
      </c>
      <c r="J75">
        <v>12.88</v>
      </c>
      <c r="K75">
        <f>I75*J75</f>
        <v>3864.0000000000005</v>
      </c>
      <c r="L75">
        <v>27.83</v>
      </c>
      <c r="M75">
        <f>(1-(L75/100))*K75</f>
        <v>2788.6488000000004</v>
      </c>
      <c r="N75">
        <v>75</v>
      </c>
      <c r="O75" s="91" t="s">
        <v>310</v>
      </c>
      <c r="P75" s="119"/>
      <c r="Q75" s="119"/>
    </row>
    <row r="76" spans="1:21" x14ac:dyDescent="0.25">
      <c r="A76" s="91" t="s">
        <v>311</v>
      </c>
      <c r="B76" s="91">
        <v>7</v>
      </c>
      <c r="C76" s="91" t="s">
        <v>299</v>
      </c>
      <c r="D76" s="91" t="s">
        <v>811</v>
      </c>
      <c r="E76">
        <v>143</v>
      </c>
      <c r="F76">
        <v>144</v>
      </c>
      <c r="G76" s="94" t="s">
        <v>59</v>
      </c>
      <c r="H76" t="s">
        <v>312</v>
      </c>
      <c r="I76">
        <v>450</v>
      </c>
      <c r="J76">
        <v>22.14</v>
      </c>
      <c r="K76">
        <f>I76*J76</f>
        <v>9963</v>
      </c>
      <c r="L76">
        <v>27.83</v>
      </c>
      <c r="M76">
        <f>(1-(L76/100))*K76</f>
        <v>7190.2970999999998</v>
      </c>
      <c r="N76">
        <v>76</v>
      </c>
      <c r="O76" s="91" t="s">
        <v>313</v>
      </c>
      <c r="P76" s="119"/>
      <c r="Q76" s="119"/>
    </row>
    <row r="77" spans="1:21" x14ac:dyDescent="0.25">
      <c r="A77" s="91" t="s">
        <v>314</v>
      </c>
      <c r="B77" s="91">
        <v>7</v>
      </c>
      <c r="C77" s="91" t="s">
        <v>299</v>
      </c>
      <c r="D77" s="91" t="s">
        <v>812</v>
      </c>
      <c r="E77">
        <v>145</v>
      </c>
      <c r="F77">
        <v>146</v>
      </c>
      <c r="G77" s="94" t="s">
        <v>59</v>
      </c>
      <c r="H77" t="s">
        <v>315</v>
      </c>
      <c r="I77">
        <v>300</v>
      </c>
      <c r="J77">
        <v>18.45</v>
      </c>
      <c r="K77">
        <f>I77*J77</f>
        <v>5535</v>
      </c>
      <c r="L77">
        <v>27.83</v>
      </c>
      <c r="M77">
        <f>(1-(L77/100))*K77</f>
        <v>3994.6095</v>
      </c>
      <c r="N77">
        <v>77</v>
      </c>
      <c r="O77" s="91" t="s">
        <v>316</v>
      </c>
      <c r="P77" s="119"/>
      <c r="Q77" s="119"/>
    </row>
    <row r="78" spans="1:21" x14ac:dyDescent="0.25">
      <c r="A78" s="91" t="s">
        <v>317</v>
      </c>
      <c r="B78" s="91">
        <v>7</v>
      </c>
      <c r="C78" s="91" t="s">
        <v>299</v>
      </c>
      <c r="D78" s="91" t="s">
        <v>813</v>
      </c>
      <c r="E78">
        <v>147</v>
      </c>
      <c r="F78">
        <v>148</v>
      </c>
      <c r="G78" s="94" t="s">
        <v>59</v>
      </c>
      <c r="H78" t="s">
        <v>318</v>
      </c>
      <c r="I78">
        <v>300</v>
      </c>
      <c r="J78">
        <v>8.59</v>
      </c>
      <c r="K78">
        <f>I78*J78</f>
        <v>2577</v>
      </c>
      <c r="L78">
        <v>27.83</v>
      </c>
      <c r="M78">
        <f>(1-(L78/100))*K78</f>
        <v>1859.8208999999999</v>
      </c>
      <c r="N78">
        <v>78</v>
      </c>
      <c r="O78" s="91" t="s">
        <v>319</v>
      </c>
      <c r="P78" s="119"/>
      <c r="Q78" s="119"/>
    </row>
    <row r="79" spans="1:21" x14ac:dyDescent="0.25">
      <c r="A79" s="91" t="s">
        <v>320</v>
      </c>
      <c r="B79" s="91">
        <v>7</v>
      </c>
      <c r="C79" s="91" t="s">
        <v>299</v>
      </c>
      <c r="D79" s="91" t="s">
        <v>814</v>
      </c>
      <c r="E79">
        <v>149</v>
      </c>
      <c r="F79">
        <v>150</v>
      </c>
      <c r="G79" s="94" t="s">
        <v>59</v>
      </c>
      <c r="H79" t="s">
        <v>321</v>
      </c>
      <c r="I79">
        <v>300</v>
      </c>
      <c r="J79">
        <v>11.45</v>
      </c>
      <c r="K79">
        <f>I79*J79</f>
        <v>3435</v>
      </c>
      <c r="L79">
        <v>27.83</v>
      </c>
      <c r="M79">
        <f>(1-(L79/100))*K79</f>
        <v>2479.0394999999999</v>
      </c>
      <c r="N79">
        <v>79</v>
      </c>
      <c r="O79" s="91" t="s">
        <v>322</v>
      </c>
      <c r="P79" s="119"/>
      <c r="Q79" s="119"/>
    </row>
    <row r="80" spans="1:21" x14ac:dyDescent="0.25">
      <c r="A80" s="91" t="s">
        <v>323</v>
      </c>
      <c r="B80" s="91">
        <v>7</v>
      </c>
      <c r="C80" s="91" t="s">
        <v>299</v>
      </c>
      <c r="D80" s="91" t="s">
        <v>815</v>
      </c>
      <c r="E80">
        <v>151</v>
      </c>
      <c r="F80">
        <v>152</v>
      </c>
      <c r="G80" s="94" t="s">
        <v>59</v>
      </c>
      <c r="H80" t="s">
        <v>324</v>
      </c>
      <c r="I80">
        <v>300</v>
      </c>
      <c r="J80">
        <v>5.73</v>
      </c>
      <c r="K80">
        <f>I80*J80</f>
        <v>1719.0000000000002</v>
      </c>
      <c r="L80">
        <v>27.83</v>
      </c>
      <c r="M80">
        <f>(1-(L80/100))*K80</f>
        <v>1240.6023000000002</v>
      </c>
      <c r="N80">
        <v>80</v>
      </c>
      <c r="O80" s="91" t="s">
        <v>325</v>
      </c>
      <c r="P80" s="119"/>
      <c r="Q80" s="119"/>
    </row>
    <row r="81" spans="1:17" x14ac:dyDescent="0.25">
      <c r="A81" s="91" t="s">
        <v>326</v>
      </c>
      <c r="B81" s="91">
        <v>7</v>
      </c>
      <c r="C81" s="91" t="s">
        <v>299</v>
      </c>
      <c r="D81" s="91" t="s">
        <v>816</v>
      </c>
      <c r="E81">
        <v>153</v>
      </c>
      <c r="F81">
        <v>154</v>
      </c>
      <c r="G81" s="94" t="s">
        <v>59</v>
      </c>
      <c r="H81" t="s">
        <v>327</v>
      </c>
      <c r="I81">
        <v>300</v>
      </c>
      <c r="J81">
        <v>10.02</v>
      </c>
      <c r="K81">
        <f>I81*J81</f>
        <v>3006</v>
      </c>
      <c r="L81">
        <v>27.83</v>
      </c>
      <c r="M81">
        <f>(1-(L81/100))*K81</f>
        <v>2169.4302000000002</v>
      </c>
      <c r="N81">
        <v>81</v>
      </c>
      <c r="O81" s="91" t="s">
        <v>328</v>
      </c>
      <c r="P81" s="119"/>
      <c r="Q81" s="119"/>
    </row>
    <row r="82" spans="1:17" x14ac:dyDescent="0.25">
      <c r="A82" s="91" t="s">
        <v>329</v>
      </c>
      <c r="B82" s="91">
        <v>7</v>
      </c>
      <c r="C82" s="91" t="s">
        <v>299</v>
      </c>
      <c r="D82" s="91" t="s">
        <v>149</v>
      </c>
      <c r="E82">
        <v>155</v>
      </c>
      <c r="F82">
        <v>156</v>
      </c>
      <c r="G82" s="94" t="s">
        <v>59</v>
      </c>
      <c r="H82" t="s">
        <v>330</v>
      </c>
      <c r="I82">
        <v>300</v>
      </c>
      <c r="J82">
        <v>14.31</v>
      </c>
      <c r="K82">
        <f>I82*J82</f>
        <v>4293</v>
      </c>
      <c r="L82">
        <v>27.83</v>
      </c>
      <c r="M82">
        <f>(1-(L82/100))*K82</f>
        <v>3098.2581</v>
      </c>
      <c r="N82">
        <v>82</v>
      </c>
      <c r="O82" s="91" t="s">
        <v>331</v>
      </c>
      <c r="P82" s="119"/>
      <c r="Q82" s="119"/>
    </row>
    <row r="83" spans="1:17" x14ac:dyDescent="0.25">
      <c r="A83" s="91" t="s">
        <v>332</v>
      </c>
      <c r="B83" s="91">
        <v>7</v>
      </c>
      <c r="C83" s="91" t="s">
        <v>299</v>
      </c>
      <c r="D83" s="91" t="s">
        <v>145</v>
      </c>
      <c r="E83">
        <v>157</v>
      </c>
      <c r="F83">
        <v>158</v>
      </c>
      <c r="G83" s="94" t="s">
        <v>59</v>
      </c>
      <c r="H83" t="s">
        <v>333</v>
      </c>
      <c r="I83">
        <v>300</v>
      </c>
      <c r="J83">
        <v>8.1199999999999992</v>
      </c>
      <c r="K83">
        <f>I83*J83</f>
        <v>2435.9999999999995</v>
      </c>
      <c r="L83">
        <v>27.83</v>
      </c>
      <c r="M83">
        <f>(1-(L83/100))*K83</f>
        <v>1758.0611999999996</v>
      </c>
      <c r="N83">
        <v>83</v>
      </c>
      <c r="O83" s="91" t="s">
        <v>334</v>
      </c>
      <c r="P83" s="119"/>
      <c r="Q83" s="119"/>
    </row>
    <row r="84" spans="1:17" x14ac:dyDescent="0.25">
      <c r="A84" s="91" t="s">
        <v>335</v>
      </c>
      <c r="B84" s="91">
        <v>7</v>
      </c>
      <c r="C84" s="91" t="s">
        <v>299</v>
      </c>
      <c r="D84" s="91" t="s">
        <v>146</v>
      </c>
      <c r="E84">
        <v>159</v>
      </c>
      <c r="F84">
        <v>160</v>
      </c>
      <c r="G84" s="94" t="s">
        <v>59</v>
      </c>
      <c r="H84" t="s">
        <v>336</v>
      </c>
      <c r="I84">
        <v>300</v>
      </c>
      <c r="J84">
        <v>22.14</v>
      </c>
      <c r="K84">
        <f>I84*J84</f>
        <v>6642</v>
      </c>
      <c r="L84">
        <v>27.83</v>
      </c>
      <c r="M84">
        <f>(1-(L84/100))*K84</f>
        <v>4793.5313999999998</v>
      </c>
      <c r="N84">
        <v>84</v>
      </c>
      <c r="O84" s="91" t="s">
        <v>337</v>
      </c>
      <c r="P84" s="119"/>
      <c r="Q84" s="119"/>
    </row>
    <row r="85" spans="1:17" x14ac:dyDescent="0.25">
      <c r="A85" s="91" t="s">
        <v>338</v>
      </c>
      <c r="B85" s="91">
        <v>7</v>
      </c>
      <c r="C85" s="91" t="s">
        <v>299</v>
      </c>
      <c r="D85" s="91" t="s">
        <v>147</v>
      </c>
      <c r="E85">
        <v>161</v>
      </c>
      <c r="F85">
        <v>162</v>
      </c>
      <c r="G85" s="94" t="s">
        <v>59</v>
      </c>
      <c r="H85" t="s">
        <v>339</v>
      </c>
      <c r="I85">
        <v>300</v>
      </c>
      <c r="J85">
        <v>170.32</v>
      </c>
      <c r="K85">
        <f>I85*J85</f>
        <v>51096</v>
      </c>
      <c r="L85">
        <v>27.83</v>
      </c>
      <c r="M85">
        <f>(1-(L85/100))*K85</f>
        <v>36875.983200000002</v>
      </c>
      <c r="N85">
        <v>85</v>
      </c>
      <c r="O85" s="91" t="s">
        <v>340</v>
      </c>
      <c r="P85" s="119"/>
      <c r="Q85" s="119"/>
    </row>
    <row r="86" spans="1:17" x14ac:dyDescent="0.25">
      <c r="A86" s="91" t="s">
        <v>341</v>
      </c>
      <c r="B86" s="91">
        <v>7</v>
      </c>
      <c r="C86" s="91" t="s">
        <v>299</v>
      </c>
      <c r="D86" s="91" t="s">
        <v>148</v>
      </c>
      <c r="E86">
        <v>163</v>
      </c>
      <c r="F86">
        <v>164</v>
      </c>
      <c r="G86" s="94" t="s">
        <v>59</v>
      </c>
      <c r="H86" t="s">
        <v>342</v>
      </c>
      <c r="I86">
        <v>300</v>
      </c>
      <c r="J86">
        <v>11.45</v>
      </c>
      <c r="K86">
        <f>I86*J86</f>
        <v>3435</v>
      </c>
      <c r="L86">
        <v>27.83</v>
      </c>
      <c r="M86">
        <f>(1-(L86/100))*K86</f>
        <v>2479.0394999999999</v>
      </c>
      <c r="N86">
        <v>86</v>
      </c>
      <c r="O86" s="91" t="s">
        <v>343</v>
      </c>
      <c r="P86" s="119"/>
      <c r="Q86" s="119"/>
    </row>
    <row r="87" spans="1:17" x14ac:dyDescent="0.25">
      <c r="A87" s="91" t="s">
        <v>344</v>
      </c>
      <c r="B87" s="91">
        <v>7</v>
      </c>
      <c r="C87" s="91" t="s">
        <v>299</v>
      </c>
      <c r="D87" s="91" t="s">
        <v>97</v>
      </c>
      <c r="E87">
        <v>165</v>
      </c>
      <c r="F87">
        <v>166</v>
      </c>
      <c r="G87" s="94" t="s">
        <v>59</v>
      </c>
      <c r="H87" t="s">
        <v>345</v>
      </c>
      <c r="I87">
        <v>300</v>
      </c>
      <c r="J87">
        <v>11.35</v>
      </c>
      <c r="K87">
        <f>I87*J87</f>
        <v>3405</v>
      </c>
      <c r="L87">
        <v>27.83</v>
      </c>
      <c r="M87">
        <f>(1-(L87/100))*K87</f>
        <v>2457.3885</v>
      </c>
      <c r="N87">
        <v>87</v>
      </c>
      <c r="O87" s="91" t="s">
        <v>346</v>
      </c>
      <c r="P87" s="119"/>
      <c r="Q87" s="119"/>
    </row>
    <row r="88" spans="1:17" x14ac:dyDescent="0.25">
      <c r="A88" s="91" t="s">
        <v>347</v>
      </c>
      <c r="B88" s="91">
        <v>7</v>
      </c>
      <c r="C88" s="91" t="s">
        <v>299</v>
      </c>
      <c r="D88" s="91" t="s">
        <v>98</v>
      </c>
      <c r="E88">
        <v>167</v>
      </c>
      <c r="F88">
        <v>168</v>
      </c>
      <c r="G88" s="94" t="s">
        <v>59</v>
      </c>
      <c r="H88" t="s">
        <v>348</v>
      </c>
      <c r="I88">
        <v>300</v>
      </c>
      <c r="J88">
        <v>8.59</v>
      </c>
      <c r="K88">
        <f>I88*J88</f>
        <v>2577</v>
      </c>
      <c r="L88">
        <v>27.83</v>
      </c>
      <c r="M88">
        <f>(1-(L88/100))*K88</f>
        <v>1859.8208999999999</v>
      </c>
      <c r="N88">
        <v>88</v>
      </c>
      <c r="O88" s="91" t="s">
        <v>349</v>
      </c>
      <c r="P88" s="119"/>
      <c r="Q88" s="119"/>
    </row>
    <row r="89" spans="1:17" x14ac:dyDescent="0.25">
      <c r="A89" s="91" t="s">
        <v>350</v>
      </c>
      <c r="B89" s="91">
        <v>7</v>
      </c>
      <c r="C89" s="91" t="s">
        <v>299</v>
      </c>
      <c r="D89" s="91" t="s">
        <v>99</v>
      </c>
      <c r="E89">
        <v>169</v>
      </c>
      <c r="F89">
        <v>170</v>
      </c>
      <c r="G89" s="94" t="s">
        <v>59</v>
      </c>
      <c r="H89" t="s">
        <v>351</v>
      </c>
      <c r="I89">
        <v>300</v>
      </c>
      <c r="J89">
        <v>8.59</v>
      </c>
      <c r="K89">
        <f>I89*J89</f>
        <v>2577</v>
      </c>
      <c r="L89">
        <v>27.83</v>
      </c>
      <c r="M89">
        <f>(1-(L89/100))*K89</f>
        <v>1859.8208999999999</v>
      </c>
      <c r="N89">
        <v>89</v>
      </c>
      <c r="O89" s="91" t="s">
        <v>352</v>
      </c>
      <c r="P89" s="119"/>
      <c r="Q89" s="119"/>
    </row>
    <row r="90" spans="1:17" x14ac:dyDescent="0.25">
      <c r="A90" s="91" t="s">
        <v>353</v>
      </c>
      <c r="B90" s="91">
        <v>7</v>
      </c>
      <c r="C90" s="91" t="s">
        <v>299</v>
      </c>
      <c r="D90" s="91" t="s">
        <v>100</v>
      </c>
      <c r="E90">
        <v>171</v>
      </c>
      <c r="F90">
        <v>172</v>
      </c>
      <c r="G90" s="94" t="s">
        <v>59</v>
      </c>
      <c r="H90" t="s">
        <v>354</v>
      </c>
      <c r="I90">
        <v>300</v>
      </c>
      <c r="J90">
        <v>11.45</v>
      </c>
      <c r="K90">
        <f>I90*J90</f>
        <v>3435</v>
      </c>
      <c r="L90">
        <v>27.83</v>
      </c>
      <c r="M90">
        <f>(1-(L90/100))*K90</f>
        <v>2479.0394999999999</v>
      </c>
      <c r="N90">
        <v>90</v>
      </c>
      <c r="O90" s="91" t="s">
        <v>355</v>
      </c>
      <c r="P90" s="119"/>
      <c r="Q90" s="119"/>
    </row>
    <row r="91" spans="1:17" x14ac:dyDescent="0.25">
      <c r="A91" s="91" t="s">
        <v>356</v>
      </c>
      <c r="B91" s="91">
        <v>7</v>
      </c>
      <c r="C91" s="91" t="s">
        <v>299</v>
      </c>
      <c r="D91" s="91" t="s">
        <v>101</v>
      </c>
      <c r="E91">
        <v>173</v>
      </c>
      <c r="F91">
        <v>174</v>
      </c>
      <c r="G91" s="94" t="s">
        <v>59</v>
      </c>
      <c r="H91" t="s">
        <v>357</v>
      </c>
      <c r="I91">
        <v>300</v>
      </c>
      <c r="J91">
        <v>11.07</v>
      </c>
      <c r="K91">
        <f>I91*J91</f>
        <v>3321</v>
      </c>
      <c r="L91">
        <v>27.83</v>
      </c>
      <c r="M91">
        <f>(1-(L91/100))*K91</f>
        <v>2396.7656999999999</v>
      </c>
      <c r="N91">
        <v>91</v>
      </c>
      <c r="O91" s="91" t="s">
        <v>358</v>
      </c>
      <c r="P91" s="119"/>
      <c r="Q91" s="119"/>
    </row>
    <row r="92" spans="1:17" x14ac:dyDescent="0.25">
      <c r="A92" s="91" t="s">
        <v>359</v>
      </c>
      <c r="B92" s="91">
        <v>7</v>
      </c>
      <c r="C92" s="91" t="s">
        <v>299</v>
      </c>
      <c r="D92" s="91" t="s">
        <v>102</v>
      </c>
      <c r="E92">
        <v>175</v>
      </c>
      <c r="F92">
        <v>176</v>
      </c>
      <c r="G92" s="94" t="s">
        <v>59</v>
      </c>
      <c r="H92" t="s">
        <v>360</v>
      </c>
      <c r="I92">
        <v>300</v>
      </c>
      <c r="J92">
        <v>11.07</v>
      </c>
      <c r="K92">
        <f>I92*J92</f>
        <v>3321</v>
      </c>
      <c r="L92">
        <v>27.83</v>
      </c>
      <c r="M92">
        <f>(1-(L92/100))*K92</f>
        <v>2396.7656999999999</v>
      </c>
      <c r="N92">
        <v>92</v>
      </c>
      <c r="O92" s="91" t="s">
        <v>361</v>
      </c>
      <c r="P92" s="119"/>
      <c r="Q92" s="119"/>
    </row>
    <row r="93" spans="1:17" x14ac:dyDescent="0.25">
      <c r="A93" s="91" t="s">
        <v>362</v>
      </c>
      <c r="B93" s="91">
        <v>7</v>
      </c>
      <c r="C93" s="91" t="s">
        <v>299</v>
      </c>
      <c r="D93" s="91" t="s">
        <v>817</v>
      </c>
      <c r="E93">
        <v>177</v>
      </c>
      <c r="F93">
        <v>178</v>
      </c>
      <c r="G93" s="94" t="s">
        <v>59</v>
      </c>
      <c r="H93" t="s">
        <v>363</v>
      </c>
      <c r="I93">
        <v>300</v>
      </c>
      <c r="J93">
        <v>16.239999999999998</v>
      </c>
      <c r="K93">
        <f>I93*J93</f>
        <v>4871.9999999999991</v>
      </c>
      <c r="L93">
        <v>27.83</v>
      </c>
      <c r="M93">
        <f>(1-(L93/100))*K93</f>
        <v>3516.1223999999993</v>
      </c>
      <c r="N93">
        <v>93</v>
      </c>
      <c r="O93" s="91" t="s">
        <v>364</v>
      </c>
      <c r="P93" s="119"/>
      <c r="Q93" s="119"/>
    </row>
    <row r="94" spans="1:17" x14ac:dyDescent="0.25">
      <c r="A94" s="91" t="s">
        <v>365</v>
      </c>
      <c r="B94" s="91">
        <v>7</v>
      </c>
      <c r="C94" s="91" t="s">
        <v>299</v>
      </c>
      <c r="D94" s="91" t="s">
        <v>103</v>
      </c>
      <c r="E94">
        <v>179</v>
      </c>
      <c r="F94">
        <v>180</v>
      </c>
      <c r="G94" s="94" t="s">
        <v>59</v>
      </c>
      <c r="H94" t="s">
        <v>366</v>
      </c>
      <c r="I94">
        <v>300</v>
      </c>
      <c r="J94">
        <v>8.11</v>
      </c>
      <c r="K94">
        <f>I94*J94</f>
        <v>2433</v>
      </c>
      <c r="L94">
        <v>27.83</v>
      </c>
      <c r="M94">
        <f>(1-(L94/100))*K94</f>
        <v>1755.8960999999999</v>
      </c>
      <c r="N94">
        <v>94</v>
      </c>
      <c r="O94" s="91" t="s">
        <v>367</v>
      </c>
      <c r="P94" s="119"/>
      <c r="Q94" s="119"/>
    </row>
    <row r="95" spans="1:17" x14ac:dyDescent="0.25">
      <c r="A95" s="91" t="s">
        <v>368</v>
      </c>
      <c r="B95" s="91">
        <v>7</v>
      </c>
      <c r="C95" s="91" t="s">
        <v>299</v>
      </c>
      <c r="D95" s="91" t="s">
        <v>104</v>
      </c>
      <c r="E95">
        <v>181</v>
      </c>
      <c r="F95">
        <v>182</v>
      </c>
      <c r="G95" s="94" t="s">
        <v>59</v>
      </c>
      <c r="H95" t="s">
        <v>369</v>
      </c>
      <c r="I95">
        <v>300</v>
      </c>
      <c r="J95">
        <v>18.45</v>
      </c>
      <c r="K95">
        <f>I95*J95</f>
        <v>5535</v>
      </c>
      <c r="L95">
        <v>27.83</v>
      </c>
      <c r="M95">
        <f>(1-(L95/100))*K95</f>
        <v>3994.6095</v>
      </c>
      <c r="N95">
        <v>95</v>
      </c>
      <c r="O95" s="91" t="s">
        <v>370</v>
      </c>
      <c r="P95" s="119"/>
      <c r="Q95" s="119"/>
    </row>
    <row r="96" spans="1:17" x14ac:dyDescent="0.25">
      <c r="A96" s="91" t="s">
        <v>371</v>
      </c>
      <c r="B96" s="91">
        <v>7</v>
      </c>
      <c r="C96" s="91" t="s">
        <v>299</v>
      </c>
      <c r="D96" s="91" t="s">
        <v>818</v>
      </c>
      <c r="E96">
        <v>183</v>
      </c>
      <c r="F96">
        <v>184</v>
      </c>
      <c r="G96" s="94" t="s">
        <v>59</v>
      </c>
      <c r="H96" t="s">
        <v>372</v>
      </c>
      <c r="I96">
        <v>300</v>
      </c>
      <c r="J96">
        <v>13.29</v>
      </c>
      <c r="K96">
        <f>I96*J96</f>
        <v>3986.9999999999995</v>
      </c>
      <c r="L96">
        <v>27.83</v>
      </c>
      <c r="M96">
        <f>(1-(L96/100))*K96</f>
        <v>2877.4178999999999</v>
      </c>
      <c r="N96">
        <v>96</v>
      </c>
      <c r="O96" s="91" t="s">
        <v>373</v>
      </c>
      <c r="P96" s="119"/>
      <c r="Q96" s="119"/>
    </row>
    <row r="97" spans="1:21" x14ac:dyDescent="0.25">
      <c r="A97" s="91" t="s">
        <v>374</v>
      </c>
      <c r="B97" s="91">
        <v>7</v>
      </c>
      <c r="C97" s="91" t="s">
        <v>299</v>
      </c>
      <c r="D97" s="91" t="s">
        <v>105</v>
      </c>
      <c r="E97">
        <v>185</v>
      </c>
      <c r="F97">
        <v>186</v>
      </c>
      <c r="G97" s="94" t="s">
        <v>59</v>
      </c>
      <c r="H97" t="s">
        <v>375</v>
      </c>
      <c r="I97">
        <v>300</v>
      </c>
      <c r="J97">
        <v>12.98</v>
      </c>
      <c r="K97">
        <f>I97*J97</f>
        <v>3894</v>
      </c>
      <c r="L97">
        <v>27.83</v>
      </c>
      <c r="M97">
        <f>(1-(L97/100))*K97</f>
        <v>2810.2998000000002</v>
      </c>
      <c r="N97">
        <v>97</v>
      </c>
      <c r="O97" s="91" t="s">
        <v>376</v>
      </c>
      <c r="P97" s="119"/>
      <c r="Q97" s="119"/>
    </row>
    <row r="98" spans="1:21" x14ac:dyDescent="0.25">
      <c r="A98" s="91" t="s">
        <v>377</v>
      </c>
      <c r="B98" s="91">
        <v>7</v>
      </c>
      <c r="C98" s="91" t="s">
        <v>299</v>
      </c>
      <c r="D98" s="91" t="s">
        <v>106</v>
      </c>
      <c r="E98">
        <v>187</v>
      </c>
      <c r="F98">
        <v>188</v>
      </c>
      <c r="G98" s="94" t="s">
        <v>59</v>
      </c>
      <c r="H98" t="s">
        <v>378</v>
      </c>
      <c r="I98">
        <v>300</v>
      </c>
      <c r="J98">
        <v>2.21</v>
      </c>
      <c r="K98">
        <f>I98*J98</f>
        <v>663</v>
      </c>
      <c r="L98">
        <v>27.83</v>
      </c>
      <c r="M98">
        <f>(1-(L98/100))*K98</f>
        <v>478.4871</v>
      </c>
      <c r="N98">
        <v>98</v>
      </c>
      <c r="O98" s="91" t="s">
        <v>379</v>
      </c>
      <c r="P98" s="119"/>
      <c r="Q98" s="119"/>
    </row>
    <row r="99" spans="1:21" x14ac:dyDescent="0.25">
      <c r="A99" s="91" t="s">
        <v>380</v>
      </c>
      <c r="B99" s="91">
        <v>7</v>
      </c>
      <c r="C99" s="91" t="s">
        <v>299</v>
      </c>
      <c r="D99" s="91" t="s">
        <v>107</v>
      </c>
      <c r="E99">
        <v>189</v>
      </c>
      <c r="F99">
        <v>190</v>
      </c>
      <c r="G99" s="94" t="s">
        <v>59</v>
      </c>
      <c r="H99" t="s">
        <v>381</v>
      </c>
      <c r="I99">
        <v>300</v>
      </c>
      <c r="J99">
        <v>14.31</v>
      </c>
      <c r="K99">
        <f>I99*J99</f>
        <v>4293</v>
      </c>
      <c r="L99">
        <v>27.83</v>
      </c>
      <c r="M99">
        <f>(1-(L99/100))*K99</f>
        <v>3098.2581</v>
      </c>
      <c r="N99">
        <v>99</v>
      </c>
      <c r="O99" s="91" t="s">
        <v>382</v>
      </c>
      <c r="P99" s="119"/>
      <c r="Q99" s="119"/>
    </row>
    <row r="100" spans="1:21" x14ac:dyDescent="0.25">
      <c r="A100" s="91" t="s">
        <v>383</v>
      </c>
      <c r="B100" s="91">
        <v>7</v>
      </c>
      <c r="C100" s="91" t="s">
        <v>299</v>
      </c>
      <c r="D100" s="91" t="s">
        <v>108</v>
      </c>
      <c r="E100">
        <v>191</v>
      </c>
      <c r="F100">
        <v>192</v>
      </c>
      <c r="G100" s="94" t="s">
        <v>59</v>
      </c>
      <c r="H100" t="s">
        <v>384</v>
      </c>
      <c r="I100">
        <v>300</v>
      </c>
      <c r="J100">
        <v>11.45</v>
      </c>
      <c r="K100">
        <f>I100*J100</f>
        <v>3435</v>
      </c>
      <c r="L100">
        <v>27.83</v>
      </c>
      <c r="M100">
        <f>(1-(L100/100))*K100</f>
        <v>2479.0394999999999</v>
      </c>
      <c r="N100">
        <v>100</v>
      </c>
      <c r="O100" s="91" t="s">
        <v>385</v>
      </c>
      <c r="P100" s="119"/>
      <c r="Q100" s="119"/>
    </row>
    <row r="101" spans="1:21" x14ac:dyDescent="0.25">
      <c r="A101" s="91" t="s">
        <v>386</v>
      </c>
      <c r="B101" s="91">
        <v>6</v>
      </c>
      <c r="C101" s="91" t="s">
        <v>297</v>
      </c>
      <c r="D101" s="91" t="s">
        <v>92</v>
      </c>
      <c r="E101">
        <v>194</v>
      </c>
      <c r="F101">
        <v>199</v>
      </c>
      <c r="G101" s="94" t="s">
        <v>93</v>
      </c>
      <c r="H101" t="s">
        <v>300</v>
      </c>
      <c r="I101">
        <v>1</v>
      </c>
      <c r="J101">
        <f>SUM(K102,K103)</f>
        <v>12024</v>
      </c>
      <c r="K101">
        <f>I101*J101</f>
        <v>12024</v>
      </c>
      <c r="L101">
        <f>100*(1-(M101/K101))</f>
        <v>27.830000000000009</v>
      </c>
      <c r="M101">
        <f>I101*SUM(M102,M103)</f>
        <v>8677.7207999999991</v>
      </c>
      <c r="N101">
        <v>101</v>
      </c>
      <c r="O101" s="91" t="s">
        <v>387</v>
      </c>
      <c r="P101" s="119"/>
      <c r="Q101" s="119"/>
      <c r="R101" s="91" t="s">
        <v>821</v>
      </c>
      <c r="S101" s="91" t="s">
        <v>897</v>
      </c>
      <c r="T101" s="91" t="s">
        <v>935</v>
      </c>
      <c r="U101" s="91" t="s">
        <v>859</v>
      </c>
    </row>
    <row r="102" spans="1:21" x14ac:dyDescent="0.25">
      <c r="A102" s="91" t="s">
        <v>388</v>
      </c>
      <c r="B102" s="91">
        <v>7</v>
      </c>
      <c r="C102" s="91" t="s">
        <v>386</v>
      </c>
      <c r="D102" s="91" t="s">
        <v>59</v>
      </c>
      <c r="E102">
        <v>195</v>
      </c>
      <c r="F102">
        <v>196</v>
      </c>
      <c r="G102" s="94" t="s">
        <v>59</v>
      </c>
      <c r="H102" t="s">
        <v>389</v>
      </c>
      <c r="I102">
        <v>300</v>
      </c>
      <c r="J102">
        <v>15.2</v>
      </c>
      <c r="K102">
        <f>I102*J102</f>
        <v>4560</v>
      </c>
      <c r="L102">
        <v>27.83</v>
      </c>
      <c r="M102">
        <f>(1-(L102/100))*K102</f>
        <v>3290.9520000000002</v>
      </c>
      <c r="N102">
        <v>102</v>
      </c>
      <c r="O102" s="91" t="s">
        <v>390</v>
      </c>
      <c r="P102" s="119"/>
      <c r="Q102" s="119"/>
    </row>
    <row r="103" spans="1:21" x14ac:dyDescent="0.25">
      <c r="A103" s="91" t="s">
        <v>391</v>
      </c>
      <c r="B103" s="91">
        <v>7</v>
      </c>
      <c r="C103" s="91" t="s">
        <v>386</v>
      </c>
      <c r="D103" s="91" t="s">
        <v>92</v>
      </c>
      <c r="E103">
        <v>197</v>
      </c>
      <c r="F103">
        <v>198</v>
      </c>
      <c r="G103" s="94" t="s">
        <v>59</v>
      </c>
      <c r="H103" t="s">
        <v>392</v>
      </c>
      <c r="I103">
        <v>300</v>
      </c>
      <c r="J103">
        <v>24.88</v>
      </c>
      <c r="K103">
        <f>I103*J103</f>
        <v>7464</v>
      </c>
      <c r="L103">
        <v>27.83</v>
      </c>
      <c r="M103">
        <f>(1-(L103/100))*K103</f>
        <v>5386.7687999999998</v>
      </c>
      <c r="N103">
        <v>103</v>
      </c>
      <c r="O103" s="91" t="s">
        <v>393</v>
      </c>
      <c r="P103" s="119"/>
      <c r="Q103" s="119"/>
    </row>
    <row r="104" spans="1:21" x14ac:dyDescent="0.25">
      <c r="A104" s="91" t="s">
        <v>394</v>
      </c>
      <c r="B104" s="91">
        <v>3</v>
      </c>
      <c r="C104" s="91" t="s">
        <v>2</v>
      </c>
      <c r="D104" s="91" t="s">
        <v>146</v>
      </c>
      <c r="E104">
        <v>203</v>
      </c>
      <c r="F104">
        <v>214</v>
      </c>
      <c r="G104" s="94" t="s">
        <v>93</v>
      </c>
      <c r="H104" t="s">
        <v>395</v>
      </c>
      <c r="I104">
        <v>1</v>
      </c>
      <c r="J104">
        <f>SUM(K105)</f>
        <v>1574449.68</v>
      </c>
      <c r="K104">
        <f>I104*J104</f>
        <v>1574449.68</v>
      </c>
      <c r="L104">
        <f>100*(1-(M104/K104))</f>
        <v>7.0000000000000062</v>
      </c>
      <c r="M104">
        <f>I104*SUM(M105)</f>
        <v>1464238.2023999998</v>
      </c>
      <c r="N104">
        <v>104</v>
      </c>
      <c r="O104" s="91" t="s">
        <v>396</v>
      </c>
      <c r="P104" s="119"/>
      <c r="Q104" s="119"/>
      <c r="R104" s="91" t="s">
        <v>1089</v>
      </c>
      <c r="S104" s="91" t="s">
        <v>1137</v>
      </c>
      <c r="T104" s="91" t="s">
        <v>1161</v>
      </c>
      <c r="U104" s="91" t="s">
        <v>1113</v>
      </c>
    </row>
    <row r="105" spans="1:21" x14ac:dyDescent="0.25">
      <c r="A105" s="91" t="s">
        <v>397</v>
      </c>
      <c r="B105" s="91">
        <v>4</v>
      </c>
      <c r="C105" s="91" t="s">
        <v>394</v>
      </c>
      <c r="D105" s="91" t="s">
        <v>59</v>
      </c>
      <c r="E105">
        <v>204</v>
      </c>
      <c r="F105">
        <v>213</v>
      </c>
      <c r="G105" s="94" t="s">
        <v>93</v>
      </c>
      <c r="H105" t="s">
        <v>395</v>
      </c>
      <c r="I105">
        <v>1</v>
      </c>
      <c r="J105">
        <f>SUM(K106)</f>
        <v>1574449.68</v>
      </c>
      <c r="K105">
        <f>I105*J105</f>
        <v>1574449.68</v>
      </c>
      <c r="L105">
        <f>100*(1-(M105/K105))</f>
        <v>7.0000000000000062</v>
      </c>
      <c r="M105">
        <f>I105*SUM(M106)</f>
        <v>1464238.2023999998</v>
      </c>
      <c r="N105">
        <v>105</v>
      </c>
      <c r="O105" s="91" t="s">
        <v>398</v>
      </c>
      <c r="P105" s="119"/>
      <c r="Q105" s="119"/>
      <c r="R105" s="91" t="s">
        <v>973</v>
      </c>
      <c r="S105" s="91" t="s">
        <v>1031</v>
      </c>
      <c r="T105" s="91" t="s">
        <v>1060</v>
      </c>
      <c r="U105" s="91" t="s">
        <v>1002</v>
      </c>
    </row>
    <row r="106" spans="1:21" x14ac:dyDescent="0.25">
      <c r="A106" s="91" t="s">
        <v>399</v>
      </c>
      <c r="B106" s="91">
        <v>5</v>
      </c>
      <c r="C106" s="91" t="s">
        <v>397</v>
      </c>
      <c r="D106" s="91" t="s">
        <v>59</v>
      </c>
      <c r="E106">
        <v>205</v>
      </c>
      <c r="F106">
        <v>212</v>
      </c>
      <c r="G106" s="94" t="s">
        <v>93</v>
      </c>
      <c r="H106" t="s">
        <v>395</v>
      </c>
      <c r="I106">
        <v>1</v>
      </c>
      <c r="J106">
        <f>SUM(K107,K108,K109)</f>
        <v>1574449.68</v>
      </c>
      <c r="K106">
        <f>I106*J106</f>
        <v>1574449.68</v>
      </c>
      <c r="L106">
        <f>100*(1-(M106/K106))</f>
        <v>7.0000000000000062</v>
      </c>
      <c r="M106">
        <f>I106*SUM(M107,M108,M109)</f>
        <v>1464238.2023999998</v>
      </c>
      <c r="N106">
        <v>106</v>
      </c>
      <c r="O106" s="91" t="s">
        <v>400</v>
      </c>
      <c r="P106" s="119"/>
      <c r="Q106" s="119"/>
      <c r="R106" s="91" t="s">
        <v>822</v>
      </c>
      <c r="S106" s="91" t="s">
        <v>898</v>
      </c>
      <c r="T106" s="91" t="s">
        <v>936</v>
      </c>
      <c r="U106" s="91" t="s">
        <v>860</v>
      </c>
    </row>
    <row r="107" spans="1:21" x14ac:dyDescent="0.25">
      <c r="A107" s="91" t="s">
        <v>401</v>
      </c>
      <c r="B107" s="91">
        <v>6</v>
      </c>
      <c r="C107" s="91" t="s">
        <v>399</v>
      </c>
      <c r="D107" s="91" t="s">
        <v>59</v>
      </c>
      <c r="E107">
        <v>206</v>
      </c>
      <c r="F107">
        <v>207</v>
      </c>
      <c r="G107" s="94" t="s">
        <v>59</v>
      </c>
      <c r="H107" t="s">
        <v>402</v>
      </c>
      <c r="I107">
        <v>1</v>
      </c>
      <c r="J107">
        <v>169901.54</v>
      </c>
      <c r="K107">
        <f>I107*J107</f>
        <v>169901.54</v>
      </c>
      <c r="L107">
        <v>7</v>
      </c>
      <c r="M107">
        <f>(1-(L107/100))*K107</f>
        <v>158008.43220000001</v>
      </c>
      <c r="N107">
        <v>107</v>
      </c>
      <c r="O107" s="91" t="s">
        <v>403</v>
      </c>
      <c r="P107" s="119"/>
      <c r="Q107" s="119"/>
    </row>
    <row r="108" spans="1:21" x14ac:dyDescent="0.25">
      <c r="A108" s="91" t="s">
        <v>404</v>
      </c>
      <c r="B108" s="91">
        <v>6</v>
      </c>
      <c r="C108" s="91" t="s">
        <v>399</v>
      </c>
      <c r="D108" s="91" t="s">
        <v>92</v>
      </c>
      <c r="E108">
        <v>208</v>
      </c>
      <c r="F108">
        <v>209</v>
      </c>
      <c r="G108" s="94" t="s">
        <v>59</v>
      </c>
      <c r="H108" t="s">
        <v>405</v>
      </c>
      <c r="I108">
        <v>1</v>
      </c>
      <c r="J108">
        <v>1367064.15</v>
      </c>
      <c r="K108">
        <f>I108*J108</f>
        <v>1367064.15</v>
      </c>
      <c r="L108">
        <v>7</v>
      </c>
      <c r="M108">
        <f>(1-(L108/100))*K108</f>
        <v>1271369.6594999998</v>
      </c>
      <c r="N108">
        <v>108</v>
      </c>
      <c r="O108" s="91" t="s">
        <v>406</v>
      </c>
      <c r="P108" s="119"/>
      <c r="Q108" s="119"/>
    </row>
    <row r="109" spans="1:21" x14ac:dyDescent="0.25">
      <c r="A109" s="91" t="s">
        <v>407</v>
      </c>
      <c r="B109" s="91">
        <v>6</v>
      </c>
      <c r="C109" s="91" t="s">
        <v>399</v>
      </c>
      <c r="D109" s="91" t="s">
        <v>810</v>
      </c>
      <c r="E109">
        <v>210</v>
      </c>
      <c r="F109">
        <v>211</v>
      </c>
      <c r="G109" s="94" t="s">
        <v>59</v>
      </c>
      <c r="H109" t="s">
        <v>408</v>
      </c>
      <c r="I109">
        <v>1</v>
      </c>
      <c r="J109">
        <v>37483.99</v>
      </c>
      <c r="K109">
        <f>I109*J109</f>
        <v>37483.99</v>
      </c>
      <c r="L109">
        <v>7</v>
      </c>
      <c r="M109">
        <f>(1-(L109/100))*K109</f>
        <v>34860.110699999997</v>
      </c>
      <c r="N109">
        <v>109</v>
      </c>
      <c r="O109" s="91" t="s">
        <v>409</v>
      </c>
      <c r="P109" s="119"/>
      <c r="Q109" s="119"/>
    </row>
    <row r="110" spans="1:21" x14ac:dyDescent="0.25">
      <c r="A110" s="91" t="s">
        <v>410</v>
      </c>
      <c r="B110" s="91">
        <v>2</v>
      </c>
      <c r="C110" s="91" t="s">
        <v>59</v>
      </c>
      <c r="D110" s="91" t="s">
        <v>92</v>
      </c>
      <c r="E110">
        <v>216</v>
      </c>
      <c r="F110">
        <v>339</v>
      </c>
      <c r="G110" s="94" t="s">
        <v>93</v>
      </c>
      <c r="H110" t="s">
        <v>411</v>
      </c>
      <c r="I110">
        <v>1</v>
      </c>
      <c r="J110">
        <f>SUM(K111,K166)</f>
        <v>847098.9567000001</v>
      </c>
      <c r="K110">
        <f>I110*J110</f>
        <v>847098.9567000001</v>
      </c>
      <c r="L110">
        <f>100*(1-(M110/K110))</f>
        <v>12.73208978709749</v>
      </c>
      <c r="M110">
        <f>I110*SUM(M111,M166)</f>
        <v>739245.55694738997</v>
      </c>
      <c r="N110">
        <v>110</v>
      </c>
      <c r="O110" s="91" t="s">
        <v>412</v>
      </c>
      <c r="P110" s="119"/>
      <c r="Q110" s="119"/>
      <c r="R110" s="91" t="s">
        <v>1191</v>
      </c>
      <c r="S110" s="91" t="s">
        <v>1214</v>
      </c>
      <c r="T110" s="91" t="s">
        <v>1225</v>
      </c>
      <c r="U110" s="91" t="s">
        <v>1203</v>
      </c>
    </row>
    <row r="111" spans="1:21" x14ac:dyDescent="0.25">
      <c r="A111" s="91" t="s">
        <v>413</v>
      </c>
      <c r="B111" s="91">
        <v>3</v>
      </c>
      <c r="C111" s="91" t="s">
        <v>410</v>
      </c>
      <c r="D111" s="91" t="s">
        <v>59</v>
      </c>
      <c r="E111">
        <v>217</v>
      </c>
      <c r="F111">
        <v>326</v>
      </c>
      <c r="G111" s="94" t="s">
        <v>93</v>
      </c>
      <c r="H111" t="s">
        <v>414</v>
      </c>
      <c r="I111">
        <v>1</v>
      </c>
      <c r="J111">
        <f>SUM(K112,K121,K130,K139,K148,K157)</f>
        <v>233108.36669999998</v>
      </c>
      <c r="K111">
        <f>I111*J111</f>
        <v>233108.36669999998</v>
      </c>
      <c r="L111">
        <f>100*(1-(M111/K111))</f>
        <v>27.83</v>
      </c>
      <c r="M111">
        <f>I111*SUM(M112,M121,M130,M139,M148,M157)</f>
        <v>168234.30824739</v>
      </c>
      <c r="N111">
        <v>111</v>
      </c>
      <c r="O111" s="91" t="s">
        <v>415</v>
      </c>
      <c r="P111" s="119"/>
      <c r="Q111" s="119"/>
      <c r="R111" s="91" t="s">
        <v>1192</v>
      </c>
      <c r="S111" s="91" t="s">
        <v>1215</v>
      </c>
      <c r="T111" s="91" t="s">
        <v>1226</v>
      </c>
      <c r="U111" s="91" t="s">
        <v>1204</v>
      </c>
    </row>
    <row r="112" spans="1:21" x14ac:dyDescent="0.25">
      <c r="A112" s="91" t="s">
        <v>416</v>
      </c>
      <c r="B112" s="91">
        <v>4</v>
      </c>
      <c r="C112" s="91" t="s">
        <v>413</v>
      </c>
      <c r="D112" s="91" t="s">
        <v>59</v>
      </c>
      <c r="E112">
        <v>218</v>
      </c>
      <c r="F112">
        <v>235</v>
      </c>
      <c r="G112" s="94" t="s">
        <v>93</v>
      </c>
      <c r="H112" t="s">
        <v>417</v>
      </c>
      <c r="I112">
        <v>1</v>
      </c>
      <c r="J112">
        <f>SUM(K113)</f>
        <v>41258.118000000002</v>
      </c>
      <c r="K112">
        <f>I112*J112</f>
        <v>41258.118000000002</v>
      </c>
      <c r="L112">
        <f>100*(1-(M112/K112))</f>
        <v>27.83</v>
      </c>
      <c r="M112">
        <f>I112*SUM(M113)</f>
        <v>29775.9837606</v>
      </c>
      <c r="N112">
        <v>112</v>
      </c>
      <c r="O112" s="91" t="s">
        <v>418</v>
      </c>
      <c r="P112" s="119"/>
      <c r="Q112" s="119"/>
      <c r="R112" s="91" t="s">
        <v>1097</v>
      </c>
      <c r="S112" s="91" t="s">
        <v>1145</v>
      </c>
      <c r="T112" s="91" t="s">
        <v>1169</v>
      </c>
      <c r="U112" s="91" t="s">
        <v>1121</v>
      </c>
    </row>
    <row r="113" spans="1:21" x14ac:dyDescent="0.25">
      <c r="A113" s="91" t="s">
        <v>419</v>
      </c>
      <c r="B113" s="91">
        <v>5</v>
      </c>
      <c r="C113" s="91" t="s">
        <v>416</v>
      </c>
      <c r="D113" s="91" t="s">
        <v>59</v>
      </c>
      <c r="E113">
        <v>219</v>
      </c>
      <c r="F113">
        <v>234</v>
      </c>
      <c r="G113" s="94" t="s">
        <v>93</v>
      </c>
      <c r="H113" t="s">
        <v>420</v>
      </c>
      <c r="I113">
        <v>1</v>
      </c>
      <c r="J113">
        <f>SUM(K114,K118)</f>
        <v>41258.118000000002</v>
      </c>
      <c r="K113">
        <f>I113*J113</f>
        <v>41258.118000000002</v>
      </c>
      <c r="L113">
        <f>100*(1-(M113/K113))</f>
        <v>27.83</v>
      </c>
      <c r="M113">
        <f>I113*SUM(M114,M118)</f>
        <v>29775.9837606</v>
      </c>
      <c r="N113">
        <v>113</v>
      </c>
      <c r="O113" s="91" t="s">
        <v>421</v>
      </c>
      <c r="P113" s="119"/>
      <c r="Q113" s="119"/>
      <c r="R113" s="91" t="s">
        <v>981</v>
      </c>
      <c r="S113" s="91" t="s">
        <v>1039</v>
      </c>
      <c r="T113" s="91" t="s">
        <v>1068</v>
      </c>
      <c r="U113" s="91" t="s">
        <v>1010</v>
      </c>
    </row>
    <row r="114" spans="1:21" x14ac:dyDescent="0.25">
      <c r="A114" s="91" t="s">
        <v>422</v>
      </c>
      <c r="B114" s="91">
        <v>6</v>
      </c>
      <c r="C114" s="91" t="s">
        <v>419</v>
      </c>
      <c r="D114" s="91" t="s">
        <v>59</v>
      </c>
      <c r="E114">
        <v>220</v>
      </c>
      <c r="F114">
        <v>227</v>
      </c>
      <c r="G114" s="94" t="s">
        <v>93</v>
      </c>
      <c r="H114" t="s">
        <v>423</v>
      </c>
      <c r="I114">
        <v>1</v>
      </c>
      <c r="J114">
        <f>SUM(K115,K116,K117)</f>
        <v>19559.40408</v>
      </c>
      <c r="K114">
        <f>I114*J114</f>
        <v>19559.40408</v>
      </c>
      <c r="L114">
        <f>100*(1-(M114/K114))</f>
        <v>27.83</v>
      </c>
      <c r="M114">
        <f>I114*SUM(M115,M116,M117)</f>
        <v>14116.021924536</v>
      </c>
      <c r="N114">
        <v>114</v>
      </c>
      <c r="O114" s="91" t="s">
        <v>424</v>
      </c>
      <c r="P114" s="119"/>
      <c r="Q114" s="119"/>
      <c r="R114" s="91" t="s">
        <v>831</v>
      </c>
      <c r="S114" s="91" t="s">
        <v>907</v>
      </c>
      <c r="T114" s="91" t="s">
        <v>945</v>
      </c>
      <c r="U114" s="91" t="s">
        <v>869</v>
      </c>
    </row>
    <row r="115" spans="1:21" x14ac:dyDescent="0.25">
      <c r="A115" s="91" t="s">
        <v>425</v>
      </c>
      <c r="B115" s="91">
        <v>7</v>
      </c>
      <c r="C115" s="91" t="s">
        <v>422</v>
      </c>
      <c r="D115" s="91" t="s">
        <v>59</v>
      </c>
      <c r="E115">
        <v>221</v>
      </c>
      <c r="F115">
        <v>222</v>
      </c>
      <c r="G115" s="94" t="s">
        <v>59</v>
      </c>
      <c r="H115" t="s">
        <v>426</v>
      </c>
      <c r="I115">
        <v>12000</v>
      </c>
      <c r="J115">
        <v>1.3243346499999999</v>
      </c>
      <c r="K115">
        <f>I115*J115</f>
        <v>15892.015799999999</v>
      </c>
      <c r="L115">
        <v>27.83</v>
      </c>
      <c r="M115">
        <f>(1-(L115/100))*K115</f>
        <v>11469.26780286</v>
      </c>
      <c r="N115">
        <v>115</v>
      </c>
      <c r="O115" s="91" t="s">
        <v>427</v>
      </c>
      <c r="P115" s="119"/>
      <c r="Q115" s="119"/>
    </row>
    <row r="116" spans="1:21" x14ac:dyDescent="0.25">
      <c r="A116" s="91" t="s">
        <v>428</v>
      </c>
      <c r="B116" s="91">
        <v>7</v>
      </c>
      <c r="C116" s="91" t="s">
        <v>422</v>
      </c>
      <c r="D116" s="91" t="s">
        <v>92</v>
      </c>
      <c r="E116">
        <v>223</v>
      </c>
      <c r="F116">
        <v>224</v>
      </c>
      <c r="G116" s="94" t="s">
        <v>59</v>
      </c>
      <c r="H116" t="s">
        <v>429</v>
      </c>
      <c r="I116">
        <v>12000</v>
      </c>
      <c r="J116">
        <v>3.820196E-2</v>
      </c>
      <c r="K116">
        <f>I116*J116</f>
        <v>458.42352</v>
      </c>
      <c r="L116">
        <v>27.83</v>
      </c>
      <c r="M116">
        <f>(1-(L116/100))*K116</f>
        <v>330.84425438400001</v>
      </c>
      <c r="N116">
        <v>116</v>
      </c>
      <c r="O116" s="91" t="s">
        <v>430</v>
      </c>
      <c r="P116" s="119"/>
      <c r="Q116" s="119"/>
    </row>
    <row r="117" spans="1:21" x14ac:dyDescent="0.25">
      <c r="A117" s="91" t="s">
        <v>431</v>
      </c>
      <c r="B117" s="91">
        <v>7</v>
      </c>
      <c r="C117" s="91" t="s">
        <v>422</v>
      </c>
      <c r="D117" s="91" t="s">
        <v>810</v>
      </c>
      <c r="E117">
        <v>225</v>
      </c>
      <c r="F117">
        <v>226</v>
      </c>
      <c r="G117" s="94" t="s">
        <v>59</v>
      </c>
      <c r="H117" t="s">
        <v>432</v>
      </c>
      <c r="I117">
        <v>12000</v>
      </c>
      <c r="J117">
        <v>0.26741373000000002</v>
      </c>
      <c r="K117">
        <f>I117*J117</f>
        <v>3208.9647600000003</v>
      </c>
      <c r="L117">
        <v>27.83</v>
      </c>
      <c r="M117">
        <f>(1-(L117/100))*K117</f>
        <v>2315.9098672920004</v>
      </c>
      <c r="N117">
        <v>117</v>
      </c>
      <c r="O117" s="91" t="s">
        <v>433</v>
      </c>
      <c r="P117" s="119"/>
      <c r="Q117" s="119"/>
    </row>
    <row r="118" spans="1:21" x14ac:dyDescent="0.25">
      <c r="A118" s="91" t="s">
        <v>434</v>
      </c>
      <c r="B118" s="91">
        <v>6</v>
      </c>
      <c r="C118" s="91" t="s">
        <v>419</v>
      </c>
      <c r="D118" s="91" t="s">
        <v>92</v>
      </c>
      <c r="E118">
        <v>228</v>
      </c>
      <c r="F118">
        <v>233</v>
      </c>
      <c r="G118" s="94" t="s">
        <v>93</v>
      </c>
      <c r="H118" t="s">
        <v>423</v>
      </c>
      <c r="I118">
        <v>1</v>
      </c>
      <c r="J118">
        <f>SUM(K119,K120)</f>
        <v>21698.713919999998</v>
      </c>
      <c r="K118">
        <f>I118*J118</f>
        <v>21698.713919999998</v>
      </c>
      <c r="L118">
        <f>100*(1-(M118/K118))</f>
        <v>27.83</v>
      </c>
      <c r="M118">
        <f>I118*SUM(M119,M120)</f>
        <v>15659.961836063998</v>
      </c>
      <c r="N118">
        <v>118</v>
      </c>
      <c r="O118" s="91" t="s">
        <v>435</v>
      </c>
      <c r="P118" s="119"/>
      <c r="Q118" s="119"/>
      <c r="R118" s="91" t="s">
        <v>832</v>
      </c>
      <c r="S118" s="91" t="s">
        <v>908</v>
      </c>
      <c r="T118" s="91" t="s">
        <v>946</v>
      </c>
      <c r="U118" s="91" t="s">
        <v>870</v>
      </c>
    </row>
    <row r="119" spans="1:21" x14ac:dyDescent="0.25">
      <c r="A119" s="91" t="s">
        <v>436</v>
      </c>
      <c r="B119" s="91">
        <v>7</v>
      </c>
      <c r="C119" s="91" t="s">
        <v>434</v>
      </c>
      <c r="D119" s="91" t="s">
        <v>59</v>
      </c>
      <c r="E119">
        <v>229</v>
      </c>
      <c r="F119">
        <v>230</v>
      </c>
      <c r="G119" s="94" t="s">
        <v>59</v>
      </c>
      <c r="H119" t="s">
        <v>437</v>
      </c>
      <c r="I119">
        <v>12000</v>
      </c>
      <c r="J119">
        <v>1.2097287699999999</v>
      </c>
      <c r="K119">
        <f>I119*J119</f>
        <v>14516.745239999998</v>
      </c>
      <c r="L119">
        <v>27.83</v>
      </c>
      <c r="M119">
        <f>(1-(L119/100))*K119</f>
        <v>10476.735039707999</v>
      </c>
      <c r="N119">
        <v>119</v>
      </c>
      <c r="O119" s="91" t="s">
        <v>438</v>
      </c>
      <c r="P119" s="119"/>
      <c r="Q119" s="119"/>
    </row>
    <row r="120" spans="1:21" x14ac:dyDescent="0.25">
      <c r="A120" s="91" t="s">
        <v>439</v>
      </c>
      <c r="B120" s="91">
        <v>7</v>
      </c>
      <c r="C120" s="91" t="s">
        <v>434</v>
      </c>
      <c r="D120" s="91" t="s">
        <v>92</v>
      </c>
      <c r="E120">
        <v>231</v>
      </c>
      <c r="F120">
        <v>232</v>
      </c>
      <c r="G120" s="94" t="s">
        <v>59</v>
      </c>
      <c r="H120" t="s">
        <v>440</v>
      </c>
      <c r="I120">
        <v>12000</v>
      </c>
      <c r="J120">
        <v>0.59849739000000002</v>
      </c>
      <c r="K120">
        <f>I120*J120</f>
        <v>7181.9686799999999</v>
      </c>
      <c r="L120">
        <v>27.83</v>
      </c>
      <c r="M120">
        <f>(1-(L120/100))*K120</f>
        <v>5183.2267963559998</v>
      </c>
      <c r="N120">
        <v>120</v>
      </c>
      <c r="O120" s="91" t="s">
        <v>441</v>
      </c>
      <c r="P120" s="119"/>
      <c r="Q120" s="119"/>
    </row>
    <row r="121" spans="1:21" x14ac:dyDescent="0.25">
      <c r="A121" s="91" t="s">
        <v>442</v>
      </c>
      <c r="B121" s="91">
        <v>4</v>
      </c>
      <c r="C121" s="91" t="s">
        <v>413</v>
      </c>
      <c r="D121" s="91" t="s">
        <v>92</v>
      </c>
      <c r="E121">
        <v>236</v>
      </c>
      <c r="F121">
        <v>253</v>
      </c>
      <c r="G121" s="94" t="s">
        <v>93</v>
      </c>
      <c r="H121" t="s">
        <v>443</v>
      </c>
      <c r="I121">
        <v>1</v>
      </c>
      <c r="J121">
        <f>SUM(K122)</f>
        <v>37132.306199999999</v>
      </c>
      <c r="K121">
        <f>I121*J121</f>
        <v>37132.306199999999</v>
      </c>
      <c r="L121">
        <f>100*(1-(M121/K121))</f>
        <v>27.83</v>
      </c>
      <c r="M121">
        <f>I121*SUM(M122)</f>
        <v>26798.385384540001</v>
      </c>
      <c r="N121">
        <v>121</v>
      </c>
      <c r="O121" s="91" t="s">
        <v>444</v>
      </c>
      <c r="P121" s="119"/>
      <c r="Q121" s="119"/>
      <c r="R121" s="91" t="s">
        <v>1098</v>
      </c>
      <c r="S121" s="91" t="s">
        <v>1146</v>
      </c>
      <c r="T121" s="91" t="s">
        <v>1170</v>
      </c>
      <c r="U121" s="91" t="s">
        <v>1122</v>
      </c>
    </row>
    <row r="122" spans="1:21" x14ac:dyDescent="0.25">
      <c r="A122" s="91" t="s">
        <v>445</v>
      </c>
      <c r="B122" s="91">
        <v>5</v>
      </c>
      <c r="C122" s="91" t="s">
        <v>442</v>
      </c>
      <c r="D122" s="91" t="s">
        <v>59</v>
      </c>
      <c r="E122">
        <v>237</v>
      </c>
      <c r="F122">
        <v>252</v>
      </c>
      <c r="G122" s="94" t="s">
        <v>93</v>
      </c>
      <c r="H122" t="s">
        <v>446</v>
      </c>
      <c r="I122">
        <v>1</v>
      </c>
      <c r="J122">
        <f>SUM(K123,K127)</f>
        <v>37132.306199999999</v>
      </c>
      <c r="K122">
        <f>I122*J122</f>
        <v>37132.306199999999</v>
      </c>
      <c r="L122">
        <f>100*(1-(M122/K122))</f>
        <v>27.83</v>
      </c>
      <c r="M122">
        <f>I122*SUM(M123,M127)</f>
        <v>26798.385384540001</v>
      </c>
      <c r="N122">
        <v>122</v>
      </c>
      <c r="O122" s="91" t="s">
        <v>447</v>
      </c>
      <c r="P122" s="119"/>
      <c r="Q122" s="119"/>
      <c r="R122" s="91" t="s">
        <v>982</v>
      </c>
      <c r="S122" s="91" t="s">
        <v>1040</v>
      </c>
      <c r="T122" s="91" t="s">
        <v>1069</v>
      </c>
      <c r="U122" s="91" t="s">
        <v>1011</v>
      </c>
    </row>
    <row r="123" spans="1:21" x14ac:dyDescent="0.25">
      <c r="A123" s="91" t="s">
        <v>448</v>
      </c>
      <c r="B123" s="91">
        <v>6</v>
      </c>
      <c r="C123" s="91" t="s">
        <v>445</v>
      </c>
      <c r="D123" s="91" t="s">
        <v>59</v>
      </c>
      <c r="E123">
        <v>238</v>
      </c>
      <c r="F123">
        <v>245</v>
      </c>
      <c r="G123" s="94" t="s">
        <v>93</v>
      </c>
      <c r="H123" t="s">
        <v>423</v>
      </c>
      <c r="I123">
        <v>1</v>
      </c>
      <c r="J123">
        <f>SUM(K124,K125,K126)</f>
        <v>17603.463672000002</v>
      </c>
      <c r="K123">
        <f>I123*J123</f>
        <v>17603.463672000002</v>
      </c>
      <c r="L123">
        <f>100*(1-(M123/K123))</f>
        <v>27.83</v>
      </c>
      <c r="M123">
        <f>I123*SUM(M124,M125,M126)</f>
        <v>12704.419732082401</v>
      </c>
      <c r="N123">
        <v>123</v>
      </c>
      <c r="O123" s="91" t="s">
        <v>449</v>
      </c>
      <c r="P123" s="119"/>
      <c r="Q123" s="119"/>
      <c r="R123" s="91" t="s">
        <v>833</v>
      </c>
      <c r="S123" s="91" t="s">
        <v>909</v>
      </c>
      <c r="T123" s="91" t="s">
        <v>947</v>
      </c>
      <c r="U123" s="91" t="s">
        <v>871</v>
      </c>
    </row>
    <row r="124" spans="1:21" x14ac:dyDescent="0.25">
      <c r="A124" s="91" t="s">
        <v>450</v>
      </c>
      <c r="B124" s="91">
        <v>7</v>
      </c>
      <c r="C124" s="91" t="s">
        <v>448</v>
      </c>
      <c r="D124" s="91" t="s">
        <v>59</v>
      </c>
      <c r="E124">
        <v>239</v>
      </c>
      <c r="F124">
        <v>240</v>
      </c>
      <c r="G124" s="94" t="s">
        <v>59</v>
      </c>
      <c r="H124" t="s">
        <v>426</v>
      </c>
      <c r="I124">
        <v>10800</v>
      </c>
      <c r="J124">
        <v>1.3243346499999999</v>
      </c>
      <c r="K124">
        <f>I124*J124</f>
        <v>14302.81422</v>
      </c>
      <c r="L124">
        <v>27.83</v>
      </c>
      <c r="M124">
        <f>(1-(L124/100))*K124</f>
        <v>10322.341022574001</v>
      </c>
      <c r="N124">
        <v>124</v>
      </c>
      <c r="O124" s="91" t="s">
        <v>451</v>
      </c>
      <c r="P124" s="119"/>
      <c r="Q124" s="119"/>
    </row>
    <row r="125" spans="1:21" x14ac:dyDescent="0.25">
      <c r="A125" s="91" t="s">
        <v>452</v>
      </c>
      <c r="B125" s="91">
        <v>7</v>
      </c>
      <c r="C125" s="91" t="s">
        <v>448</v>
      </c>
      <c r="D125" s="91" t="s">
        <v>92</v>
      </c>
      <c r="E125">
        <v>241</v>
      </c>
      <c r="F125">
        <v>242</v>
      </c>
      <c r="G125" s="94" t="s">
        <v>59</v>
      </c>
      <c r="H125" t="s">
        <v>429</v>
      </c>
      <c r="I125">
        <v>10800</v>
      </c>
      <c r="J125">
        <v>3.820196E-2</v>
      </c>
      <c r="K125">
        <f>I125*J125</f>
        <v>412.58116799999999</v>
      </c>
      <c r="L125">
        <v>27.83</v>
      </c>
      <c r="M125">
        <f>(1-(L125/100))*K125</f>
        <v>297.75982894560002</v>
      </c>
      <c r="N125">
        <v>125</v>
      </c>
      <c r="O125" s="91" t="s">
        <v>453</v>
      </c>
      <c r="P125" s="119"/>
      <c r="Q125" s="119"/>
    </row>
    <row r="126" spans="1:21" x14ac:dyDescent="0.25">
      <c r="A126" s="91" t="s">
        <v>454</v>
      </c>
      <c r="B126" s="91">
        <v>7</v>
      </c>
      <c r="C126" s="91" t="s">
        <v>448</v>
      </c>
      <c r="D126" s="91" t="s">
        <v>810</v>
      </c>
      <c r="E126">
        <v>243</v>
      </c>
      <c r="F126">
        <v>244</v>
      </c>
      <c r="G126" s="94" t="s">
        <v>59</v>
      </c>
      <c r="H126" t="s">
        <v>432</v>
      </c>
      <c r="I126">
        <v>10800</v>
      </c>
      <c r="J126">
        <v>0.26741373000000002</v>
      </c>
      <c r="K126">
        <f>I126*J126</f>
        <v>2888.0682839999999</v>
      </c>
      <c r="L126">
        <v>27.83</v>
      </c>
      <c r="M126">
        <f>(1-(L126/100))*K126</f>
        <v>2084.3188805628001</v>
      </c>
      <c r="N126">
        <v>126</v>
      </c>
      <c r="O126" s="91" t="s">
        <v>455</v>
      </c>
      <c r="P126" s="119"/>
      <c r="Q126" s="119"/>
    </row>
    <row r="127" spans="1:21" x14ac:dyDescent="0.25">
      <c r="A127" s="91" t="s">
        <v>456</v>
      </c>
      <c r="B127" s="91">
        <v>6</v>
      </c>
      <c r="C127" s="91" t="s">
        <v>445</v>
      </c>
      <c r="D127" s="91" t="s">
        <v>92</v>
      </c>
      <c r="E127">
        <v>246</v>
      </c>
      <c r="F127">
        <v>251</v>
      </c>
      <c r="G127" s="94" t="s">
        <v>93</v>
      </c>
      <c r="H127" t="s">
        <v>423</v>
      </c>
      <c r="I127">
        <v>1</v>
      </c>
      <c r="J127">
        <f>SUM(K128,K129)</f>
        <v>19528.842527999997</v>
      </c>
      <c r="K127">
        <f>I127*J127</f>
        <v>19528.842527999997</v>
      </c>
      <c r="L127">
        <f>100*(1-(M127/K127))</f>
        <v>27.83</v>
      </c>
      <c r="M127">
        <f>I127*SUM(M128,M129)</f>
        <v>14093.965652457598</v>
      </c>
      <c r="N127">
        <v>127</v>
      </c>
      <c r="O127" s="91" t="s">
        <v>457</v>
      </c>
      <c r="P127" s="119"/>
      <c r="Q127" s="119"/>
      <c r="R127" s="91" t="s">
        <v>834</v>
      </c>
      <c r="S127" s="91" t="s">
        <v>910</v>
      </c>
      <c r="T127" s="91" t="s">
        <v>948</v>
      </c>
      <c r="U127" s="91" t="s">
        <v>872</v>
      </c>
    </row>
    <row r="128" spans="1:21" x14ac:dyDescent="0.25">
      <c r="A128" s="91" t="s">
        <v>458</v>
      </c>
      <c r="B128" s="91">
        <v>7</v>
      </c>
      <c r="C128" s="91" t="s">
        <v>456</v>
      </c>
      <c r="D128" s="91" t="s">
        <v>59</v>
      </c>
      <c r="E128">
        <v>247</v>
      </c>
      <c r="F128">
        <v>248</v>
      </c>
      <c r="G128" s="94" t="s">
        <v>59</v>
      </c>
      <c r="H128" t="s">
        <v>437</v>
      </c>
      <c r="I128">
        <v>10800</v>
      </c>
      <c r="J128">
        <v>1.2097287699999999</v>
      </c>
      <c r="K128">
        <f>I128*J128</f>
        <v>13065.070715999998</v>
      </c>
      <c r="L128">
        <v>27.83</v>
      </c>
      <c r="M128">
        <f>(1-(L128/100))*K128</f>
        <v>9429.0615357371989</v>
      </c>
      <c r="N128">
        <v>128</v>
      </c>
      <c r="O128" s="91" t="s">
        <v>459</v>
      </c>
      <c r="P128" s="119"/>
      <c r="Q128" s="119"/>
    </row>
    <row r="129" spans="1:21" x14ac:dyDescent="0.25">
      <c r="A129" s="91" t="s">
        <v>460</v>
      </c>
      <c r="B129" s="91">
        <v>7</v>
      </c>
      <c r="C129" s="91" t="s">
        <v>456</v>
      </c>
      <c r="D129" s="91" t="s">
        <v>92</v>
      </c>
      <c r="E129">
        <v>249</v>
      </c>
      <c r="F129">
        <v>250</v>
      </c>
      <c r="G129" s="94" t="s">
        <v>59</v>
      </c>
      <c r="H129" t="s">
        <v>440</v>
      </c>
      <c r="I129">
        <v>10800</v>
      </c>
      <c r="J129">
        <v>0.59849739000000002</v>
      </c>
      <c r="K129">
        <f>I129*J129</f>
        <v>6463.771812</v>
      </c>
      <c r="L129">
        <v>27.83</v>
      </c>
      <c r="M129">
        <f>(1-(L129/100))*K129</f>
        <v>4664.9041167204005</v>
      </c>
      <c r="N129">
        <v>129</v>
      </c>
      <c r="O129" s="91" t="s">
        <v>461</v>
      </c>
      <c r="P129" s="119"/>
      <c r="Q129" s="119"/>
    </row>
    <row r="130" spans="1:21" x14ac:dyDescent="0.25">
      <c r="A130" s="91" t="s">
        <v>462</v>
      </c>
      <c r="B130" s="91">
        <v>4</v>
      </c>
      <c r="C130" s="91" t="s">
        <v>413</v>
      </c>
      <c r="D130" s="91" t="s">
        <v>810</v>
      </c>
      <c r="E130">
        <v>254</v>
      </c>
      <c r="F130">
        <v>271</v>
      </c>
      <c r="G130" s="94" t="s">
        <v>93</v>
      </c>
      <c r="H130" t="s">
        <v>463</v>
      </c>
      <c r="I130">
        <v>1</v>
      </c>
      <c r="J130">
        <f>SUM(K131)</f>
        <v>36788.488549999995</v>
      </c>
      <c r="K130">
        <f>I130*J130</f>
        <v>36788.488549999995</v>
      </c>
      <c r="L130">
        <f>100*(1-(M130/K130))</f>
        <v>27.829999999999988</v>
      </c>
      <c r="M130">
        <f>I130*SUM(M131)</f>
        <v>26550.252186534999</v>
      </c>
      <c r="N130">
        <v>130</v>
      </c>
      <c r="O130" s="91" t="s">
        <v>464</v>
      </c>
      <c r="P130" s="119"/>
      <c r="Q130" s="119"/>
      <c r="R130" s="91" t="s">
        <v>1099</v>
      </c>
      <c r="S130" s="91" t="s">
        <v>1147</v>
      </c>
      <c r="T130" s="91" t="s">
        <v>1171</v>
      </c>
      <c r="U130" s="91" t="s">
        <v>1123</v>
      </c>
    </row>
    <row r="131" spans="1:21" x14ac:dyDescent="0.25">
      <c r="A131" s="91" t="s">
        <v>465</v>
      </c>
      <c r="B131" s="91">
        <v>5</v>
      </c>
      <c r="C131" s="91" t="s">
        <v>462</v>
      </c>
      <c r="D131" s="91" t="s">
        <v>59</v>
      </c>
      <c r="E131">
        <v>255</v>
      </c>
      <c r="F131">
        <v>270</v>
      </c>
      <c r="G131" s="94" t="s">
        <v>93</v>
      </c>
      <c r="H131" t="s">
        <v>466</v>
      </c>
      <c r="I131">
        <v>1</v>
      </c>
      <c r="J131">
        <f>SUM(K132,K136)</f>
        <v>36788.488549999995</v>
      </c>
      <c r="K131">
        <f>I131*J131</f>
        <v>36788.488549999995</v>
      </c>
      <c r="L131">
        <f>100*(1-(M131/K131))</f>
        <v>27.829999999999988</v>
      </c>
      <c r="M131">
        <f>I131*SUM(M132,M136)</f>
        <v>26550.252186534999</v>
      </c>
      <c r="N131">
        <v>131</v>
      </c>
      <c r="O131" s="91" t="s">
        <v>467</v>
      </c>
      <c r="P131" s="119"/>
      <c r="Q131" s="119"/>
      <c r="R131" s="91" t="s">
        <v>983</v>
      </c>
      <c r="S131" s="91" t="s">
        <v>1041</v>
      </c>
      <c r="T131" s="91" t="s">
        <v>1070</v>
      </c>
      <c r="U131" s="91" t="s">
        <v>1012</v>
      </c>
    </row>
    <row r="132" spans="1:21" x14ac:dyDescent="0.25">
      <c r="A132" s="91" t="s">
        <v>468</v>
      </c>
      <c r="B132" s="91">
        <v>6</v>
      </c>
      <c r="C132" s="91" t="s">
        <v>465</v>
      </c>
      <c r="D132" s="91" t="s">
        <v>59</v>
      </c>
      <c r="E132">
        <v>256</v>
      </c>
      <c r="F132">
        <v>263</v>
      </c>
      <c r="G132" s="94" t="s">
        <v>93</v>
      </c>
      <c r="H132" t="s">
        <v>423</v>
      </c>
      <c r="I132">
        <v>1</v>
      </c>
      <c r="J132">
        <f>SUM(K133,K134,K135)</f>
        <v>17440.468637999998</v>
      </c>
      <c r="K132">
        <f>I132*J132</f>
        <v>17440.468637999998</v>
      </c>
      <c r="L132">
        <f>100*(1-(M132/K132))</f>
        <v>27.829999999999988</v>
      </c>
      <c r="M132">
        <f>I132*SUM(M133,M134,M135)</f>
        <v>12586.7862160446</v>
      </c>
      <c r="N132">
        <v>132</v>
      </c>
      <c r="O132" s="91" t="s">
        <v>469</v>
      </c>
      <c r="P132" s="119"/>
      <c r="Q132" s="119"/>
      <c r="R132" s="91" t="s">
        <v>835</v>
      </c>
      <c r="S132" s="91" t="s">
        <v>911</v>
      </c>
      <c r="T132" s="91" t="s">
        <v>949</v>
      </c>
      <c r="U132" s="91" t="s">
        <v>873</v>
      </c>
    </row>
    <row r="133" spans="1:21" x14ac:dyDescent="0.25">
      <c r="A133" s="91" t="s">
        <v>470</v>
      </c>
      <c r="B133" s="91">
        <v>7</v>
      </c>
      <c r="C133" s="91" t="s">
        <v>468</v>
      </c>
      <c r="D133" s="91" t="s">
        <v>59</v>
      </c>
      <c r="E133">
        <v>257</v>
      </c>
      <c r="F133">
        <v>258</v>
      </c>
      <c r="G133" s="94" t="s">
        <v>59</v>
      </c>
      <c r="H133" t="s">
        <v>426</v>
      </c>
      <c r="I133">
        <v>10700</v>
      </c>
      <c r="J133">
        <v>1.3243346499999999</v>
      </c>
      <c r="K133">
        <f>I133*J133</f>
        <v>14170.380755</v>
      </c>
      <c r="L133">
        <v>27.83</v>
      </c>
      <c r="M133">
        <f>(1-(L133/100))*K133</f>
        <v>10226.7637908835</v>
      </c>
      <c r="N133">
        <v>133</v>
      </c>
      <c r="O133" s="91" t="s">
        <v>471</v>
      </c>
      <c r="P133" s="119"/>
      <c r="Q133" s="119"/>
    </row>
    <row r="134" spans="1:21" x14ac:dyDescent="0.25">
      <c r="A134" s="91" t="s">
        <v>472</v>
      </c>
      <c r="B134" s="91">
        <v>7</v>
      </c>
      <c r="C134" s="91" t="s">
        <v>468</v>
      </c>
      <c r="D134" s="91" t="s">
        <v>92</v>
      </c>
      <c r="E134">
        <v>259</v>
      </c>
      <c r="F134">
        <v>260</v>
      </c>
      <c r="G134" s="94" t="s">
        <v>59</v>
      </c>
      <c r="H134" t="s">
        <v>429</v>
      </c>
      <c r="I134">
        <v>10700</v>
      </c>
      <c r="J134">
        <v>3.820196E-2</v>
      </c>
      <c r="K134">
        <f>I134*J134</f>
        <v>408.76097199999998</v>
      </c>
      <c r="L134">
        <v>27.83</v>
      </c>
      <c r="M134">
        <f>(1-(L134/100))*K134</f>
        <v>295.00279349239997</v>
      </c>
      <c r="N134">
        <v>134</v>
      </c>
      <c r="O134" s="91" t="s">
        <v>473</v>
      </c>
      <c r="P134" s="119"/>
      <c r="Q134" s="119"/>
    </row>
    <row r="135" spans="1:21" x14ac:dyDescent="0.25">
      <c r="A135" s="91" t="s">
        <v>474</v>
      </c>
      <c r="B135" s="91">
        <v>7</v>
      </c>
      <c r="C135" s="91" t="s">
        <v>468</v>
      </c>
      <c r="D135" s="91" t="s">
        <v>810</v>
      </c>
      <c r="E135">
        <v>261</v>
      </c>
      <c r="F135">
        <v>262</v>
      </c>
      <c r="G135" s="94" t="s">
        <v>59</v>
      </c>
      <c r="H135" t="s">
        <v>432</v>
      </c>
      <c r="I135">
        <v>10700</v>
      </c>
      <c r="J135">
        <v>0.26741373000000002</v>
      </c>
      <c r="K135">
        <f>I135*J135</f>
        <v>2861.3269110000001</v>
      </c>
      <c r="L135">
        <v>27.83</v>
      </c>
      <c r="M135">
        <f>(1-(L135/100))*K135</f>
        <v>2065.0196316687002</v>
      </c>
      <c r="N135">
        <v>135</v>
      </c>
      <c r="O135" s="91" t="s">
        <v>475</v>
      </c>
      <c r="P135" s="119"/>
      <c r="Q135" s="119"/>
    </row>
    <row r="136" spans="1:21" x14ac:dyDescent="0.25">
      <c r="A136" s="91" t="s">
        <v>476</v>
      </c>
      <c r="B136" s="91">
        <v>6</v>
      </c>
      <c r="C136" s="91" t="s">
        <v>465</v>
      </c>
      <c r="D136" s="91" t="s">
        <v>92</v>
      </c>
      <c r="E136">
        <v>264</v>
      </c>
      <c r="F136">
        <v>269</v>
      </c>
      <c r="G136" s="94" t="s">
        <v>93</v>
      </c>
      <c r="H136" t="s">
        <v>423</v>
      </c>
      <c r="I136">
        <v>1</v>
      </c>
      <c r="J136">
        <f>SUM(K137,K138)</f>
        <v>19348.019912</v>
      </c>
      <c r="K136">
        <f>I136*J136</f>
        <v>19348.019912</v>
      </c>
      <c r="L136">
        <f>100*(1-(M136/K136))</f>
        <v>27.830000000000009</v>
      </c>
      <c r="M136">
        <f>I136*SUM(M137,M138)</f>
        <v>13963.465970490399</v>
      </c>
      <c r="N136">
        <v>136</v>
      </c>
      <c r="O136" s="91" t="s">
        <v>477</v>
      </c>
      <c r="P136" s="119"/>
      <c r="Q136" s="119"/>
      <c r="R136" s="91" t="s">
        <v>836</v>
      </c>
      <c r="S136" s="91" t="s">
        <v>912</v>
      </c>
      <c r="T136" s="91" t="s">
        <v>950</v>
      </c>
      <c r="U136" s="91" t="s">
        <v>874</v>
      </c>
    </row>
    <row r="137" spans="1:21" x14ac:dyDescent="0.25">
      <c r="A137" s="91" t="s">
        <v>478</v>
      </c>
      <c r="B137" s="91">
        <v>7</v>
      </c>
      <c r="C137" s="91" t="s">
        <v>476</v>
      </c>
      <c r="D137" s="91" t="s">
        <v>59</v>
      </c>
      <c r="E137">
        <v>265</v>
      </c>
      <c r="F137">
        <v>266</v>
      </c>
      <c r="G137" s="94" t="s">
        <v>59</v>
      </c>
      <c r="H137" t="s">
        <v>437</v>
      </c>
      <c r="I137">
        <v>10700</v>
      </c>
      <c r="J137">
        <v>1.2097287699999999</v>
      </c>
      <c r="K137">
        <f>I137*J137</f>
        <v>12944.097838999998</v>
      </c>
      <c r="L137">
        <v>27.83</v>
      </c>
      <c r="M137">
        <f>(1-(L137/100))*K137</f>
        <v>9341.7554104062983</v>
      </c>
      <c r="N137">
        <v>137</v>
      </c>
      <c r="O137" s="91" t="s">
        <v>479</v>
      </c>
      <c r="P137" s="119"/>
      <c r="Q137" s="119"/>
    </row>
    <row r="138" spans="1:21" x14ac:dyDescent="0.25">
      <c r="A138" s="91" t="s">
        <v>480</v>
      </c>
      <c r="B138" s="91">
        <v>7</v>
      </c>
      <c r="C138" s="91" t="s">
        <v>476</v>
      </c>
      <c r="D138" s="91" t="s">
        <v>92</v>
      </c>
      <c r="E138">
        <v>267</v>
      </c>
      <c r="F138">
        <v>268</v>
      </c>
      <c r="G138" s="94" t="s">
        <v>59</v>
      </c>
      <c r="H138" t="s">
        <v>440</v>
      </c>
      <c r="I138">
        <v>10700</v>
      </c>
      <c r="J138">
        <v>0.59849739000000002</v>
      </c>
      <c r="K138">
        <f>I138*J138</f>
        <v>6403.9220730000006</v>
      </c>
      <c r="L138">
        <v>27.83</v>
      </c>
      <c r="M138">
        <f>(1-(L138/100))*K138</f>
        <v>4621.7105600841005</v>
      </c>
      <c r="N138">
        <v>138</v>
      </c>
      <c r="O138" s="91" t="s">
        <v>481</v>
      </c>
      <c r="P138" s="119"/>
      <c r="Q138" s="119"/>
    </row>
    <row r="139" spans="1:21" x14ac:dyDescent="0.25">
      <c r="A139" s="91" t="s">
        <v>482</v>
      </c>
      <c r="B139" s="91">
        <v>4</v>
      </c>
      <c r="C139" s="91" t="s">
        <v>413</v>
      </c>
      <c r="D139" s="91" t="s">
        <v>811</v>
      </c>
      <c r="E139">
        <v>272</v>
      </c>
      <c r="F139">
        <v>289</v>
      </c>
      <c r="G139" s="94" t="s">
        <v>93</v>
      </c>
      <c r="H139" t="s">
        <v>483</v>
      </c>
      <c r="I139">
        <v>1</v>
      </c>
      <c r="J139">
        <f>SUM(K140)</f>
        <v>33006.494399999996</v>
      </c>
      <c r="K139">
        <f>I139*J139</f>
        <v>33006.494399999996</v>
      </c>
      <c r="L139">
        <f>100*(1-(M139/K139))</f>
        <v>27.829999999999988</v>
      </c>
      <c r="M139">
        <f>I139*SUM(M140)</f>
        <v>23820.787008480002</v>
      </c>
      <c r="N139">
        <v>139</v>
      </c>
      <c r="O139" s="91" t="s">
        <v>484</v>
      </c>
      <c r="P139" s="119"/>
      <c r="Q139" s="119"/>
      <c r="R139" s="91" t="s">
        <v>1100</v>
      </c>
      <c r="S139" s="91" t="s">
        <v>1148</v>
      </c>
      <c r="T139" s="91" t="s">
        <v>1172</v>
      </c>
      <c r="U139" s="91" t="s">
        <v>1124</v>
      </c>
    </row>
    <row r="140" spans="1:21" x14ac:dyDescent="0.25">
      <c r="A140" s="91" t="s">
        <v>485</v>
      </c>
      <c r="B140" s="91">
        <v>5</v>
      </c>
      <c r="C140" s="91" t="s">
        <v>482</v>
      </c>
      <c r="D140" s="91" t="s">
        <v>59</v>
      </c>
      <c r="E140">
        <v>273</v>
      </c>
      <c r="F140">
        <v>288</v>
      </c>
      <c r="G140" s="94" t="s">
        <v>93</v>
      </c>
      <c r="H140" t="s">
        <v>486</v>
      </c>
      <c r="I140">
        <v>1</v>
      </c>
      <c r="J140">
        <f>SUM(K141,K145)</f>
        <v>33006.494399999996</v>
      </c>
      <c r="K140">
        <f>I140*J140</f>
        <v>33006.494399999996</v>
      </c>
      <c r="L140">
        <f>100*(1-(M140/K140))</f>
        <v>27.829999999999988</v>
      </c>
      <c r="M140">
        <f>I140*SUM(M141,M145)</f>
        <v>23820.787008480002</v>
      </c>
      <c r="N140">
        <v>140</v>
      </c>
      <c r="O140" s="91" t="s">
        <v>487</v>
      </c>
      <c r="P140" s="119"/>
      <c r="Q140" s="119"/>
      <c r="R140" s="91" t="s">
        <v>984</v>
      </c>
      <c r="S140" s="91" t="s">
        <v>1042</v>
      </c>
      <c r="T140" s="91" t="s">
        <v>1071</v>
      </c>
      <c r="U140" s="91" t="s">
        <v>1013</v>
      </c>
    </row>
    <row r="141" spans="1:21" x14ac:dyDescent="0.25">
      <c r="A141" s="91" t="s">
        <v>488</v>
      </c>
      <c r="B141" s="91">
        <v>6</v>
      </c>
      <c r="C141" s="91" t="s">
        <v>485</v>
      </c>
      <c r="D141" s="91" t="s">
        <v>59</v>
      </c>
      <c r="E141">
        <v>274</v>
      </c>
      <c r="F141">
        <v>281</v>
      </c>
      <c r="G141" s="94" t="s">
        <v>93</v>
      </c>
      <c r="H141" t="s">
        <v>423</v>
      </c>
      <c r="I141">
        <v>1</v>
      </c>
      <c r="J141">
        <f>SUM(K142,K143,K144)</f>
        <v>15647.523263999999</v>
      </c>
      <c r="K141">
        <f>I141*J141</f>
        <v>15647.523263999999</v>
      </c>
      <c r="L141">
        <f>100*(1-(M141/K141))</f>
        <v>27.829999999999988</v>
      </c>
      <c r="M141">
        <f>I141*SUM(M142,M143,M144)</f>
        <v>11292.817539628801</v>
      </c>
      <c r="N141">
        <v>141</v>
      </c>
      <c r="O141" s="91" t="s">
        <v>489</v>
      </c>
      <c r="P141" s="119"/>
      <c r="Q141" s="119"/>
      <c r="R141" s="91" t="s">
        <v>837</v>
      </c>
      <c r="S141" s="91" t="s">
        <v>913</v>
      </c>
      <c r="T141" s="91" t="s">
        <v>951</v>
      </c>
      <c r="U141" s="91" t="s">
        <v>875</v>
      </c>
    </row>
    <row r="142" spans="1:21" x14ac:dyDescent="0.25">
      <c r="A142" s="91" t="s">
        <v>490</v>
      </c>
      <c r="B142" s="91">
        <v>7</v>
      </c>
      <c r="C142" s="91" t="s">
        <v>488</v>
      </c>
      <c r="D142" s="91" t="s">
        <v>59</v>
      </c>
      <c r="E142">
        <v>275</v>
      </c>
      <c r="F142">
        <v>276</v>
      </c>
      <c r="G142" s="94" t="s">
        <v>59</v>
      </c>
      <c r="H142" t="s">
        <v>426</v>
      </c>
      <c r="I142">
        <v>9600</v>
      </c>
      <c r="J142">
        <v>1.3243346499999999</v>
      </c>
      <c r="K142">
        <f>I142*J142</f>
        <v>12713.612639999999</v>
      </c>
      <c r="L142">
        <v>27.83</v>
      </c>
      <c r="M142">
        <f>(1-(L142/100))*K142</f>
        <v>9175.4142422879995</v>
      </c>
      <c r="N142">
        <v>142</v>
      </c>
      <c r="O142" s="91" t="s">
        <v>491</v>
      </c>
      <c r="P142" s="119"/>
      <c r="Q142" s="119"/>
    </row>
    <row r="143" spans="1:21" x14ac:dyDescent="0.25">
      <c r="A143" s="91" t="s">
        <v>492</v>
      </c>
      <c r="B143" s="91">
        <v>7</v>
      </c>
      <c r="C143" s="91" t="s">
        <v>488</v>
      </c>
      <c r="D143" s="91" t="s">
        <v>92</v>
      </c>
      <c r="E143">
        <v>277</v>
      </c>
      <c r="F143">
        <v>278</v>
      </c>
      <c r="G143" s="94" t="s">
        <v>59</v>
      </c>
      <c r="H143" t="s">
        <v>429</v>
      </c>
      <c r="I143">
        <v>9600</v>
      </c>
      <c r="J143">
        <v>3.820196E-2</v>
      </c>
      <c r="K143">
        <f>I143*J143</f>
        <v>366.73881599999999</v>
      </c>
      <c r="L143">
        <v>27.83</v>
      </c>
      <c r="M143">
        <f>(1-(L143/100))*K143</f>
        <v>264.67540350719997</v>
      </c>
      <c r="N143">
        <v>143</v>
      </c>
      <c r="O143" s="91" t="s">
        <v>493</v>
      </c>
      <c r="P143" s="119"/>
      <c r="Q143" s="119"/>
    </row>
    <row r="144" spans="1:21" x14ac:dyDescent="0.25">
      <c r="A144" s="91" t="s">
        <v>494</v>
      </c>
      <c r="B144" s="91">
        <v>7</v>
      </c>
      <c r="C144" s="91" t="s">
        <v>488</v>
      </c>
      <c r="D144" s="91" t="s">
        <v>810</v>
      </c>
      <c r="E144">
        <v>279</v>
      </c>
      <c r="F144">
        <v>280</v>
      </c>
      <c r="G144" s="94" t="s">
        <v>59</v>
      </c>
      <c r="H144" t="s">
        <v>432</v>
      </c>
      <c r="I144">
        <v>9600</v>
      </c>
      <c r="J144">
        <v>0.26741373000000002</v>
      </c>
      <c r="K144">
        <f>I144*J144</f>
        <v>2567.1718080000001</v>
      </c>
      <c r="L144">
        <v>27.83</v>
      </c>
      <c r="M144">
        <f>(1-(L144/100))*K144</f>
        <v>1852.7278938336001</v>
      </c>
      <c r="N144">
        <v>144</v>
      </c>
      <c r="O144" s="91" t="s">
        <v>495</v>
      </c>
      <c r="P144" s="119"/>
      <c r="Q144" s="119"/>
    </row>
    <row r="145" spans="1:21" x14ac:dyDescent="0.25">
      <c r="A145" s="91" t="s">
        <v>496</v>
      </c>
      <c r="B145" s="91">
        <v>6</v>
      </c>
      <c r="C145" s="91" t="s">
        <v>485</v>
      </c>
      <c r="D145" s="91" t="s">
        <v>92</v>
      </c>
      <c r="E145">
        <v>282</v>
      </c>
      <c r="F145">
        <v>287</v>
      </c>
      <c r="G145" s="94" t="s">
        <v>93</v>
      </c>
      <c r="H145" t="s">
        <v>423</v>
      </c>
      <c r="I145">
        <v>1</v>
      </c>
      <c r="J145">
        <f>SUM(K146,K147)</f>
        <v>17358.971136</v>
      </c>
      <c r="K145">
        <f>I145*J145</f>
        <v>17358.971136</v>
      </c>
      <c r="L145">
        <f>100*(1-(M145/K145))</f>
        <v>27.830000000000009</v>
      </c>
      <c r="M145">
        <f>I145*SUM(M146,M147)</f>
        <v>12527.969468851199</v>
      </c>
      <c r="N145">
        <v>145</v>
      </c>
      <c r="O145" s="91" t="s">
        <v>497</v>
      </c>
      <c r="P145" s="119"/>
      <c r="Q145" s="119"/>
      <c r="R145" s="91" t="s">
        <v>838</v>
      </c>
      <c r="S145" s="91" t="s">
        <v>914</v>
      </c>
      <c r="T145" s="91" t="s">
        <v>952</v>
      </c>
      <c r="U145" s="91" t="s">
        <v>876</v>
      </c>
    </row>
    <row r="146" spans="1:21" x14ac:dyDescent="0.25">
      <c r="A146" s="91" t="s">
        <v>498</v>
      </c>
      <c r="B146" s="91">
        <v>7</v>
      </c>
      <c r="C146" s="91" t="s">
        <v>496</v>
      </c>
      <c r="D146" s="91" t="s">
        <v>59</v>
      </c>
      <c r="E146">
        <v>283</v>
      </c>
      <c r="F146">
        <v>284</v>
      </c>
      <c r="G146" s="94" t="s">
        <v>59</v>
      </c>
      <c r="H146" t="s">
        <v>437</v>
      </c>
      <c r="I146">
        <v>9600</v>
      </c>
      <c r="J146">
        <v>1.2097287699999999</v>
      </c>
      <c r="K146">
        <f>I146*J146</f>
        <v>11613.396191999998</v>
      </c>
      <c r="L146">
        <v>27.83</v>
      </c>
      <c r="M146">
        <f>(1-(L146/100))*K146</f>
        <v>8381.3880317663989</v>
      </c>
      <c r="N146">
        <v>146</v>
      </c>
      <c r="O146" s="91" t="s">
        <v>499</v>
      </c>
      <c r="P146" s="119"/>
      <c r="Q146" s="119"/>
    </row>
    <row r="147" spans="1:21" x14ac:dyDescent="0.25">
      <c r="A147" s="91" t="s">
        <v>500</v>
      </c>
      <c r="B147" s="91">
        <v>7</v>
      </c>
      <c r="C147" s="91" t="s">
        <v>496</v>
      </c>
      <c r="D147" s="91" t="s">
        <v>92</v>
      </c>
      <c r="E147">
        <v>285</v>
      </c>
      <c r="F147">
        <v>286</v>
      </c>
      <c r="G147" s="94" t="s">
        <v>59</v>
      </c>
      <c r="H147" t="s">
        <v>440</v>
      </c>
      <c r="I147">
        <v>9600</v>
      </c>
      <c r="J147">
        <v>0.59849739000000002</v>
      </c>
      <c r="K147">
        <f>I147*J147</f>
        <v>5745.574944</v>
      </c>
      <c r="L147">
        <v>27.83</v>
      </c>
      <c r="M147">
        <f>(1-(L147/100))*K147</f>
        <v>4146.5814370848002</v>
      </c>
      <c r="N147">
        <v>147</v>
      </c>
      <c r="O147" s="91" t="s">
        <v>501</v>
      </c>
      <c r="P147" s="119"/>
      <c r="Q147" s="119"/>
    </row>
    <row r="148" spans="1:21" x14ac:dyDescent="0.25">
      <c r="A148" s="91" t="s">
        <v>502</v>
      </c>
      <c r="B148" s="91">
        <v>4</v>
      </c>
      <c r="C148" s="91" t="s">
        <v>413</v>
      </c>
      <c r="D148" s="91" t="s">
        <v>812</v>
      </c>
      <c r="E148">
        <v>290</v>
      </c>
      <c r="F148">
        <v>307</v>
      </c>
      <c r="G148" s="94" t="s">
        <v>93</v>
      </c>
      <c r="H148" t="s">
        <v>503</v>
      </c>
      <c r="I148">
        <v>1</v>
      </c>
      <c r="J148">
        <f>SUM(K149)</f>
        <v>31287.406149999995</v>
      </c>
      <c r="K148">
        <f>I148*J148</f>
        <v>31287.406149999995</v>
      </c>
      <c r="L148">
        <f>100*(1-(M148/K148))</f>
        <v>27.829999999999988</v>
      </c>
      <c r="M148">
        <f>I148*SUM(M149)</f>
        <v>22580.121018455</v>
      </c>
      <c r="N148">
        <v>148</v>
      </c>
      <c r="O148" s="91" t="s">
        <v>504</v>
      </c>
      <c r="P148" s="119"/>
      <c r="Q148" s="119"/>
      <c r="R148" s="91" t="s">
        <v>1101</v>
      </c>
      <c r="S148" s="91" t="s">
        <v>1149</v>
      </c>
      <c r="T148" s="91" t="s">
        <v>1173</v>
      </c>
      <c r="U148" s="91" t="s">
        <v>1125</v>
      </c>
    </row>
    <row r="149" spans="1:21" x14ac:dyDescent="0.25">
      <c r="A149" s="91" t="s">
        <v>505</v>
      </c>
      <c r="B149" s="91">
        <v>5</v>
      </c>
      <c r="C149" s="91" t="s">
        <v>502</v>
      </c>
      <c r="D149" s="91" t="s">
        <v>59</v>
      </c>
      <c r="E149">
        <v>291</v>
      </c>
      <c r="F149">
        <v>306</v>
      </c>
      <c r="G149" s="94" t="s">
        <v>93</v>
      </c>
      <c r="H149" t="s">
        <v>506</v>
      </c>
      <c r="I149">
        <v>1</v>
      </c>
      <c r="J149">
        <f>SUM(K150,K154)</f>
        <v>31287.406149999995</v>
      </c>
      <c r="K149">
        <f>I149*J149</f>
        <v>31287.406149999995</v>
      </c>
      <c r="L149">
        <f>100*(1-(M149/K149))</f>
        <v>27.829999999999988</v>
      </c>
      <c r="M149">
        <f>I149*SUM(M150,M154)</f>
        <v>22580.121018455</v>
      </c>
      <c r="N149">
        <v>149</v>
      </c>
      <c r="O149" s="91" t="s">
        <v>507</v>
      </c>
      <c r="P149" s="119"/>
      <c r="Q149" s="119"/>
      <c r="R149" s="91" t="s">
        <v>985</v>
      </c>
      <c r="S149" s="91" t="s">
        <v>1043</v>
      </c>
      <c r="T149" s="91" t="s">
        <v>1072</v>
      </c>
      <c r="U149" s="91" t="s">
        <v>1014</v>
      </c>
    </row>
    <row r="150" spans="1:21" x14ac:dyDescent="0.25">
      <c r="A150" s="91" t="s">
        <v>508</v>
      </c>
      <c r="B150" s="91">
        <v>6</v>
      </c>
      <c r="C150" s="91" t="s">
        <v>505</v>
      </c>
      <c r="D150" s="91" t="s">
        <v>59</v>
      </c>
      <c r="E150">
        <v>292</v>
      </c>
      <c r="F150">
        <v>299</v>
      </c>
      <c r="G150" s="94" t="s">
        <v>93</v>
      </c>
      <c r="H150" t="s">
        <v>423</v>
      </c>
      <c r="I150">
        <v>1</v>
      </c>
      <c r="J150">
        <f>SUM(K151,K152,K153)</f>
        <v>14832.548093999998</v>
      </c>
      <c r="K150">
        <f>I150*J150</f>
        <v>14832.548093999998</v>
      </c>
      <c r="L150">
        <f>100*(1-(M150/K150))</f>
        <v>27.83</v>
      </c>
      <c r="M150">
        <f>I150*SUM(M151,M152,M153)</f>
        <v>10704.649959439799</v>
      </c>
      <c r="N150">
        <v>150</v>
      </c>
      <c r="O150" s="91" t="s">
        <v>509</v>
      </c>
      <c r="P150" s="119"/>
      <c r="Q150" s="119"/>
      <c r="R150" s="91" t="s">
        <v>839</v>
      </c>
      <c r="S150" s="91" t="s">
        <v>915</v>
      </c>
      <c r="T150" s="91" t="s">
        <v>953</v>
      </c>
      <c r="U150" s="91" t="s">
        <v>877</v>
      </c>
    </row>
    <row r="151" spans="1:21" x14ac:dyDescent="0.25">
      <c r="A151" s="91" t="s">
        <v>510</v>
      </c>
      <c r="B151" s="91">
        <v>7</v>
      </c>
      <c r="C151" s="91" t="s">
        <v>508</v>
      </c>
      <c r="D151" s="91" t="s">
        <v>59</v>
      </c>
      <c r="E151">
        <v>293</v>
      </c>
      <c r="F151">
        <v>294</v>
      </c>
      <c r="G151" s="94" t="s">
        <v>59</v>
      </c>
      <c r="H151" t="s">
        <v>426</v>
      </c>
      <c r="I151">
        <v>9100</v>
      </c>
      <c r="J151">
        <v>1.3243346499999999</v>
      </c>
      <c r="K151">
        <f>I151*J151</f>
        <v>12051.445314999999</v>
      </c>
      <c r="L151">
        <v>27.83</v>
      </c>
      <c r="M151">
        <f>(1-(L151/100))*K151</f>
        <v>8697.5280838354993</v>
      </c>
      <c r="N151">
        <v>151</v>
      </c>
      <c r="O151" s="91" t="s">
        <v>511</v>
      </c>
      <c r="P151" s="119"/>
      <c r="Q151" s="119"/>
    </row>
    <row r="152" spans="1:21" x14ac:dyDescent="0.25">
      <c r="A152" s="91" t="s">
        <v>512</v>
      </c>
      <c r="B152" s="91">
        <v>7</v>
      </c>
      <c r="C152" s="91" t="s">
        <v>508</v>
      </c>
      <c r="D152" s="91" t="s">
        <v>92</v>
      </c>
      <c r="E152">
        <v>295</v>
      </c>
      <c r="F152">
        <v>296</v>
      </c>
      <c r="G152" s="94" t="s">
        <v>59</v>
      </c>
      <c r="H152" t="s">
        <v>429</v>
      </c>
      <c r="I152">
        <v>9100</v>
      </c>
      <c r="J152">
        <v>3.820196E-2</v>
      </c>
      <c r="K152">
        <f>I152*J152</f>
        <v>347.63783599999999</v>
      </c>
      <c r="L152">
        <v>27.83</v>
      </c>
      <c r="M152">
        <f>(1-(L152/100))*K152</f>
        <v>250.8902262412</v>
      </c>
      <c r="N152">
        <v>152</v>
      </c>
      <c r="O152" s="91" t="s">
        <v>513</v>
      </c>
      <c r="P152" s="119"/>
      <c r="Q152" s="119"/>
    </row>
    <row r="153" spans="1:21" x14ac:dyDescent="0.25">
      <c r="A153" s="91" t="s">
        <v>514</v>
      </c>
      <c r="B153" s="91">
        <v>7</v>
      </c>
      <c r="C153" s="91" t="s">
        <v>508</v>
      </c>
      <c r="D153" s="91" t="s">
        <v>810</v>
      </c>
      <c r="E153">
        <v>297</v>
      </c>
      <c r="F153">
        <v>298</v>
      </c>
      <c r="G153" s="94" t="s">
        <v>59</v>
      </c>
      <c r="H153" t="s">
        <v>432</v>
      </c>
      <c r="I153">
        <v>9100</v>
      </c>
      <c r="J153">
        <v>0.26741373000000002</v>
      </c>
      <c r="K153">
        <f>I153*J153</f>
        <v>2433.4649429999999</v>
      </c>
      <c r="L153">
        <v>27.83</v>
      </c>
      <c r="M153">
        <f>(1-(L153/100))*K153</f>
        <v>1756.2316493630999</v>
      </c>
      <c r="N153">
        <v>153</v>
      </c>
      <c r="O153" s="91" t="s">
        <v>515</v>
      </c>
      <c r="P153" s="119"/>
      <c r="Q153" s="119"/>
    </row>
    <row r="154" spans="1:21" x14ac:dyDescent="0.25">
      <c r="A154" s="91" t="s">
        <v>516</v>
      </c>
      <c r="B154" s="91">
        <v>6</v>
      </c>
      <c r="C154" s="91" t="s">
        <v>505</v>
      </c>
      <c r="D154" s="91" t="s">
        <v>92</v>
      </c>
      <c r="E154">
        <v>300</v>
      </c>
      <c r="F154">
        <v>305</v>
      </c>
      <c r="G154" s="94" t="s">
        <v>93</v>
      </c>
      <c r="H154" t="s">
        <v>423</v>
      </c>
      <c r="I154">
        <v>1</v>
      </c>
      <c r="J154">
        <f>SUM(K155,K156)</f>
        <v>16454.858055999997</v>
      </c>
      <c r="K154">
        <f>I154*J154</f>
        <v>16454.858055999997</v>
      </c>
      <c r="L154">
        <f>100*(1-(M154/K154))</f>
        <v>27.83</v>
      </c>
      <c r="M154">
        <f>I154*SUM(M155,M156)</f>
        <v>11875.471059015199</v>
      </c>
      <c r="N154">
        <v>154</v>
      </c>
      <c r="O154" s="91" t="s">
        <v>517</v>
      </c>
      <c r="P154" s="119"/>
      <c r="Q154" s="119"/>
      <c r="R154" s="91" t="s">
        <v>840</v>
      </c>
      <c r="S154" s="91" t="s">
        <v>916</v>
      </c>
      <c r="T154" s="91" t="s">
        <v>954</v>
      </c>
      <c r="U154" s="91" t="s">
        <v>878</v>
      </c>
    </row>
    <row r="155" spans="1:21" x14ac:dyDescent="0.25">
      <c r="A155" s="91" t="s">
        <v>518</v>
      </c>
      <c r="B155" s="91">
        <v>7</v>
      </c>
      <c r="C155" s="91" t="s">
        <v>516</v>
      </c>
      <c r="D155" s="91" t="s">
        <v>59</v>
      </c>
      <c r="E155">
        <v>301</v>
      </c>
      <c r="F155">
        <v>302</v>
      </c>
      <c r="G155" s="94" t="s">
        <v>59</v>
      </c>
      <c r="H155" t="s">
        <v>437</v>
      </c>
      <c r="I155">
        <v>9100</v>
      </c>
      <c r="J155">
        <v>1.2097287699999999</v>
      </c>
      <c r="K155">
        <f>I155*J155</f>
        <v>11008.531806999999</v>
      </c>
      <c r="L155">
        <v>27.83</v>
      </c>
      <c r="M155">
        <f>(1-(L155/100))*K155</f>
        <v>7944.8574051118994</v>
      </c>
      <c r="N155">
        <v>155</v>
      </c>
      <c r="O155" s="91" t="s">
        <v>519</v>
      </c>
      <c r="P155" s="119"/>
      <c r="Q155" s="119"/>
    </row>
    <row r="156" spans="1:21" x14ac:dyDescent="0.25">
      <c r="A156" s="91" t="s">
        <v>520</v>
      </c>
      <c r="B156" s="91">
        <v>7</v>
      </c>
      <c r="C156" s="91" t="s">
        <v>516</v>
      </c>
      <c r="D156" s="91" t="s">
        <v>92</v>
      </c>
      <c r="E156">
        <v>303</v>
      </c>
      <c r="F156">
        <v>304</v>
      </c>
      <c r="G156" s="94" t="s">
        <v>59</v>
      </c>
      <c r="H156" t="s">
        <v>440</v>
      </c>
      <c r="I156">
        <v>9100</v>
      </c>
      <c r="J156">
        <v>0.59849739000000002</v>
      </c>
      <c r="K156">
        <f>I156*J156</f>
        <v>5446.3262489999997</v>
      </c>
      <c r="L156">
        <v>27.83</v>
      </c>
      <c r="M156">
        <f>(1-(L156/100))*K156</f>
        <v>3930.6136539033</v>
      </c>
      <c r="N156">
        <v>156</v>
      </c>
      <c r="O156" s="91" t="s">
        <v>521</v>
      </c>
      <c r="P156" s="119"/>
      <c r="Q156" s="119"/>
    </row>
    <row r="157" spans="1:21" x14ac:dyDescent="0.25">
      <c r="A157" s="91" t="s">
        <v>522</v>
      </c>
      <c r="B157" s="91">
        <v>4</v>
      </c>
      <c r="C157" s="91" t="s">
        <v>413</v>
      </c>
      <c r="D157" s="91" t="s">
        <v>813</v>
      </c>
      <c r="E157">
        <v>308</v>
      </c>
      <c r="F157">
        <v>325</v>
      </c>
      <c r="G157" s="94" t="s">
        <v>93</v>
      </c>
      <c r="H157" t="s">
        <v>523</v>
      </c>
      <c r="I157">
        <v>1</v>
      </c>
      <c r="J157">
        <f>SUM(K158)</f>
        <v>53635.553399999997</v>
      </c>
      <c r="K157">
        <f>I157*J157</f>
        <v>53635.553399999997</v>
      </c>
      <c r="L157">
        <f>100*(1-(M157/K157))</f>
        <v>27.83</v>
      </c>
      <c r="M157">
        <f>I157*SUM(M158)</f>
        <v>38708.778888779998</v>
      </c>
      <c r="N157">
        <v>157</v>
      </c>
      <c r="O157" s="91" t="s">
        <v>524</v>
      </c>
      <c r="P157" s="119"/>
      <c r="Q157" s="119"/>
      <c r="R157" s="91" t="s">
        <v>1102</v>
      </c>
      <c r="S157" s="91" t="s">
        <v>1150</v>
      </c>
      <c r="T157" s="91" t="s">
        <v>1174</v>
      </c>
      <c r="U157" s="91" t="s">
        <v>1126</v>
      </c>
    </row>
    <row r="158" spans="1:21" x14ac:dyDescent="0.25">
      <c r="A158" s="91" t="s">
        <v>525</v>
      </c>
      <c r="B158" s="91">
        <v>5</v>
      </c>
      <c r="C158" s="91" t="s">
        <v>522</v>
      </c>
      <c r="D158" s="91" t="s">
        <v>59</v>
      </c>
      <c r="E158">
        <v>309</v>
      </c>
      <c r="F158">
        <v>324</v>
      </c>
      <c r="G158" s="94" t="s">
        <v>93</v>
      </c>
      <c r="H158" t="s">
        <v>526</v>
      </c>
      <c r="I158">
        <v>1</v>
      </c>
      <c r="J158">
        <f>SUM(K159,K163)</f>
        <v>53635.553399999997</v>
      </c>
      <c r="K158">
        <f>I158*J158</f>
        <v>53635.553399999997</v>
      </c>
      <c r="L158">
        <f>100*(1-(M158/K158))</f>
        <v>27.83</v>
      </c>
      <c r="M158">
        <f>I158*SUM(M159,M163)</f>
        <v>38708.778888779998</v>
      </c>
      <c r="N158">
        <v>158</v>
      </c>
      <c r="O158" s="91" t="s">
        <v>527</v>
      </c>
      <c r="P158" s="119"/>
      <c r="Q158" s="119"/>
      <c r="R158" s="91" t="s">
        <v>986</v>
      </c>
      <c r="S158" s="91" t="s">
        <v>1044</v>
      </c>
      <c r="T158" s="91" t="s">
        <v>1073</v>
      </c>
      <c r="U158" s="91" t="s">
        <v>1015</v>
      </c>
    </row>
    <row r="159" spans="1:21" x14ac:dyDescent="0.25">
      <c r="A159" s="91" t="s">
        <v>528</v>
      </c>
      <c r="B159" s="91">
        <v>6</v>
      </c>
      <c r="C159" s="91" t="s">
        <v>525</v>
      </c>
      <c r="D159" s="91" t="s">
        <v>59</v>
      </c>
      <c r="E159">
        <v>310</v>
      </c>
      <c r="F159">
        <v>317</v>
      </c>
      <c r="G159" s="94" t="s">
        <v>93</v>
      </c>
      <c r="H159" t="s">
        <v>423</v>
      </c>
      <c r="I159">
        <v>1</v>
      </c>
      <c r="J159">
        <f>SUM(K160,K161,K162)</f>
        <v>25427.225304</v>
      </c>
      <c r="K159">
        <f>I159*J159</f>
        <v>25427.225304</v>
      </c>
      <c r="L159">
        <f>100*(1-(M159/K159))</f>
        <v>27.829999999999988</v>
      </c>
      <c r="M159">
        <f>I159*SUM(M160,M161,M162)</f>
        <v>18350.828501896802</v>
      </c>
      <c r="N159">
        <v>159</v>
      </c>
      <c r="O159" s="91" t="s">
        <v>529</v>
      </c>
      <c r="P159" s="119"/>
      <c r="Q159" s="119"/>
      <c r="R159" s="91" t="s">
        <v>841</v>
      </c>
      <c r="S159" s="91" t="s">
        <v>917</v>
      </c>
      <c r="T159" s="91" t="s">
        <v>955</v>
      </c>
      <c r="U159" s="91" t="s">
        <v>879</v>
      </c>
    </row>
    <row r="160" spans="1:21" x14ac:dyDescent="0.25">
      <c r="A160" s="91" t="s">
        <v>530</v>
      </c>
      <c r="B160" s="91">
        <v>7</v>
      </c>
      <c r="C160" s="91" t="s">
        <v>528</v>
      </c>
      <c r="D160" s="91" t="s">
        <v>59</v>
      </c>
      <c r="E160">
        <v>311</v>
      </c>
      <c r="F160">
        <v>312</v>
      </c>
      <c r="G160" s="94" t="s">
        <v>59</v>
      </c>
      <c r="H160" t="s">
        <v>426</v>
      </c>
      <c r="I160">
        <v>15600</v>
      </c>
      <c r="J160">
        <v>1.3243346499999999</v>
      </c>
      <c r="K160">
        <f>I160*J160</f>
        <v>20659.62054</v>
      </c>
      <c r="L160">
        <v>27.83</v>
      </c>
      <c r="M160">
        <f>(1-(L160/100))*K160</f>
        <v>14910.048143718001</v>
      </c>
      <c r="N160">
        <v>160</v>
      </c>
      <c r="O160" s="91" t="s">
        <v>531</v>
      </c>
      <c r="P160" s="119"/>
      <c r="Q160" s="119"/>
    </row>
    <row r="161" spans="1:21" x14ac:dyDescent="0.25">
      <c r="A161" s="91" t="s">
        <v>532</v>
      </c>
      <c r="B161" s="91">
        <v>7</v>
      </c>
      <c r="C161" s="91" t="s">
        <v>528</v>
      </c>
      <c r="D161" s="91" t="s">
        <v>92</v>
      </c>
      <c r="E161">
        <v>313</v>
      </c>
      <c r="F161">
        <v>314</v>
      </c>
      <c r="G161" s="94" t="s">
        <v>59</v>
      </c>
      <c r="H161" t="s">
        <v>429</v>
      </c>
      <c r="I161">
        <v>15600</v>
      </c>
      <c r="J161">
        <v>3.820196E-2</v>
      </c>
      <c r="K161">
        <f>I161*J161</f>
        <v>595.95057599999996</v>
      </c>
      <c r="L161">
        <v>27.83</v>
      </c>
      <c r="M161">
        <f>(1-(L161/100))*K161</f>
        <v>430.09753069919998</v>
      </c>
      <c r="N161">
        <v>161</v>
      </c>
      <c r="O161" s="91" t="s">
        <v>533</v>
      </c>
      <c r="P161" s="119"/>
      <c r="Q161" s="119"/>
    </row>
    <row r="162" spans="1:21" x14ac:dyDescent="0.25">
      <c r="A162" s="91" t="s">
        <v>534</v>
      </c>
      <c r="B162" s="91">
        <v>7</v>
      </c>
      <c r="C162" s="91" t="s">
        <v>528</v>
      </c>
      <c r="D162" s="91" t="s">
        <v>810</v>
      </c>
      <c r="E162">
        <v>315</v>
      </c>
      <c r="F162">
        <v>316</v>
      </c>
      <c r="G162" s="94" t="s">
        <v>59</v>
      </c>
      <c r="H162" t="s">
        <v>432</v>
      </c>
      <c r="I162">
        <v>15600</v>
      </c>
      <c r="J162">
        <v>0.26741373000000002</v>
      </c>
      <c r="K162">
        <f>I162*J162</f>
        <v>4171.6541880000004</v>
      </c>
      <c r="L162">
        <v>27.83</v>
      </c>
      <c r="M162">
        <f>(1-(L162/100))*K162</f>
        <v>3010.6828274796003</v>
      </c>
      <c r="N162">
        <v>162</v>
      </c>
      <c r="O162" s="91" t="s">
        <v>535</v>
      </c>
      <c r="P162" s="119"/>
      <c r="Q162" s="119"/>
    </row>
    <row r="163" spans="1:21" x14ac:dyDescent="0.25">
      <c r="A163" s="91" t="s">
        <v>536</v>
      </c>
      <c r="B163" s="91">
        <v>6</v>
      </c>
      <c r="C163" s="91" t="s">
        <v>525</v>
      </c>
      <c r="D163" s="91" t="s">
        <v>92</v>
      </c>
      <c r="E163">
        <v>318</v>
      </c>
      <c r="F163">
        <v>323</v>
      </c>
      <c r="G163" s="94" t="s">
        <v>93</v>
      </c>
      <c r="H163" t="s">
        <v>423</v>
      </c>
      <c r="I163">
        <v>1</v>
      </c>
      <c r="J163">
        <f>SUM(K164,K165)</f>
        <v>28208.328095999997</v>
      </c>
      <c r="K163">
        <f>I163*J163</f>
        <v>28208.328095999997</v>
      </c>
      <c r="L163">
        <f>100*(1-(M163/K163))</f>
        <v>27.83</v>
      </c>
      <c r="M163">
        <f>I163*SUM(M164,M165)</f>
        <v>20357.9503868832</v>
      </c>
      <c r="N163">
        <v>163</v>
      </c>
      <c r="O163" s="91" t="s">
        <v>537</v>
      </c>
      <c r="P163" s="119"/>
      <c r="Q163" s="119"/>
      <c r="R163" s="91" t="s">
        <v>842</v>
      </c>
      <c r="S163" s="91" t="s">
        <v>918</v>
      </c>
      <c r="T163" s="91" t="s">
        <v>956</v>
      </c>
      <c r="U163" s="91" t="s">
        <v>880</v>
      </c>
    </row>
    <row r="164" spans="1:21" x14ac:dyDescent="0.25">
      <c r="A164" s="91" t="s">
        <v>538</v>
      </c>
      <c r="B164" s="91">
        <v>7</v>
      </c>
      <c r="C164" s="91" t="s">
        <v>536</v>
      </c>
      <c r="D164" s="91" t="s">
        <v>59</v>
      </c>
      <c r="E164">
        <v>319</v>
      </c>
      <c r="F164">
        <v>320</v>
      </c>
      <c r="G164" s="94" t="s">
        <v>59</v>
      </c>
      <c r="H164" t="s">
        <v>437</v>
      </c>
      <c r="I164">
        <v>15600</v>
      </c>
      <c r="J164">
        <v>1.2097287699999999</v>
      </c>
      <c r="K164">
        <f>I164*J164</f>
        <v>18871.768811999998</v>
      </c>
      <c r="L164">
        <v>27.83</v>
      </c>
      <c r="M164">
        <f>(1-(L164/100))*K164</f>
        <v>13619.755551620399</v>
      </c>
      <c r="N164">
        <v>164</v>
      </c>
      <c r="O164" s="91" t="s">
        <v>539</v>
      </c>
      <c r="P164" s="119"/>
      <c r="Q164" s="119"/>
    </row>
    <row r="165" spans="1:21" x14ac:dyDescent="0.25">
      <c r="A165" s="91" t="s">
        <v>540</v>
      </c>
      <c r="B165" s="91">
        <v>7</v>
      </c>
      <c r="C165" s="91" t="s">
        <v>536</v>
      </c>
      <c r="D165" s="91" t="s">
        <v>92</v>
      </c>
      <c r="E165">
        <v>321</v>
      </c>
      <c r="F165">
        <v>322</v>
      </c>
      <c r="G165" s="94" t="s">
        <v>59</v>
      </c>
      <c r="H165" t="s">
        <v>440</v>
      </c>
      <c r="I165">
        <v>15600</v>
      </c>
      <c r="J165">
        <v>0.59849739000000002</v>
      </c>
      <c r="K165">
        <f>I165*J165</f>
        <v>9336.5592840000008</v>
      </c>
      <c r="L165">
        <v>27.83</v>
      </c>
      <c r="M165">
        <f>(1-(L165/100))*K165</f>
        <v>6738.1948352628006</v>
      </c>
      <c r="N165">
        <v>165</v>
      </c>
      <c r="O165" s="91" t="s">
        <v>541</v>
      </c>
      <c r="P165" s="119"/>
      <c r="Q165" s="119"/>
    </row>
    <row r="166" spans="1:21" x14ac:dyDescent="0.25">
      <c r="A166" s="91" t="s">
        <v>542</v>
      </c>
      <c r="B166" s="91">
        <v>3</v>
      </c>
      <c r="C166" s="91" t="s">
        <v>410</v>
      </c>
      <c r="D166" s="91" t="s">
        <v>92</v>
      </c>
      <c r="E166">
        <v>327</v>
      </c>
      <c r="F166">
        <v>338</v>
      </c>
      <c r="G166" s="94" t="s">
        <v>93</v>
      </c>
      <c r="H166" t="s">
        <v>543</v>
      </c>
      <c r="I166">
        <v>1</v>
      </c>
      <c r="J166">
        <f>SUM(K167)</f>
        <v>613990.59000000008</v>
      </c>
      <c r="K166">
        <f>I166*J166</f>
        <v>613990.59000000008</v>
      </c>
      <c r="L166">
        <f>100*(1-(M166/K166))</f>
        <v>7.0000000000000178</v>
      </c>
      <c r="M166">
        <f>I166*SUM(M167)</f>
        <v>571011.2487</v>
      </c>
      <c r="N166">
        <v>166</v>
      </c>
      <c r="O166" s="91" t="s">
        <v>544</v>
      </c>
      <c r="P166" s="119"/>
      <c r="Q166" s="119"/>
      <c r="R166" s="91" t="s">
        <v>1103</v>
      </c>
      <c r="S166" s="91" t="s">
        <v>1151</v>
      </c>
      <c r="T166" s="91" t="s">
        <v>1175</v>
      </c>
      <c r="U166" s="91" t="s">
        <v>1127</v>
      </c>
    </row>
    <row r="167" spans="1:21" x14ac:dyDescent="0.25">
      <c r="A167" s="91" t="s">
        <v>545</v>
      </c>
      <c r="B167" s="91">
        <v>4</v>
      </c>
      <c r="C167" s="91" t="s">
        <v>542</v>
      </c>
      <c r="D167" s="91" t="s">
        <v>59</v>
      </c>
      <c r="E167">
        <v>328</v>
      </c>
      <c r="F167">
        <v>337</v>
      </c>
      <c r="G167" s="94" t="s">
        <v>93</v>
      </c>
      <c r="H167" t="s">
        <v>543</v>
      </c>
      <c r="I167">
        <v>1</v>
      </c>
      <c r="J167">
        <f>SUM(K168)</f>
        <v>613990.59000000008</v>
      </c>
      <c r="K167">
        <f>I167*J167</f>
        <v>613990.59000000008</v>
      </c>
      <c r="L167">
        <f>100*(1-(M167/K167))</f>
        <v>7.0000000000000178</v>
      </c>
      <c r="M167">
        <f>I167*SUM(M168)</f>
        <v>571011.2487</v>
      </c>
      <c r="N167">
        <v>167</v>
      </c>
      <c r="O167" s="91" t="s">
        <v>546</v>
      </c>
      <c r="P167" s="119"/>
      <c r="Q167" s="119"/>
      <c r="R167" s="91" t="s">
        <v>987</v>
      </c>
      <c r="S167" s="91" t="s">
        <v>1045</v>
      </c>
      <c r="T167" s="91" t="s">
        <v>1074</v>
      </c>
      <c r="U167" s="91" t="s">
        <v>1016</v>
      </c>
    </row>
    <row r="168" spans="1:21" x14ac:dyDescent="0.25">
      <c r="A168" s="91" t="s">
        <v>547</v>
      </c>
      <c r="B168" s="91">
        <v>5</v>
      </c>
      <c r="C168" s="91" t="s">
        <v>545</v>
      </c>
      <c r="D168" s="91" t="s">
        <v>59</v>
      </c>
      <c r="E168">
        <v>329</v>
      </c>
      <c r="F168">
        <v>336</v>
      </c>
      <c r="G168" s="94" t="s">
        <v>93</v>
      </c>
      <c r="H168" t="s">
        <v>543</v>
      </c>
      <c r="I168">
        <v>1</v>
      </c>
      <c r="J168">
        <f>SUM(K169,K170,K171)</f>
        <v>613990.59000000008</v>
      </c>
      <c r="K168">
        <f>I168*J168</f>
        <v>613990.59000000008</v>
      </c>
      <c r="L168">
        <f>100*(1-(M168/K168))</f>
        <v>7.0000000000000178</v>
      </c>
      <c r="M168">
        <f>I168*SUM(M169,M170,M171)</f>
        <v>571011.2487</v>
      </c>
      <c r="N168">
        <v>168</v>
      </c>
      <c r="O168" s="91" t="s">
        <v>548</v>
      </c>
      <c r="P168" s="119"/>
      <c r="Q168" s="119"/>
      <c r="R168" s="91" t="s">
        <v>843</v>
      </c>
      <c r="S168" s="91" t="s">
        <v>919</v>
      </c>
      <c r="T168" s="91" t="s">
        <v>957</v>
      </c>
      <c r="U168" s="91" t="s">
        <v>881</v>
      </c>
    </row>
    <row r="169" spans="1:21" x14ac:dyDescent="0.25">
      <c r="A169" s="91" t="s">
        <v>549</v>
      </c>
      <c r="B169" s="91">
        <v>6</v>
      </c>
      <c r="C169" s="91" t="s">
        <v>547</v>
      </c>
      <c r="D169" s="91" t="s">
        <v>59</v>
      </c>
      <c r="E169">
        <v>330</v>
      </c>
      <c r="F169">
        <v>331</v>
      </c>
      <c r="G169" s="94" t="s">
        <v>59</v>
      </c>
      <c r="H169" t="s">
        <v>550</v>
      </c>
      <c r="I169">
        <v>1</v>
      </c>
      <c r="J169">
        <v>121969.23</v>
      </c>
      <c r="K169">
        <f>I169*J169</f>
        <v>121969.23</v>
      </c>
      <c r="L169">
        <v>7</v>
      </c>
      <c r="M169">
        <f>(1-(L169/100))*K169</f>
        <v>113431.38389999999</v>
      </c>
      <c r="N169">
        <v>169</v>
      </c>
      <c r="O169" s="91" t="s">
        <v>551</v>
      </c>
      <c r="P169" s="119"/>
      <c r="Q169" s="119"/>
    </row>
    <row r="170" spans="1:21" x14ac:dyDescent="0.25">
      <c r="A170" s="91" t="s">
        <v>552</v>
      </c>
      <c r="B170" s="91">
        <v>6</v>
      </c>
      <c r="C170" s="91" t="s">
        <v>547</v>
      </c>
      <c r="D170" s="91" t="s">
        <v>92</v>
      </c>
      <c r="E170">
        <v>332</v>
      </c>
      <c r="F170">
        <v>333</v>
      </c>
      <c r="G170" s="94" t="s">
        <v>59</v>
      </c>
      <c r="H170" t="s">
        <v>553</v>
      </c>
      <c r="I170">
        <v>1</v>
      </c>
      <c r="J170">
        <v>482610.46</v>
      </c>
      <c r="K170">
        <f>I170*J170</f>
        <v>482610.46</v>
      </c>
      <c r="L170">
        <v>7</v>
      </c>
      <c r="M170">
        <f>(1-(L170/100))*K170</f>
        <v>448827.72779999999</v>
      </c>
      <c r="N170">
        <v>170</v>
      </c>
      <c r="O170" s="91" t="s">
        <v>554</v>
      </c>
      <c r="P170" s="119"/>
      <c r="Q170" s="119"/>
    </row>
    <row r="171" spans="1:21" x14ac:dyDescent="0.25">
      <c r="A171" s="91" t="s">
        <v>555</v>
      </c>
      <c r="B171" s="91">
        <v>6</v>
      </c>
      <c r="C171" s="91" t="s">
        <v>547</v>
      </c>
      <c r="D171" s="91" t="s">
        <v>810</v>
      </c>
      <c r="E171">
        <v>334</v>
      </c>
      <c r="F171">
        <v>335</v>
      </c>
      <c r="G171" s="94" t="s">
        <v>59</v>
      </c>
      <c r="H171" t="s">
        <v>556</v>
      </c>
      <c r="I171">
        <v>1</v>
      </c>
      <c r="J171">
        <v>9410.9</v>
      </c>
      <c r="K171">
        <f>I171*J171</f>
        <v>9410.9</v>
      </c>
      <c r="L171">
        <v>7</v>
      </c>
      <c r="M171">
        <f>(1-(L171/100))*K171</f>
        <v>8752.1369999999988</v>
      </c>
      <c r="N171">
        <v>171</v>
      </c>
      <c r="O171" s="91" t="s">
        <v>557</v>
      </c>
      <c r="P171" s="119"/>
      <c r="Q171" s="119"/>
    </row>
    <row r="172" spans="1:21" x14ac:dyDescent="0.25">
      <c r="A172" s="91" t="s">
        <v>558</v>
      </c>
      <c r="B172" s="91">
        <v>2</v>
      </c>
      <c r="C172" s="91" t="s">
        <v>59</v>
      </c>
      <c r="D172" s="91" t="s">
        <v>810</v>
      </c>
      <c r="E172">
        <v>340</v>
      </c>
      <c r="F172">
        <v>515</v>
      </c>
      <c r="G172" s="94" t="s">
        <v>93</v>
      </c>
      <c r="H172" t="s">
        <v>559</v>
      </c>
      <c r="I172">
        <v>1</v>
      </c>
      <c r="J172">
        <f>SUM(K173,K202,K229,K233,K242,K248,K254)</f>
        <v>13514509.129393002</v>
      </c>
      <c r="K172">
        <f>I172*J172</f>
        <v>13514509.129393002</v>
      </c>
      <c r="L172">
        <f>100*(1-(M172/K172))</f>
        <v>36.353435417805144</v>
      </c>
      <c r="M172">
        <f>I172*SUM(M173,M202,M229,M233,M242,M248,M254)</f>
        <v>8601520.7810057364</v>
      </c>
      <c r="N172">
        <v>172</v>
      </c>
      <c r="O172" s="91" t="s">
        <v>560</v>
      </c>
      <c r="P172" s="119"/>
      <c r="Q172" s="119"/>
      <c r="R172" s="91" t="s">
        <v>1193</v>
      </c>
      <c r="S172" s="91" t="s">
        <v>1216</v>
      </c>
      <c r="T172" s="91" t="s">
        <v>1227</v>
      </c>
      <c r="U172" s="91" t="s">
        <v>1205</v>
      </c>
    </row>
    <row r="173" spans="1:21" x14ac:dyDescent="0.25">
      <c r="A173" s="91" t="s">
        <v>561</v>
      </c>
      <c r="B173" s="91">
        <v>3</v>
      </c>
      <c r="C173" s="91" t="s">
        <v>558</v>
      </c>
      <c r="D173" s="91" t="s">
        <v>59</v>
      </c>
      <c r="E173">
        <v>341</v>
      </c>
      <c r="F173">
        <v>398</v>
      </c>
      <c r="G173" s="94" t="s">
        <v>93</v>
      </c>
      <c r="H173" t="s">
        <v>562</v>
      </c>
      <c r="I173">
        <v>1</v>
      </c>
      <c r="J173">
        <f>SUM(K174)</f>
        <v>4190103.99</v>
      </c>
      <c r="K173">
        <f>I173*J173</f>
        <v>4190103.99</v>
      </c>
      <c r="L173">
        <f>100*(1-(M173/K173))</f>
        <v>31.378178409290502</v>
      </c>
      <c r="M173">
        <f>I173*SUM(M174)</f>
        <v>2875325.6844830001</v>
      </c>
      <c r="N173">
        <v>173</v>
      </c>
      <c r="O173" s="91" t="s">
        <v>563</v>
      </c>
      <c r="P173" s="119"/>
      <c r="Q173" s="119"/>
      <c r="R173" s="91" t="s">
        <v>1194</v>
      </c>
      <c r="S173" s="91" t="s">
        <v>1217</v>
      </c>
      <c r="T173" s="91" t="s">
        <v>1228</v>
      </c>
      <c r="U173" s="91" t="s">
        <v>1206</v>
      </c>
    </row>
    <row r="174" spans="1:21" x14ac:dyDescent="0.25">
      <c r="A174" s="91" t="s">
        <v>564</v>
      </c>
      <c r="B174" s="91">
        <v>4</v>
      </c>
      <c r="C174" s="91" t="s">
        <v>561</v>
      </c>
      <c r="D174" s="91" t="s">
        <v>59</v>
      </c>
      <c r="E174">
        <v>342</v>
      </c>
      <c r="F174">
        <v>397</v>
      </c>
      <c r="G174" s="94" t="s">
        <v>93</v>
      </c>
      <c r="H174" t="s">
        <v>565</v>
      </c>
      <c r="I174">
        <v>1</v>
      </c>
      <c r="J174">
        <f>SUM(K175,K182,K186)</f>
        <v>4190103.99</v>
      </c>
      <c r="K174">
        <f>I174*J174</f>
        <v>4190103.99</v>
      </c>
      <c r="L174">
        <f>100*(1-(M174/K174))</f>
        <v>31.378178409290502</v>
      </c>
      <c r="M174">
        <f>I174*SUM(M175,M182,M186)</f>
        <v>2875325.6844830001</v>
      </c>
      <c r="N174">
        <v>174</v>
      </c>
      <c r="O174" s="91" t="s">
        <v>566</v>
      </c>
      <c r="P174" s="119"/>
      <c r="Q174" s="119"/>
      <c r="R174" s="91" t="s">
        <v>1104</v>
      </c>
      <c r="S174" s="91" t="s">
        <v>1152</v>
      </c>
      <c r="T174" s="91" t="s">
        <v>1176</v>
      </c>
      <c r="U174" s="91" t="s">
        <v>1128</v>
      </c>
    </row>
    <row r="175" spans="1:21" x14ac:dyDescent="0.25">
      <c r="A175" s="91" t="s">
        <v>567</v>
      </c>
      <c r="B175" s="91">
        <v>5</v>
      </c>
      <c r="C175" s="91" t="s">
        <v>564</v>
      </c>
      <c r="D175" s="91" t="s">
        <v>59</v>
      </c>
      <c r="E175">
        <v>343</v>
      </c>
      <c r="F175">
        <v>356</v>
      </c>
      <c r="G175" s="94" t="s">
        <v>93</v>
      </c>
      <c r="H175" t="s">
        <v>568</v>
      </c>
      <c r="I175">
        <v>2</v>
      </c>
      <c r="J175">
        <f>SUM(K176)</f>
        <v>1957035</v>
      </c>
      <c r="K175">
        <f>I175*J175</f>
        <v>3914070</v>
      </c>
      <c r="L175">
        <f>100*(1-(M175/K175))</f>
        <v>27.83</v>
      </c>
      <c r="M175">
        <f>I175*SUM(M176)</f>
        <v>2824784.3190000001</v>
      </c>
      <c r="N175">
        <v>175</v>
      </c>
      <c r="O175" s="91" t="s">
        <v>569</v>
      </c>
      <c r="P175" s="119"/>
      <c r="Q175" s="119"/>
      <c r="R175" s="91" t="s">
        <v>988</v>
      </c>
      <c r="S175" s="91" t="s">
        <v>1046</v>
      </c>
      <c r="T175" s="91" t="s">
        <v>1075</v>
      </c>
      <c r="U175" s="91" t="s">
        <v>1017</v>
      </c>
    </row>
    <row r="176" spans="1:21" x14ac:dyDescent="0.25">
      <c r="A176" s="91" t="s">
        <v>570</v>
      </c>
      <c r="B176" s="91">
        <v>6</v>
      </c>
      <c r="C176" s="91" t="s">
        <v>567</v>
      </c>
      <c r="D176" s="91" t="s">
        <v>59</v>
      </c>
      <c r="E176">
        <v>344</v>
      </c>
      <c r="F176">
        <v>355</v>
      </c>
      <c r="G176" s="94" t="s">
        <v>93</v>
      </c>
      <c r="H176" t="s">
        <v>571</v>
      </c>
      <c r="I176">
        <v>1</v>
      </c>
      <c r="J176">
        <f>SUM(K177,K178,K179,K180,K181)</f>
        <v>1957035</v>
      </c>
      <c r="K176">
        <f>I176*J176</f>
        <v>1957035</v>
      </c>
      <c r="L176">
        <f>100*(1-(M176/K176))</f>
        <v>27.83</v>
      </c>
      <c r="M176">
        <f>I176*SUM(M177,M178,M179,M180,M181)</f>
        <v>1412392.1595000001</v>
      </c>
      <c r="N176">
        <v>176</v>
      </c>
      <c r="O176" s="91" t="s">
        <v>572</v>
      </c>
      <c r="P176" s="119"/>
      <c r="Q176" s="119"/>
      <c r="R176" s="91" t="s">
        <v>844</v>
      </c>
      <c r="S176" s="91" t="s">
        <v>920</v>
      </c>
      <c r="T176" s="91" t="s">
        <v>958</v>
      </c>
      <c r="U176" s="91" t="s">
        <v>882</v>
      </c>
    </row>
    <row r="177" spans="1:21" x14ac:dyDescent="0.25">
      <c r="A177" s="91" t="s">
        <v>573</v>
      </c>
      <c r="B177" s="91">
        <v>7</v>
      </c>
      <c r="C177" s="91" t="s">
        <v>570</v>
      </c>
      <c r="D177" s="91" t="s">
        <v>59</v>
      </c>
      <c r="E177">
        <v>345</v>
      </c>
      <c r="F177">
        <v>346</v>
      </c>
      <c r="G177" s="94" t="s">
        <v>59</v>
      </c>
      <c r="H177" t="s">
        <v>574</v>
      </c>
      <c r="I177">
        <v>1</v>
      </c>
      <c r="J177">
        <v>122533</v>
      </c>
      <c r="K177">
        <f>I177*J177</f>
        <v>122533</v>
      </c>
      <c r="L177">
        <v>27.83</v>
      </c>
      <c r="M177">
        <f>(1-(L177/100))*K177</f>
        <v>88432.066099999996</v>
      </c>
      <c r="N177">
        <v>177</v>
      </c>
      <c r="O177" s="91" t="s">
        <v>575</v>
      </c>
      <c r="P177" s="119"/>
      <c r="Q177" s="119"/>
    </row>
    <row r="178" spans="1:21" x14ac:dyDescent="0.25">
      <c r="A178" s="91" t="s">
        <v>576</v>
      </c>
      <c r="B178" s="91">
        <v>7</v>
      </c>
      <c r="C178" s="91" t="s">
        <v>570</v>
      </c>
      <c r="D178" s="91" t="s">
        <v>92</v>
      </c>
      <c r="E178">
        <v>347</v>
      </c>
      <c r="F178">
        <v>348</v>
      </c>
      <c r="G178" s="94" t="s">
        <v>59</v>
      </c>
      <c r="H178" t="s">
        <v>577</v>
      </c>
      <c r="I178">
        <v>24</v>
      </c>
      <c r="J178">
        <v>19677</v>
      </c>
      <c r="K178">
        <f>I178*J178</f>
        <v>472248</v>
      </c>
      <c r="L178">
        <v>27.83</v>
      </c>
      <c r="M178">
        <f>(1-(L178/100))*K178</f>
        <v>340821.38160000002</v>
      </c>
      <c r="N178">
        <v>178</v>
      </c>
      <c r="O178" s="91" t="s">
        <v>578</v>
      </c>
      <c r="P178" s="119"/>
      <c r="Q178" s="119"/>
    </row>
    <row r="179" spans="1:21" x14ac:dyDescent="0.25">
      <c r="A179" s="91" t="s">
        <v>579</v>
      </c>
      <c r="B179" s="91">
        <v>7</v>
      </c>
      <c r="C179" s="91" t="s">
        <v>570</v>
      </c>
      <c r="D179" s="91" t="s">
        <v>810</v>
      </c>
      <c r="E179">
        <v>349</v>
      </c>
      <c r="F179">
        <v>350</v>
      </c>
      <c r="G179" s="94" t="s">
        <v>59</v>
      </c>
      <c r="H179" t="s">
        <v>580</v>
      </c>
      <c r="I179">
        <v>24</v>
      </c>
      <c r="J179">
        <v>52014</v>
      </c>
      <c r="K179">
        <f>I179*J179</f>
        <v>1248336</v>
      </c>
      <c r="L179">
        <v>27.83</v>
      </c>
      <c r="M179">
        <f>(1-(L179/100))*K179</f>
        <v>900924.09120000002</v>
      </c>
      <c r="N179">
        <v>179</v>
      </c>
      <c r="O179" s="91" t="s">
        <v>581</v>
      </c>
      <c r="P179" s="119"/>
      <c r="Q179" s="119"/>
    </row>
    <row r="180" spans="1:21" x14ac:dyDescent="0.25">
      <c r="A180" s="91" t="s">
        <v>582</v>
      </c>
      <c r="B180" s="91">
        <v>7</v>
      </c>
      <c r="C180" s="91" t="s">
        <v>570</v>
      </c>
      <c r="D180" s="91" t="s">
        <v>811</v>
      </c>
      <c r="E180">
        <v>351</v>
      </c>
      <c r="F180">
        <v>352</v>
      </c>
      <c r="G180" s="94" t="s">
        <v>59</v>
      </c>
      <c r="H180" t="s">
        <v>583</v>
      </c>
      <c r="I180">
        <v>2</v>
      </c>
      <c r="J180">
        <v>15224</v>
      </c>
      <c r="K180">
        <f>I180*J180</f>
        <v>30448</v>
      </c>
      <c r="L180">
        <v>27.83</v>
      </c>
      <c r="M180">
        <f>(1-(L180/100))*K180</f>
        <v>21974.321599999999</v>
      </c>
      <c r="N180">
        <v>180</v>
      </c>
      <c r="O180" s="91" t="s">
        <v>584</v>
      </c>
      <c r="P180" s="119"/>
      <c r="Q180" s="119"/>
    </row>
    <row r="181" spans="1:21" x14ac:dyDescent="0.25">
      <c r="A181" s="91" t="s">
        <v>585</v>
      </c>
      <c r="B181" s="91">
        <v>7</v>
      </c>
      <c r="C181" s="91" t="s">
        <v>570</v>
      </c>
      <c r="D181" s="91" t="s">
        <v>812</v>
      </c>
      <c r="E181">
        <v>353</v>
      </c>
      <c r="F181">
        <v>354</v>
      </c>
      <c r="G181" s="94" t="s">
        <v>59</v>
      </c>
      <c r="H181" t="s">
        <v>586</v>
      </c>
      <c r="I181">
        <v>1</v>
      </c>
      <c r="J181">
        <v>83470</v>
      </c>
      <c r="K181">
        <f>I181*J181</f>
        <v>83470</v>
      </c>
      <c r="L181">
        <v>27.83</v>
      </c>
      <c r="M181">
        <f>(1-(L181/100))*K181</f>
        <v>60240.298999999999</v>
      </c>
      <c r="N181">
        <v>181</v>
      </c>
      <c r="O181" s="91" t="s">
        <v>587</v>
      </c>
      <c r="P181" s="119"/>
      <c r="Q181" s="119"/>
    </row>
    <row r="182" spans="1:21" x14ac:dyDescent="0.25">
      <c r="A182" s="91" t="s">
        <v>588</v>
      </c>
      <c r="B182" s="91">
        <v>5</v>
      </c>
      <c r="C182" s="91" t="s">
        <v>564</v>
      </c>
      <c r="D182" s="91" t="s">
        <v>92</v>
      </c>
      <c r="E182">
        <v>357</v>
      </c>
      <c r="F182">
        <v>364</v>
      </c>
      <c r="G182" s="94" t="s">
        <v>93</v>
      </c>
      <c r="H182" t="s">
        <v>589</v>
      </c>
      <c r="I182">
        <v>1</v>
      </c>
      <c r="J182">
        <f>SUM(K183)</f>
        <v>206003</v>
      </c>
      <c r="K182">
        <f>I182*J182</f>
        <v>206003</v>
      </c>
      <c r="L182">
        <f>100*(1-(M182/K182))</f>
        <v>100</v>
      </c>
      <c r="M182">
        <f>I182*SUM(M183)</f>
        <v>0</v>
      </c>
      <c r="N182">
        <v>182</v>
      </c>
      <c r="O182" s="91" t="s">
        <v>590</v>
      </c>
      <c r="P182" s="119"/>
      <c r="Q182" s="119"/>
      <c r="R182" s="91" t="s">
        <v>989</v>
      </c>
      <c r="S182" s="91" t="s">
        <v>1047</v>
      </c>
      <c r="T182" s="91" t="s">
        <v>1076</v>
      </c>
      <c r="U182" s="91" t="s">
        <v>1018</v>
      </c>
    </row>
    <row r="183" spans="1:21" x14ac:dyDescent="0.25">
      <c r="A183" s="91" t="s">
        <v>591</v>
      </c>
      <c r="B183" s="91">
        <v>6</v>
      </c>
      <c r="C183" s="91" t="s">
        <v>588</v>
      </c>
      <c r="D183" s="91" t="s">
        <v>59</v>
      </c>
      <c r="E183">
        <v>358</v>
      </c>
      <c r="F183">
        <v>363</v>
      </c>
      <c r="G183" s="94" t="s">
        <v>93</v>
      </c>
      <c r="H183" t="s">
        <v>592</v>
      </c>
      <c r="I183">
        <v>1</v>
      </c>
      <c r="J183">
        <f>SUM(K184,K185)</f>
        <v>206003</v>
      </c>
      <c r="K183">
        <f>I183*J183</f>
        <v>206003</v>
      </c>
      <c r="L183">
        <f>100*(1-(M183/K183))</f>
        <v>100</v>
      </c>
      <c r="M183">
        <f>I183*SUM(M184,M185)</f>
        <v>0</v>
      </c>
      <c r="N183">
        <v>183</v>
      </c>
      <c r="O183" s="91" t="s">
        <v>593</v>
      </c>
      <c r="P183" s="119"/>
      <c r="Q183" s="119"/>
      <c r="R183" s="91" t="s">
        <v>845</v>
      </c>
      <c r="S183" s="91" t="s">
        <v>921</v>
      </c>
      <c r="T183" s="91" t="s">
        <v>959</v>
      </c>
      <c r="U183" s="91" t="s">
        <v>883</v>
      </c>
    </row>
    <row r="184" spans="1:21" x14ac:dyDescent="0.25">
      <c r="A184" s="91" t="s">
        <v>594</v>
      </c>
      <c r="B184" s="91">
        <v>7</v>
      </c>
      <c r="C184" s="91" t="s">
        <v>591</v>
      </c>
      <c r="D184" s="91" t="s">
        <v>59</v>
      </c>
      <c r="E184">
        <v>359</v>
      </c>
      <c r="F184">
        <v>360</v>
      </c>
      <c r="G184" s="94" t="s">
        <v>59</v>
      </c>
      <c r="H184" t="s">
        <v>574</v>
      </c>
      <c r="I184">
        <v>1</v>
      </c>
      <c r="J184">
        <v>122533</v>
      </c>
      <c r="K184">
        <f>I184*J184</f>
        <v>122533</v>
      </c>
      <c r="L184">
        <v>100</v>
      </c>
      <c r="M184">
        <f>(1-(L184/100))*K184</f>
        <v>0</v>
      </c>
      <c r="N184">
        <v>184</v>
      </c>
      <c r="O184" s="91" t="s">
        <v>595</v>
      </c>
      <c r="P184" s="119"/>
      <c r="Q184" s="119"/>
    </row>
    <row r="185" spans="1:21" x14ac:dyDescent="0.25">
      <c r="A185" s="91" t="s">
        <v>596</v>
      </c>
      <c r="B185" s="91">
        <v>7</v>
      </c>
      <c r="C185" s="91" t="s">
        <v>591</v>
      </c>
      <c r="D185" s="91" t="s">
        <v>92</v>
      </c>
      <c r="E185">
        <v>361</v>
      </c>
      <c r="F185">
        <v>362</v>
      </c>
      <c r="G185" s="94" t="s">
        <v>59</v>
      </c>
      <c r="H185" t="s">
        <v>586</v>
      </c>
      <c r="I185">
        <v>1</v>
      </c>
      <c r="J185">
        <v>83470</v>
      </c>
      <c r="K185">
        <f>I185*J185</f>
        <v>83470</v>
      </c>
      <c r="L185">
        <v>100</v>
      </c>
      <c r="M185">
        <f>(1-(L185/100))*K185</f>
        <v>0</v>
      </c>
      <c r="N185">
        <v>185</v>
      </c>
      <c r="O185" s="91" t="s">
        <v>597</v>
      </c>
      <c r="P185" s="119"/>
      <c r="Q185" s="119"/>
    </row>
    <row r="186" spans="1:21" x14ac:dyDescent="0.25">
      <c r="A186" s="91" t="s">
        <v>598</v>
      </c>
      <c r="B186" s="91">
        <v>5</v>
      </c>
      <c r="C186" s="91" t="s">
        <v>564</v>
      </c>
      <c r="D186" s="91" t="s">
        <v>810</v>
      </c>
      <c r="E186">
        <v>365</v>
      </c>
      <c r="F186">
        <v>396</v>
      </c>
      <c r="G186" s="94" t="s">
        <v>93</v>
      </c>
      <c r="H186" t="s">
        <v>599</v>
      </c>
      <c r="I186">
        <v>1</v>
      </c>
      <c r="J186">
        <f>SUM(K187)</f>
        <v>70030.990000000005</v>
      </c>
      <c r="K186">
        <f>I186*J186</f>
        <v>70030.990000000005</v>
      </c>
      <c r="L186">
        <f>100*(1-(M186/K186))</f>
        <v>27.829999999999988</v>
      </c>
      <c r="M186">
        <f>I186*SUM(M187)</f>
        <v>50541.365483000016</v>
      </c>
      <c r="N186">
        <v>186</v>
      </c>
      <c r="O186" s="91" t="s">
        <v>600</v>
      </c>
      <c r="P186" s="119"/>
      <c r="Q186" s="119"/>
      <c r="R186" s="91" t="s">
        <v>990</v>
      </c>
      <c r="S186" s="91" t="s">
        <v>1048</v>
      </c>
      <c r="T186" s="91" t="s">
        <v>1077</v>
      </c>
      <c r="U186" s="91" t="s">
        <v>1019</v>
      </c>
    </row>
    <row r="187" spans="1:21" x14ac:dyDescent="0.25">
      <c r="A187" s="91" t="s">
        <v>601</v>
      </c>
      <c r="B187" s="91">
        <v>6</v>
      </c>
      <c r="C187" s="91" t="s">
        <v>598</v>
      </c>
      <c r="D187" s="91" t="s">
        <v>59</v>
      </c>
      <c r="E187">
        <v>366</v>
      </c>
      <c r="F187">
        <v>395</v>
      </c>
      <c r="G187" s="94" t="s">
        <v>93</v>
      </c>
      <c r="H187" t="s">
        <v>602</v>
      </c>
      <c r="I187">
        <v>1</v>
      </c>
      <c r="J187">
        <f>SUM(K188,K189,K190,K191,K192,K193,K194,K195,K196,K197,K198,K199,K200,K201)</f>
        <v>70030.990000000005</v>
      </c>
      <c r="K187">
        <f>I187*J187</f>
        <v>70030.990000000005</v>
      </c>
      <c r="L187">
        <f>100*(1-(M187/K187))</f>
        <v>27.829999999999988</v>
      </c>
      <c r="M187">
        <f>I187*SUM(M188,M189,M190,M191,M192,M193,M194,M195,M196,M197,M198,M199,M200,M201)</f>
        <v>50541.365483000016</v>
      </c>
      <c r="N187">
        <v>187</v>
      </c>
      <c r="O187" s="91" t="s">
        <v>603</v>
      </c>
      <c r="P187" s="119"/>
      <c r="Q187" s="119"/>
      <c r="R187" s="91" t="s">
        <v>846</v>
      </c>
      <c r="S187" s="91" t="s">
        <v>922</v>
      </c>
      <c r="T187" s="91" t="s">
        <v>960</v>
      </c>
      <c r="U187" s="91" t="s">
        <v>884</v>
      </c>
    </row>
    <row r="188" spans="1:21" x14ac:dyDescent="0.25">
      <c r="A188" s="91" t="s">
        <v>604</v>
      </c>
      <c r="B188" s="91">
        <v>7</v>
      </c>
      <c r="C188" s="91" t="s">
        <v>601</v>
      </c>
      <c r="D188" s="91" t="s">
        <v>59</v>
      </c>
      <c r="E188">
        <v>367</v>
      </c>
      <c r="F188">
        <v>368</v>
      </c>
      <c r="G188" s="94" t="s">
        <v>59</v>
      </c>
      <c r="H188" t="s">
        <v>605</v>
      </c>
      <c r="I188">
        <v>1</v>
      </c>
      <c r="J188">
        <v>11484</v>
      </c>
      <c r="K188">
        <f>I188*J188</f>
        <v>11484</v>
      </c>
      <c r="L188">
        <v>27.83</v>
      </c>
      <c r="M188">
        <f>(1-(L188/100))*K188</f>
        <v>8288.0028000000002</v>
      </c>
      <c r="N188">
        <v>188</v>
      </c>
      <c r="O188" s="91" t="s">
        <v>606</v>
      </c>
      <c r="P188" s="119"/>
      <c r="Q188" s="119"/>
    </row>
    <row r="189" spans="1:21" x14ac:dyDescent="0.25">
      <c r="A189" s="91" t="s">
        <v>607</v>
      </c>
      <c r="B189" s="91">
        <v>7</v>
      </c>
      <c r="C189" s="91" t="s">
        <v>601</v>
      </c>
      <c r="D189" s="91" t="s">
        <v>92</v>
      </c>
      <c r="E189">
        <v>369</v>
      </c>
      <c r="F189">
        <v>370</v>
      </c>
      <c r="G189" s="94" t="s">
        <v>59</v>
      </c>
      <c r="H189" t="s">
        <v>608</v>
      </c>
      <c r="I189">
        <v>1</v>
      </c>
      <c r="J189">
        <v>9450</v>
      </c>
      <c r="K189">
        <f>I189*J189</f>
        <v>9450</v>
      </c>
      <c r="L189">
        <v>27.83</v>
      </c>
      <c r="M189">
        <f>(1-(L189/100))*K189</f>
        <v>6820.0650000000005</v>
      </c>
      <c r="N189">
        <v>189</v>
      </c>
      <c r="O189" s="91" t="s">
        <v>609</v>
      </c>
      <c r="P189" s="119"/>
      <c r="Q189" s="119"/>
    </row>
    <row r="190" spans="1:21" x14ac:dyDescent="0.25">
      <c r="A190" s="91" t="s">
        <v>610</v>
      </c>
      <c r="B190" s="91">
        <v>7</v>
      </c>
      <c r="C190" s="91" t="s">
        <v>601</v>
      </c>
      <c r="D190" s="91" t="s">
        <v>810</v>
      </c>
      <c r="E190">
        <v>371</v>
      </c>
      <c r="F190">
        <v>372</v>
      </c>
      <c r="G190" s="94" t="s">
        <v>59</v>
      </c>
      <c r="H190" t="s">
        <v>174</v>
      </c>
      <c r="I190">
        <v>1</v>
      </c>
      <c r="J190">
        <v>15931.63</v>
      </c>
      <c r="K190">
        <f>I190*J190</f>
        <v>15931.63</v>
      </c>
      <c r="L190">
        <v>27.83</v>
      </c>
      <c r="M190">
        <f>(1-(L190/100))*K190</f>
        <v>11497.857371</v>
      </c>
      <c r="N190">
        <v>190</v>
      </c>
      <c r="O190" s="91" t="s">
        <v>611</v>
      </c>
      <c r="P190" s="119"/>
      <c r="Q190" s="119"/>
    </row>
    <row r="191" spans="1:21" x14ac:dyDescent="0.25">
      <c r="A191" s="91" t="s">
        <v>612</v>
      </c>
      <c r="B191" s="91">
        <v>7</v>
      </c>
      <c r="C191" s="91" t="s">
        <v>601</v>
      </c>
      <c r="D191" s="91" t="s">
        <v>811</v>
      </c>
      <c r="E191">
        <v>373</v>
      </c>
      <c r="F191">
        <v>374</v>
      </c>
      <c r="G191" s="94" t="s">
        <v>59</v>
      </c>
      <c r="H191" t="s">
        <v>613</v>
      </c>
      <c r="I191">
        <v>1</v>
      </c>
      <c r="J191">
        <v>5590</v>
      </c>
      <c r="K191">
        <f>I191*J191</f>
        <v>5590</v>
      </c>
      <c r="L191">
        <v>27.83</v>
      </c>
      <c r="M191">
        <f>(1-(L191/100))*K191</f>
        <v>4034.3029999999999</v>
      </c>
      <c r="N191">
        <v>191</v>
      </c>
      <c r="O191" s="91" t="s">
        <v>614</v>
      </c>
      <c r="P191" s="119"/>
      <c r="Q191" s="119"/>
    </row>
    <row r="192" spans="1:21" x14ac:dyDescent="0.25">
      <c r="A192" s="91" t="s">
        <v>615</v>
      </c>
      <c r="B192" s="91">
        <v>7</v>
      </c>
      <c r="C192" s="91" t="s">
        <v>601</v>
      </c>
      <c r="D192" s="91" t="s">
        <v>812</v>
      </c>
      <c r="E192">
        <v>375</v>
      </c>
      <c r="F192">
        <v>376</v>
      </c>
      <c r="G192" s="94" t="s">
        <v>59</v>
      </c>
      <c r="H192" t="s">
        <v>616</v>
      </c>
      <c r="I192">
        <v>1</v>
      </c>
      <c r="J192">
        <v>106.97</v>
      </c>
      <c r="K192">
        <f>I192*J192</f>
        <v>106.97</v>
      </c>
      <c r="L192">
        <v>27.83</v>
      </c>
      <c r="M192">
        <f>(1-(L192/100))*K192</f>
        <v>77.200248999999999</v>
      </c>
      <c r="N192">
        <v>192</v>
      </c>
      <c r="O192" s="91" t="s">
        <v>617</v>
      </c>
      <c r="P192" s="119"/>
      <c r="Q192" s="119"/>
    </row>
    <row r="193" spans="1:21" x14ac:dyDescent="0.25">
      <c r="A193" s="91" t="s">
        <v>618</v>
      </c>
      <c r="B193" s="91">
        <v>7</v>
      </c>
      <c r="C193" s="91" t="s">
        <v>601</v>
      </c>
      <c r="D193" s="91" t="s">
        <v>813</v>
      </c>
      <c r="E193">
        <v>377</v>
      </c>
      <c r="F193">
        <v>378</v>
      </c>
      <c r="G193" s="94" t="s">
        <v>59</v>
      </c>
      <c r="H193" t="s">
        <v>180</v>
      </c>
      <c r="I193">
        <v>1</v>
      </c>
      <c r="J193">
        <v>2728.29</v>
      </c>
      <c r="K193">
        <f>I193*J193</f>
        <v>2728.29</v>
      </c>
      <c r="L193">
        <v>27.83</v>
      </c>
      <c r="M193">
        <f>(1-(L193/100))*K193</f>
        <v>1969.006893</v>
      </c>
      <c r="N193">
        <v>193</v>
      </c>
      <c r="O193" s="91" t="s">
        <v>619</v>
      </c>
      <c r="P193" s="119"/>
      <c r="Q193" s="119"/>
    </row>
    <row r="194" spans="1:21" x14ac:dyDescent="0.25">
      <c r="A194" s="91" t="s">
        <v>620</v>
      </c>
      <c r="B194" s="91">
        <v>7</v>
      </c>
      <c r="C194" s="91" t="s">
        <v>601</v>
      </c>
      <c r="D194" s="91" t="s">
        <v>814</v>
      </c>
      <c r="E194">
        <v>379</v>
      </c>
      <c r="F194">
        <v>380</v>
      </c>
      <c r="G194" s="94" t="s">
        <v>59</v>
      </c>
      <c r="H194" t="s">
        <v>621</v>
      </c>
      <c r="I194">
        <v>1</v>
      </c>
      <c r="J194">
        <v>3896</v>
      </c>
      <c r="K194">
        <f>I194*J194</f>
        <v>3896</v>
      </c>
      <c r="L194">
        <v>27.83</v>
      </c>
      <c r="M194">
        <f>(1-(L194/100))*K194</f>
        <v>2811.7431999999999</v>
      </c>
      <c r="N194">
        <v>194</v>
      </c>
      <c r="O194" s="91" t="s">
        <v>622</v>
      </c>
      <c r="P194" s="119"/>
      <c r="Q194" s="119"/>
    </row>
    <row r="195" spans="1:21" x14ac:dyDescent="0.25">
      <c r="A195" s="91" t="s">
        <v>623</v>
      </c>
      <c r="B195" s="91">
        <v>7</v>
      </c>
      <c r="C195" s="91" t="s">
        <v>601</v>
      </c>
      <c r="D195" s="91" t="s">
        <v>815</v>
      </c>
      <c r="E195">
        <v>381</v>
      </c>
      <c r="F195">
        <v>382</v>
      </c>
      <c r="G195" s="94" t="s">
        <v>59</v>
      </c>
      <c r="H195" t="s">
        <v>183</v>
      </c>
      <c r="I195">
        <v>1</v>
      </c>
      <c r="J195">
        <v>6810</v>
      </c>
      <c r="K195">
        <f>I195*J195</f>
        <v>6810</v>
      </c>
      <c r="L195">
        <v>27.83</v>
      </c>
      <c r="M195">
        <f>(1-(L195/100))*K195</f>
        <v>4914.777</v>
      </c>
      <c r="N195">
        <v>195</v>
      </c>
      <c r="O195" s="91" t="s">
        <v>624</v>
      </c>
      <c r="P195" s="119"/>
      <c r="Q195" s="119"/>
    </row>
    <row r="196" spans="1:21" x14ac:dyDescent="0.25">
      <c r="A196" s="91" t="s">
        <v>625</v>
      </c>
      <c r="B196" s="91">
        <v>7</v>
      </c>
      <c r="C196" s="91" t="s">
        <v>601</v>
      </c>
      <c r="D196" s="91" t="s">
        <v>816</v>
      </c>
      <c r="E196">
        <v>383</v>
      </c>
      <c r="F196">
        <v>384</v>
      </c>
      <c r="G196" s="94" t="s">
        <v>59</v>
      </c>
      <c r="H196" t="s">
        <v>626</v>
      </c>
      <c r="I196">
        <v>1</v>
      </c>
      <c r="J196">
        <v>1027.4000000000001</v>
      </c>
      <c r="K196">
        <f>I196*J196</f>
        <v>1027.4000000000001</v>
      </c>
      <c r="L196">
        <v>27.83</v>
      </c>
      <c r="M196">
        <f>(1-(L196/100))*K196</f>
        <v>741.47458000000006</v>
      </c>
      <c r="N196">
        <v>196</v>
      </c>
      <c r="O196" s="91" t="s">
        <v>627</v>
      </c>
      <c r="P196" s="119"/>
      <c r="Q196" s="119"/>
    </row>
    <row r="197" spans="1:21" x14ac:dyDescent="0.25">
      <c r="A197" s="91" t="s">
        <v>628</v>
      </c>
      <c r="B197" s="91">
        <v>7</v>
      </c>
      <c r="C197" s="91" t="s">
        <v>601</v>
      </c>
      <c r="D197" s="91" t="s">
        <v>149</v>
      </c>
      <c r="E197">
        <v>385</v>
      </c>
      <c r="F197">
        <v>386</v>
      </c>
      <c r="G197" s="94" t="s">
        <v>59</v>
      </c>
      <c r="H197" t="s">
        <v>186</v>
      </c>
      <c r="I197">
        <v>1</v>
      </c>
      <c r="J197">
        <v>3061.23</v>
      </c>
      <c r="K197">
        <f>I197*J197</f>
        <v>3061.23</v>
      </c>
      <c r="L197">
        <v>27.83</v>
      </c>
      <c r="M197">
        <f>(1-(L197/100))*K197</f>
        <v>2209.2896909999999</v>
      </c>
      <c r="N197">
        <v>197</v>
      </c>
      <c r="O197" s="91" t="s">
        <v>629</v>
      </c>
      <c r="P197" s="119"/>
      <c r="Q197" s="119"/>
    </row>
    <row r="198" spans="1:21" x14ac:dyDescent="0.25">
      <c r="A198" s="91" t="s">
        <v>630</v>
      </c>
      <c r="B198" s="91">
        <v>7</v>
      </c>
      <c r="C198" s="91" t="s">
        <v>601</v>
      </c>
      <c r="D198" s="91" t="s">
        <v>145</v>
      </c>
      <c r="E198">
        <v>387</v>
      </c>
      <c r="F198">
        <v>388</v>
      </c>
      <c r="G198" s="94" t="s">
        <v>59</v>
      </c>
      <c r="H198" t="s">
        <v>631</v>
      </c>
      <c r="I198">
        <v>1</v>
      </c>
      <c r="J198">
        <v>44.53</v>
      </c>
      <c r="K198">
        <f>I198*J198</f>
        <v>44.53</v>
      </c>
      <c r="L198">
        <v>27.83</v>
      </c>
      <c r="M198">
        <f>(1-(L198/100))*K198</f>
        <v>32.137301000000001</v>
      </c>
      <c r="N198">
        <v>198</v>
      </c>
      <c r="O198" s="91" t="s">
        <v>632</v>
      </c>
      <c r="P198" s="119"/>
      <c r="Q198" s="119"/>
    </row>
    <row r="199" spans="1:21" x14ac:dyDescent="0.25">
      <c r="A199" s="91" t="s">
        <v>633</v>
      </c>
      <c r="B199" s="91">
        <v>7</v>
      </c>
      <c r="C199" s="91" t="s">
        <v>601</v>
      </c>
      <c r="D199" s="91" t="s">
        <v>146</v>
      </c>
      <c r="E199">
        <v>389</v>
      </c>
      <c r="F199">
        <v>390</v>
      </c>
      <c r="G199" s="94" t="s">
        <v>59</v>
      </c>
      <c r="H199" t="s">
        <v>634</v>
      </c>
      <c r="I199">
        <v>1</v>
      </c>
      <c r="J199">
        <v>575.67999999999995</v>
      </c>
      <c r="K199">
        <f>I199*J199</f>
        <v>575.67999999999995</v>
      </c>
      <c r="L199">
        <v>27.83</v>
      </c>
      <c r="M199">
        <f>(1-(L199/100))*K199</f>
        <v>415.468256</v>
      </c>
      <c r="N199">
        <v>199</v>
      </c>
      <c r="O199" s="91" t="s">
        <v>635</v>
      </c>
      <c r="P199" s="119"/>
      <c r="Q199" s="119"/>
    </row>
    <row r="200" spans="1:21" x14ac:dyDescent="0.25">
      <c r="A200" s="91" t="s">
        <v>636</v>
      </c>
      <c r="B200" s="91">
        <v>7</v>
      </c>
      <c r="C200" s="91" t="s">
        <v>601</v>
      </c>
      <c r="D200" s="91" t="s">
        <v>147</v>
      </c>
      <c r="E200">
        <v>391</v>
      </c>
      <c r="F200">
        <v>392</v>
      </c>
      <c r="G200" s="94" t="s">
        <v>59</v>
      </c>
      <c r="H200" t="s">
        <v>637</v>
      </c>
      <c r="I200">
        <v>1</v>
      </c>
      <c r="J200">
        <v>3066.17</v>
      </c>
      <c r="K200">
        <f>I200*J200</f>
        <v>3066.17</v>
      </c>
      <c r="L200">
        <v>27.83</v>
      </c>
      <c r="M200">
        <f>(1-(L200/100))*K200</f>
        <v>2212.8548890000002</v>
      </c>
      <c r="N200">
        <v>200</v>
      </c>
      <c r="O200" s="91" t="s">
        <v>638</v>
      </c>
      <c r="P200" s="119"/>
      <c r="Q200" s="119"/>
    </row>
    <row r="201" spans="1:21" x14ac:dyDescent="0.25">
      <c r="A201" s="91" t="s">
        <v>639</v>
      </c>
      <c r="B201" s="91">
        <v>7</v>
      </c>
      <c r="C201" s="91" t="s">
        <v>601</v>
      </c>
      <c r="D201" s="91" t="s">
        <v>148</v>
      </c>
      <c r="E201">
        <v>393</v>
      </c>
      <c r="F201">
        <v>394</v>
      </c>
      <c r="G201" s="94" t="s">
        <v>59</v>
      </c>
      <c r="H201" t="s">
        <v>640</v>
      </c>
      <c r="I201">
        <v>1</v>
      </c>
      <c r="J201">
        <v>6259.09</v>
      </c>
      <c r="K201">
        <f>I201*J201</f>
        <v>6259.09</v>
      </c>
      <c r="L201">
        <v>27.83</v>
      </c>
      <c r="M201">
        <f>(1-(L201/100))*K201</f>
        <v>4517.1852530000006</v>
      </c>
      <c r="N201">
        <v>201</v>
      </c>
      <c r="O201" s="91" t="s">
        <v>641</v>
      </c>
      <c r="P201" s="119"/>
      <c r="Q201" s="119"/>
    </row>
    <row r="202" spans="1:21" x14ac:dyDescent="0.25">
      <c r="A202" s="91" t="s">
        <v>642</v>
      </c>
      <c r="B202" s="91">
        <v>3</v>
      </c>
      <c r="C202" s="91" t="s">
        <v>558</v>
      </c>
      <c r="D202" s="91" t="s">
        <v>92</v>
      </c>
      <c r="E202">
        <v>399</v>
      </c>
      <c r="F202">
        <v>452</v>
      </c>
      <c r="G202" s="94" t="s">
        <v>93</v>
      </c>
      <c r="H202" t="s">
        <v>643</v>
      </c>
      <c r="I202">
        <v>1</v>
      </c>
      <c r="J202">
        <f>SUM(K203,K223)</f>
        <v>4149383.5593929999</v>
      </c>
      <c r="K202">
        <f>I202*J202</f>
        <v>4149383.5593929999</v>
      </c>
      <c r="L202">
        <f>100*(1-(M202/K202))</f>
        <v>58.745203913876011</v>
      </c>
      <c r="M202">
        <f>I202*SUM(M203,M223)</f>
        <v>1711819.7262587359</v>
      </c>
      <c r="N202">
        <v>202</v>
      </c>
      <c r="O202" s="91" t="s">
        <v>644</v>
      </c>
      <c r="P202" s="119"/>
      <c r="Q202" s="119"/>
      <c r="R202" s="91" t="s">
        <v>1105</v>
      </c>
      <c r="S202" s="91" t="s">
        <v>1153</v>
      </c>
      <c r="T202" s="91" t="s">
        <v>1177</v>
      </c>
      <c r="U202" s="91" t="s">
        <v>1129</v>
      </c>
    </row>
    <row r="203" spans="1:21" x14ac:dyDescent="0.25">
      <c r="A203" s="91" t="s">
        <v>645</v>
      </c>
      <c r="B203" s="91">
        <v>4</v>
      </c>
      <c r="C203" s="91" t="s">
        <v>642</v>
      </c>
      <c r="D203" s="91" t="s">
        <v>59</v>
      </c>
      <c r="E203">
        <v>400</v>
      </c>
      <c r="F203">
        <v>439</v>
      </c>
      <c r="G203" s="94" t="s">
        <v>93</v>
      </c>
      <c r="H203" t="s">
        <v>646</v>
      </c>
      <c r="I203">
        <v>1</v>
      </c>
      <c r="J203">
        <f>SUM(K204,K220)</f>
        <v>3725405.4618639997</v>
      </c>
      <c r="K203">
        <f>I203*J203</f>
        <v>3725405.4618639997</v>
      </c>
      <c r="L203">
        <f>100*(1-(M203/K203))</f>
        <v>62.263577812852354</v>
      </c>
      <c r="M203">
        <f>I203*SUM(M204,M220)</f>
        <v>1405834.7332720566</v>
      </c>
      <c r="N203">
        <v>203</v>
      </c>
      <c r="O203" s="91" t="s">
        <v>647</v>
      </c>
      <c r="P203" s="119"/>
      <c r="Q203" s="119"/>
      <c r="R203" s="91" t="s">
        <v>991</v>
      </c>
      <c r="S203" s="91" t="s">
        <v>1049</v>
      </c>
      <c r="T203" s="91" t="s">
        <v>1078</v>
      </c>
      <c r="U203" s="91" t="s">
        <v>1020</v>
      </c>
    </row>
    <row r="204" spans="1:21" x14ac:dyDescent="0.25">
      <c r="A204" s="91" t="s">
        <v>648</v>
      </c>
      <c r="B204" s="91">
        <v>5</v>
      </c>
      <c r="C204" s="91" t="s">
        <v>645</v>
      </c>
      <c r="D204" s="91" t="s">
        <v>59</v>
      </c>
      <c r="E204">
        <v>401</v>
      </c>
      <c r="F204">
        <v>432</v>
      </c>
      <c r="G204" s="94" t="s">
        <v>93</v>
      </c>
      <c r="H204" t="s">
        <v>649</v>
      </c>
      <c r="I204">
        <v>1</v>
      </c>
      <c r="J204">
        <f>SUM(K205,K206,K207,K208,K209,K210,K211,K212,K213,K214,K215,K216,K217,K218,K219)</f>
        <v>3721461.4618639997</v>
      </c>
      <c r="K204">
        <f>I204*J204</f>
        <v>3721461.4618639997</v>
      </c>
      <c r="L204">
        <f>100*(1-(M204/K204))</f>
        <v>62.223584801872313</v>
      </c>
      <c r="M204">
        <f>I204*SUM(M205,M206,M207,M208,M209,M210,M211,M212,M213,M214,M215,M216,M217,M218,M219)</f>
        <v>1405834.7332720566</v>
      </c>
      <c r="N204">
        <v>204</v>
      </c>
      <c r="O204" s="91" t="s">
        <v>650</v>
      </c>
      <c r="P204" s="119"/>
      <c r="Q204" s="119"/>
      <c r="R204" s="91" t="s">
        <v>847</v>
      </c>
      <c r="S204" s="91" t="s">
        <v>923</v>
      </c>
      <c r="T204" s="91" t="s">
        <v>961</v>
      </c>
      <c r="U204" s="91" t="s">
        <v>885</v>
      </c>
    </row>
    <row r="205" spans="1:21" x14ac:dyDescent="0.25">
      <c r="A205" s="91" t="s">
        <v>651</v>
      </c>
      <c r="B205" s="91">
        <v>6</v>
      </c>
      <c r="C205" s="91" t="s">
        <v>648</v>
      </c>
      <c r="D205" s="91" t="s">
        <v>59</v>
      </c>
      <c r="E205">
        <v>402</v>
      </c>
      <c r="F205">
        <v>403</v>
      </c>
      <c r="G205" s="94" t="s">
        <v>59</v>
      </c>
      <c r="H205" t="s">
        <v>652</v>
      </c>
      <c r="I205">
        <v>200</v>
      </c>
      <c r="J205">
        <v>394.37157774000002</v>
      </c>
      <c r="K205">
        <f>I205*J205</f>
        <v>78874.315547999999</v>
      </c>
      <c r="L205">
        <v>56.7</v>
      </c>
      <c r="M205">
        <f>(1-(L205/100))*K205</f>
        <v>34152.578632283992</v>
      </c>
      <c r="N205">
        <v>205</v>
      </c>
      <c r="O205" s="91" t="s">
        <v>653</v>
      </c>
      <c r="P205" s="119"/>
      <c r="Q205" s="119"/>
    </row>
    <row r="206" spans="1:21" x14ac:dyDescent="0.25">
      <c r="A206" s="91" t="s">
        <v>654</v>
      </c>
      <c r="B206" s="91">
        <v>6</v>
      </c>
      <c r="C206" s="91" t="s">
        <v>648</v>
      </c>
      <c r="D206" s="91" t="s">
        <v>92</v>
      </c>
      <c r="E206">
        <v>404</v>
      </c>
      <c r="F206">
        <v>405</v>
      </c>
      <c r="G206" s="94" t="s">
        <v>59</v>
      </c>
      <c r="H206" t="s">
        <v>655</v>
      </c>
      <c r="I206">
        <v>200</v>
      </c>
      <c r="J206">
        <v>394.37157774000002</v>
      </c>
      <c r="K206">
        <f>I206*J206</f>
        <v>78874.315547999999</v>
      </c>
      <c r="L206">
        <v>56.7</v>
      </c>
      <c r="M206">
        <f>(1-(L206/100))*K206</f>
        <v>34152.578632283992</v>
      </c>
      <c r="N206">
        <v>206</v>
      </c>
      <c r="O206" s="91" t="s">
        <v>656</v>
      </c>
      <c r="P206" s="119"/>
      <c r="Q206" s="119"/>
    </row>
    <row r="207" spans="1:21" x14ac:dyDescent="0.25">
      <c r="A207" s="91" t="s">
        <v>657</v>
      </c>
      <c r="B207" s="91">
        <v>6</v>
      </c>
      <c r="C207" s="91" t="s">
        <v>648</v>
      </c>
      <c r="D207" s="91" t="s">
        <v>810</v>
      </c>
      <c r="E207">
        <v>406</v>
      </c>
      <c r="F207">
        <v>407</v>
      </c>
      <c r="G207" s="94" t="s">
        <v>59</v>
      </c>
      <c r="H207" t="s">
        <v>658</v>
      </c>
      <c r="I207">
        <v>200</v>
      </c>
      <c r="J207">
        <v>428.28218514999998</v>
      </c>
      <c r="K207">
        <f>I207*J207</f>
        <v>85656.437030000001</v>
      </c>
      <c r="L207">
        <v>56.7</v>
      </c>
      <c r="M207">
        <f>(1-(L207/100))*K207</f>
        <v>37089.237233989996</v>
      </c>
      <c r="N207">
        <v>207</v>
      </c>
      <c r="O207" s="91" t="s">
        <v>659</v>
      </c>
      <c r="P207" s="119"/>
      <c r="Q207" s="119"/>
    </row>
    <row r="208" spans="1:21" x14ac:dyDescent="0.25">
      <c r="A208" s="91" t="s">
        <v>660</v>
      </c>
      <c r="B208" s="91">
        <v>6</v>
      </c>
      <c r="C208" s="91" t="s">
        <v>648</v>
      </c>
      <c r="D208" s="91" t="s">
        <v>811</v>
      </c>
      <c r="E208">
        <v>408</v>
      </c>
      <c r="F208">
        <v>409</v>
      </c>
      <c r="G208" s="94" t="s">
        <v>59</v>
      </c>
      <c r="H208" t="s">
        <v>661</v>
      </c>
      <c r="I208">
        <v>200</v>
      </c>
      <c r="J208">
        <v>394.37157774000002</v>
      </c>
      <c r="K208">
        <f>I208*J208</f>
        <v>78874.315547999999</v>
      </c>
      <c r="L208">
        <v>56.7</v>
      </c>
      <c r="M208">
        <f>(1-(L208/100))*K208</f>
        <v>34152.578632283992</v>
      </c>
      <c r="N208">
        <v>208</v>
      </c>
      <c r="O208" s="91" t="s">
        <v>662</v>
      </c>
      <c r="P208" s="119"/>
      <c r="Q208" s="119"/>
    </row>
    <row r="209" spans="1:21" x14ac:dyDescent="0.25">
      <c r="A209" s="91" t="s">
        <v>663</v>
      </c>
      <c r="B209" s="91">
        <v>6</v>
      </c>
      <c r="C209" s="91" t="s">
        <v>648</v>
      </c>
      <c r="D209" s="91" t="s">
        <v>812</v>
      </c>
      <c r="E209">
        <v>410</v>
      </c>
      <c r="F209">
        <v>411</v>
      </c>
      <c r="G209" s="94" t="s">
        <v>59</v>
      </c>
      <c r="H209" t="s">
        <v>664</v>
      </c>
      <c r="I209">
        <v>200</v>
      </c>
      <c r="J209">
        <v>394.37157774000002</v>
      </c>
      <c r="K209">
        <f>I209*J209</f>
        <v>78874.315547999999</v>
      </c>
      <c r="L209">
        <v>56.7</v>
      </c>
      <c r="M209">
        <f>(1-(L209/100))*K209</f>
        <v>34152.578632283992</v>
      </c>
      <c r="N209">
        <v>209</v>
      </c>
      <c r="O209" s="91" t="s">
        <v>665</v>
      </c>
      <c r="P209" s="119"/>
      <c r="Q209" s="119"/>
    </row>
    <row r="210" spans="1:21" x14ac:dyDescent="0.25">
      <c r="A210" s="91" t="s">
        <v>666</v>
      </c>
      <c r="B210" s="91">
        <v>6</v>
      </c>
      <c r="C210" s="91" t="s">
        <v>648</v>
      </c>
      <c r="D210" s="91" t="s">
        <v>813</v>
      </c>
      <c r="E210">
        <v>412</v>
      </c>
      <c r="F210">
        <v>413</v>
      </c>
      <c r="G210" s="94" t="s">
        <v>59</v>
      </c>
      <c r="H210" t="s">
        <v>667</v>
      </c>
      <c r="I210">
        <v>200</v>
      </c>
      <c r="J210">
        <v>394.37157774000002</v>
      </c>
      <c r="K210">
        <f>I210*J210</f>
        <v>78874.315547999999</v>
      </c>
      <c r="L210">
        <v>56.7</v>
      </c>
      <c r="M210">
        <f>(1-(L210/100))*K210</f>
        <v>34152.578632283992</v>
      </c>
      <c r="N210">
        <v>210</v>
      </c>
      <c r="O210" s="91" t="s">
        <v>668</v>
      </c>
      <c r="P210" s="119"/>
      <c r="Q210" s="119"/>
    </row>
    <row r="211" spans="1:21" x14ac:dyDescent="0.25">
      <c r="A211" s="91" t="s">
        <v>669</v>
      </c>
      <c r="B211" s="91">
        <v>6</v>
      </c>
      <c r="C211" s="91" t="s">
        <v>648</v>
      </c>
      <c r="D211" s="91" t="s">
        <v>814</v>
      </c>
      <c r="E211">
        <v>414</v>
      </c>
      <c r="F211">
        <v>415</v>
      </c>
      <c r="G211" s="94" t="s">
        <v>59</v>
      </c>
      <c r="H211" t="s">
        <v>670</v>
      </c>
      <c r="I211">
        <v>200</v>
      </c>
      <c r="J211">
        <v>394.37157774000002</v>
      </c>
      <c r="K211">
        <f>I211*J211</f>
        <v>78874.315547999999</v>
      </c>
      <c r="L211">
        <v>56.7</v>
      </c>
      <c r="M211">
        <f>(1-(L211/100))*K211</f>
        <v>34152.578632283992</v>
      </c>
      <c r="N211">
        <v>211</v>
      </c>
      <c r="O211" s="91" t="s">
        <v>671</v>
      </c>
      <c r="P211" s="119"/>
      <c r="Q211" s="119"/>
    </row>
    <row r="212" spans="1:21" x14ac:dyDescent="0.25">
      <c r="A212" s="91" t="s">
        <v>672</v>
      </c>
      <c r="B212" s="91">
        <v>6</v>
      </c>
      <c r="C212" s="91" t="s">
        <v>648</v>
      </c>
      <c r="D212" s="91" t="s">
        <v>815</v>
      </c>
      <c r="E212">
        <v>416</v>
      </c>
      <c r="F212">
        <v>417</v>
      </c>
      <c r="G212" s="94" t="s">
        <v>59</v>
      </c>
      <c r="H212" t="s">
        <v>673</v>
      </c>
      <c r="I212">
        <v>200</v>
      </c>
      <c r="J212">
        <v>394.37157774000002</v>
      </c>
      <c r="K212">
        <f>I212*J212</f>
        <v>78874.315547999999</v>
      </c>
      <c r="L212">
        <v>56.7</v>
      </c>
      <c r="M212">
        <f>(1-(L212/100))*K212</f>
        <v>34152.578632283992</v>
      </c>
      <c r="N212">
        <v>212</v>
      </c>
      <c r="O212" s="91" t="s">
        <v>674</v>
      </c>
      <c r="P212" s="119"/>
      <c r="Q212" s="119"/>
    </row>
    <row r="213" spans="1:21" x14ac:dyDescent="0.25">
      <c r="A213" s="91" t="s">
        <v>675</v>
      </c>
      <c r="B213" s="91">
        <v>6</v>
      </c>
      <c r="C213" s="91" t="s">
        <v>648</v>
      </c>
      <c r="D213" s="91" t="s">
        <v>816</v>
      </c>
      <c r="E213">
        <v>418</v>
      </c>
      <c r="F213">
        <v>419</v>
      </c>
      <c r="G213" s="94" t="s">
        <v>59</v>
      </c>
      <c r="H213" t="s">
        <v>676</v>
      </c>
      <c r="I213">
        <v>10</v>
      </c>
      <c r="J213">
        <v>23662</v>
      </c>
      <c r="K213">
        <f>I213*J213</f>
        <v>236620</v>
      </c>
      <c r="L213">
        <v>56.7</v>
      </c>
      <c r="M213">
        <f>(1-(L213/100))*K213</f>
        <v>102456.45999999999</v>
      </c>
      <c r="N213">
        <v>213</v>
      </c>
      <c r="O213" s="91" t="s">
        <v>677</v>
      </c>
      <c r="P213" s="119"/>
      <c r="Q213" s="119"/>
    </row>
    <row r="214" spans="1:21" x14ac:dyDescent="0.25">
      <c r="A214" s="91" t="s">
        <v>678</v>
      </c>
      <c r="B214" s="91">
        <v>6</v>
      </c>
      <c r="C214" s="91" t="s">
        <v>648</v>
      </c>
      <c r="D214" s="91" t="s">
        <v>149</v>
      </c>
      <c r="E214">
        <v>420</v>
      </c>
      <c r="F214">
        <v>421</v>
      </c>
      <c r="G214" s="94" t="s">
        <v>59</v>
      </c>
      <c r="H214" t="s">
        <v>679</v>
      </c>
      <c r="I214">
        <v>200</v>
      </c>
      <c r="J214">
        <v>10043.295555840001</v>
      </c>
      <c r="K214">
        <f>I214*J214</f>
        <v>2008659.1111680001</v>
      </c>
      <c r="L214">
        <v>63.92</v>
      </c>
      <c r="M214">
        <f>(1-(L214/100))*K214</f>
        <v>724724.20730941452</v>
      </c>
      <c r="N214">
        <v>214</v>
      </c>
      <c r="O214" s="91" t="s">
        <v>680</v>
      </c>
      <c r="P214" s="119"/>
      <c r="Q214" s="119"/>
    </row>
    <row r="215" spans="1:21" x14ac:dyDescent="0.25">
      <c r="A215" s="91" t="s">
        <v>681</v>
      </c>
      <c r="B215" s="91">
        <v>6</v>
      </c>
      <c r="C215" s="91" t="s">
        <v>648</v>
      </c>
      <c r="D215" s="91" t="s">
        <v>145</v>
      </c>
      <c r="E215">
        <v>422</v>
      </c>
      <c r="F215">
        <v>423</v>
      </c>
      <c r="G215" s="94" t="s">
        <v>59</v>
      </c>
      <c r="H215" t="s">
        <v>682</v>
      </c>
      <c r="I215">
        <v>200</v>
      </c>
      <c r="J215">
        <v>882.46529988999998</v>
      </c>
      <c r="K215">
        <f>I215*J215</f>
        <v>176493.059978</v>
      </c>
      <c r="L215">
        <v>63.92</v>
      </c>
      <c r="M215">
        <f>(1-(L215/100))*K215</f>
        <v>63678.696040062401</v>
      </c>
      <c r="N215">
        <v>215</v>
      </c>
      <c r="O215" s="91" t="s">
        <v>683</v>
      </c>
      <c r="P215" s="119"/>
      <c r="Q215" s="119"/>
    </row>
    <row r="216" spans="1:21" x14ac:dyDescent="0.25">
      <c r="A216" s="91" t="s">
        <v>684</v>
      </c>
      <c r="B216" s="91">
        <v>6</v>
      </c>
      <c r="C216" s="91" t="s">
        <v>648</v>
      </c>
      <c r="D216" s="91" t="s">
        <v>146</v>
      </c>
      <c r="E216">
        <v>424</v>
      </c>
      <c r="F216">
        <v>425</v>
      </c>
      <c r="G216" s="94" t="s">
        <v>59</v>
      </c>
      <c r="H216" t="s">
        <v>685</v>
      </c>
      <c r="I216">
        <v>200</v>
      </c>
      <c r="J216">
        <v>662.16732459000002</v>
      </c>
      <c r="K216">
        <f>I216*J216</f>
        <v>132433.46491800001</v>
      </c>
      <c r="L216">
        <v>63.92</v>
      </c>
      <c r="M216">
        <f>(1-(L216/100))*K216</f>
        <v>47781.994142414405</v>
      </c>
      <c r="N216">
        <v>216</v>
      </c>
      <c r="O216" s="91" t="s">
        <v>686</v>
      </c>
      <c r="P216" s="119"/>
      <c r="Q216" s="119"/>
    </row>
    <row r="217" spans="1:21" x14ac:dyDescent="0.25">
      <c r="A217" s="91" t="s">
        <v>687</v>
      </c>
      <c r="B217" s="91">
        <v>6</v>
      </c>
      <c r="C217" s="91" t="s">
        <v>648</v>
      </c>
      <c r="D217" s="91" t="s">
        <v>147</v>
      </c>
      <c r="E217">
        <v>426</v>
      </c>
      <c r="F217">
        <v>427</v>
      </c>
      <c r="G217" s="94" t="s">
        <v>59</v>
      </c>
      <c r="H217" t="s">
        <v>688</v>
      </c>
      <c r="I217">
        <v>200</v>
      </c>
      <c r="J217">
        <v>882.46529988999998</v>
      </c>
      <c r="K217">
        <f>I217*J217</f>
        <v>176493.059978</v>
      </c>
      <c r="L217">
        <v>63.92</v>
      </c>
      <c r="M217">
        <f>(1-(L217/100))*K217</f>
        <v>63678.696040062401</v>
      </c>
      <c r="N217">
        <v>217</v>
      </c>
      <c r="O217" s="91" t="s">
        <v>689</v>
      </c>
      <c r="P217" s="119"/>
      <c r="Q217" s="119"/>
    </row>
    <row r="218" spans="1:21" x14ac:dyDescent="0.25">
      <c r="A218" s="91" t="s">
        <v>690</v>
      </c>
      <c r="B218" s="91">
        <v>6</v>
      </c>
      <c r="C218" s="91" t="s">
        <v>648</v>
      </c>
      <c r="D218" s="91" t="s">
        <v>148</v>
      </c>
      <c r="E218">
        <v>428</v>
      </c>
      <c r="F218">
        <v>429</v>
      </c>
      <c r="G218" s="94" t="s">
        <v>59</v>
      </c>
      <c r="H218" t="s">
        <v>691</v>
      </c>
      <c r="I218">
        <v>200</v>
      </c>
      <c r="J218">
        <v>882.46529988999998</v>
      </c>
      <c r="K218">
        <f>I218*J218</f>
        <v>176493.059978</v>
      </c>
      <c r="L218">
        <v>63.92</v>
      </c>
      <c r="M218">
        <f>(1-(L218/100))*K218</f>
        <v>63678.696040062401</v>
      </c>
      <c r="N218">
        <v>218</v>
      </c>
      <c r="O218" s="91" t="s">
        <v>692</v>
      </c>
      <c r="P218" s="119"/>
      <c r="Q218" s="119"/>
    </row>
    <row r="219" spans="1:21" x14ac:dyDescent="0.25">
      <c r="A219" s="91" t="s">
        <v>693</v>
      </c>
      <c r="B219" s="91">
        <v>6</v>
      </c>
      <c r="C219" s="91" t="s">
        <v>648</v>
      </c>
      <c r="D219" s="91" t="s">
        <v>97</v>
      </c>
      <c r="E219">
        <v>430</v>
      </c>
      <c r="F219">
        <v>431</v>
      </c>
      <c r="G219" s="94" t="s">
        <v>59</v>
      </c>
      <c r="H219" t="s">
        <v>694</v>
      </c>
      <c r="I219">
        <v>200</v>
      </c>
      <c r="J219">
        <v>882.46529988999998</v>
      </c>
      <c r="K219">
        <f>I219*J219</f>
        <v>176493.059978</v>
      </c>
      <c r="L219">
        <v>63.92</v>
      </c>
      <c r="M219">
        <f>(1-(L219/100))*K219</f>
        <v>63678.696040062401</v>
      </c>
      <c r="N219">
        <v>219</v>
      </c>
      <c r="O219" s="91" t="s">
        <v>695</v>
      </c>
      <c r="P219" s="119"/>
      <c r="Q219" s="119"/>
    </row>
    <row r="220" spans="1:21" x14ac:dyDescent="0.25">
      <c r="A220" s="91" t="s">
        <v>696</v>
      </c>
      <c r="B220" s="91">
        <v>5</v>
      </c>
      <c r="C220" s="91" t="s">
        <v>645</v>
      </c>
      <c r="D220" s="91" t="s">
        <v>92</v>
      </c>
      <c r="E220">
        <v>433</v>
      </c>
      <c r="F220">
        <v>438</v>
      </c>
      <c r="G220" s="94" t="s">
        <v>93</v>
      </c>
      <c r="H220" t="s">
        <v>697</v>
      </c>
      <c r="I220">
        <v>1</v>
      </c>
      <c r="J220">
        <f>SUM(K221)</f>
        <v>3944</v>
      </c>
      <c r="K220">
        <f>I220*J220</f>
        <v>3944</v>
      </c>
      <c r="L220">
        <f>100*(1-(M220/K220))</f>
        <v>100</v>
      </c>
      <c r="M220">
        <f>I220*SUM(M221)</f>
        <v>0</v>
      </c>
      <c r="N220">
        <v>220</v>
      </c>
      <c r="O220" s="91" t="s">
        <v>698</v>
      </c>
      <c r="P220" s="119"/>
      <c r="Q220" s="119"/>
      <c r="R220" s="91" t="s">
        <v>992</v>
      </c>
      <c r="S220" s="91" t="s">
        <v>1050</v>
      </c>
      <c r="T220" s="91" t="s">
        <v>1079</v>
      </c>
      <c r="U220" s="91" t="s">
        <v>1021</v>
      </c>
    </row>
    <row r="221" spans="1:21" x14ac:dyDescent="0.25">
      <c r="A221" s="91" t="s">
        <v>699</v>
      </c>
      <c r="B221" s="91">
        <v>6</v>
      </c>
      <c r="C221" s="91" t="s">
        <v>696</v>
      </c>
      <c r="D221" s="91" t="s">
        <v>59</v>
      </c>
      <c r="E221">
        <v>434</v>
      </c>
      <c r="F221">
        <v>437</v>
      </c>
      <c r="G221" s="94" t="s">
        <v>93</v>
      </c>
      <c r="H221" t="s">
        <v>700</v>
      </c>
      <c r="I221">
        <v>1</v>
      </c>
      <c r="J221">
        <f>SUM(K222)</f>
        <v>3944</v>
      </c>
      <c r="K221">
        <f>I221*J221</f>
        <v>3944</v>
      </c>
      <c r="L221">
        <f>100*(1-(M221/K221))</f>
        <v>100</v>
      </c>
      <c r="M221">
        <f>I221*SUM(M222)</f>
        <v>0</v>
      </c>
      <c r="N221">
        <v>221</v>
      </c>
      <c r="O221" s="91" t="s">
        <v>701</v>
      </c>
      <c r="P221" s="119"/>
      <c r="Q221" s="119"/>
      <c r="R221" s="91" t="s">
        <v>848</v>
      </c>
      <c r="S221" s="91" t="s">
        <v>924</v>
      </c>
      <c r="T221" s="91" t="s">
        <v>962</v>
      </c>
      <c r="U221" s="91" t="s">
        <v>886</v>
      </c>
    </row>
    <row r="222" spans="1:21" x14ac:dyDescent="0.25">
      <c r="A222" s="91" t="s">
        <v>702</v>
      </c>
      <c r="B222" s="91">
        <v>7</v>
      </c>
      <c r="C222" s="91" t="s">
        <v>699</v>
      </c>
      <c r="D222" s="91" t="s">
        <v>59</v>
      </c>
      <c r="E222">
        <v>435</v>
      </c>
      <c r="F222">
        <v>436</v>
      </c>
      <c r="G222" s="94" t="s">
        <v>59</v>
      </c>
      <c r="H222" t="s">
        <v>703</v>
      </c>
      <c r="I222">
        <v>1</v>
      </c>
      <c r="J222">
        <v>3944</v>
      </c>
      <c r="K222">
        <f>I222*J222</f>
        <v>3944</v>
      </c>
      <c r="L222">
        <v>100</v>
      </c>
      <c r="M222">
        <f>(1-(L222/100))*K222</f>
        <v>0</v>
      </c>
      <c r="N222">
        <v>222</v>
      </c>
      <c r="O222" s="91" t="s">
        <v>704</v>
      </c>
      <c r="P222" s="119"/>
      <c r="Q222" s="119"/>
    </row>
    <row r="223" spans="1:21" x14ac:dyDescent="0.25">
      <c r="A223" s="91" t="s">
        <v>705</v>
      </c>
      <c r="B223" s="91">
        <v>4</v>
      </c>
      <c r="C223" s="91" t="s">
        <v>642</v>
      </c>
      <c r="D223" s="91" t="s">
        <v>92</v>
      </c>
      <c r="E223">
        <v>440</v>
      </c>
      <c r="F223">
        <v>451</v>
      </c>
      <c r="G223" s="94" t="s">
        <v>93</v>
      </c>
      <c r="H223" t="s">
        <v>706</v>
      </c>
      <c r="I223">
        <v>1</v>
      </c>
      <c r="J223">
        <f>SUM(K224)</f>
        <v>423978.09752900002</v>
      </c>
      <c r="K223">
        <f>I223*J223</f>
        <v>423978.09752900002</v>
      </c>
      <c r="L223">
        <f>100*(1-(M223/K223))</f>
        <v>27.83</v>
      </c>
      <c r="M223">
        <f>I223*SUM(M224)</f>
        <v>305984.99298667931</v>
      </c>
      <c r="N223">
        <v>223</v>
      </c>
      <c r="O223" s="91" t="s">
        <v>707</v>
      </c>
      <c r="P223" s="119"/>
      <c r="Q223" s="119"/>
      <c r="R223" s="91" t="s">
        <v>993</v>
      </c>
      <c r="S223" s="91" t="s">
        <v>1051</v>
      </c>
      <c r="T223" s="91" t="s">
        <v>1080</v>
      </c>
      <c r="U223" s="91" t="s">
        <v>1022</v>
      </c>
    </row>
    <row r="224" spans="1:21" x14ac:dyDescent="0.25">
      <c r="A224" s="91" t="s">
        <v>708</v>
      </c>
      <c r="B224" s="91">
        <v>5</v>
      </c>
      <c r="C224" s="91" t="s">
        <v>705</v>
      </c>
      <c r="D224" s="91" t="s">
        <v>59</v>
      </c>
      <c r="E224">
        <v>441</v>
      </c>
      <c r="F224">
        <v>450</v>
      </c>
      <c r="G224" s="94" t="s">
        <v>93</v>
      </c>
      <c r="H224" t="s">
        <v>709</v>
      </c>
      <c r="I224">
        <v>1</v>
      </c>
      <c r="J224">
        <f>SUM(K225,K226,K227,K228)</f>
        <v>423978.09752900002</v>
      </c>
      <c r="K224">
        <f>I224*J224</f>
        <v>423978.09752900002</v>
      </c>
      <c r="L224">
        <f>100*(1-(M224/K224))</f>
        <v>27.83</v>
      </c>
      <c r="M224">
        <f>I224*SUM(M225,M226,M227,M228)</f>
        <v>305984.99298667931</v>
      </c>
      <c r="N224">
        <v>224</v>
      </c>
      <c r="O224" s="91" t="s">
        <v>710</v>
      </c>
      <c r="P224" s="119"/>
      <c r="Q224" s="119"/>
      <c r="R224" s="91" t="s">
        <v>849</v>
      </c>
      <c r="S224" s="91" t="s">
        <v>925</v>
      </c>
      <c r="T224" s="91" t="s">
        <v>963</v>
      </c>
      <c r="U224" s="91" t="s">
        <v>887</v>
      </c>
    </row>
    <row r="225" spans="1:21" x14ac:dyDescent="0.25">
      <c r="A225" s="91" t="s">
        <v>711</v>
      </c>
      <c r="B225" s="91">
        <v>6</v>
      </c>
      <c r="C225" s="91" t="s">
        <v>708</v>
      </c>
      <c r="D225" s="91" t="s">
        <v>59</v>
      </c>
      <c r="E225">
        <v>442</v>
      </c>
      <c r="F225">
        <v>443</v>
      </c>
      <c r="G225" s="94" t="s">
        <v>59</v>
      </c>
      <c r="H225" t="s">
        <v>712</v>
      </c>
      <c r="I225">
        <v>20</v>
      </c>
      <c r="J225">
        <v>2410.54374125</v>
      </c>
      <c r="K225">
        <f>I225*J225</f>
        <v>48210.874824999999</v>
      </c>
      <c r="L225">
        <v>27.83</v>
      </c>
      <c r="M225">
        <f>(1-(L225/100))*K225</f>
        <v>34793.788361202496</v>
      </c>
      <c r="N225">
        <v>225</v>
      </c>
      <c r="O225" s="91" t="s">
        <v>713</v>
      </c>
      <c r="P225" s="119"/>
      <c r="Q225" s="119"/>
    </row>
    <row r="226" spans="1:21" x14ac:dyDescent="0.25">
      <c r="A226" s="91" t="s">
        <v>714</v>
      </c>
      <c r="B226" s="91">
        <v>6</v>
      </c>
      <c r="C226" s="91" t="s">
        <v>708</v>
      </c>
      <c r="D226" s="91" t="s">
        <v>92</v>
      </c>
      <c r="E226">
        <v>444</v>
      </c>
      <c r="F226">
        <v>445</v>
      </c>
      <c r="G226" s="94" t="s">
        <v>59</v>
      </c>
      <c r="H226" t="s">
        <v>715</v>
      </c>
      <c r="I226">
        <v>200</v>
      </c>
      <c r="J226">
        <v>803.51458042000002</v>
      </c>
      <c r="K226">
        <f>I226*J226</f>
        <v>160702.916084</v>
      </c>
      <c r="L226">
        <v>27.83</v>
      </c>
      <c r="M226">
        <f>(1-(L226/100))*K226</f>
        <v>115979.2945378228</v>
      </c>
      <c r="N226">
        <v>226</v>
      </c>
      <c r="O226" s="91" t="s">
        <v>716</v>
      </c>
      <c r="P226" s="119"/>
      <c r="Q226" s="119"/>
    </row>
    <row r="227" spans="1:21" x14ac:dyDescent="0.25">
      <c r="A227" s="91" t="s">
        <v>717</v>
      </c>
      <c r="B227" s="91">
        <v>6</v>
      </c>
      <c r="C227" s="91" t="s">
        <v>708</v>
      </c>
      <c r="D227" s="91" t="s">
        <v>810</v>
      </c>
      <c r="E227">
        <v>446</v>
      </c>
      <c r="F227">
        <v>447</v>
      </c>
      <c r="G227" s="94" t="s">
        <v>59</v>
      </c>
      <c r="H227" t="s">
        <v>718</v>
      </c>
      <c r="I227">
        <v>1000</v>
      </c>
      <c r="J227">
        <v>33.108366230000001</v>
      </c>
      <c r="K227">
        <f>I227*J227</f>
        <v>33108.36623</v>
      </c>
      <c r="L227">
        <v>27.83</v>
      </c>
      <c r="M227">
        <f>(1-(L227/100))*K227</f>
        <v>23894.307908191</v>
      </c>
      <c r="N227">
        <v>227</v>
      </c>
      <c r="O227" s="91" t="s">
        <v>719</v>
      </c>
      <c r="P227" s="119"/>
      <c r="Q227" s="119"/>
    </row>
    <row r="228" spans="1:21" x14ac:dyDescent="0.25">
      <c r="A228" s="91" t="s">
        <v>720</v>
      </c>
      <c r="B228" s="91">
        <v>6</v>
      </c>
      <c r="C228" s="91" t="s">
        <v>708</v>
      </c>
      <c r="D228" s="91" t="s">
        <v>811</v>
      </c>
      <c r="E228">
        <v>448</v>
      </c>
      <c r="F228">
        <v>449</v>
      </c>
      <c r="G228" s="94" t="s">
        <v>59</v>
      </c>
      <c r="H228" t="s">
        <v>721</v>
      </c>
      <c r="I228">
        <v>3000</v>
      </c>
      <c r="J228">
        <v>60.651980129999998</v>
      </c>
      <c r="K228">
        <f>I228*J228</f>
        <v>181955.94039</v>
      </c>
      <c r="L228">
        <v>27.83</v>
      </c>
      <c r="M228">
        <f>(1-(L228/100))*K228</f>
        <v>131317.60217946299</v>
      </c>
      <c r="N228">
        <v>228</v>
      </c>
      <c r="O228" s="91" t="s">
        <v>722</v>
      </c>
      <c r="P228" s="119"/>
      <c r="Q228" s="119"/>
    </row>
    <row r="229" spans="1:21" x14ac:dyDescent="0.25">
      <c r="A229" s="91" t="s">
        <v>723</v>
      </c>
      <c r="B229" s="91">
        <v>3</v>
      </c>
      <c r="C229" s="91" t="s">
        <v>558</v>
      </c>
      <c r="D229" s="91" t="s">
        <v>810</v>
      </c>
      <c r="E229">
        <v>453</v>
      </c>
      <c r="F229">
        <v>460</v>
      </c>
      <c r="G229" s="94" t="s">
        <v>93</v>
      </c>
      <c r="H229" t="s">
        <v>724</v>
      </c>
      <c r="I229">
        <v>1</v>
      </c>
      <c r="J229">
        <f>SUM(K230)</f>
        <v>647424</v>
      </c>
      <c r="K229">
        <f>I229*J229</f>
        <v>647424</v>
      </c>
      <c r="L229">
        <f>100*(1-(M229/K229))</f>
        <v>44.07</v>
      </c>
      <c r="M229">
        <f>I229*SUM(M230)</f>
        <v>362104.24320000003</v>
      </c>
      <c r="N229">
        <v>229</v>
      </c>
      <c r="O229" s="91" t="s">
        <v>725</v>
      </c>
      <c r="P229" s="119"/>
      <c r="Q229" s="119"/>
      <c r="R229" s="91" t="s">
        <v>1106</v>
      </c>
      <c r="S229" s="91" t="s">
        <v>1154</v>
      </c>
      <c r="T229" s="91" t="s">
        <v>1178</v>
      </c>
      <c r="U229" s="91" t="s">
        <v>1130</v>
      </c>
    </row>
    <row r="230" spans="1:21" x14ac:dyDescent="0.25">
      <c r="A230" s="91" t="s">
        <v>726</v>
      </c>
      <c r="B230" s="91">
        <v>4</v>
      </c>
      <c r="C230" s="91" t="s">
        <v>723</v>
      </c>
      <c r="D230" s="91" t="s">
        <v>59</v>
      </c>
      <c r="E230">
        <v>454</v>
      </c>
      <c r="F230">
        <v>459</v>
      </c>
      <c r="G230" s="94" t="s">
        <v>93</v>
      </c>
      <c r="H230" t="s">
        <v>724</v>
      </c>
      <c r="I230">
        <v>1</v>
      </c>
      <c r="J230">
        <f>SUM(K231)</f>
        <v>647424</v>
      </c>
      <c r="K230">
        <f>I230*J230</f>
        <v>647424</v>
      </c>
      <c r="L230">
        <f>100*(1-(M230/K230))</f>
        <v>44.07</v>
      </c>
      <c r="M230">
        <f>I230*SUM(M231)</f>
        <v>362104.24320000003</v>
      </c>
      <c r="N230">
        <v>230</v>
      </c>
      <c r="O230" s="91" t="s">
        <v>727</v>
      </c>
      <c r="P230" s="119"/>
      <c r="Q230" s="119"/>
      <c r="R230" s="91" t="s">
        <v>994</v>
      </c>
      <c r="S230" s="91" t="s">
        <v>1052</v>
      </c>
      <c r="T230" s="91" t="s">
        <v>1081</v>
      </c>
      <c r="U230" s="91" t="s">
        <v>1023</v>
      </c>
    </row>
    <row r="231" spans="1:21" x14ac:dyDescent="0.25">
      <c r="A231" s="91" t="s">
        <v>728</v>
      </c>
      <c r="B231" s="91">
        <v>5</v>
      </c>
      <c r="C231" s="91" t="s">
        <v>726</v>
      </c>
      <c r="D231" s="91" t="s">
        <v>59</v>
      </c>
      <c r="E231">
        <v>455</v>
      </c>
      <c r="F231">
        <v>458</v>
      </c>
      <c r="G231" s="94" t="s">
        <v>93</v>
      </c>
      <c r="H231" t="s">
        <v>724</v>
      </c>
      <c r="I231">
        <v>1</v>
      </c>
      <c r="J231">
        <f>SUM(K232)</f>
        <v>647424</v>
      </c>
      <c r="K231">
        <f>I231*J231</f>
        <v>647424</v>
      </c>
      <c r="L231">
        <f>100*(1-(M231/K231))</f>
        <v>44.07</v>
      </c>
      <c r="M231">
        <f>I231*SUM(M232)</f>
        <v>362104.24320000003</v>
      </c>
      <c r="N231">
        <v>231</v>
      </c>
      <c r="O231" s="91" t="s">
        <v>729</v>
      </c>
      <c r="P231" s="119"/>
      <c r="Q231" s="119"/>
      <c r="R231" s="91" t="s">
        <v>850</v>
      </c>
      <c r="S231" s="91" t="s">
        <v>926</v>
      </c>
      <c r="T231" s="91" t="s">
        <v>964</v>
      </c>
      <c r="U231" s="91" t="s">
        <v>888</v>
      </c>
    </row>
    <row r="232" spans="1:21" x14ac:dyDescent="0.25">
      <c r="A232" s="91" t="s">
        <v>730</v>
      </c>
      <c r="B232" s="91">
        <v>6</v>
      </c>
      <c r="C232" s="91" t="s">
        <v>728</v>
      </c>
      <c r="D232" s="91" t="s">
        <v>59</v>
      </c>
      <c r="E232">
        <v>456</v>
      </c>
      <c r="F232">
        <v>457</v>
      </c>
      <c r="G232" s="94" t="s">
        <v>59</v>
      </c>
      <c r="H232" t="s">
        <v>724</v>
      </c>
      <c r="I232">
        <v>4496</v>
      </c>
      <c r="J232">
        <v>144</v>
      </c>
      <c r="K232">
        <f>I232*J232</f>
        <v>647424</v>
      </c>
      <c r="L232">
        <v>44.07</v>
      </c>
      <c r="M232">
        <f>(1-(L232/100))*K232</f>
        <v>362104.24320000003</v>
      </c>
      <c r="N232">
        <v>232</v>
      </c>
      <c r="O232" s="91" t="s">
        <v>731</v>
      </c>
      <c r="P232" s="119"/>
      <c r="Q232" s="119"/>
    </row>
    <row r="233" spans="1:21" x14ac:dyDescent="0.25">
      <c r="A233" s="91" t="s">
        <v>732</v>
      </c>
      <c r="B233" s="91">
        <v>3</v>
      </c>
      <c r="C233" s="91" t="s">
        <v>558</v>
      </c>
      <c r="D233" s="91" t="s">
        <v>811</v>
      </c>
      <c r="E233">
        <v>461</v>
      </c>
      <c r="F233">
        <v>478</v>
      </c>
      <c r="G233" s="94" t="s">
        <v>93</v>
      </c>
      <c r="H233" t="s">
        <v>733</v>
      </c>
      <c r="I233">
        <v>1</v>
      </c>
      <c r="J233">
        <f>SUM(K234,K237)</f>
        <v>1207166.72</v>
      </c>
      <c r="K233">
        <f>I233*J233</f>
        <v>1207166.72</v>
      </c>
      <c r="L233">
        <f>100*(1-(M233/K233))</f>
        <v>53.256628275504482</v>
      </c>
      <c r="M233">
        <f>I233*SUM(M234,M237)</f>
        <v>564270.42726400006</v>
      </c>
      <c r="N233">
        <v>233</v>
      </c>
      <c r="O233" s="91" t="s">
        <v>734</v>
      </c>
      <c r="P233" s="119"/>
      <c r="Q233" s="119"/>
      <c r="R233" s="91" t="s">
        <v>1107</v>
      </c>
      <c r="S233" s="91" t="s">
        <v>1155</v>
      </c>
      <c r="T233" s="91" t="s">
        <v>1179</v>
      </c>
      <c r="U233" s="91" t="s">
        <v>1131</v>
      </c>
    </row>
    <row r="234" spans="1:21" x14ac:dyDescent="0.25">
      <c r="A234" s="91" t="s">
        <v>735</v>
      </c>
      <c r="B234" s="91">
        <v>4</v>
      </c>
      <c r="C234" s="91" t="s">
        <v>732</v>
      </c>
      <c r="D234" s="91" t="s">
        <v>59</v>
      </c>
      <c r="E234">
        <v>462</v>
      </c>
      <c r="F234">
        <v>467</v>
      </c>
      <c r="G234" s="94" t="s">
        <v>93</v>
      </c>
      <c r="H234" t="s">
        <v>736</v>
      </c>
      <c r="I234">
        <v>1</v>
      </c>
      <c r="J234">
        <f>SUM(K235)</f>
        <v>876720</v>
      </c>
      <c r="K234">
        <f>I234*J234</f>
        <v>876720</v>
      </c>
      <c r="L234">
        <f>100*(1-(M234/K234))</f>
        <v>44.07</v>
      </c>
      <c r="M234">
        <f>I234*SUM(M235)</f>
        <v>490349.49600000004</v>
      </c>
      <c r="N234">
        <v>234</v>
      </c>
      <c r="O234" s="91" t="s">
        <v>737</v>
      </c>
      <c r="P234" s="119"/>
      <c r="Q234" s="119"/>
      <c r="R234" s="91" t="s">
        <v>995</v>
      </c>
      <c r="S234" s="91" t="s">
        <v>1053</v>
      </c>
      <c r="T234" s="91" t="s">
        <v>1082</v>
      </c>
      <c r="U234" s="91" t="s">
        <v>1024</v>
      </c>
    </row>
    <row r="235" spans="1:21" x14ac:dyDescent="0.25">
      <c r="A235" s="91" t="s">
        <v>738</v>
      </c>
      <c r="B235" s="91">
        <v>5</v>
      </c>
      <c r="C235" s="91" t="s">
        <v>735</v>
      </c>
      <c r="D235" s="91" t="s">
        <v>59</v>
      </c>
      <c r="E235">
        <v>463</v>
      </c>
      <c r="F235">
        <v>466</v>
      </c>
      <c r="G235" s="94" t="s">
        <v>93</v>
      </c>
      <c r="H235" t="s">
        <v>739</v>
      </c>
      <c r="I235">
        <v>1</v>
      </c>
      <c r="J235">
        <f>SUM(K236)</f>
        <v>876720</v>
      </c>
      <c r="K235">
        <f>I235*J235</f>
        <v>876720</v>
      </c>
      <c r="L235">
        <f>100*(1-(M235/K235))</f>
        <v>44.07</v>
      </c>
      <c r="M235">
        <f>I235*SUM(M236)</f>
        <v>490349.49600000004</v>
      </c>
      <c r="N235">
        <v>235</v>
      </c>
      <c r="O235" s="91" t="s">
        <v>740</v>
      </c>
      <c r="P235" s="119"/>
      <c r="Q235" s="119"/>
      <c r="R235" s="91" t="s">
        <v>851</v>
      </c>
      <c r="S235" s="91" t="s">
        <v>927</v>
      </c>
      <c r="T235" s="91" t="s">
        <v>965</v>
      </c>
      <c r="U235" s="91" t="s">
        <v>889</v>
      </c>
    </row>
    <row r="236" spans="1:21" x14ac:dyDescent="0.25">
      <c r="A236" s="91" t="s">
        <v>741</v>
      </c>
      <c r="B236" s="91">
        <v>6</v>
      </c>
      <c r="C236" s="91" t="s">
        <v>738</v>
      </c>
      <c r="D236" s="91" t="s">
        <v>59</v>
      </c>
      <c r="E236">
        <v>464</v>
      </c>
      <c r="F236">
        <v>465</v>
      </c>
      <c r="G236" s="94" t="s">
        <v>59</v>
      </c>
      <c r="H236" t="s">
        <v>742</v>
      </c>
      <c r="I236">
        <v>4496</v>
      </c>
      <c r="J236">
        <v>195</v>
      </c>
      <c r="K236">
        <f>I236*J236</f>
        <v>876720</v>
      </c>
      <c r="L236">
        <v>44.07</v>
      </c>
      <c r="M236">
        <f>(1-(L236/100))*K236</f>
        <v>490349.49600000004</v>
      </c>
      <c r="N236">
        <v>236</v>
      </c>
      <c r="O236" s="91" t="s">
        <v>743</v>
      </c>
      <c r="P236" s="119"/>
      <c r="Q236" s="119"/>
    </row>
    <row r="237" spans="1:21" x14ac:dyDescent="0.25">
      <c r="A237" s="91" t="s">
        <v>744</v>
      </c>
      <c r="B237" s="91">
        <v>4</v>
      </c>
      <c r="C237" s="91" t="s">
        <v>732</v>
      </c>
      <c r="D237" s="91" t="s">
        <v>92</v>
      </c>
      <c r="E237">
        <v>468</v>
      </c>
      <c r="F237">
        <v>477</v>
      </c>
      <c r="G237" s="94" t="s">
        <v>93</v>
      </c>
      <c r="H237" t="s">
        <v>745</v>
      </c>
      <c r="I237">
        <v>1</v>
      </c>
      <c r="J237">
        <f>SUM(K238,K240)</f>
        <v>330446.71999999997</v>
      </c>
      <c r="K237">
        <f>I237*J237</f>
        <v>330446.71999999997</v>
      </c>
      <c r="L237">
        <f>100*(1-(M237/K237))</f>
        <v>77.63</v>
      </c>
      <c r="M237">
        <f>I237*SUM(M238,M240)</f>
        <v>73920.931264000013</v>
      </c>
      <c r="N237">
        <v>237</v>
      </c>
      <c r="O237" s="91" t="s">
        <v>746</v>
      </c>
      <c r="P237" s="119"/>
      <c r="Q237" s="119"/>
      <c r="R237" s="91" t="s">
        <v>996</v>
      </c>
      <c r="S237" s="91" t="s">
        <v>1054</v>
      </c>
      <c r="T237" s="91" t="s">
        <v>1083</v>
      </c>
      <c r="U237" s="91" t="s">
        <v>1025</v>
      </c>
    </row>
    <row r="238" spans="1:21" x14ac:dyDescent="0.25">
      <c r="A238" s="91" t="s">
        <v>747</v>
      </c>
      <c r="B238" s="91">
        <v>5</v>
      </c>
      <c r="C238" s="91" t="s">
        <v>744</v>
      </c>
      <c r="D238" s="91" t="s">
        <v>59</v>
      </c>
      <c r="E238">
        <v>469</v>
      </c>
      <c r="F238">
        <v>472</v>
      </c>
      <c r="G238" s="94" t="s">
        <v>93</v>
      </c>
      <c r="H238" t="s">
        <v>748</v>
      </c>
      <c r="I238">
        <v>45690</v>
      </c>
      <c r="J238">
        <f>SUM(K239)</f>
        <v>4.13</v>
      </c>
      <c r="K238">
        <f>I238*J238</f>
        <v>188699.69999999998</v>
      </c>
      <c r="L238">
        <f>100*(1-(M238/K238))</f>
        <v>77.63</v>
      </c>
      <c r="M238">
        <f>I238*SUM(M239)</f>
        <v>42212.122890000006</v>
      </c>
      <c r="N238">
        <v>238</v>
      </c>
      <c r="O238" s="91" t="s">
        <v>749</v>
      </c>
      <c r="P238" s="119"/>
      <c r="Q238" s="119"/>
      <c r="R238" s="91" t="s">
        <v>852</v>
      </c>
      <c r="S238" s="91" t="s">
        <v>928</v>
      </c>
      <c r="T238" s="91" t="s">
        <v>966</v>
      </c>
      <c r="U238" s="91" t="s">
        <v>890</v>
      </c>
    </row>
    <row r="239" spans="1:21" x14ac:dyDescent="0.25">
      <c r="A239" s="91" t="s">
        <v>750</v>
      </c>
      <c r="B239" s="91">
        <v>6</v>
      </c>
      <c r="C239" s="91" t="s">
        <v>747</v>
      </c>
      <c r="D239" s="91" t="s">
        <v>59</v>
      </c>
      <c r="E239">
        <v>470</v>
      </c>
      <c r="F239">
        <v>471</v>
      </c>
      <c r="G239" s="94" t="s">
        <v>59</v>
      </c>
      <c r="H239" t="s">
        <v>751</v>
      </c>
      <c r="I239">
        <v>1</v>
      </c>
      <c r="J239">
        <v>4.13</v>
      </c>
      <c r="K239">
        <f>I239*J239</f>
        <v>4.13</v>
      </c>
      <c r="L239">
        <v>77.63</v>
      </c>
      <c r="M239">
        <f>(1-(L239/100))*K239</f>
        <v>0.92388100000000006</v>
      </c>
      <c r="N239">
        <v>239</v>
      </c>
      <c r="O239" s="91" t="s">
        <v>752</v>
      </c>
      <c r="P239" s="119"/>
      <c r="Q239" s="119"/>
    </row>
    <row r="240" spans="1:21" x14ac:dyDescent="0.25">
      <c r="A240" s="91" t="s">
        <v>753</v>
      </c>
      <c r="B240" s="91">
        <v>5</v>
      </c>
      <c r="C240" s="91" t="s">
        <v>744</v>
      </c>
      <c r="D240" s="91" t="s">
        <v>92</v>
      </c>
      <c r="E240">
        <v>473</v>
      </c>
      <c r="F240">
        <v>476</v>
      </c>
      <c r="G240" s="94" t="s">
        <v>93</v>
      </c>
      <c r="H240" t="s">
        <v>754</v>
      </c>
      <c r="I240">
        <v>11422</v>
      </c>
      <c r="J240">
        <f>SUM(K241)</f>
        <v>12.41</v>
      </c>
      <c r="K240">
        <f>I240*J240</f>
        <v>141747.01999999999</v>
      </c>
      <c r="L240">
        <f>100*(1-(M240/K240))</f>
        <v>77.63</v>
      </c>
      <c r="M240">
        <f>I240*SUM(M241)</f>
        <v>31708.808374</v>
      </c>
      <c r="N240">
        <v>240</v>
      </c>
      <c r="O240" s="91" t="s">
        <v>755</v>
      </c>
      <c r="P240" s="119"/>
      <c r="Q240" s="119"/>
      <c r="R240" s="91" t="s">
        <v>853</v>
      </c>
      <c r="S240" s="91" t="s">
        <v>929</v>
      </c>
      <c r="T240" s="91" t="s">
        <v>967</v>
      </c>
      <c r="U240" s="91" t="s">
        <v>891</v>
      </c>
    </row>
    <row r="241" spans="1:21" x14ac:dyDescent="0.25">
      <c r="A241" s="91" t="s">
        <v>756</v>
      </c>
      <c r="B241" s="91">
        <v>6</v>
      </c>
      <c r="C241" s="91" t="s">
        <v>753</v>
      </c>
      <c r="D241" s="91" t="s">
        <v>59</v>
      </c>
      <c r="E241">
        <v>474</v>
      </c>
      <c r="F241">
        <v>475</v>
      </c>
      <c r="G241" s="94" t="s">
        <v>59</v>
      </c>
      <c r="H241" t="s">
        <v>757</v>
      </c>
      <c r="I241">
        <v>1</v>
      </c>
      <c r="J241">
        <v>12.41</v>
      </c>
      <c r="K241">
        <f>I241*J241</f>
        <v>12.41</v>
      </c>
      <c r="L241">
        <v>77.63</v>
      </c>
      <c r="M241">
        <f>(1-(L241/100))*K241</f>
        <v>2.7761170000000002</v>
      </c>
      <c r="N241">
        <v>241</v>
      </c>
      <c r="O241" s="91" t="s">
        <v>758</v>
      </c>
      <c r="P241" s="119"/>
      <c r="Q241" s="119"/>
    </row>
    <row r="242" spans="1:21" x14ac:dyDescent="0.25">
      <c r="A242" s="91" t="s">
        <v>759</v>
      </c>
      <c r="B242" s="91">
        <v>3</v>
      </c>
      <c r="C242" s="91" t="s">
        <v>558</v>
      </c>
      <c r="D242" s="91" t="s">
        <v>812</v>
      </c>
      <c r="E242">
        <v>479</v>
      </c>
      <c r="F242">
        <v>490</v>
      </c>
      <c r="G242" s="94" t="s">
        <v>93</v>
      </c>
      <c r="H242" t="s">
        <v>760</v>
      </c>
      <c r="I242">
        <v>1</v>
      </c>
      <c r="J242">
        <f>SUM(K243)</f>
        <v>669183.07000000007</v>
      </c>
      <c r="K242">
        <f>I242*J242</f>
        <v>669183.07000000007</v>
      </c>
      <c r="L242">
        <f>100*(1-(M242/K242))</f>
        <v>7.0000000000000178</v>
      </c>
      <c r="M242">
        <f>I242*SUM(M243)</f>
        <v>622340.25509999995</v>
      </c>
      <c r="N242">
        <v>242</v>
      </c>
      <c r="O242" s="91" t="s">
        <v>761</v>
      </c>
      <c r="P242" s="119"/>
      <c r="Q242" s="119"/>
      <c r="R242" s="91" t="s">
        <v>1108</v>
      </c>
      <c r="S242" s="91" t="s">
        <v>1156</v>
      </c>
      <c r="T242" s="91" t="s">
        <v>1180</v>
      </c>
      <c r="U242" s="91" t="s">
        <v>1132</v>
      </c>
    </row>
    <row r="243" spans="1:21" x14ac:dyDescent="0.25">
      <c r="A243" s="91" t="s">
        <v>762</v>
      </c>
      <c r="B243" s="91">
        <v>4</v>
      </c>
      <c r="C243" s="91" t="s">
        <v>759</v>
      </c>
      <c r="D243" s="91" t="s">
        <v>59</v>
      </c>
      <c r="E243">
        <v>480</v>
      </c>
      <c r="F243">
        <v>489</v>
      </c>
      <c r="G243" s="94" t="s">
        <v>93</v>
      </c>
      <c r="H243" t="s">
        <v>763</v>
      </c>
      <c r="I243">
        <v>1</v>
      </c>
      <c r="J243">
        <f>SUM(K244)</f>
        <v>669183.07000000007</v>
      </c>
      <c r="K243">
        <f>I243*J243</f>
        <v>669183.07000000007</v>
      </c>
      <c r="L243">
        <f>100*(1-(M243/K243))</f>
        <v>7.0000000000000178</v>
      </c>
      <c r="M243">
        <f>I243*SUM(M244)</f>
        <v>622340.25509999995</v>
      </c>
      <c r="N243">
        <v>243</v>
      </c>
      <c r="O243" s="91" t="s">
        <v>764</v>
      </c>
      <c r="P243" s="119"/>
      <c r="Q243" s="119"/>
      <c r="R243" s="91" t="s">
        <v>997</v>
      </c>
      <c r="S243" s="91" t="s">
        <v>1055</v>
      </c>
      <c r="T243" s="91" t="s">
        <v>1084</v>
      </c>
      <c r="U243" s="91" t="s">
        <v>1026</v>
      </c>
    </row>
    <row r="244" spans="1:21" x14ac:dyDescent="0.25">
      <c r="A244" s="91" t="s">
        <v>765</v>
      </c>
      <c r="B244" s="91">
        <v>5</v>
      </c>
      <c r="C244" s="91" t="s">
        <v>762</v>
      </c>
      <c r="D244" s="91" t="s">
        <v>59</v>
      </c>
      <c r="E244">
        <v>481</v>
      </c>
      <c r="F244">
        <v>488</v>
      </c>
      <c r="G244" s="94" t="s">
        <v>93</v>
      </c>
      <c r="H244" t="s">
        <v>760</v>
      </c>
      <c r="I244">
        <v>1</v>
      </c>
      <c r="J244">
        <f>SUM(K245,K246,K247)</f>
        <v>669183.07000000007</v>
      </c>
      <c r="K244">
        <f>I244*J244</f>
        <v>669183.07000000007</v>
      </c>
      <c r="L244">
        <f>100*(1-(M244/K244))</f>
        <v>7.0000000000000178</v>
      </c>
      <c r="M244">
        <f>I244*SUM(M245,M246,M247)</f>
        <v>622340.25509999995</v>
      </c>
      <c r="N244">
        <v>244</v>
      </c>
      <c r="O244" s="91" t="s">
        <v>766</v>
      </c>
      <c r="P244" s="119"/>
      <c r="Q244" s="119"/>
      <c r="R244" s="91" t="s">
        <v>854</v>
      </c>
      <c r="S244" s="91" t="s">
        <v>930</v>
      </c>
      <c r="T244" s="91" t="s">
        <v>968</v>
      </c>
      <c r="U244" s="91" t="s">
        <v>892</v>
      </c>
    </row>
    <row r="245" spans="1:21" x14ac:dyDescent="0.25">
      <c r="A245" s="91" t="s">
        <v>767</v>
      </c>
      <c r="B245" s="91">
        <v>6</v>
      </c>
      <c r="C245" s="91" t="s">
        <v>765</v>
      </c>
      <c r="D245" s="91" t="s">
        <v>59</v>
      </c>
      <c r="E245">
        <v>482</v>
      </c>
      <c r="F245">
        <v>483</v>
      </c>
      <c r="G245" s="94" t="s">
        <v>59</v>
      </c>
      <c r="H245" t="s">
        <v>768</v>
      </c>
      <c r="I245">
        <v>1</v>
      </c>
      <c r="J245">
        <v>104855.38</v>
      </c>
      <c r="K245">
        <f>I245*J245</f>
        <v>104855.38</v>
      </c>
      <c r="L245">
        <v>7</v>
      </c>
      <c r="M245">
        <f>(1-(L245/100))*K245</f>
        <v>97515.503400000001</v>
      </c>
      <c r="N245">
        <v>245</v>
      </c>
      <c r="O245" s="91" t="s">
        <v>769</v>
      </c>
      <c r="P245" s="119"/>
      <c r="Q245" s="119"/>
    </row>
    <row r="246" spans="1:21" x14ac:dyDescent="0.25">
      <c r="A246" s="91" t="s">
        <v>770</v>
      </c>
      <c r="B246" s="91">
        <v>6</v>
      </c>
      <c r="C246" s="91" t="s">
        <v>765</v>
      </c>
      <c r="D246" s="91" t="s">
        <v>92</v>
      </c>
      <c r="E246">
        <v>484</v>
      </c>
      <c r="F246">
        <v>485</v>
      </c>
      <c r="G246" s="94" t="s">
        <v>59</v>
      </c>
      <c r="H246" t="s">
        <v>771</v>
      </c>
      <c r="I246">
        <v>1</v>
      </c>
      <c r="J246">
        <v>553533.78</v>
      </c>
      <c r="K246">
        <f>I246*J246</f>
        <v>553533.78</v>
      </c>
      <c r="L246">
        <v>7</v>
      </c>
      <c r="M246">
        <f>(1-(L246/100))*K246</f>
        <v>514786.4154</v>
      </c>
      <c r="N246">
        <v>246</v>
      </c>
      <c r="O246" s="91" t="s">
        <v>772</v>
      </c>
      <c r="P246" s="119"/>
      <c r="Q246" s="119"/>
    </row>
    <row r="247" spans="1:21" x14ac:dyDescent="0.25">
      <c r="A247" s="91" t="s">
        <v>773</v>
      </c>
      <c r="B247" s="91">
        <v>6</v>
      </c>
      <c r="C247" s="91" t="s">
        <v>765</v>
      </c>
      <c r="D247" s="91" t="s">
        <v>810</v>
      </c>
      <c r="E247">
        <v>486</v>
      </c>
      <c r="F247">
        <v>487</v>
      </c>
      <c r="G247" s="94" t="s">
        <v>59</v>
      </c>
      <c r="H247" t="s">
        <v>774</v>
      </c>
      <c r="I247">
        <v>1</v>
      </c>
      <c r="J247">
        <v>10793.91</v>
      </c>
      <c r="K247">
        <f>I247*J247</f>
        <v>10793.91</v>
      </c>
      <c r="L247">
        <v>7</v>
      </c>
      <c r="M247">
        <f>(1-(L247/100))*K247</f>
        <v>10038.336299999999</v>
      </c>
      <c r="N247">
        <v>247</v>
      </c>
      <c r="O247" s="91" t="s">
        <v>775</v>
      </c>
      <c r="P247" s="119"/>
      <c r="Q247" s="119"/>
    </row>
    <row r="248" spans="1:21" x14ac:dyDescent="0.25">
      <c r="A248" s="91" t="s">
        <v>776</v>
      </c>
      <c r="B248" s="91">
        <v>3</v>
      </c>
      <c r="C248" s="91" t="s">
        <v>558</v>
      </c>
      <c r="D248" s="91" t="s">
        <v>813</v>
      </c>
      <c r="E248">
        <v>491</v>
      </c>
      <c r="F248">
        <v>502</v>
      </c>
      <c r="G248" s="94" t="s">
        <v>93</v>
      </c>
      <c r="H248" t="s">
        <v>777</v>
      </c>
      <c r="I248">
        <v>1</v>
      </c>
      <c r="J248">
        <f>SUM(K249)</f>
        <v>2137060.2399999998</v>
      </c>
      <c r="K248">
        <f>I248*J248</f>
        <v>2137060.2399999998</v>
      </c>
      <c r="L248">
        <f>100*(1-(M248/K248))</f>
        <v>6.9999999999999947</v>
      </c>
      <c r="M248">
        <f>I248*SUM(M249)</f>
        <v>1987466.0231999999</v>
      </c>
      <c r="N248">
        <v>248</v>
      </c>
      <c r="O248" s="91" t="s">
        <v>778</v>
      </c>
      <c r="P248" s="119"/>
      <c r="Q248" s="119"/>
      <c r="R248" s="91" t="s">
        <v>1109</v>
      </c>
      <c r="S248" s="91" t="s">
        <v>1157</v>
      </c>
      <c r="T248" s="91" t="s">
        <v>1181</v>
      </c>
      <c r="U248" s="91" t="s">
        <v>1133</v>
      </c>
    </row>
    <row r="249" spans="1:21" x14ac:dyDescent="0.25">
      <c r="A249" s="91" t="s">
        <v>779</v>
      </c>
      <c r="B249" s="91">
        <v>4</v>
      </c>
      <c r="C249" s="91" t="s">
        <v>776</v>
      </c>
      <c r="D249" s="91" t="s">
        <v>59</v>
      </c>
      <c r="E249">
        <v>492</v>
      </c>
      <c r="F249">
        <v>501</v>
      </c>
      <c r="G249" s="94" t="s">
        <v>93</v>
      </c>
      <c r="H249" t="s">
        <v>780</v>
      </c>
      <c r="I249">
        <v>1</v>
      </c>
      <c r="J249">
        <f>SUM(K250)</f>
        <v>2137060.2399999998</v>
      </c>
      <c r="K249">
        <f>I249*J249</f>
        <v>2137060.2399999998</v>
      </c>
      <c r="L249">
        <f>100*(1-(M249/K249))</f>
        <v>6.9999999999999947</v>
      </c>
      <c r="M249">
        <f>I249*SUM(M250)</f>
        <v>1987466.0231999999</v>
      </c>
      <c r="N249">
        <v>249</v>
      </c>
      <c r="O249" s="91" t="s">
        <v>781</v>
      </c>
      <c r="P249" s="119"/>
      <c r="Q249" s="119"/>
      <c r="R249" s="91" t="s">
        <v>998</v>
      </c>
      <c r="S249" s="91" t="s">
        <v>1056</v>
      </c>
      <c r="T249" s="91" t="s">
        <v>1085</v>
      </c>
      <c r="U249" s="91" t="s">
        <v>1027</v>
      </c>
    </row>
    <row r="250" spans="1:21" x14ac:dyDescent="0.25">
      <c r="A250" s="91" t="s">
        <v>782</v>
      </c>
      <c r="B250" s="91">
        <v>5</v>
      </c>
      <c r="C250" s="91" t="s">
        <v>779</v>
      </c>
      <c r="D250" s="91" t="s">
        <v>59</v>
      </c>
      <c r="E250">
        <v>493</v>
      </c>
      <c r="F250">
        <v>500</v>
      </c>
      <c r="G250" s="94" t="s">
        <v>93</v>
      </c>
      <c r="H250" t="s">
        <v>777</v>
      </c>
      <c r="I250">
        <v>1</v>
      </c>
      <c r="J250">
        <f>SUM(K251,K252,K253)</f>
        <v>2137060.2399999998</v>
      </c>
      <c r="K250">
        <f>I250*J250</f>
        <v>2137060.2399999998</v>
      </c>
      <c r="L250">
        <f>100*(1-(M250/K250))</f>
        <v>6.9999999999999947</v>
      </c>
      <c r="M250">
        <f>I250*SUM(M251,M252,M253)</f>
        <v>1987466.0231999999</v>
      </c>
      <c r="N250">
        <v>250</v>
      </c>
      <c r="O250" s="91" t="s">
        <v>783</v>
      </c>
      <c r="P250" s="119"/>
      <c r="Q250" s="119"/>
      <c r="R250" s="91" t="s">
        <v>855</v>
      </c>
      <c r="S250" s="91" t="s">
        <v>931</v>
      </c>
      <c r="T250" s="91" t="s">
        <v>969</v>
      </c>
      <c r="U250" s="91" t="s">
        <v>893</v>
      </c>
    </row>
    <row r="251" spans="1:21" x14ac:dyDescent="0.25">
      <c r="A251" s="91" t="s">
        <v>784</v>
      </c>
      <c r="B251" s="91">
        <v>6</v>
      </c>
      <c r="C251" s="91" t="s">
        <v>782</v>
      </c>
      <c r="D251" s="91" t="s">
        <v>59</v>
      </c>
      <c r="E251">
        <v>494</v>
      </c>
      <c r="F251">
        <v>495</v>
      </c>
      <c r="G251" s="94" t="s">
        <v>59</v>
      </c>
      <c r="H251" t="s">
        <v>785</v>
      </c>
      <c r="I251">
        <v>1</v>
      </c>
      <c r="J251">
        <v>212215.38</v>
      </c>
      <c r="K251">
        <f>I251*J251</f>
        <v>212215.38</v>
      </c>
      <c r="L251">
        <v>7</v>
      </c>
      <c r="M251">
        <f>(1-(L251/100))*K251</f>
        <v>197360.3034</v>
      </c>
      <c r="N251">
        <v>251</v>
      </c>
      <c r="O251" s="91" t="s">
        <v>786</v>
      </c>
      <c r="P251" s="119"/>
      <c r="Q251" s="119"/>
    </row>
    <row r="252" spans="1:21" x14ac:dyDescent="0.25">
      <c r="A252" s="91" t="s">
        <v>787</v>
      </c>
      <c r="B252" s="91">
        <v>6</v>
      </c>
      <c r="C252" s="91" t="s">
        <v>782</v>
      </c>
      <c r="D252" s="91" t="s">
        <v>92</v>
      </c>
      <c r="E252">
        <v>496</v>
      </c>
      <c r="F252">
        <v>497</v>
      </c>
      <c r="G252" s="94" t="s">
        <v>59</v>
      </c>
      <c r="H252" t="s">
        <v>788</v>
      </c>
      <c r="I252">
        <v>1</v>
      </c>
      <c r="J252">
        <v>1888028.31</v>
      </c>
      <c r="K252">
        <f>I252*J252</f>
        <v>1888028.31</v>
      </c>
      <c r="L252">
        <v>7</v>
      </c>
      <c r="M252">
        <f>(1-(L252/100))*K252</f>
        <v>1755866.3282999999</v>
      </c>
      <c r="N252">
        <v>252</v>
      </c>
      <c r="O252" s="91" t="s">
        <v>789</v>
      </c>
      <c r="P252" s="119"/>
      <c r="Q252" s="119"/>
    </row>
    <row r="253" spans="1:21" x14ac:dyDescent="0.25">
      <c r="A253" s="91" t="s">
        <v>790</v>
      </c>
      <c r="B253" s="91">
        <v>6</v>
      </c>
      <c r="C253" s="91" t="s">
        <v>782</v>
      </c>
      <c r="D253" s="91" t="s">
        <v>810</v>
      </c>
      <c r="E253">
        <v>498</v>
      </c>
      <c r="F253">
        <v>499</v>
      </c>
      <c r="G253" s="94" t="s">
        <v>59</v>
      </c>
      <c r="H253" t="s">
        <v>791</v>
      </c>
      <c r="I253">
        <v>1</v>
      </c>
      <c r="J253">
        <v>36816.550000000003</v>
      </c>
      <c r="K253">
        <f>I253*J253</f>
        <v>36816.550000000003</v>
      </c>
      <c r="L253">
        <v>7</v>
      </c>
      <c r="M253">
        <f>(1-(L253/100))*K253</f>
        <v>34239.391499999998</v>
      </c>
      <c r="N253">
        <v>253</v>
      </c>
      <c r="O253" s="91" t="s">
        <v>792</v>
      </c>
      <c r="P253" s="119"/>
      <c r="Q253" s="119"/>
    </row>
    <row r="254" spans="1:21" x14ac:dyDescent="0.25">
      <c r="A254" s="91" t="s">
        <v>793</v>
      </c>
      <c r="B254" s="91">
        <v>3</v>
      </c>
      <c r="C254" s="91" t="s">
        <v>558</v>
      </c>
      <c r="D254" s="91" t="s">
        <v>814</v>
      </c>
      <c r="E254">
        <v>503</v>
      </c>
      <c r="F254">
        <v>514</v>
      </c>
      <c r="G254" s="94" t="s">
        <v>93</v>
      </c>
      <c r="H254" t="s">
        <v>794</v>
      </c>
      <c r="I254">
        <v>1</v>
      </c>
      <c r="J254">
        <f>SUM(K255)</f>
        <v>514187.55</v>
      </c>
      <c r="K254">
        <f>I254*J254</f>
        <v>514187.55</v>
      </c>
      <c r="L254">
        <f>100*(1-(M254/K254))</f>
        <v>6.9999999999999947</v>
      </c>
      <c r="M254">
        <f>I254*SUM(M255)</f>
        <v>478194.4215</v>
      </c>
      <c r="N254">
        <v>254</v>
      </c>
      <c r="O254" s="91" t="s">
        <v>795</v>
      </c>
      <c r="P254" s="119"/>
      <c r="Q254" s="119"/>
      <c r="R254" s="91" t="s">
        <v>1110</v>
      </c>
      <c r="S254" s="91" t="s">
        <v>1158</v>
      </c>
      <c r="T254" s="91" t="s">
        <v>1182</v>
      </c>
      <c r="U254" s="91" t="s">
        <v>1134</v>
      </c>
    </row>
    <row r="255" spans="1:21" x14ac:dyDescent="0.25">
      <c r="A255" s="91" t="s">
        <v>796</v>
      </c>
      <c r="B255" s="91">
        <v>4</v>
      </c>
      <c r="C255" s="91" t="s">
        <v>793</v>
      </c>
      <c r="D255" s="91" t="s">
        <v>59</v>
      </c>
      <c r="E255">
        <v>504</v>
      </c>
      <c r="F255">
        <v>513</v>
      </c>
      <c r="G255" s="94" t="s">
        <v>93</v>
      </c>
      <c r="H255" t="s">
        <v>797</v>
      </c>
      <c r="I255">
        <v>1</v>
      </c>
      <c r="J255">
        <f>SUM(K256)</f>
        <v>514187.55</v>
      </c>
      <c r="K255">
        <f>I255*J255</f>
        <v>514187.55</v>
      </c>
      <c r="L255">
        <f>100*(1-(M255/K255))</f>
        <v>6.9999999999999947</v>
      </c>
      <c r="M255">
        <f>I255*SUM(M256)</f>
        <v>478194.4215</v>
      </c>
      <c r="N255">
        <v>255</v>
      </c>
      <c r="O255" s="91" t="s">
        <v>798</v>
      </c>
      <c r="P255" s="119"/>
      <c r="Q255" s="119"/>
      <c r="R255" s="91" t="s">
        <v>999</v>
      </c>
      <c r="S255" s="91" t="s">
        <v>1057</v>
      </c>
      <c r="T255" s="91" t="s">
        <v>1086</v>
      </c>
      <c r="U255" s="91" t="s">
        <v>1028</v>
      </c>
    </row>
    <row r="256" spans="1:21" x14ac:dyDescent="0.25">
      <c r="A256" s="91" t="s">
        <v>799</v>
      </c>
      <c r="B256" s="91">
        <v>5</v>
      </c>
      <c r="C256" s="91" t="s">
        <v>796</v>
      </c>
      <c r="D256" s="91" t="s">
        <v>59</v>
      </c>
      <c r="E256">
        <v>505</v>
      </c>
      <c r="F256">
        <v>512</v>
      </c>
      <c r="G256" s="94" t="s">
        <v>93</v>
      </c>
      <c r="H256" t="s">
        <v>794</v>
      </c>
      <c r="I256">
        <v>1</v>
      </c>
      <c r="J256">
        <f>SUM(K257,K258,K259)</f>
        <v>514187.55</v>
      </c>
      <c r="K256">
        <f>I256*J256</f>
        <v>514187.55</v>
      </c>
      <c r="L256">
        <f>100*(1-(M256/K256))</f>
        <v>6.9999999999999947</v>
      </c>
      <c r="M256">
        <f>I256*SUM(M257,M258,M259)</f>
        <v>478194.4215</v>
      </c>
      <c r="N256">
        <v>256</v>
      </c>
      <c r="O256" s="91" t="s">
        <v>800</v>
      </c>
      <c r="P256" s="119"/>
      <c r="Q256" s="119"/>
      <c r="R256" s="91" t="s">
        <v>856</v>
      </c>
      <c r="S256" s="91" t="s">
        <v>932</v>
      </c>
      <c r="T256" s="91" t="s">
        <v>970</v>
      </c>
      <c r="U256" s="91" t="s">
        <v>894</v>
      </c>
    </row>
    <row r="257" spans="1:17" x14ac:dyDescent="0.25">
      <c r="A257" s="91" t="s">
        <v>801</v>
      </c>
      <c r="B257" s="91">
        <v>6</v>
      </c>
      <c r="C257" s="91" t="s">
        <v>799</v>
      </c>
      <c r="D257" s="91" t="s">
        <v>59</v>
      </c>
      <c r="E257">
        <v>506</v>
      </c>
      <c r="F257">
        <v>507</v>
      </c>
      <c r="G257" s="94" t="s">
        <v>59</v>
      </c>
      <c r="H257" t="s">
        <v>802</v>
      </c>
      <c r="I257">
        <v>1</v>
      </c>
      <c r="J257">
        <v>57876.92</v>
      </c>
      <c r="K257">
        <f>I257*J257</f>
        <v>57876.92</v>
      </c>
      <c r="L257">
        <v>7</v>
      </c>
      <c r="M257">
        <f>(1-(L257/100))*K257</f>
        <v>53825.535599999996</v>
      </c>
      <c r="N257">
        <v>257</v>
      </c>
      <c r="O257" s="91" t="s">
        <v>803</v>
      </c>
      <c r="P257" s="119"/>
      <c r="Q257" s="119"/>
    </row>
    <row r="258" spans="1:17" x14ac:dyDescent="0.25">
      <c r="A258" s="91" t="s">
        <v>804</v>
      </c>
      <c r="B258" s="91">
        <v>6</v>
      </c>
      <c r="C258" s="91" t="s">
        <v>799</v>
      </c>
      <c r="D258" s="91" t="s">
        <v>92</v>
      </c>
      <c r="E258">
        <v>508</v>
      </c>
      <c r="F258">
        <v>509</v>
      </c>
      <c r="G258" s="94" t="s">
        <v>59</v>
      </c>
      <c r="H258" t="s">
        <v>805</v>
      </c>
      <c r="I258">
        <v>1</v>
      </c>
      <c r="J258">
        <v>447582.77</v>
      </c>
      <c r="K258">
        <f>I258*J258</f>
        <v>447582.77</v>
      </c>
      <c r="L258">
        <v>7</v>
      </c>
      <c r="M258">
        <f>(1-(L258/100))*K258</f>
        <v>416251.97609999997</v>
      </c>
      <c r="N258">
        <v>258</v>
      </c>
      <c r="O258" s="91" t="s">
        <v>806</v>
      </c>
      <c r="P258" s="119"/>
      <c r="Q258" s="119"/>
    </row>
    <row r="259" spans="1:17" x14ac:dyDescent="0.25">
      <c r="A259" s="91" t="s">
        <v>807</v>
      </c>
      <c r="B259" s="91">
        <v>6</v>
      </c>
      <c r="C259" s="91" t="s">
        <v>799</v>
      </c>
      <c r="D259" s="91" t="s">
        <v>810</v>
      </c>
      <c r="E259">
        <v>510</v>
      </c>
      <c r="F259">
        <v>511</v>
      </c>
      <c r="G259" s="94" t="s">
        <v>59</v>
      </c>
      <c r="H259" t="s">
        <v>808</v>
      </c>
      <c r="I259">
        <v>1</v>
      </c>
      <c r="J259">
        <v>8727.86</v>
      </c>
      <c r="K259">
        <f>I259*J259</f>
        <v>8727.86</v>
      </c>
      <c r="L259">
        <v>7</v>
      </c>
      <c r="M259">
        <f>(1-(L259/100))*K259</f>
        <v>8116.9098000000004</v>
      </c>
      <c r="N259">
        <v>259</v>
      </c>
      <c r="O259" s="91" t="s">
        <v>809</v>
      </c>
      <c r="P259" s="119"/>
      <c r="Q259" s="119"/>
    </row>
    <row r="260" spans="1:17" x14ac:dyDescent="0.25">
      <c r="G260" s="94"/>
      <c r="P260" s="119"/>
      <c r="Q260" s="119"/>
    </row>
    <row r="261" spans="1:17" x14ac:dyDescent="0.25">
      <c r="G261" s="94"/>
      <c r="P261" s="119"/>
      <c r="Q261" s="119"/>
    </row>
    <row r="262" spans="1:17" x14ac:dyDescent="0.25">
      <c r="G262" s="94"/>
      <c r="P262" s="119"/>
      <c r="Q262" s="119"/>
    </row>
    <row r="263" spans="1:17" x14ac:dyDescent="0.25">
      <c r="G263" s="94"/>
      <c r="P263" s="119"/>
      <c r="Q263" s="119"/>
    </row>
    <row r="264" spans="1:17" x14ac:dyDescent="0.25">
      <c r="G264" s="94"/>
      <c r="P264" s="119"/>
      <c r="Q264" s="119"/>
    </row>
    <row r="265" spans="1:17" x14ac:dyDescent="0.25">
      <c r="G265" s="94"/>
      <c r="P265" s="119"/>
      <c r="Q265" s="119"/>
    </row>
    <row r="266" spans="1:17" x14ac:dyDescent="0.25">
      <c r="G266" s="94"/>
      <c r="P266" s="119"/>
      <c r="Q266" s="119"/>
    </row>
    <row r="267" spans="1:17" x14ac:dyDescent="0.25">
      <c r="G267" s="94"/>
      <c r="P267" s="119"/>
      <c r="Q267" s="119"/>
    </row>
    <row r="268" spans="1:17" x14ac:dyDescent="0.25">
      <c r="G268" s="94"/>
      <c r="P268" s="119"/>
      <c r="Q268" s="119"/>
    </row>
    <row r="269" spans="1:17" x14ac:dyDescent="0.25">
      <c r="G269" s="94"/>
      <c r="P269" s="119"/>
      <c r="Q269" s="119"/>
    </row>
    <row r="270" spans="1:17" x14ac:dyDescent="0.25">
      <c r="G270" s="94"/>
      <c r="P270" s="119"/>
      <c r="Q270" s="119"/>
    </row>
    <row r="271" spans="1:17" x14ac:dyDescent="0.25">
      <c r="G271" s="94"/>
      <c r="P271" s="119"/>
      <c r="Q271" s="119"/>
    </row>
    <row r="272" spans="1:17" x14ac:dyDescent="0.25">
      <c r="G272" s="94"/>
      <c r="P272" s="119"/>
      <c r="Q272" s="119"/>
    </row>
    <row r="273" spans="7:17" x14ac:dyDescent="0.25">
      <c r="G273" s="94"/>
      <c r="P273" s="119"/>
      <c r="Q273" s="119"/>
    </row>
    <row r="274" spans="7:17" x14ac:dyDescent="0.25">
      <c r="G274" s="94"/>
      <c r="P274" s="119"/>
      <c r="Q274" s="119"/>
    </row>
    <row r="275" spans="7:17" x14ac:dyDescent="0.25">
      <c r="G275" s="94"/>
      <c r="P275" s="119"/>
      <c r="Q275" s="119"/>
    </row>
    <row r="276" spans="7:17" x14ac:dyDescent="0.25">
      <c r="G276" s="94"/>
      <c r="P276" s="119"/>
      <c r="Q276" s="119"/>
    </row>
    <row r="277" spans="7:17" x14ac:dyDescent="0.25">
      <c r="G277" s="94"/>
      <c r="P277" s="119"/>
      <c r="Q277" s="119"/>
    </row>
    <row r="278" spans="7:17" x14ac:dyDescent="0.25">
      <c r="G278" s="94"/>
      <c r="P278" s="119"/>
      <c r="Q278" s="119"/>
    </row>
    <row r="279" spans="7:17" x14ac:dyDescent="0.25">
      <c r="G279" s="94"/>
      <c r="P279" s="119"/>
      <c r="Q279" s="119"/>
    </row>
    <row r="280" spans="7:17" x14ac:dyDescent="0.25">
      <c r="G280" s="94"/>
      <c r="P280" s="119"/>
      <c r="Q280" s="119"/>
    </row>
    <row r="281" spans="7:17" x14ac:dyDescent="0.25">
      <c r="G281" s="94"/>
      <c r="P281" s="119"/>
      <c r="Q281" s="119"/>
    </row>
    <row r="282" spans="7:17" x14ac:dyDescent="0.25">
      <c r="G282" s="94"/>
      <c r="P282" s="119"/>
      <c r="Q282" s="119"/>
    </row>
    <row r="283" spans="7:17" x14ac:dyDescent="0.25">
      <c r="G283" s="94"/>
      <c r="P283" s="119"/>
      <c r="Q283" s="119"/>
    </row>
    <row r="284" spans="7:17" x14ac:dyDescent="0.25">
      <c r="G284" s="94"/>
      <c r="P284" s="119"/>
      <c r="Q284" s="119"/>
    </row>
    <row r="285" spans="7:17" x14ac:dyDescent="0.25">
      <c r="G285" s="94"/>
      <c r="P285" s="119"/>
      <c r="Q285" s="119"/>
    </row>
    <row r="286" spans="7:17" x14ac:dyDescent="0.25">
      <c r="G286" s="94"/>
      <c r="P286" s="119"/>
      <c r="Q286" s="119"/>
    </row>
    <row r="287" spans="7:17" x14ac:dyDescent="0.25">
      <c r="G287" s="94"/>
      <c r="P287" s="119"/>
      <c r="Q287" s="119"/>
    </row>
    <row r="288" spans="7:17" x14ac:dyDescent="0.25">
      <c r="G288" s="94"/>
      <c r="P288" s="119"/>
      <c r="Q288" s="119"/>
    </row>
    <row r="289" spans="7:17" x14ac:dyDescent="0.25">
      <c r="G289" s="94"/>
      <c r="P289" s="119"/>
      <c r="Q289" s="119"/>
    </row>
    <row r="290" spans="7:17" x14ac:dyDescent="0.25">
      <c r="G290" s="94"/>
      <c r="P290" s="119"/>
      <c r="Q290" s="119"/>
    </row>
    <row r="291" spans="7:17" x14ac:dyDescent="0.25">
      <c r="G291" s="94"/>
      <c r="P291" s="119"/>
      <c r="Q291" s="119"/>
    </row>
    <row r="292" spans="7:17" x14ac:dyDescent="0.25">
      <c r="G292" s="94"/>
      <c r="P292" s="119"/>
      <c r="Q292" s="119"/>
    </row>
    <row r="293" spans="7:17" x14ac:dyDescent="0.25">
      <c r="G293" s="94"/>
      <c r="P293" s="119"/>
      <c r="Q293" s="119"/>
    </row>
    <row r="294" spans="7:17" x14ac:dyDescent="0.25">
      <c r="G294" s="94"/>
      <c r="P294" s="119"/>
      <c r="Q294" s="119"/>
    </row>
    <row r="295" spans="7:17" x14ac:dyDescent="0.25">
      <c r="G295" s="94"/>
      <c r="P295" s="119"/>
      <c r="Q295" s="119"/>
    </row>
    <row r="296" spans="7:17" x14ac:dyDescent="0.25">
      <c r="G296" s="94"/>
      <c r="P296" s="119"/>
      <c r="Q296" s="119"/>
    </row>
    <row r="297" spans="7:17" x14ac:dyDescent="0.25">
      <c r="G297" s="94"/>
      <c r="P297" s="119"/>
      <c r="Q297" s="119"/>
    </row>
    <row r="298" spans="7:17" x14ac:dyDescent="0.25">
      <c r="G298" s="94"/>
      <c r="P298" s="119"/>
      <c r="Q298" s="119"/>
    </row>
    <row r="299" spans="7:17" x14ac:dyDescent="0.25">
      <c r="G299" s="94"/>
      <c r="P299" s="119"/>
      <c r="Q299" s="119"/>
    </row>
    <row r="300" spans="7:17" x14ac:dyDescent="0.25">
      <c r="G300" s="94"/>
      <c r="P300" s="119"/>
      <c r="Q300" s="119"/>
    </row>
    <row r="301" spans="7:17" x14ac:dyDescent="0.25">
      <c r="G301" s="94"/>
      <c r="P301" s="119"/>
      <c r="Q301" s="119"/>
    </row>
    <row r="302" spans="7:17" x14ac:dyDescent="0.25">
      <c r="G302" s="94"/>
      <c r="P302" s="119"/>
      <c r="Q302" s="119"/>
    </row>
    <row r="303" spans="7:17" x14ac:dyDescent="0.25">
      <c r="G303" s="94"/>
      <c r="P303" s="119"/>
      <c r="Q303" s="119"/>
    </row>
    <row r="304" spans="7:17" x14ac:dyDescent="0.25">
      <c r="G304" s="94"/>
      <c r="P304" s="119"/>
      <c r="Q304" s="119"/>
    </row>
    <row r="305" spans="7:17" x14ac:dyDescent="0.25">
      <c r="G305" s="94"/>
      <c r="P305" s="119"/>
      <c r="Q305" s="119"/>
    </row>
    <row r="306" spans="7:17" x14ac:dyDescent="0.25">
      <c r="G306" s="94"/>
      <c r="P306" s="119"/>
      <c r="Q306" s="119"/>
    </row>
    <row r="307" spans="7:17" x14ac:dyDescent="0.25">
      <c r="G307" s="94"/>
      <c r="P307" s="119"/>
      <c r="Q307" s="119"/>
    </row>
    <row r="308" spans="7:17" x14ac:dyDescent="0.25">
      <c r="G308" s="94"/>
      <c r="P308" s="119"/>
      <c r="Q308" s="119"/>
    </row>
    <row r="309" spans="7:17" x14ac:dyDescent="0.25">
      <c r="G309" s="94"/>
      <c r="P309" s="119"/>
      <c r="Q309" s="119"/>
    </row>
    <row r="310" spans="7:17" x14ac:dyDescent="0.25">
      <c r="G310" s="94"/>
      <c r="P310" s="119"/>
      <c r="Q310" s="119"/>
    </row>
    <row r="311" spans="7:17" x14ac:dyDescent="0.25">
      <c r="G311" s="94"/>
      <c r="P311" s="119"/>
      <c r="Q311" s="119"/>
    </row>
    <row r="312" spans="7:17" x14ac:dyDescent="0.25">
      <c r="G312" s="94"/>
      <c r="P312" s="119"/>
      <c r="Q312" s="119"/>
    </row>
    <row r="313" spans="7:17" x14ac:dyDescent="0.25">
      <c r="G313" s="94"/>
      <c r="P313" s="119"/>
      <c r="Q313" s="119"/>
    </row>
    <row r="314" spans="7:17" x14ac:dyDescent="0.25">
      <c r="G314" s="94"/>
      <c r="P314" s="119"/>
      <c r="Q314" s="119"/>
    </row>
    <row r="315" spans="7:17" x14ac:dyDescent="0.25">
      <c r="G315" s="94"/>
      <c r="P315" s="119"/>
      <c r="Q315" s="119"/>
    </row>
    <row r="316" spans="7:17" x14ac:dyDescent="0.25">
      <c r="G316" s="94"/>
      <c r="P316" s="119"/>
      <c r="Q316" s="119"/>
    </row>
    <row r="317" spans="7:17" x14ac:dyDescent="0.25">
      <c r="G317" s="94"/>
      <c r="P317" s="119"/>
      <c r="Q317" s="119"/>
    </row>
    <row r="318" spans="7:17" x14ac:dyDescent="0.25">
      <c r="G318" s="94"/>
      <c r="P318" s="119"/>
      <c r="Q318" s="119"/>
    </row>
    <row r="319" spans="7:17" x14ac:dyDescent="0.25">
      <c r="G319" s="94"/>
      <c r="P319" s="119"/>
      <c r="Q319" s="119"/>
    </row>
    <row r="320" spans="7:17" x14ac:dyDescent="0.25">
      <c r="G320" s="94"/>
      <c r="P320" s="119"/>
      <c r="Q320" s="119"/>
    </row>
    <row r="321" spans="7:17" x14ac:dyDescent="0.25">
      <c r="G321" s="94"/>
      <c r="P321" s="119"/>
      <c r="Q321" s="119"/>
    </row>
    <row r="322" spans="7:17" x14ac:dyDescent="0.25">
      <c r="G322" s="94"/>
      <c r="P322" s="119"/>
      <c r="Q322" s="119"/>
    </row>
    <row r="323" spans="7:17" x14ac:dyDescent="0.25">
      <c r="G323" s="94"/>
      <c r="P323" s="119"/>
      <c r="Q323" s="119"/>
    </row>
    <row r="324" spans="7:17" x14ac:dyDescent="0.25">
      <c r="G324" s="94"/>
      <c r="P324" s="119"/>
      <c r="Q324" s="119"/>
    </row>
    <row r="325" spans="7:17" x14ac:dyDescent="0.25">
      <c r="G325" s="94"/>
      <c r="P325" s="119"/>
      <c r="Q325" s="119"/>
    </row>
    <row r="326" spans="7:17" x14ac:dyDescent="0.25">
      <c r="G326" s="94"/>
      <c r="P326" s="119"/>
      <c r="Q326" s="119"/>
    </row>
    <row r="327" spans="7:17" x14ac:dyDescent="0.25">
      <c r="G327" s="94"/>
      <c r="P327" s="119"/>
      <c r="Q327" s="119"/>
    </row>
    <row r="328" spans="7:17" x14ac:dyDescent="0.25">
      <c r="G328" s="94"/>
      <c r="P328" s="119"/>
      <c r="Q328" s="119"/>
    </row>
    <row r="329" spans="7:17" x14ac:dyDescent="0.25">
      <c r="G329" s="94"/>
      <c r="P329" s="119"/>
      <c r="Q329" s="119"/>
    </row>
    <row r="330" spans="7:17" x14ac:dyDescent="0.25">
      <c r="G330" s="94"/>
      <c r="P330" s="119"/>
      <c r="Q330" s="119"/>
    </row>
    <row r="331" spans="7:17" x14ac:dyDescent="0.25">
      <c r="G331" s="94"/>
      <c r="P331" s="119"/>
      <c r="Q331" s="119"/>
    </row>
    <row r="332" spans="7:17" x14ac:dyDescent="0.25">
      <c r="G332" s="94"/>
      <c r="P332" s="119"/>
      <c r="Q332" s="119"/>
    </row>
    <row r="333" spans="7:17" x14ac:dyDescent="0.25">
      <c r="G333" s="94"/>
      <c r="P333" s="119"/>
      <c r="Q333" s="119"/>
    </row>
    <row r="334" spans="7:17" x14ac:dyDescent="0.25">
      <c r="G334" s="94"/>
      <c r="P334" s="119"/>
      <c r="Q334" s="119"/>
    </row>
    <row r="335" spans="7:17" x14ac:dyDescent="0.25">
      <c r="G335" s="94"/>
      <c r="P335" s="119"/>
      <c r="Q335" s="119"/>
    </row>
    <row r="336" spans="7:17" x14ac:dyDescent="0.25">
      <c r="G336" s="94"/>
      <c r="P336" s="119"/>
      <c r="Q336" s="119"/>
    </row>
    <row r="337" spans="7:17" x14ac:dyDescent="0.25">
      <c r="G337" s="94"/>
      <c r="P337" s="119"/>
      <c r="Q337" s="119"/>
    </row>
    <row r="338" spans="7:17" x14ac:dyDescent="0.25">
      <c r="G338" s="94"/>
      <c r="P338" s="119"/>
      <c r="Q338" s="119"/>
    </row>
    <row r="339" spans="7:17" x14ac:dyDescent="0.25">
      <c r="G339" s="94"/>
      <c r="P339" s="119"/>
      <c r="Q339" s="119"/>
    </row>
    <row r="340" spans="7:17" x14ac:dyDescent="0.25">
      <c r="G340" s="94"/>
      <c r="P340" s="119"/>
      <c r="Q340" s="119"/>
    </row>
    <row r="341" spans="7:17" x14ac:dyDescent="0.25">
      <c r="G341" s="94"/>
      <c r="P341" s="119"/>
      <c r="Q341" s="119"/>
    </row>
    <row r="342" spans="7:17" x14ac:dyDescent="0.25">
      <c r="G342" s="94"/>
      <c r="P342" s="119"/>
      <c r="Q342" s="119"/>
    </row>
    <row r="343" spans="7:17" x14ac:dyDescent="0.25">
      <c r="G343" s="94"/>
      <c r="P343" s="119"/>
      <c r="Q343" s="119"/>
    </row>
    <row r="344" spans="7:17" x14ac:dyDescent="0.25">
      <c r="G344" s="94"/>
      <c r="P344" s="119"/>
      <c r="Q344" s="119"/>
    </row>
    <row r="345" spans="7:17" x14ac:dyDescent="0.25">
      <c r="G345" s="94"/>
      <c r="P345" s="119"/>
      <c r="Q345" s="119"/>
    </row>
    <row r="346" spans="7:17" x14ac:dyDescent="0.25">
      <c r="G346" s="94"/>
      <c r="P346" s="119"/>
      <c r="Q346" s="119"/>
    </row>
    <row r="347" spans="7:17" x14ac:dyDescent="0.25">
      <c r="G347" s="94"/>
      <c r="P347" s="119"/>
      <c r="Q347" s="119"/>
    </row>
    <row r="348" spans="7:17" x14ac:dyDescent="0.25">
      <c r="G348" s="94"/>
      <c r="P348" s="119"/>
      <c r="Q348" s="119"/>
    </row>
    <row r="349" spans="7:17" x14ac:dyDescent="0.25">
      <c r="G349" s="94"/>
      <c r="P349" s="119"/>
      <c r="Q349" s="119"/>
    </row>
    <row r="350" spans="7:17" x14ac:dyDescent="0.25">
      <c r="G350" s="94"/>
      <c r="P350" s="119"/>
      <c r="Q350" s="119"/>
    </row>
    <row r="351" spans="7:17" x14ac:dyDescent="0.25">
      <c r="G351" s="94"/>
      <c r="P351" s="119"/>
      <c r="Q351" s="119"/>
    </row>
    <row r="352" spans="7:17" x14ac:dyDescent="0.25">
      <c r="G352" s="94"/>
      <c r="P352" s="119"/>
      <c r="Q352" s="119"/>
    </row>
    <row r="353" spans="7:17" x14ac:dyDescent="0.25">
      <c r="G353" s="94"/>
      <c r="P353" s="119"/>
      <c r="Q353" s="119"/>
    </row>
    <row r="354" spans="7:17" x14ac:dyDescent="0.25">
      <c r="G354" s="94"/>
      <c r="P354" s="119"/>
      <c r="Q354" s="119"/>
    </row>
    <row r="355" spans="7:17" x14ac:dyDescent="0.25">
      <c r="G355" s="94"/>
      <c r="P355" s="119"/>
      <c r="Q355" s="119"/>
    </row>
    <row r="356" spans="7:17" x14ac:dyDescent="0.25">
      <c r="G356" s="94"/>
      <c r="P356" s="119"/>
      <c r="Q356" s="119"/>
    </row>
    <row r="357" spans="7:17" x14ac:dyDescent="0.25">
      <c r="G357" s="94"/>
      <c r="P357" s="119"/>
      <c r="Q357" s="119"/>
    </row>
    <row r="358" spans="7:17" x14ac:dyDescent="0.25">
      <c r="G358" s="94"/>
      <c r="P358" s="119"/>
      <c r="Q358" s="119"/>
    </row>
    <row r="359" spans="7:17" x14ac:dyDescent="0.25">
      <c r="G359" s="94"/>
      <c r="P359" s="119"/>
      <c r="Q359" s="119"/>
    </row>
    <row r="360" spans="7:17" x14ac:dyDescent="0.25">
      <c r="G360" s="94"/>
      <c r="P360" s="119"/>
      <c r="Q360" s="119"/>
    </row>
    <row r="361" spans="7:17" x14ac:dyDescent="0.25">
      <c r="G361" s="94"/>
      <c r="P361" s="119"/>
      <c r="Q361" s="119"/>
    </row>
    <row r="362" spans="7:17" x14ac:dyDescent="0.25">
      <c r="G362" s="94"/>
      <c r="P362" s="119"/>
      <c r="Q362" s="119"/>
    </row>
    <row r="363" spans="7:17" x14ac:dyDescent="0.25">
      <c r="G363" s="94"/>
      <c r="P363" s="119"/>
      <c r="Q363" s="119"/>
    </row>
    <row r="364" spans="7:17" x14ac:dyDescent="0.25">
      <c r="G364" s="94"/>
      <c r="P364" s="119"/>
      <c r="Q364" s="119"/>
    </row>
    <row r="365" spans="7:17" x14ac:dyDescent="0.25">
      <c r="G365" s="94"/>
      <c r="P365" s="119"/>
      <c r="Q365" s="119"/>
    </row>
    <row r="366" spans="7:17" x14ac:dyDescent="0.25">
      <c r="G366" s="94"/>
      <c r="P366" s="119"/>
      <c r="Q366" s="119"/>
    </row>
    <row r="367" spans="7:17" x14ac:dyDescent="0.25">
      <c r="G367" s="94"/>
      <c r="P367" s="119"/>
      <c r="Q367" s="119"/>
    </row>
    <row r="368" spans="7:17" x14ac:dyDescent="0.25">
      <c r="G368" s="94"/>
      <c r="P368" s="119"/>
      <c r="Q368" s="119"/>
    </row>
    <row r="369" spans="7:17" x14ac:dyDescent="0.25">
      <c r="G369" s="94"/>
      <c r="P369" s="119"/>
      <c r="Q369" s="119"/>
    </row>
    <row r="370" spans="7:17" x14ac:dyDescent="0.25">
      <c r="G370" s="94"/>
      <c r="P370" s="119"/>
      <c r="Q370" s="119"/>
    </row>
    <row r="371" spans="7:17" x14ac:dyDescent="0.25">
      <c r="G371" s="94"/>
      <c r="P371" s="119"/>
      <c r="Q371" s="119"/>
    </row>
    <row r="372" spans="7:17" x14ac:dyDescent="0.25">
      <c r="G372" s="94"/>
      <c r="P372" s="119"/>
      <c r="Q372" s="119"/>
    </row>
    <row r="373" spans="7:17" x14ac:dyDescent="0.25">
      <c r="G373" s="94"/>
      <c r="P373" s="119"/>
      <c r="Q373" s="119"/>
    </row>
    <row r="374" spans="7:17" x14ac:dyDescent="0.25">
      <c r="G374" s="94"/>
      <c r="P374" s="119"/>
      <c r="Q374" s="119"/>
    </row>
    <row r="375" spans="7:17" x14ac:dyDescent="0.25">
      <c r="G375" s="94"/>
      <c r="P375" s="119"/>
      <c r="Q375" s="119"/>
    </row>
    <row r="376" spans="7:17" x14ac:dyDescent="0.25">
      <c r="G376" s="94"/>
      <c r="P376" s="119"/>
      <c r="Q376" s="119"/>
    </row>
    <row r="377" spans="7:17" x14ac:dyDescent="0.25">
      <c r="G377" s="94"/>
      <c r="P377" s="119"/>
      <c r="Q377" s="119"/>
    </row>
    <row r="378" spans="7:17" x14ac:dyDescent="0.25">
      <c r="G378" s="94"/>
      <c r="P378" s="119"/>
      <c r="Q378" s="119"/>
    </row>
    <row r="379" spans="7:17" x14ac:dyDescent="0.25">
      <c r="G379" s="94"/>
      <c r="P379" s="119"/>
      <c r="Q379" s="119"/>
    </row>
    <row r="380" spans="7:17" x14ac:dyDescent="0.25">
      <c r="G380" s="94"/>
      <c r="P380" s="119"/>
      <c r="Q380" s="119"/>
    </row>
    <row r="381" spans="7:17" x14ac:dyDescent="0.25">
      <c r="G381" s="94"/>
      <c r="P381" s="119"/>
      <c r="Q381" s="119"/>
    </row>
    <row r="382" spans="7:17" x14ac:dyDescent="0.25">
      <c r="G382" s="94"/>
      <c r="P382" s="119"/>
      <c r="Q382" s="119"/>
    </row>
    <row r="383" spans="7:17" x14ac:dyDescent="0.25">
      <c r="G383" s="94"/>
      <c r="P383" s="119"/>
      <c r="Q383" s="119"/>
    </row>
    <row r="384" spans="7:17" x14ac:dyDescent="0.25">
      <c r="G384" s="94"/>
      <c r="P384" s="119"/>
      <c r="Q384" s="119"/>
    </row>
    <row r="385" spans="7:17" x14ac:dyDescent="0.25">
      <c r="G385" s="94"/>
      <c r="P385" s="119"/>
      <c r="Q385" s="119"/>
    </row>
    <row r="386" spans="7:17" x14ac:dyDescent="0.25">
      <c r="G386" s="94"/>
      <c r="P386" s="119"/>
      <c r="Q386" s="119"/>
    </row>
    <row r="387" spans="7:17" x14ac:dyDescent="0.25">
      <c r="G387" s="94"/>
      <c r="P387" s="119"/>
      <c r="Q387" s="119"/>
    </row>
    <row r="388" spans="7:17" x14ac:dyDescent="0.25">
      <c r="G388" s="94"/>
      <c r="P388" s="119"/>
      <c r="Q388" s="119"/>
    </row>
    <row r="389" spans="7:17" x14ac:dyDescent="0.25">
      <c r="G389" s="94"/>
      <c r="P389" s="119"/>
      <c r="Q389" s="119"/>
    </row>
    <row r="390" spans="7:17" x14ac:dyDescent="0.25">
      <c r="G390" s="94"/>
      <c r="P390" s="119"/>
      <c r="Q390" s="119"/>
    </row>
    <row r="391" spans="7:17" x14ac:dyDescent="0.25">
      <c r="G391" s="94"/>
      <c r="P391" s="119"/>
      <c r="Q391" s="119"/>
    </row>
    <row r="392" spans="7:17" x14ac:dyDescent="0.25">
      <c r="G392" s="94"/>
      <c r="P392" s="119"/>
      <c r="Q392" s="119"/>
    </row>
    <row r="393" spans="7:17" x14ac:dyDescent="0.25">
      <c r="G393" s="94"/>
      <c r="P393" s="119"/>
      <c r="Q393" s="119"/>
    </row>
    <row r="394" spans="7:17" x14ac:dyDescent="0.25">
      <c r="G394" s="94"/>
      <c r="P394" s="119"/>
      <c r="Q394" s="119"/>
    </row>
    <row r="395" spans="7:17" x14ac:dyDescent="0.25">
      <c r="G395" s="94"/>
      <c r="P395" s="119"/>
      <c r="Q395" s="119"/>
    </row>
    <row r="396" spans="7:17" x14ac:dyDescent="0.25">
      <c r="G396" s="94"/>
      <c r="P396" s="119"/>
      <c r="Q396" s="119"/>
    </row>
    <row r="397" spans="7:17" x14ac:dyDescent="0.25">
      <c r="G397" s="94"/>
      <c r="P397" s="119"/>
      <c r="Q397" s="119"/>
    </row>
    <row r="398" spans="7:17" x14ac:dyDescent="0.25">
      <c r="G398" s="94"/>
      <c r="P398" s="119"/>
      <c r="Q398" s="119"/>
    </row>
    <row r="399" spans="7:17" x14ac:dyDescent="0.25">
      <c r="G399" s="94"/>
      <c r="P399" s="119"/>
      <c r="Q399" s="119"/>
    </row>
    <row r="400" spans="7:17" x14ac:dyDescent="0.25">
      <c r="G400" s="94"/>
      <c r="P400" s="119"/>
      <c r="Q400" s="119"/>
    </row>
    <row r="401" spans="7:17" x14ac:dyDescent="0.25">
      <c r="G401" s="94"/>
      <c r="P401" s="119"/>
      <c r="Q401" s="119"/>
    </row>
    <row r="402" spans="7:17" x14ac:dyDescent="0.25">
      <c r="G402" s="94"/>
      <c r="P402" s="119"/>
      <c r="Q402" s="119"/>
    </row>
    <row r="403" spans="7:17" x14ac:dyDescent="0.25">
      <c r="G403" s="94"/>
      <c r="P403" s="119"/>
      <c r="Q403" s="119"/>
    </row>
    <row r="404" spans="7:17" x14ac:dyDescent="0.25">
      <c r="G404" s="94"/>
      <c r="P404" s="119"/>
      <c r="Q404" s="119"/>
    </row>
    <row r="405" spans="7:17" x14ac:dyDescent="0.25">
      <c r="G405" s="94"/>
      <c r="P405" s="119"/>
      <c r="Q405" s="119"/>
    </row>
    <row r="406" spans="7:17" x14ac:dyDescent="0.25">
      <c r="G406" s="94"/>
      <c r="P406" s="119"/>
      <c r="Q406" s="119"/>
    </row>
    <row r="407" spans="7:17" x14ac:dyDescent="0.25">
      <c r="G407" s="94"/>
      <c r="P407" s="119"/>
      <c r="Q407" s="119"/>
    </row>
    <row r="408" spans="7:17" x14ac:dyDescent="0.25">
      <c r="G408" s="94"/>
      <c r="P408" s="119"/>
      <c r="Q408" s="119"/>
    </row>
    <row r="409" spans="7:17" x14ac:dyDescent="0.25">
      <c r="G409" s="94"/>
      <c r="P409" s="119"/>
      <c r="Q409" s="119"/>
    </row>
    <row r="410" spans="7:17" x14ac:dyDescent="0.25">
      <c r="G410" s="94"/>
      <c r="P410" s="119"/>
      <c r="Q410" s="119"/>
    </row>
    <row r="411" spans="7:17" x14ac:dyDescent="0.25">
      <c r="G411" s="94"/>
      <c r="P411" s="119"/>
      <c r="Q411" s="119"/>
    </row>
    <row r="412" spans="7:17" x14ac:dyDescent="0.25">
      <c r="G412" s="94"/>
      <c r="P412" s="119"/>
      <c r="Q412" s="119"/>
    </row>
    <row r="413" spans="7:17" x14ac:dyDescent="0.25">
      <c r="G413" s="94"/>
      <c r="P413" s="119"/>
      <c r="Q413" s="119"/>
    </row>
    <row r="414" spans="7:17" x14ac:dyDescent="0.25">
      <c r="G414" s="94"/>
      <c r="P414" s="119"/>
      <c r="Q414" s="119"/>
    </row>
    <row r="415" spans="7:17" x14ac:dyDescent="0.25">
      <c r="G415" s="94"/>
      <c r="P415" s="119"/>
      <c r="Q415" s="119"/>
    </row>
    <row r="416" spans="7:17" x14ac:dyDescent="0.25">
      <c r="G416" s="94"/>
      <c r="P416" s="119"/>
      <c r="Q416" s="119"/>
    </row>
    <row r="417" spans="7:17" x14ac:dyDescent="0.25">
      <c r="G417" s="94"/>
      <c r="P417" s="119"/>
      <c r="Q417" s="119"/>
    </row>
    <row r="418" spans="7:17" x14ac:dyDescent="0.25">
      <c r="G418" s="94"/>
      <c r="P418" s="119"/>
      <c r="Q418" s="119"/>
    </row>
    <row r="419" spans="7:17" x14ac:dyDescent="0.25">
      <c r="G419" s="94"/>
      <c r="P419" s="119"/>
      <c r="Q419" s="119"/>
    </row>
    <row r="420" spans="7:17" x14ac:dyDescent="0.25">
      <c r="G420" s="94"/>
      <c r="P420" s="119"/>
      <c r="Q420" s="119"/>
    </row>
    <row r="421" spans="7:17" x14ac:dyDescent="0.25">
      <c r="G421" s="94"/>
      <c r="P421" s="119"/>
      <c r="Q421" s="119"/>
    </row>
    <row r="422" spans="7:17" x14ac:dyDescent="0.25">
      <c r="G422" s="94"/>
      <c r="P422" s="119"/>
      <c r="Q422" s="119"/>
    </row>
    <row r="423" spans="7:17" x14ac:dyDescent="0.25">
      <c r="G423" s="94"/>
      <c r="P423" s="119"/>
      <c r="Q423" s="119"/>
    </row>
    <row r="424" spans="7:17" x14ac:dyDescent="0.25">
      <c r="G424" s="94"/>
      <c r="P424" s="119"/>
      <c r="Q424" s="119"/>
    </row>
    <row r="425" spans="7:17" x14ac:dyDescent="0.25">
      <c r="G425" s="94"/>
      <c r="P425" s="119"/>
      <c r="Q425" s="119"/>
    </row>
    <row r="426" spans="7:17" x14ac:dyDescent="0.25">
      <c r="G426" s="94"/>
      <c r="P426" s="119"/>
      <c r="Q426" s="119"/>
    </row>
    <row r="427" spans="7:17" x14ac:dyDescent="0.25">
      <c r="G427" s="94"/>
      <c r="P427" s="119"/>
      <c r="Q427" s="119"/>
    </row>
    <row r="428" spans="7:17" x14ac:dyDescent="0.25">
      <c r="G428" s="94"/>
      <c r="P428" s="119"/>
      <c r="Q428" s="119"/>
    </row>
    <row r="429" spans="7:17" x14ac:dyDescent="0.25">
      <c r="G429" s="94"/>
      <c r="P429" s="119"/>
      <c r="Q429" s="119"/>
    </row>
    <row r="430" spans="7:17" x14ac:dyDescent="0.25">
      <c r="G430" s="94"/>
      <c r="P430" s="119"/>
      <c r="Q430" s="119"/>
    </row>
    <row r="431" spans="7:17" x14ac:dyDescent="0.25">
      <c r="G431" s="94"/>
      <c r="P431" s="119"/>
      <c r="Q431" s="119"/>
    </row>
    <row r="432" spans="7:17" x14ac:dyDescent="0.25">
      <c r="G432" s="94"/>
      <c r="P432" s="119"/>
      <c r="Q432" s="119"/>
    </row>
    <row r="433" spans="7:17" x14ac:dyDescent="0.25">
      <c r="G433" s="94"/>
      <c r="P433" s="119"/>
      <c r="Q433" s="119"/>
    </row>
    <row r="434" spans="7:17" x14ac:dyDescent="0.25">
      <c r="G434" s="94"/>
      <c r="P434" s="119"/>
      <c r="Q434" s="119"/>
    </row>
    <row r="435" spans="7:17" x14ac:dyDescent="0.25">
      <c r="G435" s="94"/>
      <c r="P435" s="119"/>
      <c r="Q435" s="119"/>
    </row>
    <row r="436" spans="7:17" x14ac:dyDescent="0.25">
      <c r="G436" s="94"/>
      <c r="P436" s="119"/>
      <c r="Q436" s="119"/>
    </row>
    <row r="437" spans="7:17" x14ac:dyDescent="0.25">
      <c r="G437" s="94"/>
      <c r="P437" s="119"/>
      <c r="Q437" s="119"/>
    </row>
    <row r="438" spans="7:17" x14ac:dyDescent="0.25">
      <c r="G438" s="94"/>
      <c r="P438" s="119"/>
      <c r="Q438" s="119"/>
    </row>
    <row r="439" spans="7:17" x14ac:dyDescent="0.25">
      <c r="G439" s="94"/>
      <c r="P439" s="119"/>
      <c r="Q439" s="119"/>
    </row>
    <row r="440" spans="7:17" x14ac:dyDescent="0.25">
      <c r="G440" s="94"/>
      <c r="P440" s="119"/>
      <c r="Q440" s="119"/>
    </row>
    <row r="441" spans="7:17" x14ac:dyDescent="0.25">
      <c r="G441" s="94"/>
      <c r="P441" s="119"/>
      <c r="Q441" s="119"/>
    </row>
    <row r="442" spans="7:17" x14ac:dyDescent="0.25">
      <c r="G442" s="94"/>
      <c r="P442" s="119"/>
      <c r="Q442" s="119"/>
    </row>
    <row r="443" spans="7:17" x14ac:dyDescent="0.25">
      <c r="G443" s="94"/>
      <c r="P443" s="119"/>
      <c r="Q443" s="119"/>
    </row>
    <row r="444" spans="7:17" x14ac:dyDescent="0.25">
      <c r="G444" s="94"/>
      <c r="P444" s="119"/>
      <c r="Q444" s="119"/>
    </row>
    <row r="445" spans="7:17" x14ac:dyDescent="0.25">
      <c r="G445" s="94"/>
      <c r="P445" s="119"/>
      <c r="Q445" s="119"/>
    </row>
    <row r="446" spans="7:17" x14ac:dyDescent="0.25">
      <c r="G446" s="94"/>
      <c r="P446" s="119"/>
      <c r="Q446" s="119"/>
    </row>
    <row r="447" spans="7:17" x14ac:dyDescent="0.25">
      <c r="G447" s="94"/>
      <c r="P447" s="119"/>
      <c r="Q447" s="119"/>
    </row>
    <row r="448" spans="7:17" x14ac:dyDescent="0.25">
      <c r="G448" s="94"/>
      <c r="P448" s="119"/>
      <c r="Q448" s="119"/>
    </row>
    <row r="449" spans="7:17" x14ac:dyDescent="0.25">
      <c r="G449" s="94"/>
      <c r="P449" s="119"/>
      <c r="Q449" s="119"/>
    </row>
    <row r="450" spans="7:17" x14ac:dyDescent="0.25">
      <c r="G450" s="94"/>
      <c r="P450" s="119"/>
      <c r="Q450" s="119"/>
    </row>
    <row r="451" spans="7:17" x14ac:dyDescent="0.25">
      <c r="G451" s="94"/>
      <c r="P451" s="119"/>
      <c r="Q451" s="119"/>
    </row>
    <row r="452" spans="7:17" x14ac:dyDescent="0.25">
      <c r="G452" s="94"/>
      <c r="P452" s="119"/>
      <c r="Q452" s="119"/>
    </row>
    <row r="453" spans="7:17" x14ac:dyDescent="0.25">
      <c r="G453" s="94"/>
      <c r="P453" s="119"/>
      <c r="Q453" s="119"/>
    </row>
    <row r="454" spans="7:17" x14ac:dyDescent="0.25">
      <c r="G454" s="94"/>
      <c r="P454" s="119"/>
      <c r="Q454" s="119"/>
    </row>
    <row r="455" spans="7:17" x14ac:dyDescent="0.25">
      <c r="G455" s="94"/>
      <c r="P455" s="119"/>
      <c r="Q455" s="119"/>
    </row>
    <row r="456" spans="7:17" x14ac:dyDescent="0.25">
      <c r="G456" s="94"/>
      <c r="P456" s="119"/>
      <c r="Q456" s="119"/>
    </row>
    <row r="457" spans="7:17" x14ac:dyDescent="0.25">
      <c r="G457" s="94"/>
      <c r="P457" s="119"/>
      <c r="Q457" s="119"/>
    </row>
    <row r="458" spans="7:17" x14ac:dyDescent="0.25">
      <c r="G458" s="94"/>
      <c r="P458" s="119"/>
      <c r="Q458" s="119"/>
    </row>
    <row r="459" spans="7:17" x14ac:dyDescent="0.25">
      <c r="G459" s="94"/>
      <c r="P459" s="119"/>
      <c r="Q459" s="119"/>
    </row>
    <row r="460" spans="7:17" x14ac:dyDescent="0.25">
      <c r="G460" s="94"/>
      <c r="P460" s="119"/>
      <c r="Q460" s="119"/>
    </row>
    <row r="461" spans="7:17" x14ac:dyDescent="0.25">
      <c r="G461" s="94"/>
      <c r="P461" s="119"/>
      <c r="Q461" s="119"/>
    </row>
    <row r="462" spans="7:17" x14ac:dyDescent="0.25">
      <c r="G462" s="94"/>
      <c r="P462" s="119"/>
      <c r="Q462" s="119"/>
    </row>
    <row r="463" spans="7:17" x14ac:dyDescent="0.25">
      <c r="G463" s="94"/>
      <c r="P463" s="119"/>
      <c r="Q463" s="119"/>
    </row>
    <row r="464" spans="7:17" x14ac:dyDescent="0.25">
      <c r="G464" s="94"/>
      <c r="P464" s="119"/>
      <c r="Q464" s="119"/>
    </row>
    <row r="465" spans="7:17" x14ac:dyDescent="0.25">
      <c r="G465" s="94"/>
      <c r="P465" s="119"/>
      <c r="Q465" s="119"/>
    </row>
    <row r="466" spans="7:17" x14ac:dyDescent="0.25">
      <c r="G466" s="94"/>
      <c r="P466" s="119"/>
      <c r="Q466" s="119"/>
    </row>
    <row r="467" spans="7:17" x14ac:dyDescent="0.25">
      <c r="G467" s="94"/>
      <c r="P467" s="119"/>
      <c r="Q467" s="119"/>
    </row>
    <row r="468" spans="7:17" x14ac:dyDescent="0.25">
      <c r="G468" s="94"/>
      <c r="P468" s="119"/>
      <c r="Q468" s="119"/>
    </row>
    <row r="469" spans="7:17" x14ac:dyDescent="0.25">
      <c r="G469" s="94"/>
      <c r="P469" s="119"/>
      <c r="Q469" s="119"/>
    </row>
    <row r="470" spans="7:17" x14ac:dyDescent="0.25">
      <c r="G470" s="94"/>
      <c r="P470" s="119"/>
      <c r="Q470" s="119"/>
    </row>
    <row r="471" spans="7:17" x14ac:dyDescent="0.25">
      <c r="G471" s="94"/>
      <c r="P471" s="119"/>
      <c r="Q471" s="119"/>
    </row>
    <row r="472" spans="7:17" x14ac:dyDescent="0.25">
      <c r="G472" s="94"/>
      <c r="P472" s="119"/>
      <c r="Q472" s="119"/>
    </row>
    <row r="473" spans="7:17" x14ac:dyDescent="0.25">
      <c r="G473" s="94"/>
      <c r="P473" s="119"/>
      <c r="Q473" s="119"/>
    </row>
    <row r="474" spans="7:17" x14ac:dyDescent="0.25">
      <c r="G474" s="94"/>
      <c r="P474" s="119"/>
      <c r="Q474" s="119"/>
    </row>
    <row r="475" spans="7:17" x14ac:dyDescent="0.25">
      <c r="G475" s="94"/>
      <c r="P475" s="119"/>
      <c r="Q475" s="119"/>
    </row>
    <row r="476" spans="7:17" x14ac:dyDescent="0.25">
      <c r="G476" s="94"/>
      <c r="P476" s="119"/>
      <c r="Q476" s="119"/>
    </row>
    <row r="477" spans="7:17" x14ac:dyDescent="0.25">
      <c r="G477" s="94"/>
      <c r="P477" s="119"/>
      <c r="Q477" s="119"/>
    </row>
    <row r="478" spans="7:17" x14ac:dyDescent="0.25">
      <c r="G478" s="94"/>
      <c r="P478" s="119"/>
      <c r="Q478" s="119"/>
    </row>
    <row r="479" spans="7:17" x14ac:dyDescent="0.25">
      <c r="G479" s="94"/>
      <c r="P479" s="119"/>
      <c r="Q479" s="119"/>
    </row>
    <row r="480" spans="7:17" x14ac:dyDescent="0.25">
      <c r="G480" s="94"/>
      <c r="P480" s="119"/>
      <c r="Q480" s="119"/>
    </row>
    <row r="481" spans="7:17" x14ac:dyDescent="0.25">
      <c r="G481" s="94"/>
      <c r="P481" s="119"/>
      <c r="Q481" s="119"/>
    </row>
    <row r="482" spans="7:17" x14ac:dyDescent="0.25">
      <c r="G482" s="94"/>
      <c r="P482" s="119"/>
      <c r="Q482" s="119"/>
    </row>
    <row r="483" spans="7:17" x14ac:dyDescent="0.25">
      <c r="G483" s="94"/>
      <c r="P483" s="119"/>
      <c r="Q483" s="119"/>
    </row>
    <row r="484" spans="7:17" x14ac:dyDescent="0.25">
      <c r="G484" s="94"/>
      <c r="P484" s="119"/>
      <c r="Q484" s="119"/>
    </row>
    <row r="485" spans="7:17" x14ac:dyDescent="0.25">
      <c r="G485" s="94"/>
      <c r="P485" s="119"/>
      <c r="Q485" s="119"/>
    </row>
    <row r="486" spans="7:17" x14ac:dyDescent="0.25">
      <c r="G486" s="94"/>
      <c r="P486" s="119"/>
      <c r="Q486" s="119"/>
    </row>
    <row r="487" spans="7:17" x14ac:dyDescent="0.25">
      <c r="G487" s="94"/>
      <c r="P487" s="119"/>
      <c r="Q487" s="119"/>
    </row>
    <row r="488" spans="7:17" x14ac:dyDescent="0.25">
      <c r="G488" s="94"/>
      <c r="P488" s="119"/>
      <c r="Q488" s="119"/>
    </row>
    <row r="489" spans="7:17" x14ac:dyDescent="0.25">
      <c r="G489" s="94"/>
      <c r="P489" s="119"/>
      <c r="Q489" s="119"/>
    </row>
    <row r="490" spans="7:17" x14ac:dyDescent="0.25">
      <c r="G490" s="94"/>
      <c r="P490" s="119"/>
      <c r="Q490" s="119"/>
    </row>
    <row r="491" spans="7:17" x14ac:dyDescent="0.25">
      <c r="G491" s="94"/>
      <c r="P491" s="119"/>
      <c r="Q491" s="119"/>
    </row>
    <row r="492" spans="7:17" x14ac:dyDescent="0.25">
      <c r="G492" s="94"/>
      <c r="P492" s="119"/>
      <c r="Q492" s="119"/>
    </row>
    <row r="493" spans="7:17" x14ac:dyDescent="0.25">
      <c r="G493" s="94"/>
      <c r="P493" s="119"/>
      <c r="Q493" s="119"/>
    </row>
    <row r="494" spans="7:17" x14ac:dyDescent="0.25">
      <c r="G494" s="94"/>
      <c r="P494" s="119"/>
      <c r="Q494" s="119"/>
    </row>
    <row r="495" spans="7:17" x14ac:dyDescent="0.25">
      <c r="G495" s="94"/>
      <c r="P495" s="119"/>
      <c r="Q495" s="119"/>
    </row>
    <row r="496" spans="7:17" x14ac:dyDescent="0.25">
      <c r="G496" s="94"/>
      <c r="P496" s="119"/>
      <c r="Q496" s="119"/>
    </row>
    <row r="497" spans="7:17" x14ac:dyDescent="0.25">
      <c r="G497" s="94"/>
      <c r="P497" s="119"/>
      <c r="Q497" s="119"/>
    </row>
    <row r="498" spans="7:17" x14ac:dyDescent="0.25">
      <c r="G498" s="94"/>
      <c r="P498" s="119"/>
      <c r="Q498" s="119"/>
    </row>
    <row r="499" spans="7:17" x14ac:dyDescent="0.25">
      <c r="G499" s="94"/>
      <c r="P499" s="119"/>
      <c r="Q499" s="119"/>
    </row>
    <row r="500" spans="7:17" x14ac:dyDescent="0.25">
      <c r="G500" s="94"/>
      <c r="P500" s="119"/>
      <c r="Q500" s="119"/>
    </row>
    <row r="501" spans="7:17" x14ac:dyDescent="0.25">
      <c r="G501" s="94"/>
      <c r="P501" s="119"/>
      <c r="Q501" s="119"/>
    </row>
    <row r="502" spans="7:17" x14ac:dyDescent="0.25">
      <c r="G502" s="94"/>
      <c r="P502" s="119"/>
      <c r="Q502" s="119"/>
    </row>
    <row r="503" spans="7:17" x14ac:dyDescent="0.25">
      <c r="G503" s="94"/>
      <c r="P503" s="119"/>
      <c r="Q503" s="119"/>
    </row>
    <row r="504" spans="7:17" x14ac:dyDescent="0.25">
      <c r="G504" s="94"/>
      <c r="P504" s="119"/>
      <c r="Q504" s="119"/>
    </row>
    <row r="505" spans="7:17" x14ac:dyDescent="0.25">
      <c r="G505" s="94"/>
      <c r="P505" s="119"/>
      <c r="Q505" s="119"/>
    </row>
    <row r="506" spans="7:17" x14ac:dyDescent="0.25">
      <c r="G506" s="94"/>
      <c r="P506" s="119"/>
      <c r="Q506" s="119"/>
    </row>
    <row r="507" spans="7:17" x14ac:dyDescent="0.25">
      <c r="G507" s="94"/>
      <c r="P507" s="119"/>
      <c r="Q507" s="119"/>
    </row>
    <row r="508" spans="7:17" x14ac:dyDescent="0.25">
      <c r="G508" s="94"/>
      <c r="P508" s="119"/>
      <c r="Q508" s="119"/>
    </row>
    <row r="509" spans="7:17" x14ac:dyDescent="0.25">
      <c r="G509" s="94"/>
      <c r="P509" s="119"/>
      <c r="Q509" s="119"/>
    </row>
    <row r="510" spans="7:17" x14ac:dyDescent="0.25">
      <c r="G510" s="94"/>
      <c r="P510" s="119"/>
      <c r="Q510" s="119"/>
    </row>
    <row r="511" spans="7:17" x14ac:dyDescent="0.25">
      <c r="G511" s="94"/>
      <c r="P511" s="119"/>
      <c r="Q511" s="119"/>
    </row>
    <row r="512" spans="7:17" x14ac:dyDescent="0.25">
      <c r="G512" s="94"/>
      <c r="P512" s="119"/>
      <c r="Q512" s="119"/>
    </row>
    <row r="513" spans="7:17" x14ac:dyDescent="0.25">
      <c r="G513" s="94"/>
      <c r="P513" s="119"/>
      <c r="Q513" s="119"/>
    </row>
    <row r="514" spans="7:17" x14ac:dyDescent="0.25">
      <c r="G514" s="94"/>
      <c r="P514" s="119"/>
      <c r="Q514" s="119"/>
    </row>
    <row r="515" spans="7:17" x14ac:dyDescent="0.25">
      <c r="G515" s="94"/>
      <c r="P515" s="119"/>
      <c r="Q515" s="119"/>
    </row>
    <row r="516" spans="7:17" x14ac:dyDescent="0.25">
      <c r="G516" s="94"/>
      <c r="P516" s="119"/>
      <c r="Q516" s="119"/>
    </row>
    <row r="517" spans="7:17" x14ac:dyDescent="0.25">
      <c r="G517" s="94"/>
      <c r="P517" s="119"/>
      <c r="Q517" s="119"/>
    </row>
    <row r="518" spans="7:17" x14ac:dyDescent="0.25">
      <c r="G518" s="94"/>
      <c r="P518" s="119"/>
      <c r="Q518" s="119"/>
    </row>
    <row r="519" spans="7:17" x14ac:dyDescent="0.25">
      <c r="G519" s="94"/>
      <c r="P519" s="119"/>
      <c r="Q519" s="119"/>
    </row>
    <row r="520" spans="7:17" x14ac:dyDescent="0.25">
      <c r="G520" s="94"/>
      <c r="P520" s="119"/>
      <c r="Q520" s="119"/>
    </row>
    <row r="521" spans="7:17" x14ac:dyDescent="0.25">
      <c r="G521" s="94"/>
      <c r="P521" s="119"/>
      <c r="Q521" s="119"/>
    </row>
    <row r="522" spans="7:17" x14ac:dyDescent="0.25">
      <c r="G522" s="94"/>
      <c r="P522" s="119"/>
      <c r="Q522" s="119"/>
    </row>
    <row r="523" spans="7:17" x14ac:dyDescent="0.25">
      <c r="G523" s="94"/>
      <c r="P523" s="119"/>
      <c r="Q523" s="119"/>
    </row>
    <row r="524" spans="7:17" x14ac:dyDescent="0.25">
      <c r="G524" s="94"/>
      <c r="P524" s="119"/>
      <c r="Q524" s="119"/>
    </row>
    <row r="525" spans="7:17" x14ac:dyDescent="0.25">
      <c r="G525" s="94"/>
      <c r="P525" s="119"/>
      <c r="Q525" s="119"/>
    </row>
    <row r="526" spans="7:17" x14ac:dyDescent="0.25">
      <c r="G526" s="94"/>
      <c r="P526" s="119"/>
      <c r="Q526" s="119"/>
    </row>
    <row r="527" spans="7:17" x14ac:dyDescent="0.25">
      <c r="G527" s="94"/>
      <c r="P527" s="119"/>
      <c r="Q527" s="119"/>
    </row>
    <row r="528" spans="7:17" x14ac:dyDescent="0.25">
      <c r="G528" s="94"/>
      <c r="P528" s="119"/>
      <c r="Q528" s="119"/>
    </row>
    <row r="529" spans="7:17" x14ac:dyDescent="0.25">
      <c r="G529" s="94"/>
      <c r="P529" s="119"/>
      <c r="Q529" s="119"/>
    </row>
    <row r="530" spans="7:17" x14ac:dyDescent="0.25">
      <c r="G530" s="94"/>
      <c r="P530" s="119"/>
      <c r="Q530" s="119"/>
    </row>
    <row r="531" spans="7:17" x14ac:dyDescent="0.25">
      <c r="G531" s="94"/>
      <c r="P531" s="119"/>
      <c r="Q531" s="119"/>
    </row>
    <row r="532" spans="7:17" x14ac:dyDescent="0.25">
      <c r="G532" s="94"/>
      <c r="P532" s="119"/>
      <c r="Q532" s="119"/>
    </row>
    <row r="533" spans="7:17" x14ac:dyDescent="0.25">
      <c r="G533" s="94"/>
      <c r="P533" s="119"/>
      <c r="Q533" s="119"/>
    </row>
    <row r="534" spans="7:17" x14ac:dyDescent="0.25">
      <c r="G534" s="94"/>
      <c r="P534" s="119"/>
      <c r="Q534" s="119"/>
    </row>
    <row r="535" spans="7:17" x14ac:dyDescent="0.25">
      <c r="G535" s="94"/>
      <c r="P535" s="119"/>
      <c r="Q535" s="119"/>
    </row>
    <row r="536" spans="7:17" x14ac:dyDescent="0.25">
      <c r="G536" s="94"/>
      <c r="P536" s="119"/>
      <c r="Q536" s="119"/>
    </row>
    <row r="537" spans="7:17" x14ac:dyDescent="0.25">
      <c r="G537" s="94"/>
      <c r="P537" s="119"/>
      <c r="Q537" s="119"/>
    </row>
    <row r="538" spans="7:17" x14ac:dyDescent="0.25">
      <c r="G538" s="94"/>
      <c r="P538" s="119"/>
      <c r="Q538" s="119"/>
    </row>
    <row r="539" spans="7:17" x14ac:dyDescent="0.25">
      <c r="G539" s="94"/>
      <c r="P539" s="119"/>
      <c r="Q539" s="119"/>
    </row>
    <row r="540" spans="7:17" x14ac:dyDescent="0.25">
      <c r="G540" s="94"/>
      <c r="P540" s="119"/>
      <c r="Q540" s="119"/>
    </row>
    <row r="541" spans="7:17" x14ac:dyDescent="0.25">
      <c r="G541" s="94"/>
      <c r="P541" s="119"/>
      <c r="Q541" s="119"/>
    </row>
    <row r="542" spans="7:17" x14ac:dyDescent="0.25">
      <c r="G542" s="94"/>
      <c r="P542" s="119"/>
      <c r="Q542" s="119"/>
    </row>
    <row r="543" spans="7:17" x14ac:dyDescent="0.25">
      <c r="G543" s="94"/>
      <c r="P543" s="119"/>
      <c r="Q543" s="119"/>
    </row>
    <row r="544" spans="7:17" x14ac:dyDescent="0.25">
      <c r="G544" s="94"/>
      <c r="P544" s="119"/>
      <c r="Q544" s="119"/>
    </row>
    <row r="545" spans="7:17" x14ac:dyDescent="0.25">
      <c r="G545" s="94"/>
      <c r="P545" s="119"/>
      <c r="Q545" s="119"/>
    </row>
    <row r="546" spans="7:17" x14ac:dyDescent="0.25">
      <c r="G546" s="94"/>
      <c r="P546" s="119"/>
      <c r="Q546" s="119"/>
    </row>
    <row r="547" spans="7:17" x14ac:dyDescent="0.25">
      <c r="G547" s="94"/>
      <c r="P547" s="119"/>
      <c r="Q547" s="119"/>
    </row>
    <row r="548" spans="7:17" x14ac:dyDescent="0.25">
      <c r="G548" s="94"/>
      <c r="P548" s="119"/>
      <c r="Q548" s="119"/>
    </row>
    <row r="549" spans="7:17" x14ac:dyDescent="0.25">
      <c r="G549" s="94"/>
      <c r="P549" s="119"/>
      <c r="Q549" s="119"/>
    </row>
    <row r="550" spans="7:17" x14ac:dyDescent="0.25">
      <c r="G550" s="94"/>
      <c r="P550" s="119"/>
      <c r="Q550" s="119"/>
    </row>
    <row r="551" spans="7:17" x14ac:dyDescent="0.25">
      <c r="G551" s="94"/>
      <c r="P551" s="119"/>
      <c r="Q551" s="119"/>
    </row>
    <row r="552" spans="7:17" x14ac:dyDescent="0.25">
      <c r="G552" s="94"/>
      <c r="P552" s="119"/>
      <c r="Q552" s="119"/>
    </row>
    <row r="553" spans="7:17" x14ac:dyDescent="0.25">
      <c r="G553" s="94"/>
      <c r="P553" s="119"/>
      <c r="Q553" s="119"/>
    </row>
    <row r="554" spans="7:17" x14ac:dyDescent="0.25">
      <c r="G554" s="94"/>
      <c r="P554" s="119"/>
      <c r="Q554" s="119"/>
    </row>
    <row r="555" spans="7:17" x14ac:dyDescent="0.25">
      <c r="G555" s="94"/>
      <c r="P555" s="119"/>
      <c r="Q555" s="119"/>
    </row>
    <row r="556" spans="7:17" x14ac:dyDescent="0.25">
      <c r="G556" s="94"/>
      <c r="P556" s="119"/>
      <c r="Q556" s="119"/>
    </row>
    <row r="557" spans="7:17" x14ac:dyDescent="0.25">
      <c r="G557" s="94"/>
      <c r="P557" s="119"/>
      <c r="Q557" s="119"/>
    </row>
    <row r="558" spans="7:17" x14ac:dyDescent="0.25">
      <c r="G558" s="94"/>
      <c r="P558" s="119"/>
      <c r="Q558" s="119"/>
    </row>
    <row r="559" spans="7:17" x14ac:dyDescent="0.25">
      <c r="G559" s="94"/>
      <c r="P559" s="119"/>
      <c r="Q559" s="119"/>
    </row>
    <row r="560" spans="7:17" x14ac:dyDescent="0.25">
      <c r="G560" s="94"/>
      <c r="P560" s="119"/>
      <c r="Q560" s="119"/>
    </row>
    <row r="561" spans="7:17" x14ac:dyDescent="0.25">
      <c r="G561" s="94"/>
      <c r="P561" s="119"/>
      <c r="Q561" s="119"/>
    </row>
    <row r="562" spans="7:17" x14ac:dyDescent="0.25">
      <c r="G562" s="94"/>
      <c r="P562" s="119"/>
      <c r="Q562" s="119"/>
    </row>
    <row r="563" spans="7:17" x14ac:dyDescent="0.25">
      <c r="G563" s="94"/>
      <c r="P563" s="119"/>
      <c r="Q563" s="119"/>
    </row>
    <row r="564" spans="7:17" x14ac:dyDescent="0.25">
      <c r="G564" s="94"/>
      <c r="P564" s="119"/>
      <c r="Q564" s="119"/>
    </row>
    <row r="565" spans="7:17" x14ac:dyDescent="0.25">
      <c r="G565" s="94"/>
      <c r="P565" s="119"/>
      <c r="Q565" s="119"/>
    </row>
    <row r="566" spans="7:17" x14ac:dyDescent="0.25">
      <c r="G566" s="94"/>
      <c r="P566" s="119"/>
      <c r="Q566" s="119"/>
    </row>
    <row r="567" spans="7:17" x14ac:dyDescent="0.25">
      <c r="G567" s="94"/>
      <c r="P567" s="119"/>
      <c r="Q567" s="119"/>
    </row>
    <row r="568" spans="7:17" x14ac:dyDescent="0.25">
      <c r="G568" s="94"/>
      <c r="P568" s="119"/>
      <c r="Q568" s="119"/>
    </row>
    <row r="569" spans="7:17" x14ac:dyDescent="0.25">
      <c r="G569" s="94"/>
      <c r="P569" s="119"/>
      <c r="Q569" s="119"/>
    </row>
    <row r="570" spans="7:17" x14ac:dyDescent="0.25">
      <c r="G570" s="94"/>
      <c r="P570" s="119"/>
      <c r="Q570" s="119"/>
    </row>
    <row r="571" spans="7:17" x14ac:dyDescent="0.25">
      <c r="G571" s="94"/>
      <c r="P571" s="119"/>
      <c r="Q571" s="119"/>
    </row>
    <row r="572" spans="7:17" x14ac:dyDescent="0.25">
      <c r="G572" s="94"/>
      <c r="P572" s="119"/>
      <c r="Q572" s="119"/>
    </row>
    <row r="573" spans="7:17" x14ac:dyDescent="0.25">
      <c r="G573" s="94"/>
      <c r="P573" s="119"/>
      <c r="Q573" s="119"/>
    </row>
    <row r="574" spans="7:17" x14ac:dyDescent="0.25">
      <c r="G574" s="94"/>
      <c r="P574" s="119"/>
      <c r="Q574" s="119"/>
    </row>
    <row r="575" spans="7:17" x14ac:dyDescent="0.25">
      <c r="G575" s="94"/>
      <c r="P575" s="119"/>
      <c r="Q575" s="119"/>
    </row>
    <row r="576" spans="7:17" x14ac:dyDescent="0.25">
      <c r="G576" s="94"/>
      <c r="P576" s="119"/>
      <c r="Q576" s="119"/>
    </row>
    <row r="577" spans="7:17" x14ac:dyDescent="0.25">
      <c r="G577" s="94"/>
      <c r="P577" s="119"/>
      <c r="Q577" s="119"/>
    </row>
    <row r="578" spans="7:17" x14ac:dyDescent="0.25">
      <c r="G578" s="94"/>
      <c r="P578" s="119"/>
      <c r="Q578" s="119"/>
    </row>
    <row r="579" spans="7:17" x14ac:dyDescent="0.25">
      <c r="G579" s="94"/>
      <c r="P579" s="119"/>
      <c r="Q579" s="119"/>
    </row>
    <row r="580" spans="7:17" x14ac:dyDescent="0.25">
      <c r="G580" s="94"/>
      <c r="P580" s="119"/>
      <c r="Q580" s="119"/>
    </row>
    <row r="581" spans="7:17" x14ac:dyDescent="0.25">
      <c r="G581" s="94"/>
      <c r="P581" s="119"/>
      <c r="Q581" s="119"/>
    </row>
    <row r="582" spans="7:17" x14ac:dyDescent="0.25">
      <c r="G582" s="94"/>
      <c r="P582" s="119"/>
      <c r="Q582" s="119"/>
    </row>
    <row r="583" spans="7:17" x14ac:dyDescent="0.25">
      <c r="G583" s="94"/>
      <c r="P583" s="119"/>
      <c r="Q583" s="119"/>
    </row>
    <row r="584" spans="7:17" x14ac:dyDescent="0.25">
      <c r="G584" s="94"/>
      <c r="P584" s="119"/>
      <c r="Q584" s="119"/>
    </row>
    <row r="585" spans="7:17" x14ac:dyDescent="0.25">
      <c r="G585" s="94"/>
      <c r="P585" s="119"/>
      <c r="Q585" s="119"/>
    </row>
    <row r="586" spans="7:17" x14ac:dyDescent="0.25">
      <c r="G586" s="94"/>
      <c r="P586" s="119"/>
      <c r="Q586" s="119"/>
    </row>
    <row r="587" spans="7:17" x14ac:dyDescent="0.25">
      <c r="G587" s="94"/>
      <c r="P587" s="119"/>
      <c r="Q587" s="119"/>
    </row>
    <row r="588" spans="7:17" x14ac:dyDescent="0.25">
      <c r="G588" s="94"/>
      <c r="P588" s="119"/>
      <c r="Q588" s="119"/>
    </row>
    <row r="589" spans="7:17" x14ac:dyDescent="0.25">
      <c r="G589" s="94"/>
      <c r="P589" s="119"/>
      <c r="Q589" s="119"/>
    </row>
    <row r="590" spans="7:17" x14ac:dyDescent="0.25">
      <c r="G590" s="94"/>
      <c r="P590" s="119"/>
      <c r="Q590" s="119"/>
    </row>
    <row r="591" spans="7:17" x14ac:dyDescent="0.25">
      <c r="G591" s="94"/>
      <c r="P591" s="119"/>
      <c r="Q591" s="119"/>
    </row>
    <row r="592" spans="7:17" x14ac:dyDescent="0.25">
      <c r="G592" s="94"/>
      <c r="P592" s="119"/>
      <c r="Q592" s="119"/>
    </row>
    <row r="593" spans="7:17" x14ac:dyDescent="0.25">
      <c r="G593" s="94"/>
      <c r="P593" s="119"/>
      <c r="Q593" s="119"/>
    </row>
    <row r="594" spans="7:17" x14ac:dyDescent="0.25">
      <c r="G594" s="94"/>
      <c r="P594" s="119"/>
      <c r="Q594" s="119"/>
    </row>
    <row r="595" spans="7:17" x14ac:dyDescent="0.25">
      <c r="G595" s="94"/>
      <c r="P595" s="119"/>
      <c r="Q595" s="119"/>
    </row>
    <row r="596" spans="7:17" x14ac:dyDescent="0.25">
      <c r="G596" s="94"/>
      <c r="P596" s="119"/>
      <c r="Q596" s="119"/>
    </row>
    <row r="597" spans="7:17" x14ac:dyDescent="0.25">
      <c r="G597" s="94"/>
      <c r="P597" s="119"/>
      <c r="Q597" s="119"/>
    </row>
    <row r="598" spans="7:17" x14ac:dyDescent="0.25">
      <c r="G598" s="94"/>
      <c r="P598" s="119"/>
      <c r="Q598" s="119"/>
    </row>
    <row r="599" spans="7:17" x14ac:dyDescent="0.25">
      <c r="G599" s="94"/>
      <c r="P599" s="119"/>
      <c r="Q599" s="119"/>
    </row>
    <row r="600" spans="7:17" x14ac:dyDescent="0.25">
      <c r="G600" s="94"/>
      <c r="P600" s="119"/>
      <c r="Q600" s="119"/>
    </row>
    <row r="601" spans="7:17" x14ac:dyDescent="0.25">
      <c r="G601" s="94"/>
      <c r="P601" s="119"/>
      <c r="Q601" s="119"/>
    </row>
    <row r="602" spans="7:17" x14ac:dyDescent="0.25">
      <c r="G602" s="94"/>
      <c r="P602" s="119"/>
      <c r="Q602" s="119"/>
    </row>
    <row r="603" spans="7:17" x14ac:dyDescent="0.25">
      <c r="G603" s="94"/>
      <c r="P603" s="119"/>
      <c r="Q603" s="119"/>
    </row>
    <row r="604" spans="7:17" x14ac:dyDescent="0.25">
      <c r="G604" s="94"/>
      <c r="P604" s="119"/>
      <c r="Q604" s="119"/>
    </row>
    <row r="605" spans="7:17" x14ac:dyDescent="0.25">
      <c r="G605" s="94"/>
      <c r="P605" s="119"/>
      <c r="Q605" s="119"/>
    </row>
    <row r="606" spans="7:17" x14ac:dyDescent="0.25">
      <c r="G606" s="94"/>
      <c r="P606" s="119"/>
      <c r="Q606" s="119"/>
    </row>
    <row r="607" spans="7:17" x14ac:dyDescent="0.25">
      <c r="G607" s="94"/>
      <c r="P607" s="119"/>
      <c r="Q607" s="119"/>
    </row>
    <row r="608" spans="7:17" x14ac:dyDescent="0.25">
      <c r="G608" s="94"/>
      <c r="P608" s="119"/>
      <c r="Q608" s="119"/>
    </row>
    <row r="609" spans="7:17" x14ac:dyDescent="0.25">
      <c r="G609" s="94"/>
      <c r="P609" s="119"/>
      <c r="Q609" s="119"/>
    </row>
    <row r="610" spans="7:17" x14ac:dyDescent="0.25">
      <c r="G610" s="94"/>
      <c r="P610" s="119"/>
      <c r="Q610" s="119"/>
    </row>
    <row r="611" spans="7:17" x14ac:dyDescent="0.25">
      <c r="G611" s="94"/>
      <c r="P611" s="119"/>
      <c r="Q611" s="119"/>
    </row>
    <row r="612" spans="7:17" x14ac:dyDescent="0.25">
      <c r="G612" s="94"/>
      <c r="P612" s="119"/>
      <c r="Q612" s="119"/>
    </row>
    <row r="613" spans="7:17" x14ac:dyDescent="0.25">
      <c r="G613" s="94"/>
      <c r="P613" s="119"/>
      <c r="Q613" s="119"/>
    </row>
    <row r="614" spans="7:17" x14ac:dyDescent="0.25">
      <c r="G614" s="94"/>
      <c r="P614" s="119"/>
      <c r="Q614" s="119"/>
    </row>
    <row r="615" spans="7:17" x14ac:dyDescent="0.25">
      <c r="G615" s="94"/>
      <c r="P615" s="119"/>
      <c r="Q615" s="119"/>
    </row>
    <row r="616" spans="7:17" x14ac:dyDescent="0.25">
      <c r="G616" s="94"/>
      <c r="P616" s="119"/>
      <c r="Q616" s="119"/>
    </row>
    <row r="617" spans="7:17" x14ac:dyDescent="0.25">
      <c r="G617" s="94"/>
      <c r="P617" s="119"/>
      <c r="Q617" s="119"/>
    </row>
    <row r="618" spans="7:17" x14ac:dyDescent="0.25">
      <c r="G618" s="94"/>
      <c r="P618" s="119"/>
      <c r="Q618" s="119"/>
    </row>
    <row r="619" spans="7:17" x14ac:dyDescent="0.25">
      <c r="G619" s="94"/>
      <c r="P619" s="119"/>
      <c r="Q619" s="119"/>
    </row>
    <row r="620" spans="7:17" x14ac:dyDescent="0.25">
      <c r="G620" s="94"/>
      <c r="P620" s="119"/>
      <c r="Q620" s="119"/>
    </row>
    <row r="621" spans="7:17" x14ac:dyDescent="0.25">
      <c r="G621" s="94"/>
      <c r="P621" s="119"/>
      <c r="Q621" s="119"/>
    </row>
    <row r="622" spans="7:17" x14ac:dyDescent="0.25">
      <c r="G622" s="94"/>
      <c r="P622" s="119"/>
      <c r="Q622" s="119"/>
    </row>
    <row r="623" spans="7:17" x14ac:dyDescent="0.25">
      <c r="G623" s="94"/>
      <c r="P623" s="119"/>
      <c r="Q623" s="119"/>
    </row>
    <row r="624" spans="7:17" x14ac:dyDescent="0.25">
      <c r="G624" s="94"/>
      <c r="P624" s="119"/>
      <c r="Q624" s="119"/>
    </row>
    <row r="625" spans="7:17" x14ac:dyDescent="0.25">
      <c r="G625" s="94"/>
      <c r="P625" s="119"/>
      <c r="Q625" s="119"/>
    </row>
    <row r="626" spans="7:17" x14ac:dyDescent="0.25">
      <c r="G626" s="94"/>
      <c r="P626" s="119"/>
      <c r="Q626" s="119"/>
    </row>
    <row r="627" spans="7:17" x14ac:dyDescent="0.25">
      <c r="G627" s="94"/>
      <c r="P627" s="119"/>
      <c r="Q627" s="119"/>
    </row>
    <row r="628" spans="7:17" x14ac:dyDescent="0.25">
      <c r="G628" s="94"/>
      <c r="P628" s="119"/>
      <c r="Q628" s="119"/>
    </row>
    <row r="629" spans="7:17" x14ac:dyDescent="0.25">
      <c r="G629" s="94"/>
      <c r="P629" s="119"/>
      <c r="Q629" s="119"/>
    </row>
    <row r="630" spans="7:17" x14ac:dyDescent="0.25">
      <c r="G630" s="94"/>
      <c r="P630" s="119"/>
      <c r="Q630" s="119"/>
    </row>
    <row r="631" spans="7:17" x14ac:dyDescent="0.25">
      <c r="G631" s="94"/>
      <c r="P631" s="119"/>
      <c r="Q631" s="119"/>
    </row>
    <row r="632" spans="7:17" x14ac:dyDescent="0.25">
      <c r="G632" s="94"/>
      <c r="P632" s="119"/>
      <c r="Q632" s="119"/>
    </row>
    <row r="633" spans="7:17" x14ac:dyDescent="0.25">
      <c r="G633" s="94"/>
      <c r="P633" s="119"/>
      <c r="Q633" s="119"/>
    </row>
    <row r="634" spans="7:17" x14ac:dyDescent="0.25">
      <c r="G634" s="94"/>
      <c r="P634" s="119"/>
      <c r="Q634" s="119"/>
    </row>
    <row r="635" spans="7:17" x14ac:dyDescent="0.25">
      <c r="G635" s="94"/>
      <c r="P635" s="119"/>
      <c r="Q635" s="119"/>
    </row>
    <row r="636" spans="7:17" x14ac:dyDescent="0.25">
      <c r="G636" s="94"/>
      <c r="P636" s="119"/>
      <c r="Q636" s="119"/>
    </row>
    <row r="637" spans="7:17" x14ac:dyDescent="0.25">
      <c r="G637" s="94"/>
      <c r="P637" s="119"/>
      <c r="Q637" s="119"/>
    </row>
    <row r="638" spans="7:17" x14ac:dyDescent="0.25">
      <c r="G638" s="94"/>
      <c r="P638" s="119"/>
      <c r="Q638" s="119"/>
    </row>
    <row r="639" spans="7:17" x14ac:dyDescent="0.25">
      <c r="G639" s="94"/>
      <c r="P639" s="119"/>
      <c r="Q639" s="119"/>
    </row>
    <row r="640" spans="7:17" x14ac:dyDescent="0.25">
      <c r="G640" s="94"/>
      <c r="P640" s="119"/>
      <c r="Q640" s="119"/>
    </row>
    <row r="641" spans="7:17" x14ac:dyDescent="0.25">
      <c r="G641" s="94"/>
      <c r="P641" s="119"/>
      <c r="Q641" s="119"/>
    </row>
    <row r="642" spans="7:17" x14ac:dyDescent="0.25">
      <c r="G642" s="94"/>
      <c r="P642" s="119"/>
      <c r="Q642" s="119"/>
    </row>
    <row r="643" spans="7:17" x14ac:dyDescent="0.25">
      <c r="G643" s="94"/>
      <c r="P643" s="119"/>
      <c r="Q643" s="119"/>
    </row>
    <row r="644" spans="7:17" x14ac:dyDescent="0.25">
      <c r="G644" s="94"/>
      <c r="P644" s="119"/>
      <c r="Q644" s="119"/>
    </row>
    <row r="645" spans="7:17" x14ac:dyDescent="0.25">
      <c r="G645" s="94"/>
      <c r="P645" s="119"/>
      <c r="Q645" s="119"/>
    </row>
    <row r="646" spans="7:17" x14ac:dyDescent="0.25">
      <c r="G646" s="94"/>
      <c r="P646" s="119"/>
      <c r="Q646" s="119"/>
    </row>
    <row r="647" spans="7:17" x14ac:dyDescent="0.25">
      <c r="G647" s="94"/>
      <c r="P647" s="119"/>
      <c r="Q647" s="119"/>
    </row>
    <row r="648" spans="7:17" x14ac:dyDescent="0.25">
      <c r="G648" s="94"/>
      <c r="P648" s="119"/>
      <c r="Q648" s="119"/>
    </row>
    <row r="649" spans="7:17" x14ac:dyDescent="0.25">
      <c r="G649" s="94"/>
      <c r="P649" s="119"/>
      <c r="Q649" s="119"/>
    </row>
    <row r="650" spans="7:17" x14ac:dyDescent="0.25">
      <c r="G650" s="94"/>
      <c r="P650" s="119"/>
      <c r="Q650" s="119"/>
    </row>
    <row r="651" spans="7:17" x14ac:dyDescent="0.25">
      <c r="G651" s="94"/>
      <c r="P651" s="119"/>
      <c r="Q651" s="119"/>
    </row>
    <row r="652" spans="7:17" x14ac:dyDescent="0.25">
      <c r="G652" s="94"/>
      <c r="P652" s="119"/>
      <c r="Q652" s="119"/>
    </row>
    <row r="653" spans="7:17" x14ac:dyDescent="0.25">
      <c r="G653" s="94"/>
      <c r="P653" s="119"/>
      <c r="Q653" s="119"/>
    </row>
    <row r="654" spans="7:17" x14ac:dyDescent="0.25">
      <c r="G654" s="94"/>
      <c r="P654" s="119"/>
      <c r="Q654" s="119"/>
    </row>
    <row r="655" spans="7:17" x14ac:dyDescent="0.25">
      <c r="G655" s="94"/>
      <c r="P655" s="119"/>
      <c r="Q655" s="119"/>
    </row>
    <row r="656" spans="7:17" x14ac:dyDescent="0.25">
      <c r="G656" s="94"/>
      <c r="P656" s="119"/>
      <c r="Q656" s="119"/>
    </row>
    <row r="657" spans="7:17" x14ac:dyDescent="0.25">
      <c r="G657" s="94"/>
      <c r="P657" s="119"/>
      <c r="Q657" s="119"/>
    </row>
    <row r="658" spans="7:17" x14ac:dyDescent="0.25">
      <c r="G658" s="94"/>
      <c r="P658" s="119"/>
      <c r="Q658" s="119"/>
    </row>
  </sheetData>
  <autoFilter ref="A1:G258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>
    <pageSetUpPr fitToPage="1"/>
  </sheetPr>
  <dimension ref="A1:I17"/>
  <sheetViews>
    <sheetView view="pageBreakPreview" zoomScaleNormal="100" workbookViewId="0">
      <selection activeCell="C28" sqref="C28"/>
    </sheetView>
  </sheetViews>
  <sheetFormatPr defaultRowHeight="12.75" x14ac:dyDescent="0.2"/>
  <cols>
    <col min="1" max="1" width="16.42578125" style="1" customWidth="1"/>
    <col min="2" max="2" width="28.28515625" style="1" customWidth="1"/>
    <col min="3" max="3" width="4.7109375" style="1" customWidth="1"/>
    <col min="4" max="4" width="8.7109375" style="1" customWidth="1"/>
    <col min="5" max="5" width="9" style="117" customWidth="1"/>
    <col min="6" max="6" width="12.7109375" style="117" customWidth="1"/>
    <col min="7" max="7" width="10" style="118" customWidth="1"/>
    <col min="8" max="8" width="13.140625" style="117" customWidth="1"/>
    <col min="9" max="9" width="13" style="1" customWidth="1"/>
    <col min="10" max="10" width="6.7109375" style="1" customWidth="1"/>
    <col min="11" max="11" width="7.140625" style="1" customWidth="1"/>
    <col min="12" max="12" width="7.28515625" style="1" customWidth="1"/>
    <col min="13" max="256" width="9.140625" style="1"/>
    <col min="257" max="257" width="16.42578125" style="1" customWidth="1"/>
    <col min="258" max="258" width="28.28515625" style="1" customWidth="1"/>
    <col min="259" max="259" width="4.7109375" style="1" customWidth="1"/>
    <col min="260" max="260" width="8.7109375" style="1" customWidth="1"/>
    <col min="261" max="261" width="9" style="1" customWidth="1"/>
    <col min="262" max="262" width="12.7109375" style="1" customWidth="1"/>
    <col min="263" max="263" width="10" style="1" customWidth="1"/>
    <col min="264" max="264" width="13.140625" style="1" customWidth="1"/>
    <col min="265" max="265" width="13" style="1" customWidth="1"/>
    <col min="266" max="266" width="6.7109375" style="1" customWidth="1"/>
    <col min="267" max="267" width="7.140625" style="1" customWidth="1"/>
    <col min="268" max="268" width="7.28515625" style="1" customWidth="1"/>
    <col min="269" max="512" width="9.140625" style="1"/>
    <col min="513" max="513" width="16.42578125" style="1" customWidth="1"/>
    <col min="514" max="514" width="28.28515625" style="1" customWidth="1"/>
    <col min="515" max="515" width="4.7109375" style="1" customWidth="1"/>
    <col min="516" max="516" width="8.7109375" style="1" customWidth="1"/>
    <col min="517" max="517" width="9" style="1" customWidth="1"/>
    <col min="518" max="518" width="12.7109375" style="1" customWidth="1"/>
    <col min="519" max="519" width="10" style="1" customWidth="1"/>
    <col min="520" max="520" width="13.140625" style="1" customWidth="1"/>
    <col min="521" max="521" width="13" style="1" customWidth="1"/>
    <col min="522" max="522" width="6.7109375" style="1" customWidth="1"/>
    <col min="523" max="523" width="7.140625" style="1" customWidth="1"/>
    <col min="524" max="524" width="7.28515625" style="1" customWidth="1"/>
    <col min="525" max="768" width="9.140625" style="1"/>
    <col min="769" max="769" width="16.42578125" style="1" customWidth="1"/>
    <col min="770" max="770" width="28.28515625" style="1" customWidth="1"/>
    <col min="771" max="771" width="4.7109375" style="1" customWidth="1"/>
    <col min="772" max="772" width="8.7109375" style="1" customWidth="1"/>
    <col min="773" max="773" width="9" style="1" customWidth="1"/>
    <col min="774" max="774" width="12.7109375" style="1" customWidth="1"/>
    <col min="775" max="775" width="10" style="1" customWidth="1"/>
    <col min="776" max="776" width="13.140625" style="1" customWidth="1"/>
    <col min="777" max="777" width="13" style="1" customWidth="1"/>
    <col min="778" max="778" width="6.7109375" style="1" customWidth="1"/>
    <col min="779" max="779" width="7.140625" style="1" customWidth="1"/>
    <col min="780" max="780" width="7.28515625" style="1" customWidth="1"/>
    <col min="781" max="1024" width="9.140625" style="1"/>
    <col min="1025" max="1025" width="16.42578125" style="1" customWidth="1"/>
    <col min="1026" max="1026" width="28.28515625" style="1" customWidth="1"/>
    <col min="1027" max="1027" width="4.7109375" style="1" customWidth="1"/>
    <col min="1028" max="1028" width="8.7109375" style="1" customWidth="1"/>
    <col min="1029" max="1029" width="9" style="1" customWidth="1"/>
    <col min="1030" max="1030" width="12.7109375" style="1" customWidth="1"/>
    <col min="1031" max="1031" width="10" style="1" customWidth="1"/>
    <col min="1032" max="1032" width="13.140625" style="1" customWidth="1"/>
    <col min="1033" max="1033" width="13" style="1" customWidth="1"/>
    <col min="1034" max="1034" width="6.7109375" style="1" customWidth="1"/>
    <col min="1035" max="1035" width="7.140625" style="1" customWidth="1"/>
    <col min="1036" max="1036" width="7.28515625" style="1" customWidth="1"/>
    <col min="1037" max="1280" width="9.140625" style="1"/>
    <col min="1281" max="1281" width="16.42578125" style="1" customWidth="1"/>
    <col min="1282" max="1282" width="28.28515625" style="1" customWidth="1"/>
    <col min="1283" max="1283" width="4.7109375" style="1" customWidth="1"/>
    <col min="1284" max="1284" width="8.7109375" style="1" customWidth="1"/>
    <col min="1285" max="1285" width="9" style="1" customWidth="1"/>
    <col min="1286" max="1286" width="12.7109375" style="1" customWidth="1"/>
    <col min="1287" max="1287" width="10" style="1" customWidth="1"/>
    <col min="1288" max="1288" width="13.140625" style="1" customWidth="1"/>
    <col min="1289" max="1289" width="13" style="1" customWidth="1"/>
    <col min="1290" max="1290" width="6.7109375" style="1" customWidth="1"/>
    <col min="1291" max="1291" width="7.140625" style="1" customWidth="1"/>
    <col min="1292" max="1292" width="7.28515625" style="1" customWidth="1"/>
    <col min="1293" max="1536" width="9.140625" style="1"/>
    <col min="1537" max="1537" width="16.42578125" style="1" customWidth="1"/>
    <col min="1538" max="1538" width="28.28515625" style="1" customWidth="1"/>
    <col min="1539" max="1539" width="4.7109375" style="1" customWidth="1"/>
    <col min="1540" max="1540" width="8.7109375" style="1" customWidth="1"/>
    <col min="1541" max="1541" width="9" style="1" customWidth="1"/>
    <col min="1542" max="1542" width="12.7109375" style="1" customWidth="1"/>
    <col min="1543" max="1543" width="10" style="1" customWidth="1"/>
    <col min="1544" max="1544" width="13.140625" style="1" customWidth="1"/>
    <col min="1545" max="1545" width="13" style="1" customWidth="1"/>
    <col min="1546" max="1546" width="6.7109375" style="1" customWidth="1"/>
    <col min="1547" max="1547" width="7.140625" style="1" customWidth="1"/>
    <col min="1548" max="1548" width="7.28515625" style="1" customWidth="1"/>
    <col min="1549" max="1792" width="9.140625" style="1"/>
    <col min="1793" max="1793" width="16.42578125" style="1" customWidth="1"/>
    <col min="1794" max="1794" width="28.28515625" style="1" customWidth="1"/>
    <col min="1795" max="1795" width="4.7109375" style="1" customWidth="1"/>
    <col min="1796" max="1796" width="8.7109375" style="1" customWidth="1"/>
    <col min="1797" max="1797" width="9" style="1" customWidth="1"/>
    <col min="1798" max="1798" width="12.7109375" style="1" customWidth="1"/>
    <col min="1799" max="1799" width="10" style="1" customWidth="1"/>
    <col min="1800" max="1800" width="13.140625" style="1" customWidth="1"/>
    <col min="1801" max="1801" width="13" style="1" customWidth="1"/>
    <col min="1802" max="1802" width="6.7109375" style="1" customWidth="1"/>
    <col min="1803" max="1803" width="7.140625" style="1" customWidth="1"/>
    <col min="1804" max="1804" width="7.28515625" style="1" customWidth="1"/>
    <col min="1805" max="2048" width="9.140625" style="1"/>
    <col min="2049" max="2049" width="16.42578125" style="1" customWidth="1"/>
    <col min="2050" max="2050" width="28.28515625" style="1" customWidth="1"/>
    <col min="2051" max="2051" width="4.7109375" style="1" customWidth="1"/>
    <col min="2052" max="2052" width="8.7109375" style="1" customWidth="1"/>
    <col min="2053" max="2053" width="9" style="1" customWidth="1"/>
    <col min="2054" max="2054" width="12.7109375" style="1" customWidth="1"/>
    <col min="2055" max="2055" width="10" style="1" customWidth="1"/>
    <col min="2056" max="2056" width="13.140625" style="1" customWidth="1"/>
    <col min="2057" max="2057" width="13" style="1" customWidth="1"/>
    <col min="2058" max="2058" width="6.7109375" style="1" customWidth="1"/>
    <col min="2059" max="2059" width="7.140625" style="1" customWidth="1"/>
    <col min="2060" max="2060" width="7.28515625" style="1" customWidth="1"/>
    <col min="2061" max="2304" width="9.140625" style="1"/>
    <col min="2305" max="2305" width="16.42578125" style="1" customWidth="1"/>
    <col min="2306" max="2306" width="28.28515625" style="1" customWidth="1"/>
    <col min="2307" max="2307" width="4.7109375" style="1" customWidth="1"/>
    <col min="2308" max="2308" width="8.7109375" style="1" customWidth="1"/>
    <col min="2309" max="2309" width="9" style="1" customWidth="1"/>
    <col min="2310" max="2310" width="12.7109375" style="1" customWidth="1"/>
    <col min="2311" max="2311" width="10" style="1" customWidth="1"/>
    <col min="2312" max="2312" width="13.140625" style="1" customWidth="1"/>
    <col min="2313" max="2313" width="13" style="1" customWidth="1"/>
    <col min="2314" max="2314" width="6.7109375" style="1" customWidth="1"/>
    <col min="2315" max="2315" width="7.140625" style="1" customWidth="1"/>
    <col min="2316" max="2316" width="7.28515625" style="1" customWidth="1"/>
    <col min="2317" max="2560" width="9.140625" style="1"/>
    <col min="2561" max="2561" width="16.42578125" style="1" customWidth="1"/>
    <col min="2562" max="2562" width="28.28515625" style="1" customWidth="1"/>
    <col min="2563" max="2563" width="4.7109375" style="1" customWidth="1"/>
    <col min="2564" max="2564" width="8.7109375" style="1" customWidth="1"/>
    <col min="2565" max="2565" width="9" style="1" customWidth="1"/>
    <col min="2566" max="2566" width="12.7109375" style="1" customWidth="1"/>
    <col min="2567" max="2567" width="10" style="1" customWidth="1"/>
    <col min="2568" max="2568" width="13.140625" style="1" customWidth="1"/>
    <col min="2569" max="2569" width="13" style="1" customWidth="1"/>
    <col min="2570" max="2570" width="6.7109375" style="1" customWidth="1"/>
    <col min="2571" max="2571" width="7.140625" style="1" customWidth="1"/>
    <col min="2572" max="2572" width="7.28515625" style="1" customWidth="1"/>
    <col min="2573" max="2816" width="9.140625" style="1"/>
    <col min="2817" max="2817" width="16.42578125" style="1" customWidth="1"/>
    <col min="2818" max="2818" width="28.28515625" style="1" customWidth="1"/>
    <col min="2819" max="2819" width="4.7109375" style="1" customWidth="1"/>
    <col min="2820" max="2820" width="8.7109375" style="1" customWidth="1"/>
    <col min="2821" max="2821" width="9" style="1" customWidth="1"/>
    <col min="2822" max="2822" width="12.7109375" style="1" customWidth="1"/>
    <col min="2823" max="2823" width="10" style="1" customWidth="1"/>
    <col min="2824" max="2824" width="13.140625" style="1" customWidth="1"/>
    <col min="2825" max="2825" width="13" style="1" customWidth="1"/>
    <col min="2826" max="2826" width="6.7109375" style="1" customWidth="1"/>
    <col min="2827" max="2827" width="7.140625" style="1" customWidth="1"/>
    <col min="2828" max="2828" width="7.28515625" style="1" customWidth="1"/>
    <col min="2829" max="3072" width="9.140625" style="1"/>
    <col min="3073" max="3073" width="16.42578125" style="1" customWidth="1"/>
    <col min="3074" max="3074" width="28.28515625" style="1" customWidth="1"/>
    <col min="3075" max="3075" width="4.7109375" style="1" customWidth="1"/>
    <col min="3076" max="3076" width="8.7109375" style="1" customWidth="1"/>
    <col min="3077" max="3077" width="9" style="1" customWidth="1"/>
    <col min="3078" max="3078" width="12.7109375" style="1" customWidth="1"/>
    <col min="3079" max="3079" width="10" style="1" customWidth="1"/>
    <col min="3080" max="3080" width="13.140625" style="1" customWidth="1"/>
    <col min="3081" max="3081" width="13" style="1" customWidth="1"/>
    <col min="3082" max="3082" width="6.7109375" style="1" customWidth="1"/>
    <col min="3083" max="3083" width="7.140625" style="1" customWidth="1"/>
    <col min="3084" max="3084" width="7.28515625" style="1" customWidth="1"/>
    <col min="3085" max="3328" width="9.140625" style="1"/>
    <col min="3329" max="3329" width="16.42578125" style="1" customWidth="1"/>
    <col min="3330" max="3330" width="28.28515625" style="1" customWidth="1"/>
    <col min="3331" max="3331" width="4.7109375" style="1" customWidth="1"/>
    <col min="3332" max="3332" width="8.7109375" style="1" customWidth="1"/>
    <col min="3333" max="3333" width="9" style="1" customWidth="1"/>
    <col min="3334" max="3334" width="12.7109375" style="1" customWidth="1"/>
    <col min="3335" max="3335" width="10" style="1" customWidth="1"/>
    <col min="3336" max="3336" width="13.140625" style="1" customWidth="1"/>
    <col min="3337" max="3337" width="13" style="1" customWidth="1"/>
    <col min="3338" max="3338" width="6.7109375" style="1" customWidth="1"/>
    <col min="3339" max="3339" width="7.140625" style="1" customWidth="1"/>
    <col min="3340" max="3340" width="7.28515625" style="1" customWidth="1"/>
    <col min="3341" max="3584" width="9.140625" style="1"/>
    <col min="3585" max="3585" width="16.42578125" style="1" customWidth="1"/>
    <col min="3586" max="3586" width="28.28515625" style="1" customWidth="1"/>
    <col min="3587" max="3587" width="4.7109375" style="1" customWidth="1"/>
    <col min="3588" max="3588" width="8.7109375" style="1" customWidth="1"/>
    <col min="3589" max="3589" width="9" style="1" customWidth="1"/>
    <col min="3590" max="3590" width="12.7109375" style="1" customWidth="1"/>
    <col min="3591" max="3591" width="10" style="1" customWidth="1"/>
    <col min="3592" max="3592" width="13.140625" style="1" customWidth="1"/>
    <col min="3593" max="3593" width="13" style="1" customWidth="1"/>
    <col min="3594" max="3594" width="6.7109375" style="1" customWidth="1"/>
    <col min="3595" max="3595" width="7.140625" style="1" customWidth="1"/>
    <col min="3596" max="3596" width="7.28515625" style="1" customWidth="1"/>
    <col min="3597" max="3840" width="9.140625" style="1"/>
    <col min="3841" max="3841" width="16.42578125" style="1" customWidth="1"/>
    <col min="3842" max="3842" width="28.28515625" style="1" customWidth="1"/>
    <col min="3843" max="3843" width="4.7109375" style="1" customWidth="1"/>
    <col min="3844" max="3844" width="8.7109375" style="1" customWidth="1"/>
    <col min="3845" max="3845" width="9" style="1" customWidth="1"/>
    <col min="3846" max="3846" width="12.7109375" style="1" customWidth="1"/>
    <col min="3847" max="3847" width="10" style="1" customWidth="1"/>
    <col min="3848" max="3848" width="13.140625" style="1" customWidth="1"/>
    <col min="3849" max="3849" width="13" style="1" customWidth="1"/>
    <col min="3850" max="3850" width="6.7109375" style="1" customWidth="1"/>
    <col min="3851" max="3851" width="7.140625" style="1" customWidth="1"/>
    <col min="3852" max="3852" width="7.28515625" style="1" customWidth="1"/>
    <col min="3853" max="4096" width="9.140625" style="1"/>
    <col min="4097" max="4097" width="16.42578125" style="1" customWidth="1"/>
    <col min="4098" max="4098" width="28.28515625" style="1" customWidth="1"/>
    <col min="4099" max="4099" width="4.7109375" style="1" customWidth="1"/>
    <col min="4100" max="4100" width="8.7109375" style="1" customWidth="1"/>
    <col min="4101" max="4101" width="9" style="1" customWidth="1"/>
    <col min="4102" max="4102" width="12.7109375" style="1" customWidth="1"/>
    <col min="4103" max="4103" width="10" style="1" customWidth="1"/>
    <col min="4104" max="4104" width="13.140625" style="1" customWidth="1"/>
    <col min="4105" max="4105" width="13" style="1" customWidth="1"/>
    <col min="4106" max="4106" width="6.7109375" style="1" customWidth="1"/>
    <col min="4107" max="4107" width="7.140625" style="1" customWidth="1"/>
    <col min="4108" max="4108" width="7.28515625" style="1" customWidth="1"/>
    <col min="4109" max="4352" width="9.140625" style="1"/>
    <col min="4353" max="4353" width="16.42578125" style="1" customWidth="1"/>
    <col min="4354" max="4354" width="28.28515625" style="1" customWidth="1"/>
    <col min="4355" max="4355" width="4.7109375" style="1" customWidth="1"/>
    <col min="4356" max="4356" width="8.7109375" style="1" customWidth="1"/>
    <col min="4357" max="4357" width="9" style="1" customWidth="1"/>
    <col min="4358" max="4358" width="12.7109375" style="1" customWidth="1"/>
    <col min="4359" max="4359" width="10" style="1" customWidth="1"/>
    <col min="4360" max="4360" width="13.140625" style="1" customWidth="1"/>
    <col min="4361" max="4361" width="13" style="1" customWidth="1"/>
    <col min="4362" max="4362" width="6.7109375" style="1" customWidth="1"/>
    <col min="4363" max="4363" width="7.140625" style="1" customWidth="1"/>
    <col min="4364" max="4364" width="7.28515625" style="1" customWidth="1"/>
    <col min="4365" max="4608" width="9.140625" style="1"/>
    <col min="4609" max="4609" width="16.42578125" style="1" customWidth="1"/>
    <col min="4610" max="4610" width="28.28515625" style="1" customWidth="1"/>
    <col min="4611" max="4611" width="4.7109375" style="1" customWidth="1"/>
    <col min="4612" max="4612" width="8.7109375" style="1" customWidth="1"/>
    <col min="4613" max="4613" width="9" style="1" customWidth="1"/>
    <col min="4614" max="4614" width="12.7109375" style="1" customWidth="1"/>
    <col min="4615" max="4615" width="10" style="1" customWidth="1"/>
    <col min="4616" max="4616" width="13.140625" style="1" customWidth="1"/>
    <col min="4617" max="4617" width="13" style="1" customWidth="1"/>
    <col min="4618" max="4618" width="6.7109375" style="1" customWidth="1"/>
    <col min="4619" max="4619" width="7.140625" style="1" customWidth="1"/>
    <col min="4620" max="4620" width="7.28515625" style="1" customWidth="1"/>
    <col min="4621" max="4864" width="9.140625" style="1"/>
    <col min="4865" max="4865" width="16.42578125" style="1" customWidth="1"/>
    <col min="4866" max="4866" width="28.28515625" style="1" customWidth="1"/>
    <col min="4867" max="4867" width="4.7109375" style="1" customWidth="1"/>
    <col min="4868" max="4868" width="8.7109375" style="1" customWidth="1"/>
    <col min="4869" max="4869" width="9" style="1" customWidth="1"/>
    <col min="4870" max="4870" width="12.7109375" style="1" customWidth="1"/>
    <col min="4871" max="4871" width="10" style="1" customWidth="1"/>
    <col min="4872" max="4872" width="13.140625" style="1" customWidth="1"/>
    <col min="4873" max="4873" width="13" style="1" customWidth="1"/>
    <col min="4874" max="4874" width="6.7109375" style="1" customWidth="1"/>
    <col min="4875" max="4875" width="7.140625" style="1" customWidth="1"/>
    <col min="4876" max="4876" width="7.28515625" style="1" customWidth="1"/>
    <col min="4877" max="5120" width="9.140625" style="1"/>
    <col min="5121" max="5121" width="16.42578125" style="1" customWidth="1"/>
    <col min="5122" max="5122" width="28.28515625" style="1" customWidth="1"/>
    <col min="5123" max="5123" width="4.7109375" style="1" customWidth="1"/>
    <col min="5124" max="5124" width="8.7109375" style="1" customWidth="1"/>
    <col min="5125" max="5125" width="9" style="1" customWidth="1"/>
    <col min="5126" max="5126" width="12.7109375" style="1" customWidth="1"/>
    <col min="5127" max="5127" width="10" style="1" customWidth="1"/>
    <col min="5128" max="5128" width="13.140625" style="1" customWidth="1"/>
    <col min="5129" max="5129" width="13" style="1" customWidth="1"/>
    <col min="5130" max="5130" width="6.7109375" style="1" customWidth="1"/>
    <col min="5131" max="5131" width="7.140625" style="1" customWidth="1"/>
    <col min="5132" max="5132" width="7.28515625" style="1" customWidth="1"/>
    <col min="5133" max="5376" width="9.140625" style="1"/>
    <col min="5377" max="5377" width="16.42578125" style="1" customWidth="1"/>
    <col min="5378" max="5378" width="28.28515625" style="1" customWidth="1"/>
    <col min="5379" max="5379" width="4.7109375" style="1" customWidth="1"/>
    <col min="5380" max="5380" width="8.7109375" style="1" customWidth="1"/>
    <col min="5381" max="5381" width="9" style="1" customWidth="1"/>
    <col min="5382" max="5382" width="12.7109375" style="1" customWidth="1"/>
    <col min="5383" max="5383" width="10" style="1" customWidth="1"/>
    <col min="5384" max="5384" width="13.140625" style="1" customWidth="1"/>
    <col min="5385" max="5385" width="13" style="1" customWidth="1"/>
    <col min="5386" max="5386" width="6.7109375" style="1" customWidth="1"/>
    <col min="5387" max="5387" width="7.140625" style="1" customWidth="1"/>
    <col min="5388" max="5388" width="7.28515625" style="1" customWidth="1"/>
    <col min="5389" max="5632" width="9.140625" style="1"/>
    <col min="5633" max="5633" width="16.42578125" style="1" customWidth="1"/>
    <col min="5634" max="5634" width="28.28515625" style="1" customWidth="1"/>
    <col min="5635" max="5635" width="4.7109375" style="1" customWidth="1"/>
    <col min="5636" max="5636" width="8.7109375" style="1" customWidth="1"/>
    <col min="5637" max="5637" width="9" style="1" customWidth="1"/>
    <col min="5638" max="5638" width="12.7109375" style="1" customWidth="1"/>
    <col min="5639" max="5639" width="10" style="1" customWidth="1"/>
    <col min="5640" max="5640" width="13.140625" style="1" customWidth="1"/>
    <col min="5641" max="5641" width="13" style="1" customWidth="1"/>
    <col min="5642" max="5642" width="6.7109375" style="1" customWidth="1"/>
    <col min="5643" max="5643" width="7.140625" style="1" customWidth="1"/>
    <col min="5644" max="5644" width="7.28515625" style="1" customWidth="1"/>
    <col min="5645" max="5888" width="9.140625" style="1"/>
    <col min="5889" max="5889" width="16.42578125" style="1" customWidth="1"/>
    <col min="5890" max="5890" width="28.28515625" style="1" customWidth="1"/>
    <col min="5891" max="5891" width="4.7109375" style="1" customWidth="1"/>
    <col min="5892" max="5892" width="8.7109375" style="1" customWidth="1"/>
    <col min="5893" max="5893" width="9" style="1" customWidth="1"/>
    <col min="5894" max="5894" width="12.7109375" style="1" customWidth="1"/>
    <col min="5895" max="5895" width="10" style="1" customWidth="1"/>
    <col min="5896" max="5896" width="13.140625" style="1" customWidth="1"/>
    <col min="5897" max="5897" width="13" style="1" customWidth="1"/>
    <col min="5898" max="5898" width="6.7109375" style="1" customWidth="1"/>
    <col min="5899" max="5899" width="7.140625" style="1" customWidth="1"/>
    <col min="5900" max="5900" width="7.28515625" style="1" customWidth="1"/>
    <col min="5901" max="6144" width="9.140625" style="1"/>
    <col min="6145" max="6145" width="16.42578125" style="1" customWidth="1"/>
    <col min="6146" max="6146" width="28.28515625" style="1" customWidth="1"/>
    <col min="6147" max="6147" width="4.7109375" style="1" customWidth="1"/>
    <col min="6148" max="6148" width="8.7109375" style="1" customWidth="1"/>
    <col min="6149" max="6149" width="9" style="1" customWidth="1"/>
    <col min="6150" max="6150" width="12.7109375" style="1" customWidth="1"/>
    <col min="6151" max="6151" width="10" style="1" customWidth="1"/>
    <col min="6152" max="6152" width="13.140625" style="1" customWidth="1"/>
    <col min="6153" max="6153" width="13" style="1" customWidth="1"/>
    <col min="6154" max="6154" width="6.7109375" style="1" customWidth="1"/>
    <col min="6155" max="6155" width="7.140625" style="1" customWidth="1"/>
    <col min="6156" max="6156" width="7.28515625" style="1" customWidth="1"/>
    <col min="6157" max="6400" width="9.140625" style="1"/>
    <col min="6401" max="6401" width="16.42578125" style="1" customWidth="1"/>
    <col min="6402" max="6402" width="28.28515625" style="1" customWidth="1"/>
    <col min="6403" max="6403" width="4.7109375" style="1" customWidth="1"/>
    <col min="6404" max="6404" width="8.7109375" style="1" customWidth="1"/>
    <col min="6405" max="6405" width="9" style="1" customWidth="1"/>
    <col min="6406" max="6406" width="12.7109375" style="1" customWidth="1"/>
    <col min="6407" max="6407" width="10" style="1" customWidth="1"/>
    <col min="6408" max="6408" width="13.140625" style="1" customWidth="1"/>
    <col min="6409" max="6409" width="13" style="1" customWidth="1"/>
    <col min="6410" max="6410" width="6.7109375" style="1" customWidth="1"/>
    <col min="6411" max="6411" width="7.140625" style="1" customWidth="1"/>
    <col min="6412" max="6412" width="7.28515625" style="1" customWidth="1"/>
    <col min="6413" max="6656" width="9.140625" style="1"/>
    <col min="6657" max="6657" width="16.42578125" style="1" customWidth="1"/>
    <col min="6658" max="6658" width="28.28515625" style="1" customWidth="1"/>
    <col min="6659" max="6659" width="4.7109375" style="1" customWidth="1"/>
    <col min="6660" max="6660" width="8.7109375" style="1" customWidth="1"/>
    <col min="6661" max="6661" width="9" style="1" customWidth="1"/>
    <col min="6662" max="6662" width="12.7109375" style="1" customWidth="1"/>
    <col min="6663" max="6663" width="10" style="1" customWidth="1"/>
    <col min="6664" max="6664" width="13.140625" style="1" customWidth="1"/>
    <col min="6665" max="6665" width="13" style="1" customWidth="1"/>
    <col min="6666" max="6666" width="6.7109375" style="1" customWidth="1"/>
    <col min="6667" max="6667" width="7.140625" style="1" customWidth="1"/>
    <col min="6668" max="6668" width="7.28515625" style="1" customWidth="1"/>
    <col min="6669" max="6912" width="9.140625" style="1"/>
    <col min="6913" max="6913" width="16.42578125" style="1" customWidth="1"/>
    <col min="6914" max="6914" width="28.28515625" style="1" customWidth="1"/>
    <col min="6915" max="6915" width="4.7109375" style="1" customWidth="1"/>
    <col min="6916" max="6916" width="8.7109375" style="1" customWidth="1"/>
    <col min="6917" max="6917" width="9" style="1" customWidth="1"/>
    <col min="6918" max="6918" width="12.7109375" style="1" customWidth="1"/>
    <col min="6919" max="6919" width="10" style="1" customWidth="1"/>
    <col min="6920" max="6920" width="13.140625" style="1" customWidth="1"/>
    <col min="6921" max="6921" width="13" style="1" customWidth="1"/>
    <col min="6922" max="6922" width="6.7109375" style="1" customWidth="1"/>
    <col min="6923" max="6923" width="7.140625" style="1" customWidth="1"/>
    <col min="6924" max="6924" width="7.28515625" style="1" customWidth="1"/>
    <col min="6925" max="7168" width="9.140625" style="1"/>
    <col min="7169" max="7169" width="16.42578125" style="1" customWidth="1"/>
    <col min="7170" max="7170" width="28.28515625" style="1" customWidth="1"/>
    <col min="7171" max="7171" width="4.7109375" style="1" customWidth="1"/>
    <col min="7172" max="7172" width="8.7109375" style="1" customWidth="1"/>
    <col min="7173" max="7173" width="9" style="1" customWidth="1"/>
    <col min="7174" max="7174" width="12.7109375" style="1" customWidth="1"/>
    <col min="7175" max="7175" width="10" style="1" customWidth="1"/>
    <col min="7176" max="7176" width="13.140625" style="1" customWidth="1"/>
    <col min="7177" max="7177" width="13" style="1" customWidth="1"/>
    <col min="7178" max="7178" width="6.7109375" style="1" customWidth="1"/>
    <col min="7179" max="7179" width="7.140625" style="1" customWidth="1"/>
    <col min="7180" max="7180" width="7.28515625" style="1" customWidth="1"/>
    <col min="7181" max="7424" width="9.140625" style="1"/>
    <col min="7425" max="7425" width="16.42578125" style="1" customWidth="1"/>
    <col min="7426" max="7426" width="28.28515625" style="1" customWidth="1"/>
    <col min="7427" max="7427" width="4.7109375" style="1" customWidth="1"/>
    <col min="7428" max="7428" width="8.7109375" style="1" customWidth="1"/>
    <col min="7429" max="7429" width="9" style="1" customWidth="1"/>
    <col min="7430" max="7430" width="12.7109375" style="1" customWidth="1"/>
    <col min="7431" max="7431" width="10" style="1" customWidth="1"/>
    <col min="7432" max="7432" width="13.140625" style="1" customWidth="1"/>
    <col min="7433" max="7433" width="13" style="1" customWidth="1"/>
    <col min="7434" max="7434" width="6.7109375" style="1" customWidth="1"/>
    <col min="7435" max="7435" width="7.140625" style="1" customWidth="1"/>
    <col min="7436" max="7436" width="7.28515625" style="1" customWidth="1"/>
    <col min="7437" max="7680" width="9.140625" style="1"/>
    <col min="7681" max="7681" width="16.42578125" style="1" customWidth="1"/>
    <col min="7682" max="7682" width="28.28515625" style="1" customWidth="1"/>
    <col min="7683" max="7683" width="4.7109375" style="1" customWidth="1"/>
    <col min="7684" max="7684" width="8.7109375" style="1" customWidth="1"/>
    <col min="7685" max="7685" width="9" style="1" customWidth="1"/>
    <col min="7686" max="7686" width="12.7109375" style="1" customWidth="1"/>
    <col min="7687" max="7687" width="10" style="1" customWidth="1"/>
    <col min="7688" max="7688" width="13.140625" style="1" customWidth="1"/>
    <col min="7689" max="7689" width="13" style="1" customWidth="1"/>
    <col min="7690" max="7690" width="6.7109375" style="1" customWidth="1"/>
    <col min="7691" max="7691" width="7.140625" style="1" customWidth="1"/>
    <col min="7692" max="7692" width="7.28515625" style="1" customWidth="1"/>
    <col min="7693" max="7936" width="9.140625" style="1"/>
    <col min="7937" max="7937" width="16.42578125" style="1" customWidth="1"/>
    <col min="7938" max="7938" width="28.28515625" style="1" customWidth="1"/>
    <col min="7939" max="7939" width="4.7109375" style="1" customWidth="1"/>
    <col min="7940" max="7940" width="8.7109375" style="1" customWidth="1"/>
    <col min="7941" max="7941" width="9" style="1" customWidth="1"/>
    <col min="7942" max="7942" width="12.7109375" style="1" customWidth="1"/>
    <col min="7943" max="7943" width="10" style="1" customWidth="1"/>
    <col min="7944" max="7944" width="13.140625" style="1" customWidth="1"/>
    <col min="7945" max="7945" width="13" style="1" customWidth="1"/>
    <col min="7946" max="7946" width="6.7109375" style="1" customWidth="1"/>
    <col min="7947" max="7947" width="7.140625" style="1" customWidth="1"/>
    <col min="7948" max="7948" width="7.28515625" style="1" customWidth="1"/>
    <col min="7949" max="8192" width="9.140625" style="1"/>
    <col min="8193" max="8193" width="16.42578125" style="1" customWidth="1"/>
    <col min="8194" max="8194" width="28.28515625" style="1" customWidth="1"/>
    <col min="8195" max="8195" width="4.7109375" style="1" customWidth="1"/>
    <col min="8196" max="8196" width="8.7109375" style="1" customWidth="1"/>
    <col min="8197" max="8197" width="9" style="1" customWidth="1"/>
    <col min="8198" max="8198" width="12.7109375" style="1" customWidth="1"/>
    <col min="8199" max="8199" width="10" style="1" customWidth="1"/>
    <col min="8200" max="8200" width="13.140625" style="1" customWidth="1"/>
    <col min="8201" max="8201" width="13" style="1" customWidth="1"/>
    <col min="8202" max="8202" width="6.7109375" style="1" customWidth="1"/>
    <col min="8203" max="8203" width="7.140625" style="1" customWidth="1"/>
    <col min="8204" max="8204" width="7.28515625" style="1" customWidth="1"/>
    <col min="8205" max="8448" width="9.140625" style="1"/>
    <col min="8449" max="8449" width="16.42578125" style="1" customWidth="1"/>
    <col min="8450" max="8450" width="28.28515625" style="1" customWidth="1"/>
    <col min="8451" max="8451" width="4.7109375" style="1" customWidth="1"/>
    <col min="8452" max="8452" width="8.7109375" style="1" customWidth="1"/>
    <col min="8453" max="8453" width="9" style="1" customWidth="1"/>
    <col min="8454" max="8454" width="12.7109375" style="1" customWidth="1"/>
    <col min="8455" max="8455" width="10" style="1" customWidth="1"/>
    <col min="8456" max="8456" width="13.140625" style="1" customWidth="1"/>
    <col min="8457" max="8457" width="13" style="1" customWidth="1"/>
    <col min="8458" max="8458" width="6.7109375" style="1" customWidth="1"/>
    <col min="8459" max="8459" width="7.140625" style="1" customWidth="1"/>
    <col min="8460" max="8460" width="7.28515625" style="1" customWidth="1"/>
    <col min="8461" max="8704" width="9.140625" style="1"/>
    <col min="8705" max="8705" width="16.42578125" style="1" customWidth="1"/>
    <col min="8706" max="8706" width="28.28515625" style="1" customWidth="1"/>
    <col min="8707" max="8707" width="4.7109375" style="1" customWidth="1"/>
    <col min="8708" max="8708" width="8.7109375" style="1" customWidth="1"/>
    <col min="8709" max="8709" width="9" style="1" customWidth="1"/>
    <col min="8710" max="8710" width="12.7109375" style="1" customWidth="1"/>
    <col min="8711" max="8711" width="10" style="1" customWidth="1"/>
    <col min="8712" max="8712" width="13.140625" style="1" customWidth="1"/>
    <col min="8713" max="8713" width="13" style="1" customWidth="1"/>
    <col min="8714" max="8714" width="6.7109375" style="1" customWidth="1"/>
    <col min="8715" max="8715" width="7.140625" style="1" customWidth="1"/>
    <col min="8716" max="8716" width="7.28515625" style="1" customWidth="1"/>
    <col min="8717" max="8960" width="9.140625" style="1"/>
    <col min="8961" max="8961" width="16.42578125" style="1" customWidth="1"/>
    <col min="8962" max="8962" width="28.28515625" style="1" customWidth="1"/>
    <col min="8963" max="8963" width="4.7109375" style="1" customWidth="1"/>
    <col min="8964" max="8964" width="8.7109375" style="1" customWidth="1"/>
    <col min="8965" max="8965" width="9" style="1" customWidth="1"/>
    <col min="8966" max="8966" width="12.7109375" style="1" customWidth="1"/>
    <col min="8967" max="8967" width="10" style="1" customWidth="1"/>
    <col min="8968" max="8968" width="13.140625" style="1" customWidth="1"/>
    <col min="8969" max="8969" width="13" style="1" customWidth="1"/>
    <col min="8970" max="8970" width="6.7109375" style="1" customWidth="1"/>
    <col min="8971" max="8971" width="7.140625" style="1" customWidth="1"/>
    <col min="8972" max="8972" width="7.28515625" style="1" customWidth="1"/>
    <col min="8973" max="9216" width="9.140625" style="1"/>
    <col min="9217" max="9217" width="16.42578125" style="1" customWidth="1"/>
    <col min="9218" max="9218" width="28.28515625" style="1" customWidth="1"/>
    <col min="9219" max="9219" width="4.7109375" style="1" customWidth="1"/>
    <col min="9220" max="9220" width="8.7109375" style="1" customWidth="1"/>
    <col min="9221" max="9221" width="9" style="1" customWidth="1"/>
    <col min="9222" max="9222" width="12.7109375" style="1" customWidth="1"/>
    <col min="9223" max="9223" width="10" style="1" customWidth="1"/>
    <col min="9224" max="9224" width="13.140625" style="1" customWidth="1"/>
    <col min="9225" max="9225" width="13" style="1" customWidth="1"/>
    <col min="9226" max="9226" width="6.7109375" style="1" customWidth="1"/>
    <col min="9227" max="9227" width="7.140625" style="1" customWidth="1"/>
    <col min="9228" max="9228" width="7.28515625" style="1" customWidth="1"/>
    <col min="9229" max="9472" width="9.140625" style="1"/>
    <col min="9473" max="9473" width="16.42578125" style="1" customWidth="1"/>
    <col min="9474" max="9474" width="28.28515625" style="1" customWidth="1"/>
    <col min="9475" max="9475" width="4.7109375" style="1" customWidth="1"/>
    <col min="9476" max="9476" width="8.7109375" style="1" customWidth="1"/>
    <col min="9477" max="9477" width="9" style="1" customWidth="1"/>
    <col min="9478" max="9478" width="12.7109375" style="1" customWidth="1"/>
    <col min="9479" max="9479" width="10" style="1" customWidth="1"/>
    <col min="9480" max="9480" width="13.140625" style="1" customWidth="1"/>
    <col min="9481" max="9481" width="13" style="1" customWidth="1"/>
    <col min="9482" max="9482" width="6.7109375" style="1" customWidth="1"/>
    <col min="9483" max="9483" width="7.140625" style="1" customWidth="1"/>
    <col min="9484" max="9484" width="7.28515625" style="1" customWidth="1"/>
    <col min="9485" max="9728" width="9.140625" style="1"/>
    <col min="9729" max="9729" width="16.42578125" style="1" customWidth="1"/>
    <col min="9730" max="9730" width="28.28515625" style="1" customWidth="1"/>
    <col min="9731" max="9731" width="4.7109375" style="1" customWidth="1"/>
    <col min="9732" max="9732" width="8.7109375" style="1" customWidth="1"/>
    <col min="9733" max="9733" width="9" style="1" customWidth="1"/>
    <col min="9734" max="9734" width="12.7109375" style="1" customWidth="1"/>
    <col min="9735" max="9735" width="10" style="1" customWidth="1"/>
    <col min="9736" max="9736" width="13.140625" style="1" customWidth="1"/>
    <col min="9737" max="9737" width="13" style="1" customWidth="1"/>
    <col min="9738" max="9738" width="6.7109375" style="1" customWidth="1"/>
    <col min="9739" max="9739" width="7.140625" style="1" customWidth="1"/>
    <col min="9740" max="9740" width="7.28515625" style="1" customWidth="1"/>
    <col min="9741" max="9984" width="9.140625" style="1"/>
    <col min="9985" max="9985" width="16.42578125" style="1" customWidth="1"/>
    <col min="9986" max="9986" width="28.28515625" style="1" customWidth="1"/>
    <col min="9987" max="9987" width="4.7109375" style="1" customWidth="1"/>
    <col min="9988" max="9988" width="8.7109375" style="1" customWidth="1"/>
    <col min="9989" max="9989" width="9" style="1" customWidth="1"/>
    <col min="9990" max="9990" width="12.7109375" style="1" customWidth="1"/>
    <col min="9991" max="9991" width="10" style="1" customWidth="1"/>
    <col min="9992" max="9992" width="13.140625" style="1" customWidth="1"/>
    <col min="9993" max="9993" width="13" style="1" customWidth="1"/>
    <col min="9994" max="9994" width="6.7109375" style="1" customWidth="1"/>
    <col min="9995" max="9995" width="7.140625" style="1" customWidth="1"/>
    <col min="9996" max="9996" width="7.28515625" style="1" customWidth="1"/>
    <col min="9997" max="10240" width="9.140625" style="1"/>
    <col min="10241" max="10241" width="16.42578125" style="1" customWidth="1"/>
    <col min="10242" max="10242" width="28.28515625" style="1" customWidth="1"/>
    <col min="10243" max="10243" width="4.7109375" style="1" customWidth="1"/>
    <col min="10244" max="10244" width="8.7109375" style="1" customWidth="1"/>
    <col min="10245" max="10245" width="9" style="1" customWidth="1"/>
    <col min="10246" max="10246" width="12.7109375" style="1" customWidth="1"/>
    <col min="10247" max="10247" width="10" style="1" customWidth="1"/>
    <col min="10248" max="10248" width="13.140625" style="1" customWidth="1"/>
    <col min="10249" max="10249" width="13" style="1" customWidth="1"/>
    <col min="10250" max="10250" width="6.7109375" style="1" customWidth="1"/>
    <col min="10251" max="10251" width="7.140625" style="1" customWidth="1"/>
    <col min="10252" max="10252" width="7.28515625" style="1" customWidth="1"/>
    <col min="10253" max="10496" width="9.140625" style="1"/>
    <col min="10497" max="10497" width="16.42578125" style="1" customWidth="1"/>
    <col min="10498" max="10498" width="28.28515625" style="1" customWidth="1"/>
    <col min="10499" max="10499" width="4.7109375" style="1" customWidth="1"/>
    <col min="10500" max="10500" width="8.7109375" style="1" customWidth="1"/>
    <col min="10501" max="10501" width="9" style="1" customWidth="1"/>
    <col min="10502" max="10502" width="12.7109375" style="1" customWidth="1"/>
    <col min="10503" max="10503" width="10" style="1" customWidth="1"/>
    <col min="10504" max="10504" width="13.140625" style="1" customWidth="1"/>
    <col min="10505" max="10505" width="13" style="1" customWidth="1"/>
    <col min="10506" max="10506" width="6.7109375" style="1" customWidth="1"/>
    <col min="10507" max="10507" width="7.140625" style="1" customWidth="1"/>
    <col min="10508" max="10508" width="7.28515625" style="1" customWidth="1"/>
    <col min="10509" max="10752" width="9.140625" style="1"/>
    <col min="10753" max="10753" width="16.42578125" style="1" customWidth="1"/>
    <col min="10754" max="10754" width="28.28515625" style="1" customWidth="1"/>
    <col min="10755" max="10755" width="4.7109375" style="1" customWidth="1"/>
    <col min="10756" max="10756" width="8.7109375" style="1" customWidth="1"/>
    <col min="10757" max="10757" width="9" style="1" customWidth="1"/>
    <col min="10758" max="10758" width="12.7109375" style="1" customWidth="1"/>
    <col min="10759" max="10759" width="10" style="1" customWidth="1"/>
    <col min="10760" max="10760" width="13.140625" style="1" customWidth="1"/>
    <col min="10761" max="10761" width="13" style="1" customWidth="1"/>
    <col min="10762" max="10762" width="6.7109375" style="1" customWidth="1"/>
    <col min="10763" max="10763" width="7.140625" style="1" customWidth="1"/>
    <col min="10764" max="10764" width="7.28515625" style="1" customWidth="1"/>
    <col min="10765" max="11008" width="9.140625" style="1"/>
    <col min="11009" max="11009" width="16.42578125" style="1" customWidth="1"/>
    <col min="11010" max="11010" width="28.28515625" style="1" customWidth="1"/>
    <col min="11011" max="11011" width="4.7109375" style="1" customWidth="1"/>
    <col min="11012" max="11012" width="8.7109375" style="1" customWidth="1"/>
    <col min="11013" max="11013" width="9" style="1" customWidth="1"/>
    <col min="11014" max="11014" width="12.7109375" style="1" customWidth="1"/>
    <col min="11015" max="11015" width="10" style="1" customWidth="1"/>
    <col min="11016" max="11016" width="13.140625" style="1" customWidth="1"/>
    <col min="11017" max="11017" width="13" style="1" customWidth="1"/>
    <col min="11018" max="11018" width="6.7109375" style="1" customWidth="1"/>
    <col min="11019" max="11019" width="7.140625" style="1" customWidth="1"/>
    <col min="11020" max="11020" width="7.28515625" style="1" customWidth="1"/>
    <col min="11021" max="11264" width="9.140625" style="1"/>
    <col min="11265" max="11265" width="16.42578125" style="1" customWidth="1"/>
    <col min="11266" max="11266" width="28.28515625" style="1" customWidth="1"/>
    <col min="11267" max="11267" width="4.7109375" style="1" customWidth="1"/>
    <col min="11268" max="11268" width="8.7109375" style="1" customWidth="1"/>
    <col min="11269" max="11269" width="9" style="1" customWidth="1"/>
    <col min="11270" max="11270" width="12.7109375" style="1" customWidth="1"/>
    <col min="11271" max="11271" width="10" style="1" customWidth="1"/>
    <col min="11272" max="11272" width="13.140625" style="1" customWidth="1"/>
    <col min="11273" max="11273" width="13" style="1" customWidth="1"/>
    <col min="11274" max="11274" width="6.7109375" style="1" customWidth="1"/>
    <col min="11275" max="11275" width="7.140625" style="1" customWidth="1"/>
    <col min="11276" max="11276" width="7.28515625" style="1" customWidth="1"/>
    <col min="11277" max="11520" width="9.140625" style="1"/>
    <col min="11521" max="11521" width="16.42578125" style="1" customWidth="1"/>
    <col min="11522" max="11522" width="28.28515625" style="1" customWidth="1"/>
    <col min="11523" max="11523" width="4.7109375" style="1" customWidth="1"/>
    <col min="11524" max="11524" width="8.7109375" style="1" customWidth="1"/>
    <col min="11525" max="11525" width="9" style="1" customWidth="1"/>
    <col min="11526" max="11526" width="12.7109375" style="1" customWidth="1"/>
    <col min="11527" max="11527" width="10" style="1" customWidth="1"/>
    <col min="11528" max="11528" width="13.140625" style="1" customWidth="1"/>
    <col min="11529" max="11529" width="13" style="1" customWidth="1"/>
    <col min="11530" max="11530" width="6.7109375" style="1" customWidth="1"/>
    <col min="11531" max="11531" width="7.140625" style="1" customWidth="1"/>
    <col min="11532" max="11532" width="7.28515625" style="1" customWidth="1"/>
    <col min="11533" max="11776" width="9.140625" style="1"/>
    <col min="11777" max="11777" width="16.42578125" style="1" customWidth="1"/>
    <col min="11778" max="11778" width="28.28515625" style="1" customWidth="1"/>
    <col min="11779" max="11779" width="4.7109375" style="1" customWidth="1"/>
    <col min="11780" max="11780" width="8.7109375" style="1" customWidth="1"/>
    <col min="11781" max="11781" width="9" style="1" customWidth="1"/>
    <col min="11782" max="11782" width="12.7109375" style="1" customWidth="1"/>
    <col min="11783" max="11783" width="10" style="1" customWidth="1"/>
    <col min="11784" max="11784" width="13.140625" style="1" customWidth="1"/>
    <col min="11785" max="11785" width="13" style="1" customWidth="1"/>
    <col min="11786" max="11786" width="6.7109375" style="1" customWidth="1"/>
    <col min="11787" max="11787" width="7.140625" style="1" customWidth="1"/>
    <col min="11788" max="11788" width="7.28515625" style="1" customWidth="1"/>
    <col min="11789" max="12032" width="9.140625" style="1"/>
    <col min="12033" max="12033" width="16.42578125" style="1" customWidth="1"/>
    <col min="12034" max="12034" width="28.28515625" style="1" customWidth="1"/>
    <col min="12035" max="12035" width="4.7109375" style="1" customWidth="1"/>
    <col min="12036" max="12036" width="8.7109375" style="1" customWidth="1"/>
    <col min="12037" max="12037" width="9" style="1" customWidth="1"/>
    <col min="12038" max="12038" width="12.7109375" style="1" customWidth="1"/>
    <col min="12039" max="12039" width="10" style="1" customWidth="1"/>
    <col min="12040" max="12040" width="13.140625" style="1" customWidth="1"/>
    <col min="12041" max="12041" width="13" style="1" customWidth="1"/>
    <col min="12042" max="12042" width="6.7109375" style="1" customWidth="1"/>
    <col min="12043" max="12043" width="7.140625" style="1" customWidth="1"/>
    <col min="12044" max="12044" width="7.28515625" style="1" customWidth="1"/>
    <col min="12045" max="12288" width="9.140625" style="1"/>
    <col min="12289" max="12289" width="16.42578125" style="1" customWidth="1"/>
    <col min="12290" max="12290" width="28.28515625" style="1" customWidth="1"/>
    <col min="12291" max="12291" width="4.7109375" style="1" customWidth="1"/>
    <col min="12292" max="12292" width="8.7109375" style="1" customWidth="1"/>
    <col min="12293" max="12293" width="9" style="1" customWidth="1"/>
    <col min="12294" max="12294" width="12.7109375" style="1" customWidth="1"/>
    <col min="12295" max="12295" width="10" style="1" customWidth="1"/>
    <col min="12296" max="12296" width="13.140625" style="1" customWidth="1"/>
    <col min="12297" max="12297" width="13" style="1" customWidth="1"/>
    <col min="12298" max="12298" width="6.7109375" style="1" customWidth="1"/>
    <col min="12299" max="12299" width="7.140625" style="1" customWidth="1"/>
    <col min="12300" max="12300" width="7.28515625" style="1" customWidth="1"/>
    <col min="12301" max="12544" width="9.140625" style="1"/>
    <col min="12545" max="12545" width="16.42578125" style="1" customWidth="1"/>
    <col min="12546" max="12546" width="28.28515625" style="1" customWidth="1"/>
    <col min="12547" max="12547" width="4.7109375" style="1" customWidth="1"/>
    <col min="12548" max="12548" width="8.7109375" style="1" customWidth="1"/>
    <col min="12549" max="12549" width="9" style="1" customWidth="1"/>
    <col min="12550" max="12550" width="12.7109375" style="1" customWidth="1"/>
    <col min="12551" max="12551" width="10" style="1" customWidth="1"/>
    <col min="12552" max="12552" width="13.140625" style="1" customWidth="1"/>
    <col min="12553" max="12553" width="13" style="1" customWidth="1"/>
    <col min="12554" max="12554" width="6.7109375" style="1" customWidth="1"/>
    <col min="12555" max="12555" width="7.140625" style="1" customWidth="1"/>
    <col min="12556" max="12556" width="7.28515625" style="1" customWidth="1"/>
    <col min="12557" max="12800" width="9.140625" style="1"/>
    <col min="12801" max="12801" width="16.42578125" style="1" customWidth="1"/>
    <col min="12802" max="12802" width="28.28515625" style="1" customWidth="1"/>
    <col min="12803" max="12803" width="4.7109375" style="1" customWidth="1"/>
    <col min="12804" max="12804" width="8.7109375" style="1" customWidth="1"/>
    <col min="12805" max="12805" width="9" style="1" customWidth="1"/>
    <col min="12806" max="12806" width="12.7109375" style="1" customWidth="1"/>
    <col min="12807" max="12807" width="10" style="1" customWidth="1"/>
    <col min="12808" max="12808" width="13.140625" style="1" customWidth="1"/>
    <col min="12809" max="12809" width="13" style="1" customWidth="1"/>
    <col min="12810" max="12810" width="6.7109375" style="1" customWidth="1"/>
    <col min="12811" max="12811" width="7.140625" style="1" customWidth="1"/>
    <col min="12812" max="12812" width="7.28515625" style="1" customWidth="1"/>
    <col min="12813" max="13056" width="9.140625" style="1"/>
    <col min="13057" max="13057" width="16.42578125" style="1" customWidth="1"/>
    <col min="13058" max="13058" width="28.28515625" style="1" customWidth="1"/>
    <col min="13059" max="13059" width="4.7109375" style="1" customWidth="1"/>
    <col min="13060" max="13060" width="8.7109375" style="1" customWidth="1"/>
    <col min="13061" max="13061" width="9" style="1" customWidth="1"/>
    <col min="13062" max="13062" width="12.7109375" style="1" customWidth="1"/>
    <col min="13063" max="13063" width="10" style="1" customWidth="1"/>
    <col min="13064" max="13064" width="13.140625" style="1" customWidth="1"/>
    <col min="13065" max="13065" width="13" style="1" customWidth="1"/>
    <col min="13066" max="13066" width="6.7109375" style="1" customWidth="1"/>
    <col min="13067" max="13067" width="7.140625" style="1" customWidth="1"/>
    <col min="13068" max="13068" width="7.28515625" style="1" customWidth="1"/>
    <col min="13069" max="13312" width="9.140625" style="1"/>
    <col min="13313" max="13313" width="16.42578125" style="1" customWidth="1"/>
    <col min="13314" max="13314" width="28.28515625" style="1" customWidth="1"/>
    <col min="13315" max="13315" width="4.7109375" style="1" customWidth="1"/>
    <col min="13316" max="13316" width="8.7109375" style="1" customWidth="1"/>
    <col min="13317" max="13317" width="9" style="1" customWidth="1"/>
    <col min="13318" max="13318" width="12.7109375" style="1" customWidth="1"/>
    <col min="13319" max="13319" width="10" style="1" customWidth="1"/>
    <col min="13320" max="13320" width="13.140625" style="1" customWidth="1"/>
    <col min="13321" max="13321" width="13" style="1" customWidth="1"/>
    <col min="13322" max="13322" width="6.7109375" style="1" customWidth="1"/>
    <col min="13323" max="13323" width="7.140625" style="1" customWidth="1"/>
    <col min="13324" max="13324" width="7.28515625" style="1" customWidth="1"/>
    <col min="13325" max="13568" width="9.140625" style="1"/>
    <col min="13569" max="13569" width="16.42578125" style="1" customWidth="1"/>
    <col min="13570" max="13570" width="28.28515625" style="1" customWidth="1"/>
    <col min="13571" max="13571" width="4.7109375" style="1" customWidth="1"/>
    <col min="13572" max="13572" width="8.7109375" style="1" customWidth="1"/>
    <col min="13573" max="13573" width="9" style="1" customWidth="1"/>
    <col min="13574" max="13574" width="12.7109375" style="1" customWidth="1"/>
    <col min="13575" max="13575" width="10" style="1" customWidth="1"/>
    <col min="13576" max="13576" width="13.140625" style="1" customWidth="1"/>
    <col min="13577" max="13577" width="13" style="1" customWidth="1"/>
    <col min="13578" max="13578" width="6.7109375" style="1" customWidth="1"/>
    <col min="13579" max="13579" width="7.140625" style="1" customWidth="1"/>
    <col min="13580" max="13580" width="7.28515625" style="1" customWidth="1"/>
    <col min="13581" max="13824" width="9.140625" style="1"/>
    <col min="13825" max="13825" width="16.42578125" style="1" customWidth="1"/>
    <col min="13826" max="13826" width="28.28515625" style="1" customWidth="1"/>
    <col min="13827" max="13827" width="4.7109375" style="1" customWidth="1"/>
    <col min="13828" max="13828" width="8.7109375" style="1" customWidth="1"/>
    <col min="13829" max="13829" width="9" style="1" customWidth="1"/>
    <col min="13830" max="13830" width="12.7109375" style="1" customWidth="1"/>
    <col min="13831" max="13831" width="10" style="1" customWidth="1"/>
    <col min="13832" max="13832" width="13.140625" style="1" customWidth="1"/>
    <col min="13833" max="13833" width="13" style="1" customWidth="1"/>
    <col min="13834" max="13834" width="6.7109375" style="1" customWidth="1"/>
    <col min="13835" max="13835" width="7.140625" style="1" customWidth="1"/>
    <col min="13836" max="13836" width="7.28515625" style="1" customWidth="1"/>
    <col min="13837" max="14080" width="9.140625" style="1"/>
    <col min="14081" max="14081" width="16.42578125" style="1" customWidth="1"/>
    <col min="14082" max="14082" width="28.28515625" style="1" customWidth="1"/>
    <col min="14083" max="14083" width="4.7109375" style="1" customWidth="1"/>
    <col min="14084" max="14084" width="8.7109375" style="1" customWidth="1"/>
    <col min="14085" max="14085" width="9" style="1" customWidth="1"/>
    <col min="14086" max="14086" width="12.7109375" style="1" customWidth="1"/>
    <col min="14087" max="14087" width="10" style="1" customWidth="1"/>
    <col min="14088" max="14088" width="13.140625" style="1" customWidth="1"/>
    <col min="14089" max="14089" width="13" style="1" customWidth="1"/>
    <col min="14090" max="14090" width="6.7109375" style="1" customWidth="1"/>
    <col min="14091" max="14091" width="7.140625" style="1" customWidth="1"/>
    <col min="14092" max="14092" width="7.28515625" style="1" customWidth="1"/>
    <col min="14093" max="14336" width="9.140625" style="1"/>
    <col min="14337" max="14337" width="16.42578125" style="1" customWidth="1"/>
    <col min="14338" max="14338" width="28.28515625" style="1" customWidth="1"/>
    <col min="14339" max="14339" width="4.7109375" style="1" customWidth="1"/>
    <col min="14340" max="14340" width="8.7109375" style="1" customWidth="1"/>
    <col min="14341" max="14341" width="9" style="1" customWidth="1"/>
    <col min="14342" max="14342" width="12.7109375" style="1" customWidth="1"/>
    <col min="14343" max="14343" width="10" style="1" customWidth="1"/>
    <col min="14344" max="14344" width="13.140625" style="1" customWidth="1"/>
    <col min="14345" max="14345" width="13" style="1" customWidth="1"/>
    <col min="14346" max="14346" width="6.7109375" style="1" customWidth="1"/>
    <col min="14347" max="14347" width="7.140625" style="1" customWidth="1"/>
    <col min="14348" max="14348" width="7.28515625" style="1" customWidth="1"/>
    <col min="14349" max="14592" width="9.140625" style="1"/>
    <col min="14593" max="14593" width="16.42578125" style="1" customWidth="1"/>
    <col min="14594" max="14594" width="28.28515625" style="1" customWidth="1"/>
    <col min="14595" max="14595" width="4.7109375" style="1" customWidth="1"/>
    <col min="14596" max="14596" width="8.7109375" style="1" customWidth="1"/>
    <col min="14597" max="14597" width="9" style="1" customWidth="1"/>
    <col min="14598" max="14598" width="12.7109375" style="1" customWidth="1"/>
    <col min="14599" max="14599" width="10" style="1" customWidth="1"/>
    <col min="14600" max="14600" width="13.140625" style="1" customWidth="1"/>
    <col min="14601" max="14601" width="13" style="1" customWidth="1"/>
    <col min="14602" max="14602" width="6.7109375" style="1" customWidth="1"/>
    <col min="14603" max="14603" width="7.140625" style="1" customWidth="1"/>
    <col min="14604" max="14604" width="7.28515625" style="1" customWidth="1"/>
    <col min="14605" max="14848" width="9.140625" style="1"/>
    <col min="14849" max="14849" width="16.42578125" style="1" customWidth="1"/>
    <col min="14850" max="14850" width="28.28515625" style="1" customWidth="1"/>
    <col min="14851" max="14851" width="4.7109375" style="1" customWidth="1"/>
    <col min="14852" max="14852" width="8.7109375" style="1" customWidth="1"/>
    <col min="14853" max="14853" width="9" style="1" customWidth="1"/>
    <col min="14854" max="14854" width="12.7109375" style="1" customWidth="1"/>
    <col min="14855" max="14855" width="10" style="1" customWidth="1"/>
    <col min="14856" max="14856" width="13.140625" style="1" customWidth="1"/>
    <col min="14857" max="14857" width="13" style="1" customWidth="1"/>
    <col min="14858" max="14858" width="6.7109375" style="1" customWidth="1"/>
    <col min="14859" max="14859" width="7.140625" style="1" customWidth="1"/>
    <col min="14860" max="14860" width="7.28515625" style="1" customWidth="1"/>
    <col min="14861" max="15104" width="9.140625" style="1"/>
    <col min="15105" max="15105" width="16.42578125" style="1" customWidth="1"/>
    <col min="15106" max="15106" width="28.28515625" style="1" customWidth="1"/>
    <col min="15107" max="15107" width="4.7109375" style="1" customWidth="1"/>
    <col min="15108" max="15108" width="8.7109375" style="1" customWidth="1"/>
    <col min="15109" max="15109" width="9" style="1" customWidth="1"/>
    <col min="15110" max="15110" width="12.7109375" style="1" customWidth="1"/>
    <col min="15111" max="15111" width="10" style="1" customWidth="1"/>
    <col min="15112" max="15112" width="13.140625" style="1" customWidth="1"/>
    <col min="15113" max="15113" width="13" style="1" customWidth="1"/>
    <col min="15114" max="15114" width="6.7109375" style="1" customWidth="1"/>
    <col min="15115" max="15115" width="7.140625" style="1" customWidth="1"/>
    <col min="15116" max="15116" width="7.28515625" style="1" customWidth="1"/>
    <col min="15117" max="15360" width="9.140625" style="1"/>
    <col min="15361" max="15361" width="16.42578125" style="1" customWidth="1"/>
    <col min="15362" max="15362" width="28.28515625" style="1" customWidth="1"/>
    <col min="15363" max="15363" width="4.7109375" style="1" customWidth="1"/>
    <col min="15364" max="15364" width="8.7109375" style="1" customWidth="1"/>
    <col min="15365" max="15365" width="9" style="1" customWidth="1"/>
    <col min="15366" max="15366" width="12.7109375" style="1" customWidth="1"/>
    <col min="15367" max="15367" width="10" style="1" customWidth="1"/>
    <col min="15368" max="15368" width="13.140625" style="1" customWidth="1"/>
    <col min="15369" max="15369" width="13" style="1" customWidth="1"/>
    <col min="15370" max="15370" width="6.7109375" style="1" customWidth="1"/>
    <col min="15371" max="15371" width="7.140625" style="1" customWidth="1"/>
    <col min="15372" max="15372" width="7.28515625" style="1" customWidth="1"/>
    <col min="15373" max="15616" width="9.140625" style="1"/>
    <col min="15617" max="15617" width="16.42578125" style="1" customWidth="1"/>
    <col min="15618" max="15618" width="28.28515625" style="1" customWidth="1"/>
    <col min="15619" max="15619" width="4.7109375" style="1" customWidth="1"/>
    <col min="15620" max="15620" width="8.7109375" style="1" customWidth="1"/>
    <col min="15621" max="15621" width="9" style="1" customWidth="1"/>
    <col min="15622" max="15622" width="12.7109375" style="1" customWidth="1"/>
    <col min="15623" max="15623" width="10" style="1" customWidth="1"/>
    <col min="15624" max="15624" width="13.140625" style="1" customWidth="1"/>
    <col min="15625" max="15625" width="13" style="1" customWidth="1"/>
    <col min="15626" max="15626" width="6.7109375" style="1" customWidth="1"/>
    <col min="15627" max="15627" width="7.140625" style="1" customWidth="1"/>
    <col min="15628" max="15628" width="7.28515625" style="1" customWidth="1"/>
    <col min="15629" max="15872" width="9.140625" style="1"/>
    <col min="15873" max="15873" width="16.42578125" style="1" customWidth="1"/>
    <col min="15874" max="15874" width="28.28515625" style="1" customWidth="1"/>
    <col min="15875" max="15875" width="4.7109375" style="1" customWidth="1"/>
    <col min="15876" max="15876" width="8.7109375" style="1" customWidth="1"/>
    <col min="15877" max="15877" width="9" style="1" customWidth="1"/>
    <col min="15878" max="15878" width="12.7109375" style="1" customWidth="1"/>
    <col min="15879" max="15879" width="10" style="1" customWidth="1"/>
    <col min="15880" max="15880" width="13.140625" style="1" customWidth="1"/>
    <col min="15881" max="15881" width="13" style="1" customWidth="1"/>
    <col min="15882" max="15882" width="6.7109375" style="1" customWidth="1"/>
    <col min="15883" max="15883" width="7.140625" style="1" customWidth="1"/>
    <col min="15884" max="15884" width="7.28515625" style="1" customWidth="1"/>
    <col min="15885" max="16128" width="9.140625" style="1"/>
    <col min="16129" max="16129" width="16.42578125" style="1" customWidth="1"/>
    <col min="16130" max="16130" width="28.28515625" style="1" customWidth="1"/>
    <col min="16131" max="16131" width="4.7109375" style="1" customWidth="1"/>
    <col min="16132" max="16132" width="8.7109375" style="1" customWidth="1"/>
    <col min="16133" max="16133" width="9" style="1" customWidth="1"/>
    <col min="16134" max="16134" width="12.7109375" style="1" customWidth="1"/>
    <col min="16135" max="16135" width="10" style="1" customWidth="1"/>
    <col min="16136" max="16136" width="13.140625" style="1" customWidth="1"/>
    <col min="16137" max="16137" width="13" style="1" customWidth="1"/>
    <col min="16138" max="16138" width="6.7109375" style="1" customWidth="1"/>
    <col min="16139" max="16139" width="7.140625" style="1" customWidth="1"/>
    <col min="16140" max="16140" width="7.28515625" style="1" customWidth="1"/>
    <col min="16141" max="16384" width="9.140625" style="1"/>
  </cols>
  <sheetData>
    <row r="1" spans="1:9" s="2" customFormat="1" ht="3.75" customHeight="1" x14ac:dyDescent="0.2">
      <c r="A1" s="20"/>
      <c r="B1" s="20"/>
      <c r="C1" s="20"/>
      <c r="D1" s="20"/>
      <c r="E1" s="96"/>
      <c r="F1" s="96"/>
      <c r="G1" s="97"/>
      <c r="H1" s="96"/>
      <c r="I1" s="20"/>
    </row>
    <row r="2" spans="1:9" s="2" customFormat="1" x14ac:dyDescent="0.2">
      <c r="A2" s="26"/>
      <c r="B2" s="26"/>
      <c r="C2" s="26"/>
      <c r="D2" s="26"/>
      <c r="E2" s="98"/>
      <c r="F2" s="98"/>
      <c r="G2" s="99"/>
      <c r="H2" s="98"/>
      <c r="I2" s="26"/>
    </row>
    <row r="3" spans="1:9" s="21" customFormat="1" ht="15.75" x14ac:dyDescent="0.25">
      <c r="A3" s="24" t="s">
        <v>16</v>
      </c>
      <c r="B3" s="23" t="s">
        <v>15</v>
      </c>
      <c r="E3" s="100"/>
      <c r="F3" s="100"/>
      <c r="G3" s="101"/>
      <c r="H3" s="100"/>
      <c r="I3" s="22"/>
    </row>
    <row r="4" spans="1:9" s="21" customFormat="1" ht="15.75" x14ac:dyDescent="0.25">
      <c r="A4" s="24" t="s">
        <v>14</v>
      </c>
      <c r="B4" s="25" t="s">
        <v>13</v>
      </c>
      <c r="E4" s="100"/>
      <c r="F4" s="100"/>
      <c r="G4" s="101"/>
      <c r="H4" s="100"/>
      <c r="I4" s="22"/>
    </row>
    <row r="5" spans="1:9" s="21" customFormat="1" ht="15.75" x14ac:dyDescent="0.25">
      <c r="A5" s="24" t="s">
        <v>12</v>
      </c>
      <c r="B5" s="23" t="s">
        <v>66</v>
      </c>
      <c r="E5" s="100"/>
      <c r="F5" s="100"/>
      <c r="G5" s="101"/>
      <c r="H5" s="100"/>
      <c r="I5" s="22"/>
    </row>
    <row r="6" spans="1:9" s="2" customFormat="1" x14ac:dyDescent="0.2">
      <c r="A6" s="20"/>
      <c r="B6" s="20"/>
      <c r="C6" s="20"/>
      <c r="D6" s="20"/>
      <c r="E6" s="96"/>
      <c r="F6" s="96"/>
      <c r="G6" s="97"/>
      <c r="H6" s="96"/>
      <c r="I6" s="20"/>
    </row>
    <row r="7" spans="1:9" s="2" customFormat="1" x14ac:dyDescent="0.2">
      <c r="E7" s="102"/>
      <c r="F7" s="102"/>
      <c r="G7" s="103"/>
      <c r="H7" s="102"/>
    </row>
    <row r="8" spans="1:9" ht="34.5" thickBot="1" x14ac:dyDescent="0.25">
      <c r="A8" s="19" t="s">
        <v>11</v>
      </c>
      <c r="B8" s="18" t="s">
        <v>10</v>
      </c>
      <c r="C8" s="17" t="s">
        <v>9</v>
      </c>
      <c r="D8" s="16" t="s">
        <v>8</v>
      </c>
      <c r="E8" s="104" t="s">
        <v>7</v>
      </c>
      <c r="F8" s="104" t="s">
        <v>6</v>
      </c>
      <c r="G8" s="104" t="s">
        <v>5</v>
      </c>
      <c r="H8" s="104" t="s">
        <v>4</v>
      </c>
      <c r="I8" s="15" t="s">
        <v>3</v>
      </c>
    </row>
    <row r="9" spans="1:9" ht="13.5" thickTop="1" x14ac:dyDescent="0.2">
      <c r="A9" s="10"/>
      <c r="B9" s="14"/>
      <c r="C9" s="9"/>
      <c r="D9" s="9"/>
      <c r="E9" s="105"/>
      <c r="F9" s="105"/>
      <c r="G9" s="106"/>
      <c r="H9" s="105"/>
      <c r="I9" s="9"/>
    </row>
    <row r="10" spans="1:9" x14ac:dyDescent="0.2">
      <c r="A10" s="13"/>
      <c r="B10" s="13"/>
      <c r="C10" s="12"/>
      <c r="D10" s="12"/>
      <c r="E10" s="107"/>
      <c r="F10" s="108"/>
      <c r="G10" s="109"/>
      <c r="H10" s="110"/>
      <c r="I10" s="11"/>
    </row>
    <row r="11" spans="1:9" ht="13.5" thickBot="1" x14ac:dyDescent="0.25">
      <c r="A11" s="8"/>
      <c r="B11" s="7"/>
      <c r="C11" s="6"/>
      <c r="D11" s="6"/>
      <c r="E11" s="111"/>
      <c r="F11" s="112"/>
      <c r="G11" s="113"/>
      <c r="H11" s="114"/>
      <c r="I11" s="6"/>
    </row>
    <row r="12" spans="1:9" s="4" customFormat="1" x14ac:dyDescent="0.2">
      <c r="A12" s="5"/>
      <c r="B12" s="3" t="s">
        <v>70</v>
      </c>
      <c r="C12" s="5"/>
      <c r="D12" s="5"/>
      <c r="E12" s="115"/>
      <c r="F12" s="108"/>
      <c r="G12" s="116"/>
      <c r="H12" s="115">
        <f>F10</f>
        <v>0</v>
      </c>
      <c r="I12" s="5"/>
    </row>
    <row r="13" spans="1:9" x14ac:dyDescent="0.2">
      <c r="A13" s="2"/>
      <c r="B13" s="3" t="s">
        <v>71</v>
      </c>
      <c r="C13" s="2"/>
      <c r="D13" s="2"/>
      <c r="E13" s="102"/>
      <c r="F13" s="108"/>
      <c r="G13" s="103"/>
      <c r="H13" s="102">
        <f>H10</f>
        <v>0</v>
      </c>
      <c r="I13" s="2"/>
    </row>
    <row r="14" spans="1:9" x14ac:dyDescent="0.2">
      <c r="A14" s="2"/>
      <c r="B14" s="3" t="s">
        <v>72</v>
      </c>
      <c r="C14" s="2"/>
      <c r="D14" s="2"/>
      <c r="E14" s="102"/>
      <c r="F14" s="108"/>
      <c r="G14" s="103"/>
      <c r="H14" s="102">
        <f>I10</f>
        <v>0</v>
      </c>
      <c r="I14" s="2"/>
    </row>
    <row r="15" spans="1:9" x14ac:dyDescent="0.2">
      <c r="A15" s="2"/>
      <c r="B15" s="3"/>
      <c r="C15" s="2"/>
      <c r="D15" s="2"/>
      <c r="E15" s="102"/>
      <c r="F15" s="108"/>
      <c r="G15" s="103"/>
      <c r="H15" s="102"/>
      <c r="I15" s="2"/>
    </row>
    <row r="16" spans="1:9" x14ac:dyDescent="0.2">
      <c r="A16" s="2"/>
      <c r="B16" s="2" t="s">
        <v>73</v>
      </c>
      <c r="C16" s="2"/>
      <c r="D16" s="2"/>
      <c r="E16" s="102"/>
      <c r="F16" s="108"/>
      <c r="G16" s="103"/>
      <c r="H16" s="102">
        <f>SUM(H13,H14)</f>
        <v>0</v>
      </c>
    </row>
    <row r="17" spans="1:9" x14ac:dyDescent="0.2">
      <c r="A17" s="2"/>
      <c r="B17" s="2"/>
      <c r="C17" s="2"/>
      <c r="D17" s="2"/>
      <c r="E17" s="102"/>
      <c r="F17" s="102"/>
      <c r="G17" s="103"/>
      <c r="H17" s="102"/>
      <c r="I17" s="2"/>
    </row>
  </sheetData>
  <printOptions horizontalCentered="1"/>
  <pageMargins left="0.75" right="0.75" top="1.1499999999999999" bottom="0.65" header="0.35" footer="0.35"/>
  <pageSetup paperSize="9" scale="74" orientation="portrait" r:id="rId1"/>
  <headerFooter alignWithMargins="0">
    <oddHeader>&amp;L&amp;G</oddHeader>
    <oddFooter>&amp;CCommercial in Confidence&amp;RPage &amp;P of &amp;N</oddFooter>
  </headerFooter>
  <legacyDrawingHF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J51"/>
  <sheetViews>
    <sheetView view="pageBreakPreview" topLeftCell="A13" zoomScaleNormal="100" workbookViewId="0">
      <selection activeCell="B20" sqref="B20"/>
    </sheetView>
  </sheetViews>
  <sheetFormatPr defaultRowHeight="12.75" x14ac:dyDescent="0.2"/>
  <cols>
    <col min="1" max="1" width="16.7109375" style="1" customWidth="1"/>
    <col min="2" max="2" width="20.140625" style="1" customWidth="1"/>
    <col min="3" max="3" width="9" style="1" customWidth="1"/>
    <col min="4" max="4" width="6" style="1" customWidth="1"/>
    <col min="5" max="5" width="13.140625" style="1" customWidth="1"/>
    <col min="6" max="6" width="11.5703125" style="1" hidden="1" customWidth="1"/>
    <col min="7" max="7" width="16.42578125" style="1" bestFit="1" customWidth="1"/>
    <col min="8" max="8" width="20" style="1" bestFit="1" customWidth="1"/>
    <col min="9" max="9" width="6.7109375" style="1" customWidth="1"/>
    <col min="10" max="10" width="7.140625" style="1" customWidth="1"/>
    <col min="11" max="11" width="7.28515625" style="1" customWidth="1"/>
    <col min="12" max="16384" width="9.140625" style="1"/>
  </cols>
  <sheetData>
    <row r="1" spans="1:8" s="2" customFormat="1" ht="3.75" customHeight="1" x14ac:dyDescent="0.2">
      <c r="A1" s="20"/>
      <c r="B1" s="20"/>
      <c r="C1" s="20"/>
      <c r="D1" s="20"/>
      <c r="E1" s="20"/>
      <c r="F1" s="20"/>
      <c r="G1" s="20"/>
      <c r="H1" s="26"/>
    </row>
    <row r="2" spans="1:8" s="2" customFormat="1" x14ac:dyDescent="0.2">
      <c r="A2" s="26"/>
      <c r="B2" s="26"/>
      <c r="C2" s="26"/>
      <c r="D2" s="26"/>
      <c r="E2" s="26"/>
      <c r="F2" s="26"/>
      <c r="G2" s="26"/>
      <c r="H2" s="26"/>
    </row>
    <row r="3" spans="1:8" s="26" customFormat="1" x14ac:dyDescent="0.2">
      <c r="A3" s="33" t="s">
        <v>47</v>
      </c>
      <c r="E3" s="33" t="s">
        <v>46</v>
      </c>
    </row>
    <row r="4" spans="1:8" s="26" customFormat="1" x14ac:dyDescent="0.2">
      <c r="A4" s="33" t="s">
        <v>45</v>
      </c>
      <c r="E4" s="33" t="s">
        <v>44</v>
      </c>
      <c r="F4" s="26" t="s">
        <v>20</v>
      </c>
    </row>
    <row r="5" spans="1:8" s="26" customFormat="1" x14ac:dyDescent="0.2">
      <c r="A5" s="33"/>
      <c r="E5" s="33"/>
    </row>
    <row r="6" spans="1:8" s="26" customFormat="1" x14ac:dyDescent="0.2">
      <c r="A6" s="33" t="s">
        <v>43</v>
      </c>
      <c r="E6" s="33" t="s">
        <v>43</v>
      </c>
    </row>
    <row r="7" spans="1:8" s="2" customFormat="1" x14ac:dyDescent="0.2">
      <c r="A7" s="20"/>
      <c r="B7" s="20"/>
      <c r="C7" s="20"/>
      <c r="D7" s="20"/>
      <c r="E7" s="20"/>
      <c r="F7" s="20"/>
      <c r="G7" s="20"/>
      <c r="H7" s="26"/>
    </row>
    <row r="8" spans="1:8" s="2" customFormat="1" x14ac:dyDescent="0.2">
      <c r="A8" s="26"/>
      <c r="B8" s="26"/>
      <c r="C8" s="26"/>
      <c r="D8" s="26"/>
      <c r="E8" s="26"/>
      <c r="F8" s="26"/>
      <c r="G8" s="26"/>
      <c r="H8" s="26"/>
    </row>
    <row r="9" spans="1:8" s="21" customFormat="1" ht="15.75" x14ac:dyDescent="0.25">
      <c r="A9" s="24" t="s">
        <v>16</v>
      </c>
      <c r="B9" s="23" t="s">
        <v>15</v>
      </c>
    </row>
    <row r="10" spans="1:8" s="21" customFormat="1" ht="15.75" x14ac:dyDescent="0.25">
      <c r="A10" s="24" t="s">
        <v>14</v>
      </c>
      <c r="B10" s="25" t="s">
        <v>13</v>
      </c>
    </row>
    <row r="11" spans="1:8" s="21" customFormat="1" ht="15.75" x14ac:dyDescent="0.25">
      <c r="A11" s="81" t="s">
        <v>12</v>
      </c>
      <c r="B11" s="80" t="s">
        <v>66</v>
      </c>
      <c r="C11" s="22"/>
      <c r="D11" s="22"/>
      <c r="E11" s="22"/>
      <c r="F11" s="22"/>
      <c r="G11" s="22"/>
      <c r="H11" s="22"/>
    </row>
    <row r="12" spans="1:8" s="2" customFormat="1" ht="15.75" x14ac:dyDescent="0.25">
      <c r="A12" s="79"/>
      <c r="B12" s="78"/>
      <c r="C12" s="26"/>
      <c r="D12" s="26"/>
      <c r="E12" s="26"/>
      <c r="F12" s="26"/>
      <c r="G12" s="26"/>
      <c r="H12" s="26"/>
    </row>
    <row r="13" spans="1:8" s="2" customFormat="1" x14ac:dyDescent="0.2">
      <c r="A13" s="26"/>
      <c r="B13" s="26"/>
      <c r="C13" s="26"/>
      <c r="D13" s="26"/>
      <c r="E13" s="26"/>
      <c r="F13" s="26"/>
      <c r="G13" s="26"/>
      <c r="H13" s="26"/>
    </row>
    <row r="14" spans="1:8" s="2" customFormat="1" ht="15.75" x14ac:dyDescent="0.25">
      <c r="A14" s="41" t="s">
        <v>42</v>
      </c>
      <c r="B14" s="40"/>
      <c r="C14" s="40"/>
      <c r="D14" s="40"/>
      <c r="E14" s="40"/>
      <c r="F14" s="40"/>
      <c r="G14" s="39"/>
      <c r="H14" s="40"/>
    </row>
    <row r="15" spans="1:8" s="2" customFormat="1" ht="15.75" x14ac:dyDescent="0.25">
      <c r="A15" s="77"/>
    </row>
    <row r="16" spans="1:8" s="2" customFormat="1" ht="39" thickBot="1" x14ac:dyDescent="0.25">
      <c r="A16" s="33" t="s">
        <v>41</v>
      </c>
      <c r="B16" s="26"/>
      <c r="C16" s="26"/>
      <c r="D16" s="26"/>
      <c r="E16" s="45" t="s">
        <v>67</v>
      </c>
      <c r="G16" s="95" t="s">
        <v>68</v>
      </c>
      <c r="H16" s="95" t="s">
        <v>69</v>
      </c>
    </row>
    <row r="17" spans="1:9" s="5" customFormat="1" ht="13.5" thickTop="1" x14ac:dyDescent="0.2">
      <c r="A17" s="76"/>
      <c r="B17" s="75"/>
      <c r="C17" s="75"/>
      <c r="D17" s="75"/>
      <c r="E17" s="74"/>
      <c r="F17" s="74"/>
      <c r="G17" s="74"/>
      <c r="H17" s="73"/>
    </row>
    <row r="18" spans="1:9" s="2" customFormat="1" ht="13.5" thickBot="1" x14ac:dyDescent="0.25">
      <c r="A18" s="72"/>
      <c r="B18" s="71"/>
      <c r="C18" s="70"/>
      <c r="D18" s="70"/>
      <c r="E18" s="69"/>
      <c r="F18" s="69"/>
      <c r="G18" s="69"/>
      <c r="H18" s="68"/>
    </row>
    <row r="19" spans="1:9" s="5" customFormat="1" ht="13.5" thickTop="1" x14ac:dyDescent="0.2">
      <c r="A19" s="67" t="s">
        <v>40</v>
      </c>
      <c r="B19" s="66"/>
      <c r="C19" s="66"/>
      <c r="D19" s="66"/>
      <c r="E19" s="65">
        <f>SUM(E17:E18)</f>
        <v>0</v>
      </c>
      <c r="F19" s="65" t="e">
        <f>#REF!+F17+#REF!</f>
        <v>#REF!</v>
      </c>
      <c r="G19" s="61">
        <f>SUM(G17:G18)</f>
        <v>0</v>
      </c>
      <c r="H19" s="65"/>
    </row>
    <row r="20" spans="1:9" s="5" customFormat="1" x14ac:dyDescent="0.2">
      <c r="A20" s="64" t="s">
        <v>39</v>
      </c>
      <c r="B20" s="63"/>
      <c r="C20" s="63"/>
      <c r="D20" s="63"/>
      <c r="E20" s="62">
        <f>SUM(E21:E24)</f>
        <v>0</v>
      </c>
      <c r="F20" s="62"/>
      <c r="G20" s="61">
        <f>SUM(G21:G24)</f>
        <v>0</v>
      </c>
      <c r="H20" s="61"/>
    </row>
    <row r="21" spans="1:9" s="55" customFormat="1" ht="12" x14ac:dyDescent="0.2">
      <c r="A21" s="60"/>
      <c r="B21" s="58" t="s">
        <v>38</v>
      </c>
      <c r="C21" s="58"/>
      <c r="D21" s="58"/>
      <c r="E21" s="57"/>
      <c r="F21" s="57"/>
      <c r="G21" s="56"/>
      <c r="H21" s="56"/>
    </row>
    <row r="22" spans="1:9" s="55" customFormat="1" ht="12" x14ac:dyDescent="0.2">
      <c r="A22" s="60"/>
      <c r="B22" s="58" t="s">
        <v>37</v>
      </c>
      <c r="C22" s="58"/>
      <c r="D22" s="58"/>
      <c r="E22" s="57"/>
      <c r="F22" s="57"/>
      <c r="G22" s="56"/>
      <c r="H22" s="56"/>
    </row>
    <row r="23" spans="1:9" s="55" customFormat="1" ht="12" x14ac:dyDescent="0.2">
      <c r="A23" s="60"/>
      <c r="B23" s="58" t="s">
        <v>36</v>
      </c>
      <c r="C23" s="58"/>
      <c r="D23" s="58"/>
      <c r="E23" s="57"/>
      <c r="F23" s="57"/>
      <c r="G23" s="56"/>
      <c r="H23" s="56"/>
    </row>
    <row r="24" spans="1:9" s="55" customFormat="1" ht="12" x14ac:dyDescent="0.2">
      <c r="A24" s="60"/>
      <c r="B24" s="58" t="s">
        <v>35</v>
      </c>
      <c r="C24" s="58"/>
      <c r="D24" s="58"/>
      <c r="E24" s="57"/>
      <c r="F24" s="57"/>
      <c r="G24" s="56"/>
      <c r="H24" s="56"/>
    </row>
    <row r="25" spans="1:9" s="55" customFormat="1" ht="12" x14ac:dyDescent="0.2">
      <c r="A25" s="59" t="s">
        <v>34</v>
      </c>
      <c r="B25" s="58"/>
      <c r="C25" s="58"/>
      <c r="D25" s="58"/>
      <c r="E25" s="57">
        <f>SUM(E26:E27)</f>
        <v>0</v>
      </c>
      <c r="F25" s="57"/>
      <c r="G25" s="56">
        <f>SUM(G26:G27)</f>
        <v>0</v>
      </c>
      <c r="H25" s="56"/>
    </row>
    <row r="26" spans="1:9" s="55" customFormat="1" ht="12" x14ac:dyDescent="0.2">
      <c r="A26" s="59"/>
      <c r="B26" s="58" t="s">
        <v>33</v>
      </c>
      <c r="C26" s="58"/>
      <c r="D26" s="58"/>
      <c r="E26" s="57"/>
      <c r="F26" s="57"/>
      <c r="G26" s="56"/>
      <c r="H26" s="56"/>
    </row>
    <row r="27" spans="1:9" s="2" customFormat="1" ht="13.5" thickBot="1" x14ac:dyDescent="0.25">
      <c r="A27" s="54"/>
      <c r="B27" s="53"/>
      <c r="C27" s="52"/>
      <c r="D27" s="52"/>
      <c r="E27" s="51"/>
      <c r="F27" s="51"/>
      <c r="G27" s="50"/>
      <c r="H27" s="50">
        <f>SUM(E27:G27)</f>
        <v>0</v>
      </c>
    </row>
    <row r="28" spans="1:9" s="5" customFormat="1" ht="14.25" thickTop="1" thickBot="1" x14ac:dyDescent="0.25">
      <c r="A28" s="49" t="s">
        <v>32</v>
      </c>
      <c r="B28" s="48"/>
      <c r="C28" s="48"/>
      <c r="D28" s="48"/>
      <c r="E28" s="47">
        <f>E19-E20</f>
        <v>0</v>
      </c>
      <c r="F28" s="47" t="e">
        <f>F19-F20</f>
        <v>#REF!</v>
      </c>
      <c r="G28" s="46">
        <f>G19-G20</f>
        <v>0</v>
      </c>
      <c r="H28" s="50"/>
    </row>
    <row r="29" spans="1:9" s="5" customFormat="1" ht="13.5" thickTop="1" x14ac:dyDescent="0.2">
      <c r="A29" s="33"/>
      <c r="B29" s="33"/>
      <c r="C29" s="33"/>
      <c r="D29" s="33"/>
      <c r="E29" s="45"/>
      <c r="F29" s="45"/>
      <c r="G29" s="45"/>
      <c r="H29" s="45"/>
    </row>
    <row r="30" spans="1:9" s="2" customFormat="1" x14ac:dyDescent="0.2"/>
    <row r="31" spans="1:9" s="37" customFormat="1" ht="15.75" x14ac:dyDescent="0.25">
      <c r="A31" s="41" t="s">
        <v>31</v>
      </c>
      <c r="B31" s="40"/>
      <c r="C31" s="40"/>
      <c r="D31" s="40"/>
      <c r="E31" s="40"/>
      <c r="F31" s="40"/>
      <c r="G31" s="40"/>
      <c r="H31" s="39"/>
      <c r="I31" s="38"/>
    </row>
    <row r="32" spans="1:9" s="2" customFormat="1" x14ac:dyDescent="0.2"/>
    <row r="33" spans="1:10" s="2" customFormat="1" x14ac:dyDescent="0.2">
      <c r="A33" s="44" t="s">
        <v>30</v>
      </c>
      <c r="B33" s="43"/>
      <c r="C33" s="43"/>
      <c r="D33" s="43"/>
      <c r="E33" s="43"/>
      <c r="F33" s="43"/>
      <c r="G33" s="43"/>
      <c r="H33" s="42"/>
      <c r="I33" s="26"/>
      <c r="J33" s="26"/>
    </row>
    <row r="34" spans="1:10" s="2" customFormat="1" x14ac:dyDescent="0.2">
      <c r="A34" s="32" t="s">
        <v>29</v>
      </c>
      <c r="B34" s="26"/>
      <c r="C34" s="26"/>
      <c r="D34" s="26"/>
      <c r="E34" s="26"/>
      <c r="F34" s="26"/>
      <c r="G34" s="26"/>
      <c r="H34" s="31"/>
      <c r="I34" s="26"/>
      <c r="J34" s="26"/>
    </row>
    <row r="35" spans="1:10" s="2" customFormat="1" x14ac:dyDescent="0.2">
      <c r="A35" s="32" t="s">
        <v>28</v>
      </c>
      <c r="B35" s="26"/>
      <c r="C35" s="26"/>
      <c r="D35" s="26"/>
      <c r="E35" s="26"/>
      <c r="F35" s="26"/>
      <c r="G35" s="26"/>
      <c r="H35" s="31"/>
      <c r="I35" s="26"/>
      <c r="J35" s="26"/>
    </row>
    <row r="36" spans="1:10" s="2" customFormat="1" x14ac:dyDescent="0.2">
      <c r="A36" s="32" t="s">
        <v>27</v>
      </c>
      <c r="B36" s="26"/>
      <c r="C36" s="26"/>
      <c r="D36" s="26"/>
      <c r="E36" s="26"/>
      <c r="F36" s="26"/>
      <c r="G36" s="26"/>
      <c r="H36" s="31"/>
      <c r="I36" s="26"/>
      <c r="J36" s="26"/>
    </row>
    <row r="37" spans="1:10" s="2" customFormat="1" x14ac:dyDescent="0.2">
      <c r="A37" s="32" t="s">
        <v>26</v>
      </c>
      <c r="B37" s="26"/>
      <c r="C37" s="26"/>
      <c r="D37" s="26"/>
      <c r="E37" s="26"/>
      <c r="F37" s="26"/>
      <c r="G37" s="26"/>
      <c r="H37" s="31"/>
      <c r="I37" s="26"/>
      <c r="J37" s="26"/>
    </row>
    <row r="38" spans="1:10" s="2" customFormat="1" x14ac:dyDescent="0.2">
      <c r="A38" s="32" t="s">
        <v>26</v>
      </c>
      <c r="B38" s="26"/>
      <c r="C38" s="26"/>
      <c r="D38" s="26"/>
      <c r="E38" s="26"/>
      <c r="F38" s="26"/>
      <c r="G38" s="26"/>
      <c r="H38" s="31"/>
      <c r="I38" s="26"/>
      <c r="J38" s="26"/>
    </row>
    <row r="39" spans="1:10" s="2" customFormat="1" x14ac:dyDescent="0.2">
      <c r="A39" s="30"/>
      <c r="B39" s="20"/>
      <c r="C39" s="20"/>
      <c r="D39" s="20"/>
      <c r="E39" s="20"/>
      <c r="F39" s="20"/>
      <c r="G39" s="20"/>
      <c r="H39" s="29"/>
      <c r="I39" s="26"/>
      <c r="J39" s="26"/>
    </row>
    <row r="40" spans="1:10" s="2" customFormat="1" x14ac:dyDescent="0.2"/>
    <row r="41" spans="1:10" s="37" customFormat="1" ht="15.75" x14ac:dyDescent="0.25">
      <c r="A41" s="41" t="s">
        <v>25</v>
      </c>
      <c r="B41" s="40"/>
      <c r="C41" s="40"/>
      <c r="D41" s="40"/>
      <c r="E41" s="40"/>
      <c r="F41" s="40"/>
      <c r="G41" s="40"/>
      <c r="H41" s="39"/>
      <c r="I41" s="38"/>
    </row>
    <row r="42" spans="1:10" s="2" customFormat="1" x14ac:dyDescent="0.2"/>
    <row r="43" spans="1:10" s="5" customFormat="1" x14ac:dyDescent="0.2">
      <c r="A43" s="36" t="s">
        <v>24</v>
      </c>
      <c r="B43" s="36" t="s">
        <v>23</v>
      </c>
      <c r="C43" s="36" t="s">
        <v>22</v>
      </c>
      <c r="D43" s="35"/>
      <c r="E43" s="35"/>
      <c r="F43" s="35"/>
      <c r="G43" s="35"/>
      <c r="H43" s="34"/>
      <c r="I43" s="33"/>
      <c r="J43" s="33"/>
    </row>
    <row r="44" spans="1:10" s="2" customFormat="1" x14ac:dyDescent="0.2">
      <c r="A44" s="32" t="s">
        <v>21</v>
      </c>
      <c r="B44" s="32" t="s">
        <v>18</v>
      </c>
      <c r="C44" s="32" t="s">
        <v>20</v>
      </c>
      <c r="D44" s="26"/>
      <c r="E44" s="26"/>
      <c r="F44" s="26"/>
      <c r="G44" s="26"/>
      <c r="H44" s="31"/>
      <c r="I44" s="26"/>
      <c r="J44" s="26"/>
    </row>
    <row r="45" spans="1:10" s="2" customFormat="1" x14ac:dyDescent="0.2">
      <c r="A45" s="32" t="s">
        <v>19</v>
      </c>
      <c r="B45" s="32" t="s">
        <v>18</v>
      </c>
      <c r="C45" s="32" t="s">
        <v>17</v>
      </c>
      <c r="D45" s="26"/>
      <c r="E45" s="26"/>
      <c r="F45" s="26"/>
      <c r="G45" s="26"/>
      <c r="H45" s="31"/>
      <c r="I45" s="26"/>
      <c r="J45" s="26"/>
    </row>
    <row r="46" spans="1:10" s="2" customFormat="1" x14ac:dyDescent="0.2">
      <c r="A46" s="32"/>
      <c r="B46" s="32"/>
      <c r="C46" s="32"/>
      <c r="D46" s="26"/>
      <c r="E46" s="26"/>
      <c r="F46" s="26"/>
      <c r="G46" s="26"/>
      <c r="H46" s="31"/>
      <c r="I46" s="26"/>
      <c r="J46" s="26"/>
    </row>
    <row r="47" spans="1:10" s="2" customFormat="1" x14ac:dyDescent="0.2">
      <c r="A47" s="32"/>
      <c r="B47" s="32"/>
      <c r="C47" s="32"/>
      <c r="D47" s="26"/>
      <c r="E47" s="26"/>
      <c r="F47" s="26"/>
      <c r="G47" s="26"/>
      <c r="H47" s="31"/>
      <c r="I47" s="26"/>
      <c r="J47" s="26"/>
    </row>
    <row r="48" spans="1:10" s="2" customFormat="1" x14ac:dyDescent="0.2">
      <c r="A48" s="30"/>
      <c r="B48" s="30"/>
      <c r="C48" s="30"/>
      <c r="D48" s="20"/>
      <c r="E48" s="20"/>
      <c r="F48" s="20"/>
      <c r="G48" s="20"/>
      <c r="H48" s="29"/>
      <c r="I48" s="26"/>
      <c r="J48" s="26"/>
    </row>
    <row r="49" s="2" customFormat="1" x14ac:dyDescent="0.2"/>
    <row r="50" s="2" customFormat="1" x14ac:dyDescent="0.2"/>
    <row r="51" s="2" customFormat="1" x14ac:dyDescent="0.2"/>
  </sheetData>
  <printOptions horizontalCentered="1"/>
  <pageMargins left="0.75" right="0.75" top="1.36" bottom="0.65" header="0.35" footer="0.35"/>
  <pageSetup paperSize="9" scale="84" fitToWidth="2" orientation="portrait" r:id="rId1"/>
  <headerFooter alignWithMargins="0">
    <oddHeader>&amp;C&amp;G</oddHeader>
    <oddFooter>&amp;CCommercial in Confidence&amp;RPage &amp;P of &amp;N</oddFooter>
  </headerFooter>
  <legacyDrawingHF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1</vt:i4>
      </vt:variant>
    </vt:vector>
  </HeadingPairs>
  <TitlesOfParts>
    <vt:vector size="5" baseType="lpstr">
      <vt:lpstr>Sheet1</vt:lpstr>
      <vt:lpstr>Database</vt:lpstr>
      <vt:lpstr>detail Template</vt:lpstr>
      <vt:lpstr>Summary</vt:lpstr>
      <vt:lpstr>Summary!Print_Area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Jace</dc:creator>
  <cp:lastModifiedBy>Jace</cp:lastModifiedBy>
  <dcterms:created xsi:type="dcterms:W3CDTF">2012-03-23T00:13:28Z</dcterms:created>
  <dcterms:modified xsi:type="dcterms:W3CDTF">2012-05-06T05:49:40Z</dcterms:modified>
</cp:coreProperties>
</file>
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975" windowWidth="13140" windowHeight="5025" activeTab="2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Database!$A$1:$G$259</definedName>
    <definedName name="_xlnm.Print_Area" localSheetId="2">'detail Template'!$A$1:$I$18</definedName>
    <definedName name="_xlnm.Print_Area" localSheetId="3">Summary!$A$1:$H$56</definedName>
  </definedNames>
  <calcPr calcId="144525"/>
</workbook>
</file>

<file path=xl/calcChain.xml><?xml version="1.0" encoding="utf-8"?>
<calcChain xmlns="http://schemas.openxmlformats.org/spreadsheetml/2006/main">
  <c r="L2" i="2" l="1"/>
  <c r="K2" i="2"/>
  <c r="M2" i="2"/>
  <c r="J2" i="2"/>
  <c r="L3" i="2"/>
  <c r="K3" i="2"/>
  <c r="M3" i="2"/>
  <c r="J3" i="2"/>
  <c r="L110" i="2"/>
  <c r="L57" i="2"/>
  <c r="L52" i="2"/>
  <c r="L47" i="2"/>
  <c r="L39" i="2"/>
  <c r="L31" i="2"/>
  <c r="L18" i="2"/>
  <c r="L10" i="2"/>
  <c r="L69" i="2"/>
  <c r="L4" i="2"/>
  <c r="K110" i="2"/>
  <c r="K57" i="2"/>
  <c r="K52" i="2"/>
  <c r="K47" i="2"/>
  <c r="K39" i="2"/>
  <c r="K31" i="2"/>
  <c r="K18" i="2"/>
  <c r="K10" i="2"/>
  <c r="K69" i="2"/>
  <c r="K4" i="2"/>
  <c r="M110" i="2"/>
  <c r="M57" i="2"/>
  <c r="M52" i="2"/>
  <c r="M47" i="2"/>
  <c r="M39" i="2"/>
  <c r="M31" i="2"/>
  <c r="M18" i="2"/>
  <c r="M10" i="2"/>
  <c r="M69" i="2"/>
  <c r="M4" i="2"/>
  <c r="J110" i="2"/>
  <c r="J57" i="2"/>
  <c r="J39" i="2"/>
  <c r="J31" i="2"/>
  <c r="J18" i="2"/>
  <c r="J10" i="2"/>
  <c r="J69" i="2"/>
  <c r="J4" i="2"/>
  <c r="L111" i="2"/>
  <c r="L58" i="2"/>
  <c r="L53" i="2"/>
  <c r="L48" i="2"/>
  <c r="L40" i="2"/>
  <c r="L32" i="2"/>
  <c r="L27" i="2"/>
  <c r="L19" i="2"/>
  <c r="L11" i="2"/>
  <c r="L104" i="2"/>
  <c r="L70" i="2"/>
  <c r="L64" i="2"/>
  <c r="L5" i="2"/>
  <c r="K111" i="2"/>
  <c r="K58" i="2"/>
  <c r="K53" i="2"/>
  <c r="K48" i="2"/>
  <c r="K40" i="2"/>
  <c r="K32" i="2"/>
  <c r="K27" i="2"/>
  <c r="K19" i="2"/>
  <c r="K11" i="2"/>
  <c r="K104" i="2"/>
  <c r="K70" i="2"/>
  <c r="K64" i="2"/>
  <c r="K5" i="2"/>
  <c r="M111" i="2"/>
  <c r="M58" i="2"/>
  <c r="M53" i="2"/>
  <c r="M48" i="2"/>
  <c r="M40" i="2"/>
  <c r="M32" i="2"/>
  <c r="M27" i="2"/>
  <c r="M19" i="2"/>
  <c r="M11" i="2"/>
  <c r="M104" i="2"/>
  <c r="M70" i="2"/>
  <c r="M64" i="2"/>
  <c r="M5" i="2"/>
  <c r="J111" i="2"/>
  <c r="J58" i="2"/>
  <c r="J32" i="2"/>
  <c r="J27" i="2"/>
  <c r="J19" i="2"/>
  <c r="J11" i="2"/>
  <c r="J104" i="2"/>
  <c r="J70" i="2"/>
  <c r="J64" i="2"/>
  <c r="J5" i="2"/>
  <c r="L112" i="2"/>
  <c r="L59" i="2"/>
  <c r="L54" i="2"/>
  <c r="L49" i="2"/>
  <c r="L41" i="2"/>
  <c r="L33" i="2"/>
  <c r="L28" i="2"/>
  <c r="L20" i="2"/>
  <c r="L12" i="2"/>
  <c r="L105" i="2"/>
  <c r="L71" i="2"/>
  <c r="L65" i="2"/>
  <c r="L6" i="2"/>
  <c r="K112" i="2"/>
  <c r="K59" i="2"/>
  <c r="K54" i="2"/>
  <c r="K49" i="2"/>
  <c r="K41" i="2"/>
  <c r="K33" i="2"/>
  <c r="K28" i="2"/>
  <c r="K20" i="2"/>
  <c r="K12" i="2"/>
  <c r="K105" i="2"/>
  <c r="K71" i="2"/>
  <c r="K65" i="2"/>
  <c r="K6" i="2"/>
  <c r="M112" i="2"/>
  <c r="M59" i="2"/>
  <c r="M54" i="2"/>
  <c r="M49" i="2"/>
  <c r="M41" i="2"/>
  <c r="M33" i="2"/>
  <c r="M28" i="2"/>
  <c r="M20" i="2"/>
  <c r="M12" i="2"/>
  <c r="M105" i="2"/>
  <c r="M71" i="2"/>
  <c r="M65" i="2"/>
  <c r="M6" i="2"/>
  <c r="J112" i="2"/>
  <c r="J59" i="2"/>
  <c r="J33" i="2"/>
  <c r="J28" i="2"/>
  <c r="J20" i="2"/>
  <c r="J12" i="2"/>
  <c r="J105" i="2"/>
  <c r="J71" i="2"/>
  <c r="J65" i="2"/>
  <c r="J6" i="2"/>
  <c r="L113" i="2"/>
  <c r="L60" i="2"/>
  <c r="L55" i="2"/>
  <c r="L50" i="2"/>
  <c r="L42" i="2"/>
  <c r="L34" i="2"/>
  <c r="L29" i="2"/>
  <c r="L21" i="2"/>
  <c r="L13" i="2"/>
  <c r="L106" i="2"/>
  <c r="L101" i="2"/>
  <c r="L72" i="2"/>
  <c r="L66" i="2"/>
  <c r="L7" i="2"/>
  <c r="K113" i="2"/>
  <c r="K60" i="2"/>
  <c r="K55" i="2"/>
  <c r="K50" i="2"/>
  <c r="K42" i="2"/>
  <c r="K34" i="2"/>
  <c r="K29" i="2"/>
  <c r="K21" i="2"/>
  <c r="K13" i="2"/>
  <c r="K106" i="2"/>
  <c r="K101" i="2"/>
  <c r="K72" i="2"/>
  <c r="K66" i="2"/>
  <c r="K7" i="2"/>
  <c r="M113" i="2"/>
  <c r="M60" i="2"/>
  <c r="M55" i="2"/>
  <c r="M50" i="2"/>
  <c r="M42" i="2"/>
  <c r="M34" i="2"/>
  <c r="M29" i="2"/>
  <c r="M21" i="2"/>
  <c r="M13" i="2"/>
  <c r="M106" i="2"/>
  <c r="M101" i="2"/>
  <c r="M72" i="2"/>
  <c r="M66" i="2"/>
  <c r="M7" i="2"/>
  <c r="J113" i="2"/>
  <c r="J60" i="2"/>
  <c r="J55" i="2"/>
  <c r="J34" i="2"/>
  <c r="J29" i="2"/>
  <c r="J21" i="2"/>
  <c r="J13" i="2"/>
  <c r="J106" i="2"/>
  <c r="J101" i="2"/>
  <c r="J72" i="2"/>
  <c r="J66" i="2"/>
  <c r="J7" i="2"/>
  <c r="M114" i="2"/>
  <c r="K114" i="2"/>
  <c r="M109" i="2"/>
  <c r="K109" i="2"/>
  <c r="M108" i="2"/>
  <c r="K108" i="2"/>
  <c r="M107" i="2"/>
  <c r="K107" i="2"/>
  <c r="M103" i="2"/>
  <c r="K103" i="2"/>
  <c r="M102" i="2"/>
  <c r="K102" i="2"/>
  <c r="M100" i="2"/>
  <c r="K100" i="2"/>
  <c r="M99" i="2"/>
  <c r="K99" i="2"/>
  <c r="M98" i="2"/>
  <c r="K98" i="2"/>
  <c r="M97" i="2"/>
  <c r="K97" i="2"/>
  <c r="M96" i="2"/>
  <c r="K96" i="2"/>
  <c r="M95" i="2"/>
  <c r="K95" i="2"/>
  <c r="M94" i="2"/>
  <c r="K94" i="2"/>
  <c r="M93" i="2"/>
  <c r="K93" i="2"/>
  <c r="M92" i="2"/>
  <c r="K92" i="2"/>
  <c r="M91" i="2"/>
  <c r="K91" i="2"/>
  <c r="M90" i="2"/>
  <c r="K90" i="2"/>
  <c r="M89" i="2"/>
  <c r="K89" i="2"/>
  <c r="M88" i="2"/>
  <c r="K88" i="2"/>
  <c r="M87" i="2"/>
  <c r="K87" i="2"/>
  <c r="M86" i="2"/>
  <c r="K86" i="2"/>
  <c r="M85" i="2"/>
  <c r="K85" i="2"/>
  <c r="M84" i="2"/>
  <c r="K84" i="2"/>
  <c r="M83" i="2"/>
  <c r="K83" i="2"/>
  <c r="M82" i="2"/>
  <c r="K82" i="2"/>
  <c r="M81" i="2"/>
  <c r="K81" i="2"/>
  <c r="M80" i="2"/>
  <c r="K80" i="2"/>
  <c r="M79" i="2"/>
  <c r="K79" i="2"/>
  <c r="M78" i="2"/>
  <c r="K78" i="2"/>
  <c r="M77" i="2"/>
  <c r="K77" i="2"/>
  <c r="M76" i="2"/>
  <c r="K76" i="2"/>
  <c r="M75" i="2"/>
  <c r="K75" i="2"/>
  <c r="M74" i="2"/>
  <c r="K74" i="2"/>
  <c r="M73" i="2"/>
  <c r="K73" i="2"/>
  <c r="M68" i="2"/>
  <c r="K68" i="2"/>
  <c r="M67" i="2"/>
  <c r="K67" i="2"/>
  <c r="M63" i="2"/>
  <c r="K63" i="2"/>
  <c r="M62" i="2"/>
  <c r="K62" i="2"/>
  <c r="M61" i="2"/>
  <c r="K61" i="2"/>
  <c r="M56" i="2"/>
  <c r="K56" i="2"/>
  <c r="M51" i="2"/>
  <c r="K51" i="2"/>
  <c r="M46" i="2"/>
  <c r="K46" i="2"/>
  <c r="M45" i="2"/>
  <c r="K45" i="2"/>
  <c r="M44" i="2"/>
  <c r="K44" i="2"/>
  <c r="M43" i="2"/>
  <c r="K43" i="2"/>
  <c r="M38" i="2"/>
  <c r="K38" i="2"/>
  <c r="M37" i="2"/>
  <c r="K37" i="2"/>
  <c r="M36" i="2"/>
  <c r="K36" i="2"/>
  <c r="M35" i="2"/>
  <c r="K35" i="2"/>
  <c r="M30" i="2"/>
  <c r="K30" i="2"/>
  <c r="M26" i="2"/>
  <c r="K26" i="2"/>
  <c r="M25" i="2"/>
  <c r="K25" i="2"/>
  <c r="M24" i="2"/>
  <c r="K24" i="2"/>
  <c r="M23" i="2"/>
  <c r="K23" i="2"/>
  <c r="M22" i="2"/>
  <c r="K22" i="2"/>
  <c r="M17" i="2"/>
  <c r="K17" i="2"/>
  <c r="M16" i="2"/>
  <c r="K16" i="2"/>
  <c r="M15" i="2"/>
  <c r="K15" i="2"/>
  <c r="M14" i="2"/>
  <c r="K14" i="2"/>
  <c r="M9" i="2"/>
  <c r="K9" i="2"/>
  <c r="M8" i="2"/>
  <c r="K8" i="2"/>
  <c r="H17" i="4" l="1"/>
  <c r="H15" i="4"/>
  <c r="H14" i="4"/>
  <c r="H13" i="4"/>
  <c r="H35" i="5" l="1"/>
  <c r="G27" i="5"/>
  <c r="G36" i="5" s="1"/>
  <c r="F27" i="5"/>
  <c r="F36" i="5" s="1"/>
  <c r="E27" i="5"/>
  <c r="E36" i="5" s="1"/>
  <c r="H25" i="5"/>
  <c r="H21" i="5"/>
  <c r="H17" i="5"/>
  <c r="H36" i="5" l="1"/>
  <c r="H27" i="5"/>
</calcChain>
</file>

<file path=xl/sharedStrings.xml><?xml version="1.0" encoding="utf-8"?>
<sst xmlns="http://schemas.openxmlformats.org/spreadsheetml/2006/main" count="1229" uniqueCount="625">
  <si>
    <t xml:space="preserve"> </t>
  </si>
  <si>
    <t>1.1.1.1.1.1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</si>
  <si>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</si>
  <si>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</si>
  <si>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</si>
  <si>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</si>
  <si>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</si>
  <si>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</si>
  <si>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</si>
  <si>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</si>
  <si>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</si>
  <si>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</si>
  <si>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</si>
  <si>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</si>
  <si>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</si>
  <si>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</si>
  <si>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</si>
  <si>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</si>
  <si>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</si>
  <si>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</si>
  <si>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</si>
  <si>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</si>
  <si>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</si>
  <si>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</si>
  <si>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</si>
  <si>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</si>
  <si>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</si>
  <si>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</si>
  <si>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</si>
  <si>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</si>
  <si>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</si>
  <si>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</si>
  <si>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</si>
  <si>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</si>
  <si>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</si>
  <si>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</si>
  <si>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</si>
  <si>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</si>
  <si>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</si>
  <si>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</si>
  <si>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</si>
  <si>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</si>
  <si>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</si>
  <si>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</si>
  <si>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</si>
  <si>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</si>
  <si>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</si>
  <si>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</si>
  <si>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</si>
  <si>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</si>
  <si>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</si>
  <si>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</si>
  <si>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</si>
  <si>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</si>
  <si>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</si>
  <si>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</si>
  <si>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</si>
  <si>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</si>
  <si>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</si>
  <si>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</si>
  <si>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</si>
  <si>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</si>
  <si>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</si>
  <si>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</si>
  <si>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</si>
  <si>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</si>
  <si>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</si>
  <si>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</si>
  <si>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</si>
  <si>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1.1.1.1</t>
  </si>
  <si>
    <t>1.1.1.1.1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</si>
  <si>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</si>
  <si>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</si>
  <si>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</si>
  <si>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</si>
  <si>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</si>
  <si>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</si>
  <si>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</si>
  <si>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</si>
  <si>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</si>
  <si>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</si>
  <si>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</si>
  <si>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</si>
  <si>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</si>
  <si>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</si>
  <si>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</si>
  <si>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</si>
  <si>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</si>
  <si>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</si>
  <si>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</si>
  <si>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</si>
  <si>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</si>
  <si>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</si>
  <si>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</si>
  <si>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</si>
  <si>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</si>
  <si>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</si>
  <si>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</si>
  <si>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</si>
  <si>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</si>
  <si>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</si>
  <si>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</si>
  <si>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</si>
  <si>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</si>
  <si>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</si>
  <si>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</si>
  <si>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</si>
  <si>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</si>
  <si>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</si>
  <si>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</si>
  <si>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</si>
  <si>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</si>
  <si>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</si>
  <si>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</si>
  <si>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</si>
  <si>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</si>
  <si>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</si>
  <si>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</si>
  <si>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</si>
  <si>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</si>
  <si>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</si>
  <si>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</si>
  <si>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</si>
  <si>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</si>
  <si>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</si>
  <si>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=SUM(K5)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</si>
  <si>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</si>
  <si>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</si>
  <si>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</si>
  <si>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</si>
  <si>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</si>
  <si>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</si>
  <si>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</si>
  <si>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</si>
  <si>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</si>
  <si>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</si>
  <si>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</si>
  <si>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</si>
  <si>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</si>
  <si>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</si>
  <si>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</si>
  <si>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</si>
  <si>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</si>
  <si>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</si>
  <si>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=I4*SUM(M5)</t>
  </si>
  <si>
    <t>=I3*J3</t>
  </si>
  <si>
    <t>=I4*J4</t>
  </si>
  <si>
    <t>=100*(1-(M3/K3))</t>
  </si>
  <si>
    <t>=100*(1-(M4/K4))</t>
  </si>
  <si>
    <t>=I2*J2</t>
  </si>
  <si>
    <t>=100*(1-(M2/K2))</t>
  </si>
  <si>
    <t>11</t>
  </si>
  <si>
    <t>12</t>
  </si>
  <si>
    <t>13</t>
  </si>
  <si>
    <t>14</t>
  </si>
  <si>
    <t>21</t>
  </si>
  <si>
    <t>1.1.2.1.1.1.1</t>
  </si>
  <si>
    <t>CUDB Blade v3</t>
  </si>
  <si>
    <t>30</t>
  </si>
  <si>
    <t>1.1.2.1.1.1.2</t>
  </si>
  <si>
    <t>Cabinet</t>
  </si>
  <si>
    <t>31</t>
  </si>
  <si>
    <t>1.1.2.1.1.1.3</t>
  </si>
  <si>
    <t>Network Interface Blade (NWI-E 450A)</t>
  </si>
  <si>
    <t>32</t>
  </si>
  <si>
    <t>1.1.2.1.1.1.4</t>
  </si>
  <si>
    <t>Unequipped subrack with 2 SCXB2</t>
  </si>
  <si>
    <t>33</t>
  </si>
  <si>
    <t>1.1.3</t>
  </si>
  <si>
    <t>CUDB Spares</t>
  </si>
  <si>
    <t>35</t>
  </si>
  <si>
    <t>1.1.3.1</t>
  </si>
  <si>
    <t>CUDB Spares 1</t>
  </si>
  <si>
    <t>36</t>
  </si>
  <si>
    <t>1.1.3.1.1</t>
  </si>
  <si>
    <t>37</t>
  </si>
  <si>
    <t>1.1.3.1.1.1</t>
  </si>
  <si>
    <t>PRODUCT PACKAGE/SP CUDB 11B (FAP1302513)</t>
  </si>
  <si>
    <t>38</t>
  </si>
  <si>
    <t>1.1.3.1.1.1.1</t>
  </si>
  <si>
    <t>GEP3-HD300</t>
  </si>
  <si>
    <t>40</t>
  </si>
  <si>
    <t>1.1.3.1.1.1.2</t>
  </si>
  <si>
    <t>NWI-E 450A</t>
  </si>
  <si>
    <t>41</t>
  </si>
  <si>
    <t>1.1.3.1.1.1.3</t>
  </si>
  <si>
    <t>PFM HOD</t>
  </si>
  <si>
    <t>42</t>
  </si>
  <si>
    <t>1.1.3.1.1.1.4</t>
  </si>
  <si>
    <t>SCXB2</t>
  </si>
  <si>
    <t>43</t>
  </si>
  <si>
    <t>1.1.3.1.1.1.5</t>
  </si>
  <si>
    <t>Subrack + Backplane</t>
  </si>
  <si>
    <t>44</t>
  </si>
  <si>
    <t>1.1.4</t>
  </si>
  <si>
    <t>HLR-FE Spares</t>
  </si>
  <si>
    <t>46</t>
  </si>
  <si>
    <t>1.1.4.1</t>
  </si>
  <si>
    <t>47</t>
  </si>
  <si>
    <t>1.1.4.1.1</t>
  </si>
  <si>
    <t>48</t>
  </si>
  <si>
    <t>1.1.4.1.1.1</t>
  </si>
  <si>
    <t>49</t>
  </si>
  <si>
    <t>1.1.5</t>
  </si>
  <si>
    <t>HLR-FE LIVE (FY12/13)</t>
  </si>
  <si>
    <t>51</t>
  </si>
  <si>
    <t>1.1.5.1</t>
  </si>
  <si>
    <t>52</t>
  </si>
  <si>
    <t>1.1.5.1.1</t>
  </si>
  <si>
    <t>53</t>
  </si>
  <si>
    <t>1.1.5.1.1.1</t>
  </si>
  <si>
    <t>54</t>
  </si>
  <si>
    <t>1.1.5.1.1.1.1</t>
  </si>
  <si>
    <t>HLR-FE 1.0 Blade</t>
  </si>
  <si>
    <t>56</t>
  </si>
  <si>
    <t>1.1.5.1.1.1.2</t>
  </si>
  <si>
    <t>HLR-FE Middleware</t>
  </si>
  <si>
    <t>57</t>
  </si>
  <si>
    <t>1.1.5.1.1.1.3</t>
  </si>
  <si>
    <t>58</t>
  </si>
  <si>
    <t>1.1.5.1.1.1.4</t>
  </si>
  <si>
    <t>HLR-FE on Ericsson Blade HW 1.0 Base Configuration  (incl. 3 blades)</t>
  </si>
  <si>
    <t>59</t>
  </si>
  <si>
    <t>1.1.6</t>
  </si>
  <si>
    <t>CUDB LIVE (FY12/13)</t>
  </si>
  <si>
    <t>61</t>
  </si>
  <si>
    <t>1.1.6.1</t>
  </si>
  <si>
    <t>62</t>
  </si>
  <si>
    <t>1.1.6.1.1</t>
  </si>
  <si>
    <t>63</t>
  </si>
  <si>
    <t>1.1.6.1.1.1</t>
  </si>
  <si>
    <t>64</t>
  </si>
  <si>
    <t>1.1.6.1.1.1.1</t>
  </si>
  <si>
    <t>66</t>
  </si>
  <si>
    <t>1.1.6.1.1.1.2</t>
  </si>
  <si>
    <t>67</t>
  </si>
  <si>
    <t>1.1.6.1.1.1.3</t>
  </si>
  <si>
    <t>68</t>
  </si>
  <si>
    <t>1.1.6.1.1.1.4</t>
  </si>
  <si>
    <t>69</t>
  </si>
  <si>
    <t>1.1.7</t>
  </si>
  <si>
    <t>CUDB SW Testbed</t>
  </si>
  <si>
    <t>71</t>
  </si>
  <si>
    <t>1.1.7.1</t>
  </si>
  <si>
    <t>CUDB SW Testbed 2</t>
  </si>
  <si>
    <t>72</t>
  </si>
  <si>
    <t>1.1.7.1.1</t>
  </si>
  <si>
    <t>73</t>
  </si>
  <si>
    <t>1.1.7.1.1.1</t>
  </si>
  <si>
    <t>PRODUCT PACKAGE/CUDB 11 SW (FAP1302181)</t>
  </si>
  <si>
    <t>74</t>
  </si>
  <si>
    <t>1.1.7.1.1.1.1</t>
  </si>
  <si>
    <t>CUDB Customer Test System</t>
  </si>
  <si>
    <t>76</t>
  </si>
  <si>
    <t>1.1.8</t>
  </si>
  <si>
    <t>HLR FE SW OLP 11B</t>
  </si>
  <si>
    <t>78</t>
  </si>
  <si>
    <t>1.1.8.1</t>
  </si>
  <si>
    <t>79</t>
  </si>
  <si>
    <t>1.1.8.1.1</t>
  </si>
  <si>
    <t>80</t>
  </si>
  <si>
    <t>1.1.8.1.1.1</t>
  </si>
  <si>
    <t>PRODUCT PACKAGE/HLR/AUC-FE 11B (FAP1302463)</t>
  </si>
  <si>
    <t>81</t>
  </si>
  <si>
    <t>1.1.8.1.1.1.1</t>
  </si>
  <si>
    <t>Customer Test Lab System</t>
  </si>
  <si>
    <t>83</t>
  </si>
  <si>
    <t>1.1.9</t>
  </si>
  <si>
    <t>CUDB SW LIVE (FY12/13)</t>
  </si>
  <si>
    <t>85</t>
  </si>
  <si>
    <t>1.1.9.1</t>
  </si>
  <si>
    <t>86</t>
  </si>
  <si>
    <t>1.1.9.1.1</t>
  </si>
  <si>
    <t>87</t>
  </si>
  <si>
    <t>1.1.9.1.1.1</t>
  </si>
  <si>
    <t>88</t>
  </si>
  <si>
    <t>1.1.9.1.1.1.1</t>
  </si>
  <si>
    <t>AUC Profile Basic</t>
  </si>
  <si>
    <t>90</t>
  </si>
  <si>
    <t>1.1.9.1.1.1.2</t>
  </si>
  <si>
    <t>Double Geographical Redundancy</t>
  </si>
  <si>
    <t>91</t>
  </si>
  <si>
    <t>1.1.9.1.1.1.3</t>
  </si>
  <si>
    <t>HLR Profile Basic</t>
  </si>
  <si>
    <t>92</t>
  </si>
  <si>
    <t>1.1.10</t>
  </si>
  <si>
    <t>HLR_3G (FY12/13)</t>
  </si>
  <si>
    <t>94</t>
  </si>
  <si>
    <t>1.1.10.1</t>
  </si>
  <si>
    <t>95</t>
  </si>
  <si>
    <t>1.1.10.1.1</t>
  </si>
  <si>
    <t>96</t>
  </si>
  <si>
    <t>1.1.10.1.1.1</t>
  </si>
  <si>
    <t>3G.324M Multimedia support in HLR</t>
  </si>
  <si>
    <t>97</t>
  </si>
  <si>
    <t>1.1.10.1.1.2</t>
  </si>
  <si>
    <t>GPRS Charging Characteristics Support in HLR</t>
  </si>
  <si>
    <t>98</t>
  </si>
  <si>
    <t>1.1.11</t>
  </si>
  <si>
    <t>HLR_2G/3G (FY12/13)</t>
  </si>
  <si>
    <t>100</t>
  </si>
  <si>
    <t>1.1.11.1</t>
  </si>
  <si>
    <t>101</t>
  </si>
  <si>
    <t>1.1.11.1.1</t>
  </si>
  <si>
    <t>102</t>
  </si>
  <si>
    <t>1.1.11.1.1.1</t>
  </si>
  <si>
    <t>PRODUCT PACKAGE/HLR/AUC and FNR R14.1 (FAP1302048)</t>
  </si>
  <si>
    <t>103</t>
  </si>
  <si>
    <t>1.1.11.1.1.1.1</t>
  </si>
  <si>
    <t>AUC (AXE) Alternative A4 algorithm</t>
  </si>
  <si>
    <t>105</t>
  </si>
  <si>
    <t>1.1.11.1.1.1.2</t>
  </si>
  <si>
    <t>AUC R14.1 Basic GSM SW package</t>
  </si>
  <si>
    <t>106</t>
  </si>
  <si>
    <t>1.1.11.1.1.1.3</t>
  </si>
  <si>
    <t>Access to Mobile IN Services in HLR</t>
  </si>
  <si>
    <t>107</t>
  </si>
  <si>
    <t>1.1.11.1.1.1.4</t>
  </si>
  <si>
    <t>Added AUC R14.1 Basic WCDMA support for GSM/WCDMA combined networks</t>
  </si>
  <si>
    <t>108</t>
  </si>
  <si>
    <t>1.1.11.1.1.1.5</t>
  </si>
  <si>
    <t>Any Time Interrogation in HLR</t>
  </si>
  <si>
    <t>109</t>
  </si>
  <si>
    <t>1.1.11.1.1.1.6</t>
  </si>
  <si>
    <t>Call Barring Services in HLR</t>
  </si>
  <si>
    <t>110</t>
  </si>
  <si>
    <t>1.1.11.1.1.1.7</t>
  </si>
  <si>
    <t>Call Forwarding Services in HLR</t>
  </si>
  <si>
    <t>111</t>
  </si>
  <si>
    <t>1.1.11.1.1.1.8</t>
  </si>
  <si>
    <t>Call Waiting and Call Hold subscription</t>
  </si>
  <si>
    <t>112</t>
  </si>
  <si>
    <t>1.1.11.1.1.1.9</t>
  </si>
  <si>
    <t>Calling Line Identification Services subscription</t>
  </si>
  <si>
    <t>113</t>
  </si>
  <si>
    <t>1.1.11.1.1.1.10</t>
  </si>
  <si>
    <t>Default Call Forwarding</t>
  </si>
  <si>
    <t>114</t>
  </si>
  <si>
    <t>1.1.11.1.1.1.11</t>
  </si>
  <si>
    <t>File Output for Subscriber Data in HLR</t>
  </si>
  <si>
    <t>115</t>
  </si>
  <si>
    <t>1.1.11.1.1.1.12</t>
  </si>
  <si>
    <t>GPRS Support in HLR</t>
  </si>
  <si>
    <t>116</t>
  </si>
  <si>
    <t>1.1.11.1.1.1.13</t>
  </si>
  <si>
    <t>HLR R14.1 Basic SW package</t>
  </si>
  <si>
    <t>117</t>
  </si>
  <si>
    <t>1.1.11.1.1.1.14</t>
  </si>
  <si>
    <t>Immediate Call Itemisation subscription</t>
  </si>
  <si>
    <t>118</t>
  </si>
  <si>
    <t>1.1.11.1.1.1.15</t>
  </si>
  <si>
    <t>MTP Policing</t>
  </si>
  <si>
    <t>119</t>
  </si>
  <si>
    <t>1.1.11.1.1.1.16</t>
  </si>
  <si>
    <t>Multi Party Service subscription</t>
  </si>
  <si>
    <t>120</t>
  </si>
  <si>
    <t>1.1.11.1.1.1.17</t>
  </si>
  <si>
    <t>No. 7 Supervision</t>
  </si>
  <si>
    <t>121</t>
  </si>
  <si>
    <t>1.1.11.1.1.1.18</t>
  </si>
  <si>
    <t>Operator Determined Barring in HLR</t>
  </si>
  <si>
    <t>122</t>
  </si>
  <si>
    <t>1.1.11.1.1.1.19</t>
  </si>
  <si>
    <t>Positioning in HLR for CS</t>
  </si>
  <si>
    <t>123</t>
  </si>
  <si>
    <t>1.1.11.1.1.1.20</t>
  </si>
  <si>
    <t>Positioning in HLR for PS</t>
  </si>
  <si>
    <t>124</t>
  </si>
  <si>
    <t>1.1.11.1.1.1.21</t>
  </si>
  <si>
    <t>Remote Control Equipment</t>
  </si>
  <si>
    <t>125</t>
  </si>
  <si>
    <t>1.1.11.1.1.1.22</t>
  </si>
  <si>
    <t>Roaming Restriction per Subscription</t>
  </si>
  <si>
    <t>126</t>
  </si>
  <si>
    <t>1.1.11.1.1.1.23</t>
  </si>
  <si>
    <t>Roaming Service Restrictions in HLR</t>
  </si>
  <si>
    <t>127</t>
  </si>
  <si>
    <t>1.1.11.1.1.1.24</t>
  </si>
  <si>
    <t>SMS over GPRS in HLR</t>
  </si>
  <si>
    <t>128</t>
  </si>
  <si>
    <t>1.1.11.1.1.1.25</t>
  </si>
  <si>
    <t>Short Message Services in HLR</t>
  </si>
  <si>
    <t>129</t>
  </si>
  <si>
    <t>1.1.11.1.1.1.26</t>
  </si>
  <si>
    <t>Signaling Transport  over IP (SIGTRAN) in HLR</t>
  </si>
  <si>
    <t>130</t>
  </si>
  <si>
    <t>1.1.11.1.1.1.27</t>
  </si>
  <si>
    <t>Unstructured SS Data (USSD) to External Node</t>
  </si>
  <si>
    <t>131</t>
  </si>
  <si>
    <t>1.1.11.1.1.1.28</t>
  </si>
  <si>
    <t>Unstructured SS data in HLR</t>
  </si>
  <si>
    <t>132</t>
  </si>
  <si>
    <t>1.1.11.1.1.2</t>
  </si>
  <si>
    <t>133</t>
  </si>
  <si>
    <t>1.1.11.1.1.2.1</t>
  </si>
  <si>
    <t>Flexible Allocation of MSISDN</t>
  </si>
  <si>
    <t>135</t>
  </si>
  <si>
    <t>1.1.11.1.1.2.2</t>
  </si>
  <si>
    <t>R14.1 SW Basic Package for FNR</t>
  </si>
  <si>
    <t>136</t>
  </si>
  <si>
    <t>1.1.12</t>
  </si>
  <si>
    <t>Services_UDC_PA1</t>
  </si>
  <si>
    <t>138</t>
  </si>
  <si>
    <t>1.1.12.1</t>
  </si>
  <si>
    <t>139</t>
  </si>
  <si>
    <t>1.1.12.1.1</t>
  </si>
  <si>
    <t>140</t>
  </si>
  <si>
    <t>1.1.12.1.1.1</t>
  </si>
  <si>
    <t>UDC_Project_Management</t>
  </si>
  <si>
    <t>141</t>
  </si>
  <si>
    <t>1.1.12.1.1.2</t>
  </si>
  <si>
    <t>UDC_Implementation</t>
  </si>
  <si>
    <t>142</t>
  </si>
  <si>
    <t>1.1.12.1.1.3</t>
  </si>
  <si>
    <t>UDC_Risk Mitigation</t>
  </si>
  <si>
    <t>143</t>
  </si>
  <si>
    <t>1.2</t>
  </si>
  <si>
    <t>MSS 12A SW Upgrade</t>
  </si>
  <si>
    <t>145</t>
  </si>
  <si>
    <t>1.2.1</t>
  </si>
  <si>
    <t>New category</t>
  </si>
  <si>
    <t>146</t>
  </si>
  <si>
    <t>1.2.1.1</t>
  </si>
  <si>
    <t>MSC-S1 12A SW Upgrade ES (IPB 702 1829/1) 1 1</t>
  </si>
  <si>
    <t>147</t>
  </si>
  <si>
    <t>1.2.1.1.1</t>
  </si>
  <si>
    <t>MSC-S1 12A SW Upgrade ES (IPB 702 1829/1)</t>
  </si>
  <si>
    <t>148</t>
  </si>
  <si>
    <t>1.2.1.1.1.1</t>
  </si>
  <si>
    <t>PRODUCT PACKAGE/MSC 12A SW (FAP1302689)</t>
  </si>
  <si>
    <t>149</t>
  </si>
  <si>
    <t>3</t>
  </si>
  <si>
    <t>4</t>
  </si>
  <si>
    <t>5</t>
  </si>
  <si>
    <t>6</t>
  </si>
  <si>
    <t>7</t>
  </si>
  <si>
    <t>8</t>
  </si>
  <si>
    <t>9</t>
  </si>
  <si>
    <t>10</t>
  </si>
  <si>
    <t>24</t>
  </si>
  <si>
    <t>=SUM(K67,K68)</t>
  </si>
  <si>
    <t>=SUM(K73,K74,K75,K76,K77,K78,K79,K80,K81,K82,K83,K84,K85,K86,K87,K88,K89,K90,K91,K92,K93,K94,K95,K96,K97,K98,K99,K100)</t>
  </si>
  <si>
    <t>=SUM(K102,K103)</t>
  </si>
  <si>
    <t>=SUM(K107,K108,K109)</t>
  </si>
  <si>
    <t>=SUM(K14,K15,K16,K17)</t>
  </si>
  <si>
    <t>=SUM(K22,K23,K24,K25,K26)</t>
  </si>
  <si>
    <t>=SUM(K30)</t>
  </si>
  <si>
    <t>=SUM(K35,K36,K37,K38)</t>
  </si>
  <si>
    <t>=SUM(K56)</t>
  </si>
  <si>
    <t>=SUM(K61,K62,K63)</t>
  </si>
  <si>
    <t>=I66*SUM(M67,M68)</t>
  </si>
  <si>
    <t>=I72*SUM(M73,M74,M75,M76,M77,M78,M79,M80,M81,M82,M83,M84,M85,M86,M87,M88,M89,M90,M91,M92,M93,M94,M95,M96,M97,M98,M99,M100)</t>
  </si>
  <si>
    <t>=I101*SUM(M102,M103)</t>
  </si>
  <si>
    <t>=I106*SUM(M107,M108,M109)</t>
  </si>
  <si>
    <t>=I13*SUM(M14,M15,M16,M17)</t>
  </si>
  <si>
    <t>=I21*SUM(M22,M23,M24,M25,M26)</t>
  </si>
  <si>
    <t>=I29*SUM(M30)</t>
  </si>
  <si>
    <t>=I34*SUM(M35,M36,M37,M38)</t>
  </si>
  <si>
    <t>=I42*SUM(M43,M44,M45,M46)</t>
  </si>
  <si>
    <t>=I50*SUM(M51)</t>
  </si>
  <si>
    <t>=I55*SUM(M56)</t>
  </si>
  <si>
    <t>=I60*SUM(M61,M62,M63)</t>
  </si>
  <si>
    <t>=I66*J66</t>
  </si>
  <si>
    <t>=I72*J72</t>
  </si>
  <si>
    <t>=I101*J101</t>
  </si>
  <si>
    <t>=I106*J106</t>
  </si>
  <si>
    <t>=I13*J13</t>
  </si>
  <si>
    <t>=I21*J21</t>
  </si>
  <si>
    <t>=I29*J29</t>
  </si>
  <si>
    <t>=I34*J34</t>
  </si>
  <si>
    <t>=I42*J42</t>
  </si>
  <si>
    <t>=I50*J50</t>
  </si>
  <si>
    <t>=I55*J55</t>
  </si>
  <si>
    <t>=I60*J60</t>
  </si>
  <si>
    <t>=100*(1-(M66/K66))</t>
  </si>
  <si>
    <t>=100*(1-(M72/K72))</t>
  </si>
  <si>
    <t>=100*(1-(M101/K101))</t>
  </si>
  <si>
    <t>=100*(1-(M106/K106))</t>
  </si>
  <si>
    <t>=100*(1-(M13/K13))</t>
  </si>
  <si>
    <t>=100*(1-(M21/K21))</t>
  </si>
  <si>
    <t>=100*(1-(M29/K29))</t>
  </si>
  <si>
    <t>=100*(1-(M34/K34))</t>
  </si>
  <si>
    <t>=100*(1-(M42/K42))</t>
  </si>
  <si>
    <t>=100*(1-(M50/K50))</t>
  </si>
  <si>
    <t>=100*(1-(M55/K55))</t>
  </si>
  <si>
    <t>=100*(1-(M60/K60))</t>
  </si>
  <si>
    <t>=SUM(K66)</t>
  </si>
  <si>
    <t>=SUM(K72,K101)</t>
  </si>
  <si>
    <t>=SUM(K106)</t>
  </si>
  <si>
    <t>=SUM(K21)</t>
  </si>
  <si>
    <t>=SUM(K29)</t>
  </si>
  <si>
    <t>=SUM(K34)</t>
  </si>
  <si>
    <t>=SUM(K60)</t>
  </si>
  <si>
    <t>=I65*SUM(M66)</t>
  </si>
  <si>
    <t>=I71*SUM(M72,M101)</t>
  </si>
  <si>
    <t>=I105*SUM(M106)</t>
  </si>
  <si>
    <t>=I20*SUM(M21)</t>
  </si>
  <si>
    <t>=I28*SUM(M29)</t>
  </si>
  <si>
    <t>=I33*SUM(M34)</t>
  </si>
  <si>
    <t>=I41*SUM(M42)</t>
  </si>
  <si>
    <t>=I49*SUM(M50)</t>
  </si>
  <si>
    <t>=I54*SUM(M55)</t>
  </si>
  <si>
    <t>=I59*SUM(M60)</t>
  </si>
  <si>
    <t>=I65*J65</t>
  </si>
  <si>
    <t>=I71*J71</t>
  </si>
  <si>
    <t>=I105*J105</t>
  </si>
  <si>
    <t>=I20*J20</t>
  </si>
  <si>
    <t>=I28*J28</t>
  </si>
  <si>
    <t>=I33*J33</t>
  </si>
  <si>
    <t>=I41*J41</t>
  </si>
  <si>
    <t>=I49*J49</t>
  </si>
  <si>
    <t>=I54*J54</t>
  </si>
  <si>
    <t>=I59*J59</t>
  </si>
  <si>
    <t>=I113*J113</t>
  </si>
  <si>
    <t>=100*(1-(M65/K65))</t>
  </si>
  <si>
    <t>=100*(1-(M71/K71))</t>
  </si>
  <si>
    <t>=100*(1-(M105/K105))</t>
  </si>
  <si>
    <t>=100*(1-(M20/K20))</t>
  </si>
  <si>
    <t>=100*(1-(M28/K28))</t>
  </si>
  <si>
    <t>=100*(1-(M33/K33))</t>
  </si>
  <si>
    <t>=100*(1-(M41/K41))</t>
  </si>
  <si>
    <t>=100*(1-(M49/K49))</t>
  </si>
  <si>
    <t>=100*(1-(M54/K54))</t>
  </si>
  <si>
    <t>=100*(1-(M59/K59))</t>
  </si>
  <si>
    <t>=100*(1-(M113/K113))</t>
  </si>
  <si>
    <t>=SUM(K65)</t>
  </si>
  <si>
    <t>=SUM(K71)</t>
  </si>
  <si>
    <t>=SUM(K105)</t>
  </si>
  <si>
    <t>=SUM(K20)</t>
  </si>
  <si>
    <t>=SUM(K28)</t>
  </si>
  <si>
    <t>=SUM(K33)</t>
  </si>
  <si>
    <t>=SUM(K59)</t>
  </si>
  <si>
    <t>=SUM(K113)</t>
  </si>
  <si>
    <t>=I64*SUM(M65)</t>
  </si>
  <si>
    <t>=I70*SUM(M71)</t>
  </si>
  <si>
    <t>=I104*SUM(M105)</t>
  </si>
  <si>
    <t>=I19*SUM(M20)</t>
  </si>
  <si>
    <t>=I27*SUM(M28)</t>
  </si>
  <si>
    <t>=I32*SUM(M33)</t>
  </si>
  <si>
    <t>=I40*SUM(M41)</t>
  </si>
  <si>
    <t>=I48*SUM(M49)</t>
  </si>
  <si>
    <t>=I53*SUM(M54)</t>
  </si>
  <si>
    <t>=I58*SUM(M59)</t>
  </si>
  <si>
    <t>=I112*SUM(M113)</t>
  </si>
  <si>
    <t>=I64*J64</t>
  </si>
  <si>
    <t>=I70*J70</t>
  </si>
  <si>
    <t>=I104*J104</t>
  </si>
  <si>
    <t>=I19*J19</t>
  </si>
  <si>
    <t>=I27*J27</t>
  </si>
  <si>
    <t>=I32*J32</t>
  </si>
  <si>
    <t>=I40*J40</t>
  </si>
  <si>
    <t>=I48*J48</t>
  </si>
  <si>
    <t>=I53*J53</t>
  </si>
  <si>
    <t>=I58*J58</t>
  </si>
  <si>
    <t>=I112*J112</t>
  </si>
  <si>
    <t>=100*(1-(M64/K64))</t>
  </si>
  <si>
    <t>=100*(1-(M70/K70))</t>
  </si>
  <si>
    <t>=100*(1-(M104/K104))</t>
  </si>
  <si>
    <t>=100*(1-(M19/K19))</t>
  </si>
  <si>
    <t>=100*(1-(M27/K27))</t>
  </si>
  <si>
    <t>=100*(1-(M32/K32))</t>
  </si>
  <si>
    <t>=100*(1-(M40/K40))</t>
  </si>
  <si>
    <t>=100*(1-(M48/K48))</t>
  </si>
  <si>
    <t>=100*(1-(M53/K53))</t>
  </si>
  <si>
    <t>=100*(1-(M58/K58))</t>
  </si>
  <si>
    <t>=100*(1-(M112/K112))</t>
  </si>
  <si>
    <t>=SUM(K4,K10,K18,K27,K31,K39,K47,K52,K57,K64,K69,K104)</t>
  </si>
  <si>
    <t>=SUM(K70)</t>
  </si>
  <si>
    <t>=SUM(K19)</t>
  </si>
  <si>
    <t>=SUM(K32)</t>
  </si>
  <si>
    <t>=SUM(K40)</t>
  </si>
  <si>
    <t>=SUM(K58)</t>
  </si>
  <si>
    <t>=I3*SUM(M4,M10,M18,M27,M31,M39,M47,M52,M57,M64,M69,M104)</t>
  </si>
  <si>
    <t>=I69*SUM(M70)</t>
  </si>
  <si>
    <t>=I18*SUM(M19)</t>
  </si>
  <si>
    <t>=I31*SUM(M32)</t>
  </si>
  <si>
    <t>=I39*SUM(M40)</t>
  </si>
  <si>
    <t>=I47*SUM(M48)</t>
  </si>
  <si>
    <t>=I52*SUM(M53)</t>
  </si>
  <si>
    <t>=I57*SUM(M58)</t>
  </si>
  <si>
    <t>=I69*J69</t>
  </si>
  <si>
    <t>=I18*J18</t>
  </si>
  <si>
    <t>=I31*J31</t>
  </si>
  <si>
    <t>=I39*J39</t>
  </si>
  <si>
    <t>=I47*J47</t>
  </si>
  <si>
    <t>=I52*J52</t>
  </si>
  <si>
    <t>=I57*J57</t>
  </si>
  <si>
    <t>=I110*J110</t>
  </si>
  <si>
    <t>=I111*J111</t>
  </si>
  <si>
    <t>=100*(1-(M69/K69))</t>
  </si>
  <si>
    <t>=100*(1-(M18/K18))</t>
  </si>
  <si>
    <t>=100*(1-(M31/K31))</t>
  </si>
  <si>
    <t>=100*(1-(M39/K39))</t>
  </si>
  <si>
    <t>=100*(1-(M47/K47))</t>
  </si>
  <si>
    <t>=100*(1-(M52/K52))</t>
  </si>
  <si>
    <t>=100*(1-(M57/K57))</t>
  </si>
  <si>
    <t>=100*(1-(M110/K110))</t>
  </si>
  <si>
    <t>=100*(1-(M111/K111))</t>
  </si>
  <si>
    <t>29</t>
  </si>
  <si>
    <t>34</t>
  </si>
  <si>
    <t>39</t>
  </si>
  <si>
    <t>45</t>
  </si>
  <si>
    <t>50</t>
  </si>
  <si>
    <t>55</t>
  </si>
  <si>
    <t>60</t>
  </si>
  <si>
    <t>65</t>
  </si>
  <si>
    <t>70</t>
  </si>
  <si>
    <t>75</t>
  </si>
  <si>
    <t>77</t>
  </si>
  <si>
    <t>82</t>
  </si>
  <si>
    <t>84</t>
  </si>
  <si>
    <t>89</t>
  </si>
  <si>
    <t>93</t>
  </si>
  <si>
    <t>99</t>
  </si>
  <si>
    <t>104</t>
  </si>
  <si>
    <t>=SUM(R[1]C[1],R[2]C[1],R[3]C[1],R[4]C[1])</t>
  </si>
  <si>
    <t>=SUM(R[1]C[1])</t>
  </si>
  <si>
    <t>=SUM(K114)</t>
  </si>
  <si>
    <t>=I113*SUM(M114)</t>
  </si>
  <si>
    <t>=SUM(K112)</t>
  </si>
  <si>
    <t>=I111*SUM(M112)</t>
  </si>
  <si>
    <t>=SUM(K111)</t>
  </si>
  <si>
    <t>=I110*SUM(M111)</t>
  </si>
  <si>
    <t>=SUM(K3,K110)</t>
  </si>
  <si>
    <t>=I2*SUM(M3,M110)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</si>
</sst>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4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E10" sqref="E10"/>
    </sheetView>
  </sheetViews>
  <sheetFormatPr defaultRowHeight="15" x14ac:dyDescent="0.25"/>
  <cols>
    <col min="1" max="1" width="17" customWidth="1"/>
  </cols>
  <sheetData>
    <row r="1" spans="1:6" x14ac:dyDescent="0.25">
      <c r="A1" s="29"/>
    </row>
    <row r="2" spans="1:6" x14ac:dyDescent="0.25">
      <c r="A2" t="s">
        <v>0</v>
      </c>
    </row>
    <row r="4" spans="1:6" x14ac:dyDescent="0.25">
      <c r="F4" s="28"/>
    </row>
    <row r="5" spans="1:6" x14ac:dyDescent="0.25">
      <c r="F5" s="28"/>
    </row>
    <row r="6" spans="1:6" x14ac:dyDescent="0.25">
      <c r="F6" s="2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657"/>
  <sheetViews>
    <sheetView workbookViewId="0">
      <selection activeCell="F36" sqref="F36"/>
    </sheetView>
  </sheetViews>
  <sheetFormatPr defaultRowHeight="15" x14ac:dyDescent="0.25"/>
  <cols>
    <col min="1" max="1" width="13.5703125" style="95" bestFit="1" customWidth="1"/>
    <col min="2" max="2" width="8" style="95" bestFit="1" customWidth="1"/>
    <col min="3" max="3" width="10.85546875" style="95" bestFit="1" customWidth="1"/>
    <col min="4" max="4" width="7" style="95" bestFit="1" customWidth="1"/>
    <col min="5" max="5" width="6.7109375" bestFit="1" customWidth="1"/>
    <col min="6" max="6" width="7.85546875" bestFit="1" customWidth="1"/>
    <col min="7" max="7" width="9.85546875" bestFit="1" customWidth="1"/>
    <col min="8" max="8" width="73.42578125" bestFit="1" customWidth="1"/>
    <col min="9" max="9" width="8.7109375" bestFit="1" customWidth="1"/>
    <col min="10" max="13" width="12" bestFit="1" customWidth="1"/>
    <col min="14" max="14" width="11.5703125" bestFit="1" customWidth="1"/>
    <col min="15" max="15" width="11.28515625" style="95" bestFit="1" customWidth="1"/>
    <col min="16" max="16" width="12.85546875" style="95" bestFit="1" customWidth="1"/>
    <col min="17" max="17" width="19.85546875" style="95" bestFit="1" customWidth="1"/>
    <col min="18" max="18" width="18" style="95" customWidth="1"/>
    <col min="19" max="19" width="18.7109375" style="95" bestFit="1" customWidth="1"/>
    <col min="20" max="20" width="18.5703125" style="95" bestFit="1" customWidth="1"/>
    <col min="21" max="21" width="17" style="95" bestFit="1" customWidth="1"/>
  </cols>
  <sheetData>
    <row r="1" spans="1:21" x14ac:dyDescent="0.25">
      <c r="A1" s="94" t="s">
        <v>54</v>
      </c>
      <c r="B1" s="87" t="s">
        <v>66</v>
      </c>
      <c r="C1" s="87" t="s">
        <v>55</v>
      </c>
      <c r="D1" s="87" t="s">
        <v>60</v>
      </c>
      <c r="E1" s="86" t="s">
        <v>64</v>
      </c>
      <c r="F1" s="86" t="s">
        <v>56</v>
      </c>
      <c r="G1" s="86" t="s">
        <v>57</v>
      </c>
      <c r="H1" s="86" t="s">
        <v>67</v>
      </c>
      <c r="I1" s="86" t="s">
        <v>58</v>
      </c>
      <c r="J1" s="86" t="s">
        <v>59</v>
      </c>
      <c r="K1" s="86" t="s">
        <v>61</v>
      </c>
      <c r="L1" s="86" t="s">
        <v>62</v>
      </c>
      <c r="M1" s="86" t="s">
        <v>63</v>
      </c>
      <c r="N1" s="86" t="s">
        <v>71</v>
      </c>
      <c r="O1" s="87" t="s">
        <v>100</v>
      </c>
      <c r="P1" s="87" t="s">
        <v>101</v>
      </c>
      <c r="Q1" s="87" t="s">
        <v>102</v>
      </c>
      <c r="R1" s="87" t="s">
        <v>115</v>
      </c>
      <c r="S1" s="87" t="s">
        <v>116</v>
      </c>
      <c r="T1" s="87" t="s">
        <v>117</v>
      </c>
      <c r="U1" s="87" t="s">
        <v>118</v>
      </c>
    </row>
    <row r="2" spans="1:21" x14ac:dyDescent="0.25">
      <c r="A2" s="87" t="s">
        <v>65</v>
      </c>
      <c r="B2" s="87">
        <v>1</v>
      </c>
      <c r="C2" s="90" t="s">
        <v>97</v>
      </c>
      <c r="D2" s="87" t="s">
        <v>65</v>
      </c>
      <c r="E2" s="92">
        <v>1</v>
      </c>
      <c r="F2" s="92">
        <v>226</v>
      </c>
      <c r="G2" s="97" t="s">
        <v>99</v>
      </c>
      <c r="H2" s="86" t="s">
        <v>80</v>
      </c>
      <c r="I2" s="86">
        <v>1</v>
      </c>
      <c r="J2" s="86" t="e">
        <f>SUM(K3,K110)</f>
        <v>#VALUE!</v>
      </c>
      <c r="K2" s="86" t="e">
        <f>I2*J2</f>
        <v>#VALUE!</v>
      </c>
      <c r="L2" s="86" t="e">
        <f>100*(1-(M2/K2))</f>
        <v>#VALUE!</v>
      </c>
      <c r="M2" s="86">
        <f>I2*SUM(M3,M110)</f>
        <v>4665956.0644889353</v>
      </c>
      <c r="N2">
        <v>2</v>
      </c>
      <c r="O2" s="95" t="s">
        <v>103</v>
      </c>
      <c r="R2" s="95" t="s">
        <v>623</v>
      </c>
      <c r="S2" s="95" t="s">
        <v>149</v>
      </c>
      <c r="T2" s="95" t="s">
        <v>150</v>
      </c>
      <c r="U2" s="95" t="s">
        <v>624</v>
      </c>
    </row>
    <row r="3" spans="1:21" x14ac:dyDescent="0.25">
      <c r="A3" s="88" t="s">
        <v>2</v>
      </c>
      <c r="B3" s="87">
        <v>2</v>
      </c>
      <c r="C3" s="91" t="s">
        <v>65</v>
      </c>
      <c r="D3" s="87" t="s">
        <v>65</v>
      </c>
      <c r="E3" s="93">
        <v>2</v>
      </c>
      <c r="F3" s="93">
        <v>215</v>
      </c>
      <c r="G3" s="97" t="s">
        <v>99</v>
      </c>
      <c r="H3" s="86" t="s">
        <v>81</v>
      </c>
      <c r="I3">
        <v>1</v>
      </c>
      <c r="J3" t="e">
        <f>SUM(K4,K10,K18,K27,K31,K39,K47,K52,K57,K64,K69,K104)</f>
        <v>#VALUE!</v>
      </c>
      <c r="K3" t="e">
        <f>I3*J3</f>
        <v>#VALUE!</v>
      </c>
      <c r="L3" t="e">
        <f>100*(1-(M3/K3))</f>
        <v>#VALUE!</v>
      </c>
      <c r="M3">
        <f>I3*SUM(M4,M10,M18,M27,M31,M39,M47,M52,M57,M64,M69,M104)</f>
        <v>4651840.0425864765</v>
      </c>
      <c r="N3">
        <v>3</v>
      </c>
      <c r="O3" s="95" t="s">
        <v>104</v>
      </c>
      <c r="P3" s="123" t="s">
        <v>151</v>
      </c>
      <c r="Q3" s="123" t="s">
        <v>81</v>
      </c>
      <c r="R3" s="95" t="s">
        <v>566</v>
      </c>
      <c r="S3" s="95" t="s">
        <v>145</v>
      </c>
      <c r="T3" s="95" t="s">
        <v>147</v>
      </c>
      <c r="U3" s="95" t="s">
        <v>572</v>
      </c>
    </row>
    <row r="4" spans="1:21" x14ac:dyDescent="0.25">
      <c r="A4" s="89" t="s">
        <v>68</v>
      </c>
      <c r="B4" s="87">
        <v>3</v>
      </c>
      <c r="C4" s="88" t="s">
        <v>2</v>
      </c>
      <c r="D4" s="87" t="s">
        <v>65</v>
      </c>
      <c r="E4" s="92">
        <v>3</v>
      </c>
      <c r="F4" s="92">
        <v>14</v>
      </c>
      <c r="G4" s="97" t="s">
        <v>99</v>
      </c>
      <c r="H4" s="86" t="s">
        <v>82</v>
      </c>
      <c r="I4">
        <v>1</v>
      </c>
      <c r="J4">
        <f>SUM(K5)</f>
        <v>2022341.0420985599</v>
      </c>
      <c r="K4">
        <f>I4*J4</f>
        <v>2022341.0420985599</v>
      </c>
      <c r="L4">
        <f>100*(1-(M4/K4))</f>
        <v>100</v>
      </c>
      <c r="M4">
        <f>I4*SUM(M5)</f>
        <v>0</v>
      </c>
      <c r="N4">
        <v>4</v>
      </c>
      <c r="O4" s="95" t="s">
        <v>105</v>
      </c>
      <c r="P4" s="123" t="s">
        <v>152</v>
      </c>
      <c r="Q4" s="123" t="s">
        <v>81</v>
      </c>
      <c r="R4" s="95" t="s">
        <v>125</v>
      </c>
      <c r="S4" s="95" t="s">
        <v>146</v>
      </c>
      <c r="T4" s="95" t="s">
        <v>148</v>
      </c>
      <c r="U4" s="95" t="s">
        <v>144</v>
      </c>
    </row>
    <row r="5" spans="1:21" x14ac:dyDescent="0.25">
      <c r="A5" s="89" t="s">
        <v>69</v>
      </c>
      <c r="B5" s="87">
        <v>4</v>
      </c>
      <c r="C5" s="88" t="s">
        <v>68</v>
      </c>
      <c r="D5" s="87" t="s">
        <v>65</v>
      </c>
      <c r="E5" s="92">
        <v>4</v>
      </c>
      <c r="F5" s="92">
        <v>13</v>
      </c>
      <c r="G5" s="97" t="s">
        <v>99</v>
      </c>
      <c r="H5" s="86" t="s">
        <v>83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>
        <v>5</v>
      </c>
      <c r="O5" s="95" t="s">
        <v>106</v>
      </c>
      <c r="P5" s="123" t="s">
        <v>153</v>
      </c>
      <c r="Q5" s="123" t="s">
        <v>81</v>
      </c>
      <c r="R5" s="95" t="s">
        <v>123</v>
      </c>
      <c r="S5" s="95" t="s">
        <v>140</v>
      </c>
      <c r="T5" s="95" t="s">
        <v>142</v>
      </c>
      <c r="U5" s="95" t="s">
        <v>138</v>
      </c>
    </row>
    <row r="6" spans="1:21" x14ac:dyDescent="0.25">
      <c r="A6" s="89" t="s">
        <v>70</v>
      </c>
      <c r="B6" s="87">
        <v>5</v>
      </c>
      <c r="C6" s="89" t="s">
        <v>69</v>
      </c>
      <c r="D6" s="87" t="s">
        <v>65</v>
      </c>
      <c r="E6" s="92">
        <v>5</v>
      </c>
      <c r="F6" s="92">
        <v>12</v>
      </c>
      <c r="G6" s="97" t="s">
        <v>99</v>
      </c>
      <c r="H6" s="86" t="s">
        <v>83</v>
      </c>
      <c r="I6">
        <v>2</v>
      </c>
      <c r="J6">
        <f>SUM(K7)</f>
        <v>1011170.52104928</v>
      </c>
      <c r="K6">
        <f>I6*J6</f>
        <v>2022341.0420985599</v>
      </c>
      <c r="L6">
        <f>100*(1-(M6/K6))</f>
        <v>100</v>
      </c>
      <c r="M6">
        <f>I6*SUM(M7)</f>
        <v>0</v>
      </c>
      <c r="N6">
        <v>6</v>
      </c>
      <c r="O6" s="95" t="s">
        <v>107</v>
      </c>
      <c r="P6" s="123" t="s">
        <v>154</v>
      </c>
      <c r="Q6" s="123" t="s">
        <v>81</v>
      </c>
      <c r="R6" s="95" t="s">
        <v>121</v>
      </c>
      <c r="S6" s="95" t="s">
        <v>134</v>
      </c>
      <c r="T6" s="95" t="s">
        <v>136</v>
      </c>
      <c r="U6" s="95" t="s">
        <v>132</v>
      </c>
    </row>
    <row r="7" spans="1:21" hidden="1" x14ac:dyDescent="0.25">
      <c r="A7" s="89" t="s">
        <v>1</v>
      </c>
      <c r="B7" s="87">
        <v>6</v>
      </c>
      <c r="C7" s="89" t="s">
        <v>70</v>
      </c>
      <c r="D7" s="87" t="s">
        <v>65</v>
      </c>
      <c r="E7" s="92">
        <v>6</v>
      </c>
      <c r="F7" s="92">
        <v>11</v>
      </c>
      <c r="G7" s="97" t="s">
        <v>99</v>
      </c>
      <c r="H7" s="86" t="s">
        <v>84</v>
      </c>
      <c r="I7">
        <v>1</v>
      </c>
      <c r="J7">
        <f>SUM(K8,K9)</f>
        <v>1011170.52104928</v>
      </c>
      <c r="K7">
        <f>I7*J7</f>
        <v>1011170.52104928</v>
      </c>
      <c r="L7">
        <f>100*(1-(M7/K7))</f>
        <v>100</v>
      </c>
      <c r="M7">
        <f>I7*SUM(M8,M9)</f>
        <v>0</v>
      </c>
      <c r="N7">
        <v>7</v>
      </c>
      <c r="O7" s="95" t="s">
        <v>108</v>
      </c>
      <c r="P7" s="123" t="s">
        <v>103</v>
      </c>
      <c r="Q7" s="123" t="s">
        <v>81</v>
      </c>
      <c r="R7" s="95" t="s">
        <v>119</v>
      </c>
      <c r="S7" s="95" t="s">
        <v>128</v>
      </c>
      <c r="T7" s="95" t="s">
        <v>130</v>
      </c>
      <c r="U7" s="95" t="s">
        <v>126</v>
      </c>
    </row>
    <row r="8" spans="1:21" hidden="1" x14ac:dyDescent="0.25">
      <c r="A8" s="89" t="s">
        <v>85</v>
      </c>
      <c r="B8" s="87">
        <v>7</v>
      </c>
      <c r="C8" s="89" t="s">
        <v>1</v>
      </c>
      <c r="D8" s="87" t="s">
        <v>65</v>
      </c>
      <c r="E8" s="92">
        <v>7</v>
      </c>
      <c r="F8" s="92">
        <v>8</v>
      </c>
      <c r="G8" s="97" t="s">
        <v>65</v>
      </c>
      <c r="H8" s="86" t="s">
        <v>86</v>
      </c>
      <c r="I8">
        <v>1</v>
      </c>
      <c r="J8">
        <v>1009039.92104928</v>
      </c>
      <c r="K8">
        <f>I8*J8</f>
        <v>1009039.92104928</v>
      </c>
      <c r="L8">
        <v>100</v>
      </c>
      <c r="M8">
        <f>(1-(L8/100))*K8</f>
        <v>0</v>
      </c>
      <c r="N8">
        <v>8</v>
      </c>
      <c r="O8" s="95" t="s">
        <v>109</v>
      </c>
      <c r="P8" s="123" t="s">
        <v>104</v>
      </c>
      <c r="Q8" s="123" t="s">
        <v>81</v>
      </c>
    </row>
    <row r="9" spans="1:21" hidden="1" x14ac:dyDescent="0.25">
      <c r="A9" s="89" t="s">
        <v>87</v>
      </c>
      <c r="B9" s="87">
        <v>7</v>
      </c>
      <c r="C9" s="89" t="s">
        <v>1</v>
      </c>
      <c r="D9" s="87" t="s">
        <v>98</v>
      </c>
      <c r="E9" s="92">
        <v>9</v>
      </c>
      <c r="F9" s="92">
        <v>10</v>
      </c>
      <c r="G9" s="97" t="s">
        <v>65</v>
      </c>
      <c r="H9" s="86" t="s">
        <v>88</v>
      </c>
      <c r="I9">
        <v>1060</v>
      </c>
      <c r="J9">
        <v>2.0099999999999998</v>
      </c>
      <c r="K9">
        <f>I9*J9</f>
        <v>2130.6</v>
      </c>
      <c r="L9">
        <v>100</v>
      </c>
      <c r="M9">
        <f>(1-(L9/100))*K9</f>
        <v>0</v>
      </c>
      <c r="N9">
        <v>9</v>
      </c>
      <c r="O9" s="95" t="s">
        <v>110</v>
      </c>
      <c r="P9" s="123" t="s">
        <v>105</v>
      </c>
      <c r="Q9" s="123" t="s">
        <v>81</v>
      </c>
    </row>
    <row r="10" spans="1:21" collapsed="1" x14ac:dyDescent="0.25">
      <c r="A10" s="89" t="s">
        <v>89</v>
      </c>
      <c r="B10" s="87">
        <v>3</v>
      </c>
      <c r="C10" s="89" t="s">
        <v>2</v>
      </c>
      <c r="D10" s="87" t="s">
        <v>98</v>
      </c>
      <c r="E10" s="92">
        <v>15</v>
      </c>
      <c r="F10" s="92">
        <v>30</v>
      </c>
      <c r="G10" s="97" t="s">
        <v>99</v>
      </c>
      <c r="H10" s="86" t="s">
        <v>90</v>
      </c>
      <c r="I10">
        <v>1</v>
      </c>
      <c r="J10">
        <f>SUM(K11)</f>
        <v>146280</v>
      </c>
      <c r="K10">
        <f>I10*J10</f>
        <v>146280</v>
      </c>
      <c r="L10">
        <f>100*(1-(M10/K10))</f>
        <v>100</v>
      </c>
      <c r="M10">
        <f>I10*SUM(M11)</f>
        <v>0</v>
      </c>
      <c r="N10">
        <v>10</v>
      </c>
      <c r="O10" s="95" t="s">
        <v>111</v>
      </c>
      <c r="P10" s="123" t="s">
        <v>106</v>
      </c>
      <c r="Q10" s="123" t="s">
        <v>81</v>
      </c>
      <c r="R10" s="95" t="s">
        <v>124</v>
      </c>
      <c r="S10" s="95" t="s">
        <v>141</v>
      </c>
      <c r="T10" s="95" t="s">
        <v>143</v>
      </c>
      <c r="U10" s="95" t="s">
        <v>139</v>
      </c>
    </row>
    <row r="11" spans="1:21" hidden="1" x14ac:dyDescent="0.25">
      <c r="A11" s="89" t="s">
        <v>91</v>
      </c>
      <c r="B11" s="87">
        <v>4</v>
      </c>
      <c r="C11" s="89" t="s">
        <v>89</v>
      </c>
      <c r="D11" s="87" t="s">
        <v>65</v>
      </c>
      <c r="E11" s="92">
        <v>16</v>
      </c>
      <c r="F11" s="92">
        <v>29</v>
      </c>
      <c r="G11" s="97" t="s">
        <v>99</v>
      </c>
      <c r="H11" s="86" t="s">
        <v>92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>
        <v>11</v>
      </c>
      <c r="O11" s="95" t="s">
        <v>112</v>
      </c>
      <c r="P11" s="123" t="s">
        <v>107</v>
      </c>
      <c r="Q11" s="123" t="s">
        <v>81</v>
      </c>
      <c r="R11" s="95" t="s">
        <v>122</v>
      </c>
      <c r="S11" s="95" t="s">
        <v>135</v>
      </c>
      <c r="T11" s="95" t="s">
        <v>137</v>
      </c>
      <c r="U11" s="95" t="s">
        <v>133</v>
      </c>
    </row>
    <row r="12" spans="1:21" hidden="1" x14ac:dyDescent="0.25">
      <c r="A12" s="89" t="s">
        <v>93</v>
      </c>
      <c r="B12" s="87">
        <v>5</v>
      </c>
      <c r="C12" s="89" t="s">
        <v>91</v>
      </c>
      <c r="D12" s="87" t="s">
        <v>65</v>
      </c>
      <c r="E12" s="92">
        <v>17</v>
      </c>
      <c r="F12" s="92">
        <v>28</v>
      </c>
      <c r="G12" s="97" t="s">
        <v>99</v>
      </c>
      <c r="H12" s="86" t="s">
        <v>94</v>
      </c>
      <c r="I12">
        <v>2</v>
      </c>
      <c r="J12">
        <f>SUM(K13)</f>
        <v>73140</v>
      </c>
      <c r="K12">
        <f>I12*J12</f>
        <v>146280</v>
      </c>
      <c r="L12">
        <f>100*(1-(M12/K12))</f>
        <v>100</v>
      </c>
      <c r="M12">
        <f>I12*SUM(M13)</f>
        <v>0</v>
      </c>
      <c r="N12">
        <v>12</v>
      </c>
      <c r="O12" s="95" t="s">
        <v>113</v>
      </c>
      <c r="P12" s="123" t="s">
        <v>108</v>
      </c>
      <c r="Q12" s="123" t="s">
        <v>81</v>
      </c>
      <c r="R12" s="95" t="s">
        <v>120</v>
      </c>
      <c r="S12" s="95" t="s">
        <v>129</v>
      </c>
      <c r="T12" s="95" t="s">
        <v>131</v>
      </c>
      <c r="U12" s="95" t="s">
        <v>127</v>
      </c>
    </row>
    <row r="13" spans="1:21" hidden="1" x14ac:dyDescent="0.25">
      <c r="A13" s="88" t="s">
        <v>95</v>
      </c>
      <c r="B13" s="87">
        <v>6</v>
      </c>
      <c r="C13" s="91" t="s">
        <v>93</v>
      </c>
      <c r="D13" s="87" t="s">
        <v>65</v>
      </c>
      <c r="E13" s="93">
        <v>18</v>
      </c>
      <c r="F13" s="93">
        <v>27</v>
      </c>
      <c r="G13" s="97" t="s">
        <v>99</v>
      </c>
      <c r="H13" s="86" t="s">
        <v>96</v>
      </c>
      <c r="I13">
        <v>1</v>
      </c>
      <c r="J13">
        <f>SUM(K14,K15,K16,K17)</f>
        <v>73140</v>
      </c>
      <c r="K13">
        <f>I13*J13</f>
        <v>73140</v>
      </c>
      <c r="L13">
        <f>100*(1-(M13/K13))</f>
        <v>100</v>
      </c>
      <c r="M13">
        <f>I13*SUM(M14,M15,M16,M17)</f>
        <v>0</v>
      </c>
      <c r="N13">
        <v>13</v>
      </c>
      <c r="O13" s="95" t="s">
        <v>114</v>
      </c>
      <c r="P13" s="123" t="s">
        <v>155</v>
      </c>
      <c r="Q13" s="123" t="s">
        <v>81</v>
      </c>
      <c r="R13" s="95" t="s">
        <v>444</v>
      </c>
      <c r="S13" s="95" t="s">
        <v>466</v>
      </c>
      <c r="T13" s="95" t="s">
        <v>478</v>
      </c>
      <c r="U13" s="95" t="s">
        <v>454</v>
      </c>
    </row>
    <row r="14" spans="1:21" hidden="1" x14ac:dyDescent="0.25">
      <c r="A14" s="89" t="s">
        <v>156</v>
      </c>
      <c r="B14" s="87">
        <v>7</v>
      </c>
      <c r="C14" s="89" t="s">
        <v>95</v>
      </c>
      <c r="D14" s="87" t="s">
        <v>65</v>
      </c>
      <c r="E14" s="92">
        <v>19</v>
      </c>
      <c r="F14" s="92">
        <v>20</v>
      </c>
      <c r="G14" s="97" t="s">
        <v>65</v>
      </c>
      <c r="H14" s="86" t="s">
        <v>157</v>
      </c>
      <c r="I14">
        <v>8</v>
      </c>
      <c r="J14">
        <v>5616</v>
      </c>
      <c r="K14">
        <f>I14*J14</f>
        <v>44928</v>
      </c>
      <c r="L14">
        <v>100</v>
      </c>
      <c r="M14">
        <f>(1-(L14/100))*K14</f>
        <v>0</v>
      </c>
      <c r="N14">
        <v>14</v>
      </c>
      <c r="O14" s="95" t="s">
        <v>158</v>
      </c>
      <c r="P14" s="123" t="s">
        <v>109</v>
      </c>
      <c r="Q14" s="123" t="s">
        <v>81</v>
      </c>
    </row>
    <row r="15" spans="1:21" hidden="1" x14ac:dyDescent="0.25">
      <c r="A15" s="89" t="s">
        <v>159</v>
      </c>
      <c r="B15" s="87">
        <v>7</v>
      </c>
      <c r="C15" s="89" t="s">
        <v>95</v>
      </c>
      <c r="D15" s="87" t="s">
        <v>98</v>
      </c>
      <c r="E15" s="92">
        <v>21</v>
      </c>
      <c r="F15" s="92">
        <v>22</v>
      </c>
      <c r="G15" s="97" t="s">
        <v>65</v>
      </c>
      <c r="H15" s="86" t="s">
        <v>160</v>
      </c>
      <c r="I15">
        <v>1</v>
      </c>
      <c r="J15">
        <v>1604</v>
      </c>
      <c r="K15">
        <f>I15*J15</f>
        <v>1604</v>
      </c>
      <c r="L15">
        <v>100</v>
      </c>
      <c r="M15">
        <f>(1-(L15/100))*K15</f>
        <v>0</v>
      </c>
      <c r="N15">
        <v>15</v>
      </c>
      <c r="O15" s="95" t="s">
        <v>161</v>
      </c>
      <c r="P15" s="123" t="s">
        <v>110</v>
      </c>
      <c r="Q15" s="123" t="s">
        <v>81</v>
      </c>
    </row>
    <row r="16" spans="1:21" hidden="1" x14ac:dyDescent="0.25">
      <c r="A16" s="89" t="s">
        <v>162</v>
      </c>
      <c r="B16" s="87">
        <v>7</v>
      </c>
      <c r="C16" s="89" t="s">
        <v>95</v>
      </c>
      <c r="D16" s="87" t="s">
        <v>431</v>
      </c>
      <c r="E16" s="92">
        <v>23</v>
      </c>
      <c r="F16" s="92">
        <v>24</v>
      </c>
      <c r="G16" s="97" t="s">
        <v>65</v>
      </c>
      <c r="H16" s="86" t="s">
        <v>163</v>
      </c>
      <c r="I16">
        <v>2</v>
      </c>
      <c r="J16">
        <v>7020</v>
      </c>
      <c r="K16">
        <f>I16*J16</f>
        <v>14040</v>
      </c>
      <c r="L16">
        <v>100</v>
      </c>
      <c r="M16">
        <f>(1-(L16/100))*K16</f>
        <v>0</v>
      </c>
      <c r="N16">
        <v>16</v>
      </c>
      <c r="O16" s="95" t="s">
        <v>164</v>
      </c>
      <c r="P16" s="123" t="s">
        <v>439</v>
      </c>
      <c r="Q16" s="123" t="s">
        <v>81</v>
      </c>
    </row>
    <row r="17" spans="1:21" hidden="1" x14ac:dyDescent="0.25">
      <c r="A17" s="89" t="s">
        <v>165</v>
      </c>
      <c r="B17" s="87">
        <v>7</v>
      </c>
      <c r="C17" s="89" t="s">
        <v>95</v>
      </c>
      <c r="D17" s="87" t="s">
        <v>432</v>
      </c>
      <c r="E17" s="86">
        <v>25</v>
      </c>
      <c r="F17" s="86">
        <v>26</v>
      </c>
      <c r="G17" s="97" t="s">
        <v>65</v>
      </c>
      <c r="H17" s="86" t="s">
        <v>166</v>
      </c>
      <c r="I17">
        <v>1</v>
      </c>
      <c r="J17">
        <v>12568</v>
      </c>
      <c r="K17">
        <f>I17*J17</f>
        <v>12568</v>
      </c>
      <c r="L17">
        <v>100</v>
      </c>
      <c r="M17">
        <f>(1-(L17/100))*K17</f>
        <v>0</v>
      </c>
      <c r="N17">
        <v>17</v>
      </c>
      <c r="O17" s="95" t="s">
        <v>167</v>
      </c>
      <c r="P17" s="123" t="s">
        <v>111</v>
      </c>
      <c r="Q17" s="123" t="s">
        <v>81</v>
      </c>
    </row>
    <row r="18" spans="1:21" collapsed="1" x14ac:dyDescent="0.25">
      <c r="A18" s="94" t="s">
        <v>168</v>
      </c>
      <c r="B18" s="87">
        <v>3</v>
      </c>
      <c r="C18" s="87" t="s">
        <v>2</v>
      </c>
      <c r="D18" s="87" t="s">
        <v>431</v>
      </c>
      <c r="E18" s="86">
        <v>31</v>
      </c>
      <c r="F18" s="86">
        <v>48</v>
      </c>
      <c r="G18" s="97" t="s">
        <v>99</v>
      </c>
      <c r="H18" s="86" t="s">
        <v>169</v>
      </c>
      <c r="I18">
        <v>1</v>
      </c>
      <c r="J18">
        <f>SUM(K19)</f>
        <v>34477.15</v>
      </c>
      <c r="K18">
        <f>I18*J18</f>
        <v>34477.15</v>
      </c>
      <c r="L18">
        <f>100*(1-(M18/K18))</f>
        <v>27.83</v>
      </c>
      <c r="M18">
        <f>I18*SUM(M19)</f>
        <v>24882.159155000001</v>
      </c>
      <c r="N18">
        <v>18</v>
      </c>
      <c r="O18" s="95" t="s">
        <v>170</v>
      </c>
      <c r="P18" s="123" t="s">
        <v>112</v>
      </c>
      <c r="Q18" s="123" t="s">
        <v>81</v>
      </c>
      <c r="R18" s="95" t="s">
        <v>568</v>
      </c>
      <c r="S18" s="95" t="s">
        <v>581</v>
      </c>
      <c r="T18" s="95" t="s">
        <v>590</v>
      </c>
      <c r="U18" s="95" t="s">
        <v>574</v>
      </c>
    </row>
    <row r="19" spans="1:21" x14ac:dyDescent="0.25">
      <c r="A19" s="94" t="s">
        <v>171</v>
      </c>
      <c r="B19" s="87">
        <v>4</v>
      </c>
      <c r="C19" s="87" t="s">
        <v>168</v>
      </c>
      <c r="D19" s="87" t="s">
        <v>65</v>
      </c>
      <c r="E19" s="86">
        <v>32</v>
      </c>
      <c r="F19" s="86">
        <v>47</v>
      </c>
      <c r="G19" s="97" t="s">
        <v>99</v>
      </c>
      <c r="H19" s="86" t="s">
        <v>172</v>
      </c>
      <c r="I19">
        <v>1</v>
      </c>
      <c r="J19">
        <f>SUM(K20)</f>
        <v>34477.15</v>
      </c>
      <c r="K19">
        <f>I19*J19</f>
        <v>34477.15</v>
      </c>
      <c r="L19">
        <f>100*(1-(M19/K19))</f>
        <v>27.83</v>
      </c>
      <c r="M19">
        <f>I19*SUM(M20)</f>
        <v>24882.159155000001</v>
      </c>
      <c r="N19">
        <v>19</v>
      </c>
      <c r="O19" s="95" t="s">
        <v>173</v>
      </c>
      <c r="P19" s="123" t="s">
        <v>113</v>
      </c>
      <c r="Q19" s="123" t="s">
        <v>81</v>
      </c>
      <c r="R19" s="95" t="s">
        <v>528</v>
      </c>
      <c r="S19" s="95" t="s">
        <v>547</v>
      </c>
      <c r="T19" s="95" t="s">
        <v>558</v>
      </c>
      <c r="U19" s="95" t="s">
        <v>536</v>
      </c>
    </row>
    <row r="20" spans="1:21" x14ac:dyDescent="0.25">
      <c r="A20" s="94" t="s">
        <v>174</v>
      </c>
      <c r="B20" s="87">
        <v>5</v>
      </c>
      <c r="C20" s="87" t="s">
        <v>171</v>
      </c>
      <c r="D20" s="87" t="s">
        <v>65</v>
      </c>
      <c r="E20" s="86">
        <v>33</v>
      </c>
      <c r="F20" s="86">
        <v>46</v>
      </c>
      <c r="G20" s="97" t="s">
        <v>99</v>
      </c>
      <c r="H20" s="86" t="s">
        <v>169</v>
      </c>
      <c r="I20">
        <v>1</v>
      </c>
      <c r="J20">
        <f>SUM(K21)</f>
        <v>34477.15</v>
      </c>
      <c r="K20">
        <f>I20*J20</f>
        <v>34477.15</v>
      </c>
      <c r="L20">
        <f>100*(1-(M20/K20))</f>
        <v>27.83</v>
      </c>
      <c r="M20">
        <f>I20*SUM(M21)</f>
        <v>24882.159155000001</v>
      </c>
      <c r="N20">
        <v>20</v>
      </c>
      <c r="O20" s="95" t="s">
        <v>175</v>
      </c>
      <c r="P20" s="123" t="s">
        <v>114</v>
      </c>
      <c r="Q20" s="123" t="s">
        <v>81</v>
      </c>
      <c r="R20" s="95" t="s">
        <v>489</v>
      </c>
      <c r="S20" s="95" t="s">
        <v>506</v>
      </c>
      <c r="T20" s="95" t="s">
        <v>517</v>
      </c>
      <c r="U20" s="95" t="s">
        <v>496</v>
      </c>
    </row>
    <row r="21" spans="1:21" x14ac:dyDescent="0.25">
      <c r="A21" s="87" t="s">
        <v>176</v>
      </c>
      <c r="B21" s="87">
        <v>6</v>
      </c>
      <c r="C21" s="87" t="s">
        <v>174</v>
      </c>
      <c r="D21" s="87" t="s">
        <v>65</v>
      </c>
      <c r="E21" s="86">
        <v>34</v>
      </c>
      <c r="F21" s="86">
        <v>45</v>
      </c>
      <c r="G21" s="97" t="s">
        <v>99</v>
      </c>
      <c r="H21" s="86" t="s">
        <v>177</v>
      </c>
      <c r="I21">
        <v>1</v>
      </c>
      <c r="J21">
        <f>SUM(K22,K23,K24,K25,K26)</f>
        <v>34477.15</v>
      </c>
      <c r="K21">
        <f>I21*J21</f>
        <v>34477.15</v>
      </c>
      <c r="L21">
        <f>100*(1-(M21/K21))</f>
        <v>27.83</v>
      </c>
      <c r="M21">
        <f>I21*SUM(M22,M23,M24,M25,M26)</f>
        <v>24882.159155000001</v>
      </c>
      <c r="N21">
        <v>21</v>
      </c>
      <c r="O21" s="95" t="s">
        <v>178</v>
      </c>
      <c r="P21" s="123" t="s">
        <v>598</v>
      </c>
      <c r="Q21" s="123" t="s">
        <v>81</v>
      </c>
      <c r="R21" s="95" t="s">
        <v>445</v>
      </c>
      <c r="S21" s="95" t="s">
        <v>467</v>
      </c>
      <c r="T21" s="95" t="s">
        <v>479</v>
      </c>
      <c r="U21" s="95" t="s">
        <v>455</v>
      </c>
    </row>
    <row r="22" spans="1:21" x14ac:dyDescent="0.25">
      <c r="A22" s="95" t="s">
        <v>179</v>
      </c>
      <c r="B22" s="95">
        <v>7</v>
      </c>
      <c r="C22" s="95" t="s">
        <v>176</v>
      </c>
      <c r="D22" s="95" t="s">
        <v>65</v>
      </c>
      <c r="E22">
        <v>35</v>
      </c>
      <c r="F22">
        <v>36</v>
      </c>
      <c r="G22" s="98" t="s">
        <v>65</v>
      </c>
      <c r="H22" s="86" t="s">
        <v>180</v>
      </c>
      <c r="I22">
        <v>1</v>
      </c>
      <c r="J22">
        <v>15931.63</v>
      </c>
      <c r="K22">
        <f>I22*J22</f>
        <v>15931.63</v>
      </c>
      <c r="L22">
        <v>27.83</v>
      </c>
      <c r="M22">
        <f>(1-(L22/100))*K22</f>
        <v>11497.857371</v>
      </c>
      <c r="N22">
        <v>22</v>
      </c>
      <c r="O22" s="95" t="s">
        <v>181</v>
      </c>
      <c r="P22" s="123" t="s">
        <v>158</v>
      </c>
      <c r="Q22" s="123" t="s">
        <v>81</v>
      </c>
    </row>
    <row r="23" spans="1:21" x14ac:dyDescent="0.25">
      <c r="A23" s="89" t="s">
        <v>182</v>
      </c>
      <c r="B23" s="87">
        <v>7</v>
      </c>
      <c r="C23" s="96" t="s">
        <v>176</v>
      </c>
      <c r="D23" s="87" t="s">
        <v>98</v>
      </c>
      <c r="E23" s="86">
        <v>37</v>
      </c>
      <c r="F23" s="86">
        <v>38</v>
      </c>
      <c r="G23" s="97" t="s">
        <v>65</v>
      </c>
      <c r="H23" s="86" t="s">
        <v>183</v>
      </c>
      <c r="I23">
        <v>1</v>
      </c>
      <c r="J23">
        <v>5946</v>
      </c>
      <c r="K23">
        <f>I23*J23</f>
        <v>5946</v>
      </c>
      <c r="L23">
        <v>27.83</v>
      </c>
      <c r="M23">
        <f>(1-(L23/100))*K23</f>
        <v>4291.2282000000005</v>
      </c>
      <c r="N23">
        <v>23</v>
      </c>
      <c r="O23" s="95" t="s">
        <v>184</v>
      </c>
      <c r="P23" s="123" t="s">
        <v>161</v>
      </c>
      <c r="Q23" s="123" t="s">
        <v>81</v>
      </c>
    </row>
    <row r="24" spans="1:21" x14ac:dyDescent="0.25">
      <c r="A24" s="94" t="s">
        <v>185</v>
      </c>
      <c r="B24" s="87">
        <v>7</v>
      </c>
      <c r="C24" s="87" t="s">
        <v>176</v>
      </c>
      <c r="D24" s="87" t="s">
        <v>431</v>
      </c>
      <c r="E24" s="86">
        <v>39</v>
      </c>
      <c r="F24" s="86">
        <v>40</v>
      </c>
      <c r="G24" s="97" t="s">
        <v>65</v>
      </c>
      <c r="H24" s="86" t="s">
        <v>186</v>
      </c>
      <c r="I24">
        <v>1</v>
      </c>
      <c r="J24">
        <v>2728.29</v>
      </c>
      <c r="K24">
        <f>I24*J24</f>
        <v>2728.29</v>
      </c>
      <c r="L24">
        <v>27.83</v>
      </c>
      <c r="M24">
        <f>(1-(L24/100))*K24</f>
        <v>1969.006893</v>
      </c>
      <c r="N24">
        <v>24</v>
      </c>
      <c r="O24" s="95" t="s">
        <v>187</v>
      </c>
      <c r="P24" s="123" t="s">
        <v>164</v>
      </c>
      <c r="Q24" s="123" t="s">
        <v>81</v>
      </c>
    </row>
    <row r="25" spans="1:21" x14ac:dyDescent="0.25">
      <c r="A25" s="94" t="s">
        <v>188</v>
      </c>
      <c r="B25" s="87">
        <v>7</v>
      </c>
      <c r="C25" s="87" t="s">
        <v>176</v>
      </c>
      <c r="D25" s="87" t="s">
        <v>432</v>
      </c>
      <c r="E25" s="86">
        <v>41</v>
      </c>
      <c r="F25" s="86">
        <v>42</v>
      </c>
      <c r="G25" s="97" t="s">
        <v>65</v>
      </c>
      <c r="H25" s="86" t="s">
        <v>189</v>
      </c>
      <c r="I25">
        <v>1</v>
      </c>
      <c r="J25">
        <v>6810</v>
      </c>
      <c r="K25">
        <f>I25*J25</f>
        <v>6810</v>
      </c>
      <c r="L25">
        <v>27.83</v>
      </c>
      <c r="M25">
        <f>(1-(L25/100))*K25</f>
        <v>4914.777</v>
      </c>
      <c r="N25">
        <v>25</v>
      </c>
      <c r="O25" s="95" t="s">
        <v>190</v>
      </c>
      <c r="P25" s="123" t="s">
        <v>167</v>
      </c>
      <c r="Q25" s="123" t="s">
        <v>81</v>
      </c>
    </row>
    <row r="26" spans="1:21" x14ac:dyDescent="0.25">
      <c r="A26" s="94" t="s">
        <v>191</v>
      </c>
      <c r="B26" s="87">
        <v>7</v>
      </c>
      <c r="C26" s="87" t="s">
        <v>176</v>
      </c>
      <c r="D26" s="87" t="s">
        <v>433</v>
      </c>
      <c r="E26" s="86">
        <v>43</v>
      </c>
      <c r="F26" s="86">
        <v>44</v>
      </c>
      <c r="G26" s="97" t="s">
        <v>65</v>
      </c>
      <c r="H26" s="86" t="s">
        <v>192</v>
      </c>
      <c r="I26">
        <v>1</v>
      </c>
      <c r="J26">
        <v>3061.23</v>
      </c>
      <c r="K26">
        <f>I26*J26</f>
        <v>3061.23</v>
      </c>
      <c r="L26">
        <v>27.83</v>
      </c>
      <c r="M26">
        <f>(1-(L26/100))*K26</f>
        <v>2209.2896909999999</v>
      </c>
      <c r="N26">
        <v>26</v>
      </c>
      <c r="O26" s="95" t="s">
        <v>193</v>
      </c>
      <c r="P26" s="123" t="s">
        <v>599</v>
      </c>
      <c r="Q26" s="123" t="s">
        <v>81</v>
      </c>
    </row>
    <row r="27" spans="1:21" x14ac:dyDescent="0.25">
      <c r="A27" s="95" t="s">
        <v>194</v>
      </c>
      <c r="B27" s="95">
        <v>3</v>
      </c>
      <c r="C27" s="95" t="s">
        <v>2</v>
      </c>
      <c r="D27" s="95" t="s">
        <v>432</v>
      </c>
      <c r="E27">
        <v>49</v>
      </c>
      <c r="F27">
        <v>56</v>
      </c>
      <c r="G27" s="98" t="s">
        <v>99</v>
      </c>
      <c r="H27" s="86" t="s">
        <v>195</v>
      </c>
      <c r="I27">
        <v>1</v>
      </c>
      <c r="J27">
        <f>SUM(K28)</f>
        <v>1009039.85737935</v>
      </c>
      <c r="K27">
        <f>I27*J27</f>
        <v>1009039.85737935</v>
      </c>
      <c r="L27">
        <f>100*(1-(M27/K27))</f>
        <v>27.83</v>
      </c>
      <c r="M27">
        <f>I27*SUM(M28)</f>
        <v>728224.06507067685</v>
      </c>
      <c r="N27">
        <v>27</v>
      </c>
      <c r="O27" s="95" t="s">
        <v>196</v>
      </c>
      <c r="P27" s="123" t="s">
        <v>170</v>
      </c>
      <c r="Q27" s="123" t="s">
        <v>81</v>
      </c>
      <c r="R27" s="95" t="s">
        <v>529</v>
      </c>
      <c r="S27" s="95" t="s">
        <v>548</v>
      </c>
      <c r="T27" s="95" t="s">
        <v>559</v>
      </c>
      <c r="U27" s="95" t="s">
        <v>537</v>
      </c>
    </row>
    <row r="28" spans="1:21" x14ac:dyDescent="0.25">
      <c r="A28" s="95" t="s">
        <v>197</v>
      </c>
      <c r="B28" s="95">
        <v>4</v>
      </c>
      <c r="C28" s="95" t="s">
        <v>194</v>
      </c>
      <c r="D28" s="95" t="s">
        <v>65</v>
      </c>
      <c r="E28">
        <v>50</v>
      </c>
      <c r="F28">
        <v>55</v>
      </c>
      <c r="G28" s="98" t="s">
        <v>99</v>
      </c>
      <c r="H28" s="86" t="s">
        <v>195</v>
      </c>
      <c r="I28">
        <v>1</v>
      </c>
      <c r="J28">
        <f>SUM(K29)</f>
        <v>1009039.85737935</v>
      </c>
      <c r="K28">
        <f>I28*J28</f>
        <v>1009039.85737935</v>
      </c>
      <c r="L28">
        <f>100*(1-(M28/K28))</f>
        <v>27.83</v>
      </c>
      <c r="M28">
        <f>I28*SUM(M29)</f>
        <v>728224.06507067685</v>
      </c>
      <c r="N28">
        <v>28</v>
      </c>
      <c r="O28" s="95" t="s">
        <v>198</v>
      </c>
      <c r="P28" s="123" t="s">
        <v>173</v>
      </c>
      <c r="Q28" s="123" t="s">
        <v>81</v>
      </c>
      <c r="R28" s="95" t="s">
        <v>490</v>
      </c>
      <c r="S28" s="95" t="s">
        <v>507</v>
      </c>
      <c r="T28" s="95" t="s">
        <v>518</v>
      </c>
      <c r="U28" s="95" t="s">
        <v>497</v>
      </c>
    </row>
    <row r="29" spans="1:21" x14ac:dyDescent="0.25">
      <c r="A29" s="95" t="s">
        <v>199</v>
      </c>
      <c r="B29" s="95">
        <v>5</v>
      </c>
      <c r="C29" s="95" t="s">
        <v>197</v>
      </c>
      <c r="D29" s="95" t="s">
        <v>65</v>
      </c>
      <c r="E29">
        <v>51</v>
      </c>
      <c r="F29">
        <v>54</v>
      </c>
      <c r="G29" s="98" t="s">
        <v>99</v>
      </c>
      <c r="H29" s="86" t="s">
        <v>195</v>
      </c>
      <c r="I29">
        <v>1</v>
      </c>
      <c r="J29">
        <f>SUM(K30)</f>
        <v>1009039.85737935</v>
      </c>
      <c r="K29">
        <f>I29*J29</f>
        <v>1009039.85737935</v>
      </c>
      <c r="L29">
        <f>100*(1-(M29/K29))</f>
        <v>27.83</v>
      </c>
      <c r="M29">
        <f>I29*SUM(M30)</f>
        <v>728224.06507067685</v>
      </c>
      <c r="N29">
        <v>29</v>
      </c>
      <c r="O29" s="95" t="s">
        <v>200</v>
      </c>
      <c r="P29" s="123" t="s">
        <v>175</v>
      </c>
      <c r="Q29" s="123" t="s">
        <v>81</v>
      </c>
      <c r="R29" s="95" t="s">
        <v>446</v>
      </c>
      <c r="S29" s="95" t="s">
        <v>468</v>
      </c>
      <c r="T29" s="95" t="s">
        <v>480</v>
      </c>
      <c r="U29" s="95" t="s">
        <v>456</v>
      </c>
    </row>
    <row r="30" spans="1:21" x14ac:dyDescent="0.25">
      <c r="A30" s="95" t="s">
        <v>201</v>
      </c>
      <c r="B30" s="95">
        <v>6</v>
      </c>
      <c r="C30" s="95" t="s">
        <v>199</v>
      </c>
      <c r="D30" s="95" t="s">
        <v>65</v>
      </c>
      <c r="E30">
        <v>52</v>
      </c>
      <c r="F30">
        <v>53</v>
      </c>
      <c r="G30" s="98" t="s">
        <v>65</v>
      </c>
      <c r="H30" s="86" t="s">
        <v>86</v>
      </c>
      <c r="I30">
        <v>1</v>
      </c>
      <c r="J30">
        <v>1009039.85737935</v>
      </c>
      <c r="K30">
        <f>I30*J30</f>
        <v>1009039.85737935</v>
      </c>
      <c r="L30">
        <v>27.83</v>
      </c>
      <c r="M30">
        <f>(1-(L30/100))*K30</f>
        <v>728224.06507067685</v>
      </c>
      <c r="N30">
        <v>30</v>
      </c>
      <c r="O30" s="95" t="s">
        <v>202</v>
      </c>
      <c r="P30" s="123" t="s">
        <v>178</v>
      </c>
      <c r="Q30" s="123" t="s">
        <v>81</v>
      </c>
    </row>
    <row r="31" spans="1:21" x14ac:dyDescent="0.25">
      <c r="A31" s="95" t="s">
        <v>203</v>
      </c>
      <c r="B31" s="95">
        <v>3</v>
      </c>
      <c r="C31" s="95" t="s">
        <v>2</v>
      </c>
      <c r="D31" s="95" t="s">
        <v>433</v>
      </c>
      <c r="E31">
        <v>57</v>
      </c>
      <c r="F31">
        <v>72</v>
      </c>
      <c r="G31" s="98" t="s">
        <v>99</v>
      </c>
      <c r="H31" s="86" t="s">
        <v>204</v>
      </c>
      <c r="I31">
        <v>1</v>
      </c>
      <c r="J31">
        <f>SUM(K32)</f>
        <v>2105148</v>
      </c>
      <c r="K31">
        <f>I31*J31</f>
        <v>2105148</v>
      </c>
      <c r="L31">
        <f>100*(1-(M31/K31))</f>
        <v>27.830000000000009</v>
      </c>
      <c r="M31">
        <f>I31*SUM(M32)</f>
        <v>1519285.3115999999</v>
      </c>
      <c r="N31">
        <v>31</v>
      </c>
      <c r="O31" s="95" t="s">
        <v>205</v>
      </c>
      <c r="P31" s="123" t="s">
        <v>600</v>
      </c>
      <c r="Q31" s="123" t="s">
        <v>81</v>
      </c>
      <c r="R31" s="95" t="s">
        <v>569</v>
      </c>
      <c r="S31" s="95" t="s">
        <v>582</v>
      </c>
      <c r="T31" s="95" t="s">
        <v>591</v>
      </c>
      <c r="U31" s="95" t="s">
        <v>575</v>
      </c>
    </row>
    <row r="32" spans="1:21" x14ac:dyDescent="0.25">
      <c r="A32" s="95" t="s">
        <v>206</v>
      </c>
      <c r="B32" s="95">
        <v>4</v>
      </c>
      <c r="C32" s="95" t="s">
        <v>203</v>
      </c>
      <c r="D32" s="95" t="s">
        <v>65</v>
      </c>
      <c r="E32">
        <v>58</v>
      </c>
      <c r="F32">
        <v>71</v>
      </c>
      <c r="G32" s="98" t="s">
        <v>99</v>
      </c>
      <c r="H32" s="86" t="s">
        <v>204</v>
      </c>
      <c r="I32">
        <v>1</v>
      </c>
      <c r="J32">
        <f>SUM(K33)</f>
        <v>2105148</v>
      </c>
      <c r="K32">
        <f>I32*J32</f>
        <v>2105148</v>
      </c>
      <c r="L32">
        <f>100*(1-(M32/K32))</f>
        <v>27.830000000000009</v>
      </c>
      <c r="M32">
        <f>I32*SUM(M33)</f>
        <v>1519285.3115999999</v>
      </c>
      <c r="N32">
        <v>32</v>
      </c>
      <c r="O32" s="95" t="s">
        <v>207</v>
      </c>
      <c r="P32" s="123" t="s">
        <v>181</v>
      </c>
      <c r="Q32" s="123" t="s">
        <v>81</v>
      </c>
      <c r="R32" s="95" t="s">
        <v>530</v>
      </c>
      <c r="S32" s="95" t="s">
        <v>549</v>
      </c>
      <c r="T32" s="95" t="s">
        <v>560</v>
      </c>
      <c r="U32" s="95" t="s">
        <v>538</v>
      </c>
    </row>
    <row r="33" spans="1:21" x14ac:dyDescent="0.25">
      <c r="A33" s="95" t="s">
        <v>208</v>
      </c>
      <c r="B33" s="95">
        <v>5</v>
      </c>
      <c r="C33" s="95" t="s">
        <v>206</v>
      </c>
      <c r="D33" s="95" t="s">
        <v>65</v>
      </c>
      <c r="E33">
        <v>59</v>
      </c>
      <c r="F33">
        <v>70</v>
      </c>
      <c r="G33" s="98" t="s">
        <v>99</v>
      </c>
      <c r="H33" s="86" t="s">
        <v>204</v>
      </c>
      <c r="I33">
        <v>2</v>
      </c>
      <c r="J33">
        <f>SUM(K34)</f>
        <v>1052574</v>
      </c>
      <c r="K33">
        <f>I33*J33</f>
        <v>2105148</v>
      </c>
      <c r="L33">
        <f>100*(1-(M33/K33))</f>
        <v>27.830000000000009</v>
      </c>
      <c r="M33">
        <f>I33*SUM(M34)</f>
        <v>1519285.3115999999</v>
      </c>
      <c r="N33">
        <v>33</v>
      </c>
      <c r="O33" s="95" t="s">
        <v>209</v>
      </c>
      <c r="P33" s="123" t="s">
        <v>184</v>
      </c>
      <c r="Q33" s="123" t="s">
        <v>81</v>
      </c>
      <c r="R33" s="95" t="s">
        <v>491</v>
      </c>
      <c r="S33" s="95" t="s">
        <v>508</v>
      </c>
      <c r="T33" s="95" t="s">
        <v>519</v>
      </c>
      <c r="U33" s="95" t="s">
        <v>498</v>
      </c>
    </row>
    <row r="34" spans="1:21" x14ac:dyDescent="0.25">
      <c r="A34" s="95" t="s">
        <v>210</v>
      </c>
      <c r="B34" s="95">
        <v>6</v>
      </c>
      <c r="C34" s="95" t="s">
        <v>208</v>
      </c>
      <c r="D34" s="95" t="s">
        <v>65</v>
      </c>
      <c r="E34">
        <v>60</v>
      </c>
      <c r="F34">
        <v>69</v>
      </c>
      <c r="G34" s="98" t="s">
        <v>99</v>
      </c>
      <c r="H34" s="86" t="s">
        <v>84</v>
      </c>
      <c r="I34">
        <v>1</v>
      </c>
      <c r="J34">
        <f>SUM(K35,K36,K37,K38)</f>
        <v>1052574</v>
      </c>
      <c r="K34">
        <f>I34*J34</f>
        <v>1052574</v>
      </c>
      <c r="L34">
        <f>100*(1-(M34/K34))</f>
        <v>27.830000000000009</v>
      </c>
      <c r="M34">
        <f>I34*SUM(M35,M36,M37,M38)</f>
        <v>759642.65579999995</v>
      </c>
      <c r="N34">
        <v>34</v>
      </c>
      <c r="O34" s="95" t="s">
        <v>211</v>
      </c>
      <c r="P34" s="123" t="s">
        <v>187</v>
      </c>
      <c r="Q34" s="123" t="s">
        <v>81</v>
      </c>
      <c r="R34" s="95" t="s">
        <v>447</v>
      </c>
      <c r="S34" s="95" t="s">
        <v>469</v>
      </c>
      <c r="T34" s="95" t="s">
        <v>481</v>
      </c>
      <c r="U34" s="95" t="s">
        <v>457</v>
      </c>
    </row>
    <row r="35" spans="1:21" x14ac:dyDescent="0.25">
      <c r="A35" s="95" t="s">
        <v>212</v>
      </c>
      <c r="B35" s="95">
        <v>7</v>
      </c>
      <c r="C35" s="95" t="s">
        <v>210</v>
      </c>
      <c r="D35" s="95" t="s">
        <v>65</v>
      </c>
      <c r="E35">
        <v>61</v>
      </c>
      <c r="F35">
        <v>62</v>
      </c>
      <c r="G35" s="98" t="s">
        <v>65</v>
      </c>
      <c r="H35" s="86" t="s">
        <v>213</v>
      </c>
      <c r="I35">
        <v>1</v>
      </c>
      <c r="J35">
        <v>68557.399999999994</v>
      </c>
      <c r="K35">
        <f>I35*J35</f>
        <v>68557.399999999994</v>
      </c>
      <c r="L35">
        <v>27.83</v>
      </c>
      <c r="M35">
        <f>(1-(L35/100))*K35</f>
        <v>49477.87558</v>
      </c>
      <c r="N35">
        <v>35</v>
      </c>
      <c r="O35" s="95" t="s">
        <v>214</v>
      </c>
      <c r="P35" s="123" t="s">
        <v>190</v>
      </c>
      <c r="Q35" s="123" t="s">
        <v>81</v>
      </c>
    </row>
    <row r="36" spans="1:21" x14ac:dyDescent="0.25">
      <c r="A36" s="95" t="s">
        <v>215</v>
      </c>
      <c r="B36" s="95">
        <v>7</v>
      </c>
      <c r="C36" s="95" t="s">
        <v>210</v>
      </c>
      <c r="D36" s="95" t="s">
        <v>98</v>
      </c>
      <c r="E36">
        <v>63</v>
      </c>
      <c r="F36">
        <v>64</v>
      </c>
      <c r="G36" s="98" t="s">
        <v>65</v>
      </c>
      <c r="H36" s="86" t="s">
        <v>216</v>
      </c>
      <c r="I36">
        <v>2000</v>
      </c>
      <c r="J36">
        <v>22.62</v>
      </c>
      <c r="K36">
        <f>I36*J36</f>
        <v>45240</v>
      </c>
      <c r="L36">
        <v>27.83</v>
      </c>
      <c r="M36">
        <f>(1-(L36/100))*K36</f>
        <v>32649.707999999999</v>
      </c>
      <c r="N36">
        <v>36</v>
      </c>
      <c r="O36" s="95" t="s">
        <v>217</v>
      </c>
      <c r="P36" s="123" t="s">
        <v>193</v>
      </c>
      <c r="Q36" s="123" t="s">
        <v>81</v>
      </c>
    </row>
    <row r="37" spans="1:21" x14ac:dyDescent="0.25">
      <c r="A37" s="95" t="s">
        <v>218</v>
      </c>
      <c r="B37" s="95">
        <v>7</v>
      </c>
      <c r="C37" s="95" t="s">
        <v>210</v>
      </c>
      <c r="D37" s="95" t="s">
        <v>431</v>
      </c>
      <c r="E37">
        <v>65</v>
      </c>
      <c r="F37">
        <v>66</v>
      </c>
      <c r="G37" s="98" t="s">
        <v>65</v>
      </c>
      <c r="H37" s="86" t="s">
        <v>88</v>
      </c>
      <c r="I37">
        <v>1060</v>
      </c>
      <c r="J37">
        <v>2.0099999999999998</v>
      </c>
      <c r="K37">
        <f>I37*J37</f>
        <v>2130.6</v>
      </c>
      <c r="L37">
        <v>27.83</v>
      </c>
      <c r="M37">
        <f>(1-(L37/100))*K37</f>
        <v>1537.6540199999999</v>
      </c>
      <c r="N37">
        <v>37</v>
      </c>
      <c r="O37" s="95" t="s">
        <v>219</v>
      </c>
      <c r="P37" s="123" t="s">
        <v>601</v>
      </c>
      <c r="Q37" s="123" t="s">
        <v>81</v>
      </c>
    </row>
    <row r="38" spans="1:21" x14ac:dyDescent="0.25">
      <c r="A38" s="95" t="s">
        <v>220</v>
      </c>
      <c r="B38" s="95">
        <v>7</v>
      </c>
      <c r="C38" s="95" t="s">
        <v>210</v>
      </c>
      <c r="D38" s="95" t="s">
        <v>432</v>
      </c>
      <c r="E38">
        <v>67</v>
      </c>
      <c r="F38">
        <v>68</v>
      </c>
      <c r="G38" s="98" t="s">
        <v>65</v>
      </c>
      <c r="H38" s="86" t="s">
        <v>221</v>
      </c>
      <c r="I38">
        <v>1</v>
      </c>
      <c r="J38">
        <v>936646</v>
      </c>
      <c r="K38">
        <f>I38*J38</f>
        <v>936646</v>
      </c>
      <c r="L38">
        <v>27.83</v>
      </c>
      <c r="M38">
        <f>(1-(L38/100))*K38</f>
        <v>675977.41819999996</v>
      </c>
      <c r="N38">
        <v>38</v>
      </c>
      <c r="O38" s="95" t="s">
        <v>222</v>
      </c>
      <c r="P38" s="123" t="s">
        <v>196</v>
      </c>
      <c r="Q38" s="123" t="s">
        <v>81</v>
      </c>
    </row>
    <row r="39" spans="1:21" x14ac:dyDescent="0.25">
      <c r="A39" s="95" t="s">
        <v>223</v>
      </c>
      <c r="B39" s="95">
        <v>3</v>
      </c>
      <c r="C39" s="95" t="s">
        <v>2</v>
      </c>
      <c r="D39" s="95" t="s">
        <v>434</v>
      </c>
      <c r="E39">
        <v>73</v>
      </c>
      <c r="F39">
        <v>88</v>
      </c>
      <c r="G39" s="98" t="s">
        <v>99</v>
      </c>
      <c r="H39" s="86" t="s">
        <v>224</v>
      </c>
      <c r="I39">
        <v>1</v>
      </c>
      <c r="J39" t="e">
        <f>SUM(K40)</f>
        <v>#VALUE!</v>
      </c>
      <c r="K39" t="e">
        <f>I39*J39</f>
        <v>#VALUE!</v>
      </c>
      <c r="L39" t="e">
        <f>100*(1-(M39/K39))</f>
        <v>#VALUE!</v>
      </c>
      <c r="M39">
        <f>I39*SUM(M40)</f>
        <v>204772.27120000002</v>
      </c>
      <c r="N39">
        <v>39</v>
      </c>
      <c r="O39" s="95" t="s">
        <v>225</v>
      </c>
      <c r="P39" s="123" t="s">
        <v>198</v>
      </c>
      <c r="Q39" s="123" t="s">
        <v>81</v>
      </c>
      <c r="R39" s="95" t="s">
        <v>570</v>
      </c>
      <c r="S39" s="95" t="s">
        <v>583</v>
      </c>
      <c r="T39" s="95" t="s">
        <v>592</v>
      </c>
      <c r="U39" s="95" t="s">
        <v>576</v>
      </c>
    </row>
    <row r="40" spans="1:21" x14ac:dyDescent="0.25">
      <c r="A40" s="95" t="s">
        <v>226</v>
      </c>
      <c r="B40" s="95">
        <v>4</v>
      </c>
      <c r="C40" s="95" t="s">
        <v>223</v>
      </c>
      <c r="D40" s="95" t="s">
        <v>65</v>
      </c>
      <c r="E40" s="95">
        <v>74</v>
      </c>
      <c r="F40" s="95">
        <v>87</v>
      </c>
      <c r="G40" s="123" t="s">
        <v>99</v>
      </c>
      <c r="H40" s="95" t="s">
        <v>224</v>
      </c>
      <c r="I40" s="95" t="s">
        <v>65</v>
      </c>
      <c r="J40" s="95" t="s">
        <v>616</v>
      </c>
      <c r="K40" t="e">
        <f>I40*J40</f>
        <v>#VALUE!</v>
      </c>
      <c r="L40" t="e">
        <f>100*(1-(M40/K40))</f>
        <v>#VALUE!</v>
      </c>
      <c r="M40">
        <f>I40*SUM(M41)</f>
        <v>204772.27120000002</v>
      </c>
      <c r="N40">
        <v>40</v>
      </c>
      <c r="O40" s="95" t="s">
        <v>227</v>
      </c>
      <c r="P40" s="123" t="s">
        <v>200</v>
      </c>
      <c r="Q40" s="123" t="s">
        <v>81</v>
      </c>
      <c r="R40" s="95" t="s">
        <v>616</v>
      </c>
      <c r="S40" s="95" t="s">
        <v>550</v>
      </c>
      <c r="T40" s="95" t="s">
        <v>561</v>
      </c>
      <c r="U40" s="95" t="s">
        <v>539</v>
      </c>
    </row>
    <row r="41" spans="1:21" x14ac:dyDescent="0.25">
      <c r="A41" s="95" t="s">
        <v>228</v>
      </c>
      <c r="B41" s="95">
        <v>5</v>
      </c>
      <c r="C41" s="95" t="s">
        <v>226</v>
      </c>
      <c r="D41" s="95" t="s">
        <v>65</v>
      </c>
      <c r="E41" s="95">
        <v>75</v>
      </c>
      <c r="F41" s="95">
        <v>86</v>
      </c>
      <c r="G41" s="123" t="s">
        <v>99</v>
      </c>
      <c r="H41" s="95" t="s">
        <v>224</v>
      </c>
      <c r="I41" s="95" t="s">
        <v>98</v>
      </c>
      <c r="J41" s="95" t="s">
        <v>616</v>
      </c>
      <c r="K41" t="e">
        <f>I41*J41</f>
        <v>#VALUE!</v>
      </c>
      <c r="L41" t="e">
        <f>100*(1-(M41/K41))</f>
        <v>#VALUE!</v>
      </c>
      <c r="M41">
        <f>I41*SUM(M42)</f>
        <v>204772.27120000002</v>
      </c>
      <c r="N41">
        <v>41</v>
      </c>
      <c r="O41" s="95" t="s">
        <v>229</v>
      </c>
      <c r="P41" s="123" t="s">
        <v>202</v>
      </c>
      <c r="Q41" s="123" t="s">
        <v>81</v>
      </c>
      <c r="R41" s="95" t="s">
        <v>616</v>
      </c>
      <c r="S41" s="95" t="s">
        <v>509</v>
      </c>
      <c r="T41" s="95" t="s">
        <v>520</v>
      </c>
      <c r="U41" s="95" t="s">
        <v>499</v>
      </c>
    </row>
    <row r="42" spans="1:21" x14ac:dyDescent="0.25">
      <c r="A42" s="95" t="s">
        <v>230</v>
      </c>
      <c r="B42" s="95">
        <v>6</v>
      </c>
      <c r="C42" s="95" t="s">
        <v>228</v>
      </c>
      <c r="D42" s="95" t="s">
        <v>65</v>
      </c>
      <c r="E42" s="95">
        <v>76</v>
      </c>
      <c r="F42" s="95">
        <v>85</v>
      </c>
      <c r="G42" s="123" t="s">
        <v>99</v>
      </c>
      <c r="H42" s="95" t="s">
        <v>96</v>
      </c>
      <c r="I42" s="95" t="s">
        <v>65</v>
      </c>
      <c r="J42" s="95" t="s">
        <v>615</v>
      </c>
      <c r="K42" t="e">
        <f>I42*J42</f>
        <v>#VALUE!</v>
      </c>
      <c r="L42" t="e">
        <f>100*(1-(M42/K42))</f>
        <v>#VALUE!</v>
      </c>
      <c r="M42">
        <f>I42*SUM(M43,M44,M45,M46)</f>
        <v>102386.13560000001</v>
      </c>
      <c r="N42">
        <v>42</v>
      </c>
      <c r="O42" s="95" t="s">
        <v>231</v>
      </c>
      <c r="P42" s="123" t="s">
        <v>602</v>
      </c>
      <c r="Q42" s="123" t="s">
        <v>81</v>
      </c>
      <c r="R42" s="95" t="s">
        <v>615</v>
      </c>
      <c r="S42" s="95" t="s">
        <v>470</v>
      </c>
      <c r="T42" s="95" t="s">
        <v>482</v>
      </c>
      <c r="U42" s="95" t="s">
        <v>458</v>
      </c>
    </row>
    <row r="43" spans="1:21" x14ac:dyDescent="0.25">
      <c r="A43" s="95" t="s">
        <v>232</v>
      </c>
      <c r="B43" s="95">
        <v>7</v>
      </c>
      <c r="C43" s="95" t="s">
        <v>230</v>
      </c>
      <c r="D43" s="95" t="s">
        <v>65</v>
      </c>
      <c r="E43" s="95">
        <v>77</v>
      </c>
      <c r="F43" s="95">
        <v>78</v>
      </c>
      <c r="G43" s="123" t="s">
        <v>65</v>
      </c>
      <c r="H43" s="95" t="s">
        <v>157</v>
      </c>
      <c r="I43" s="95" t="s">
        <v>106</v>
      </c>
      <c r="J43" s="95">
        <v>5616</v>
      </c>
      <c r="K43">
        <f>I43*J43</f>
        <v>101088</v>
      </c>
      <c r="L43">
        <v>27.83</v>
      </c>
      <c r="M43">
        <f>(1-(L43/100))*K43</f>
        <v>72955.209600000002</v>
      </c>
      <c r="N43">
        <v>43</v>
      </c>
      <c r="O43" s="95" t="s">
        <v>233</v>
      </c>
      <c r="P43" s="123" t="s">
        <v>205</v>
      </c>
      <c r="Q43" s="123" t="s">
        <v>81</v>
      </c>
    </row>
    <row r="44" spans="1:21" x14ac:dyDescent="0.25">
      <c r="A44" s="95" t="s">
        <v>234</v>
      </c>
      <c r="B44" s="95">
        <v>7</v>
      </c>
      <c r="C44" s="95" t="s">
        <v>230</v>
      </c>
      <c r="D44" s="95" t="s">
        <v>98</v>
      </c>
      <c r="E44" s="95">
        <v>79</v>
      </c>
      <c r="F44" s="95">
        <v>80</v>
      </c>
      <c r="G44" s="123" t="s">
        <v>65</v>
      </c>
      <c r="H44" s="95" t="s">
        <v>160</v>
      </c>
      <c r="I44" s="95" t="s">
        <v>65</v>
      </c>
      <c r="J44" s="95">
        <v>1604</v>
      </c>
      <c r="K44">
        <f>I44*J44</f>
        <v>1604</v>
      </c>
      <c r="L44">
        <v>27.83</v>
      </c>
      <c r="M44">
        <f>(1-(L44/100))*K44</f>
        <v>1157.6068</v>
      </c>
      <c r="N44">
        <v>44</v>
      </c>
      <c r="O44" s="95" t="s">
        <v>235</v>
      </c>
      <c r="P44" s="123" t="s">
        <v>207</v>
      </c>
      <c r="Q44" s="123" t="s">
        <v>81</v>
      </c>
    </row>
    <row r="45" spans="1:21" x14ac:dyDescent="0.25">
      <c r="A45" s="95" t="s">
        <v>236</v>
      </c>
      <c r="B45" s="95">
        <v>7</v>
      </c>
      <c r="C45" s="95" t="s">
        <v>230</v>
      </c>
      <c r="D45" s="95" t="s">
        <v>431</v>
      </c>
      <c r="E45" s="95">
        <v>81</v>
      </c>
      <c r="F45" s="95">
        <v>82</v>
      </c>
      <c r="G45" s="123" t="s">
        <v>65</v>
      </c>
      <c r="H45" s="95" t="s">
        <v>163</v>
      </c>
      <c r="I45" s="95" t="s">
        <v>98</v>
      </c>
      <c r="J45" s="95">
        <v>7020</v>
      </c>
      <c r="K45">
        <f>I45*J45</f>
        <v>14040</v>
      </c>
      <c r="L45">
        <v>27.83</v>
      </c>
      <c r="M45">
        <f>(1-(L45/100))*K45</f>
        <v>10132.668</v>
      </c>
      <c r="N45">
        <v>45</v>
      </c>
      <c r="O45" s="95" t="s">
        <v>237</v>
      </c>
      <c r="P45" s="123" t="s">
        <v>209</v>
      </c>
      <c r="Q45" s="123" t="s">
        <v>81</v>
      </c>
    </row>
    <row r="46" spans="1:21" x14ac:dyDescent="0.25">
      <c r="A46" s="95" t="s">
        <v>238</v>
      </c>
      <c r="B46" s="95">
        <v>7</v>
      </c>
      <c r="C46" s="95" t="s">
        <v>230</v>
      </c>
      <c r="D46" s="95" t="s">
        <v>432</v>
      </c>
      <c r="E46" s="95">
        <v>83</v>
      </c>
      <c r="F46" s="95">
        <v>84</v>
      </c>
      <c r="G46" s="123" t="s">
        <v>65</v>
      </c>
      <c r="H46" s="95" t="s">
        <v>166</v>
      </c>
      <c r="I46" s="95" t="s">
        <v>98</v>
      </c>
      <c r="J46" s="95">
        <v>12568</v>
      </c>
      <c r="K46">
        <f>I46*J46</f>
        <v>25136</v>
      </c>
      <c r="L46">
        <v>27.83</v>
      </c>
      <c r="M46">
        <f>(1-(L46/100))*K46</f>
        <v>18140.6512</v>
      </c>
      <c r="N46">
        <v>46</v>
      </c>
      <c r="O46" s="95" t="s">
        <v>239</v>
      </c>
      <c r="P46" s="123" t="s">
        <v>211</v>
      </c>
      <c r="Q46" s="123" t="s">
        <v>81</v>
      </c>
    </row>
    <row r="47" spans="1:21" x14ac:dyDescent="0.25">
      <c r="A47" s="95" t="s">
        <v>240</v>
      </c>
      <c r="B47" s="95">
        <v>3</v>
      </c>
      <c r="C47" s="95" t="s">
        <v>2</v>
      </c>
      <c r="D47" s="95" t="s">
        <v>435</v>
      </c>
      <c r="E47" s="95">
        <v>89</v>
      </c>
      <c r="F47" s="95">
        <v>98</v>
      </c>
      <c r="G47" s="123" t="s">
        <v>99</v>
      </c>
      <c r="H47" s="95" t="s">
        <v>241</v>
      </c>
      <c r="I47" s="95" t="s">
        <v>65</v>
      </c>
      <c r="J47" s="95" t="s">
        <v>616</v>
      </c>
      <c r="K47" t="e">
        <f>I47*J47</f>
        <v>#VALUE!</v>
      </c>
      <c r="L47" t="e">
        <f>100*(1-(M47/K47))</f>
        <v>#VALUE!</v>
      </c>
      <c r="M47">
        <f>I47*SUM(M48)</f>
        <v>100356.094538</v>
      </c>
      <c r="N47">
        <v>47</v>
      </c>
      <c r="O47" s="95" t="s">
        <v>242</v>
      </c>
      <c r="P47" s="123" t="s">
        <v>603</v>
      </c>
      <c r="Q47" s="123" t="s">
        <v>81</v>
      </c>
      <c r="R47" s="95" t="s">
        <v>616</v>
      </c>
      <c r="S47" s="95" t="s">
        <v>584</v>
      </c>
      <c r="T47" s="95" t="s">
        <v>593</v>
      </c>
      <c r="U47" s="95" t="s">
        <v>577</v>
      </c>
    </row>
    <row r="48" spans="1:21" x14ac:dyDescent="0.25">
      <c r="A48" s="95" t="s">
        <v>243</v>
      </c>
      <c r="B48" s="95">
        <v>4</v>
      </c>
      <c r="C48" s="95" t="s">
        <v>240</v>
      </c>
      <c r="D48" s="95" t="s">
        <v>65</v>
      </c>
      <c r="E48" s="95">
        <v>90</v>
      </c>
      <c r="F48" s="95">
        <v>97</v>
      </c>
      <c r="G48" s="123" t="s">
        <v>99</v>
      </c>
      <c r="H48" s="95" t="s">
        <v>244</v>
      </c>
      <c r="I48" s="95" t="s">
        <v>65</v>
      </c>
      <c r="J48" s="95" t="s">
        <v>616</v>
      </c>
      <c r="K48" t="e">
        <f>I48*J48</f>
        <v>#VALUE!</v>
      </c>
      <c r="L48" t="e">
        <f>100*(1-(M48/K48))</f>
        <v>#VALUE!</v>
      </c>
      <c r="M48">
        <f>I48*SUM(M49)</f>
        <v>100356.094538</v>
      </c>
      <c r="N48">
        <v>48</v>
      </c>
      <c r="O48" s="95" t="s">
        <v>245</v>
      </c>
      <c r="P48" s="123" t="s">
        <v>214</v>
      </c>
      <c r="Q48" s="123" t="s">
        <v>81</v>
      </c>
      <c r="R48" s="95" t="s">
        <v>616</v>
      </c>
      <c r="S48" s="95" t="s">
        <v>551</v>
      </c>
      <c r="T48" s="95" t="s">
        <v>562</v>
      </c>
      <c r="U48" s="95" t="s">
        <v>540</v>
      </c>
    </row>
    <row r="49" spans="1:21" x14ac:dyDescent="0.25">
      <c r="A49" s="95" t="s">
        <v>246</v>
      </c>
      <c r="B49" s="95">
        <v>5</v>
      </c>
      <c r="C49" s="95" t="s">
        <v>243</v>
      </c>
      <c r="D49" s="95" t="s">
        <v>65</v>
      </c>
      <c r="E49" s="95">
        <v>91</v>
      </c>
      <c r="F49" s="95">
        <v>96</v>
      </c>
      <c r="G49" s="123" t="s">
        <v>99</v>
      </c>
      <c r="H49" s="95" t="s">
        <v>241</v>
      </c>
      <c r="I49" s="95" t="s">
        <v>98</v>
      </c>
      <c r="J49" s="95" t="s">
        <v>616</v>
      </c>
      <c r="K49" t="e">
        <f>I49*J49</f>
        <v>#VALUE!</v>
      </c>
      <c r="L49" t="e">
        <f>100*(1-(M49/K49))</f>
        <v>#VALUE!</v>
      </c>
      <c r="M49">
        <f>I49*SUM(M50)</f>
        <v>100356.094538</v>
      </c>
      <c r="N49">
        <v>49</v>
      </c>
      <c r="O49" s="95" t="s">
        <v>247</v>
      </c>
      <c r="P49" s="123" t="s">
        <v>217</v>
      </c>
      <c r="Q49" s="123" t="s">
        <v>81</v>
      </c>
      <c r="R49" s="95" t="s">
        <v>616</v>
      </c>
      <c r="S49" s="95" t="s">
        <v>510</v>
      </c>
      <c r="T49" s="95" t="s">
        <v>521</v>
      </c>
      <c r="U49" s="95" t="s">
        <v>500</v>
      </c>
    </row>
    <row r="50" spans="1:21" x14ac:dyDescent="0.25">
      <c r="A50" s="95" t="s">
        <v>248</v>
      </c>
      <c r="B50" s="95">
        <v>6</v>
      </c>
      <c r="C50" s="95" t="s">
        <v>246</v>
      </c>
      <c r="D50" s="95" t="s">
        <v>65</v>
      </c>
      <c r="E50" s="95">
        <v>92</v>
      </c>
      <c r="F50" s="95">
        <v>95</v>
      </c>
      <c r="G50" s="123" t="s">
        <v>99</v>
      </c>
      <c r="H50" s="95" t="s">
        <v>249</v>
      </c>
      <c r="I50" s="95" t="s">
        <v>65</v>
      </c>
      <c r="J50" s="95" t="s">
        <v>616</v>
      </c>
      <c r="K50" t="e">
        <f>I50*J50</f>
        <v>#VALUE!</v>
      </c>
      <c r="L50" t="e">
        <f>100*(1-(M50/K50))</f>
        <v>#VALUE!</v>
      </c>
      <c r="M50">
        <f>I50*SUM(M51)</f>
        <v>50178.047269000002</v>
      </c>
      <c r="N50">
        <v>50</v>
      </c>
      <c r="O50" s="95" t="s">
        <v>250</v>
      </c>
      <c r="P50" s="123" t="s">
        <v>219</v>
      </c>
      <c r="Q50" s="123" t="s">
        <v>81</v>
      </c>
      <c r="R50" s="95" t="s">
        <v>616</v>
      </c>
      <c r="S50" s="95" t="s">
        <v>471</v>
      </c>
      <c r="T50" s="95" t="s">
        <v>483</v>
      </c>
      <c r="U50" s="95" t="s">
        <v>459</v>
      </c>
    </row>
    <row r="51" spans="1:21" x14ac:dyDescent="0.25">
      <c r="A51" s="95" t="s">
        <v>251</v>
      </c>
      <c r="B51" s="95">
        <v>7</v>
      </c>
      <c r="C51" s="95" t="s">
        <v>248</v>
      </c>
      <c r="D51" s="95" t="s">
        <v>65</v>
      </c>
      <c r="E51" s="95">
        <v>93</v>
      </c>
      <c r="F51" s="95">
        <v>94</v>
      </c>
      <c r="G51" s="123" t="s">
        <v>65</v>
      </c>
      <c r="H51" s="95" t="s">
        <v>252</v>
      </c>
      <c r="I51" s="95" t="s">
        <v>65</v>
      </c>
      <c r="J51" s="95">
        <v>69527.570000000007</v>
      </c>
      <c r="K51">
        <f>I51*J51</f>
        <v>69527.570000000007</v>
      </c>
      <c r="L51">
        <v>27.83</v>
      </c>
      <c r="M51">
        <f>(1-(L51/100))*K51</f>
        <v>50178.047269000002</v>
      </c>
      <c r="N51">
        <v>51</v>
      </c>
      <c r="O51" s="95" t="s">
        <v>253</v>
      </c>
      <c r="P51" s="123" t="s">
        <v>222</v>
      </c>
      <c r="Q51" s="123" t="s">
        <v>81</v>
      </c>
    </row>
    <row r="52" spans="1:21" x14ac:dyDescent="0.25">
      <c r="A52" s="95" t="s">
        <v>254</v>
      </c>
      <c r="B52" s="95">
        <v>3</v>
      </c>
      <c r="C52" s="95" t="s">
        <v>2</v>
      </c>
      <c r="D52" s="95" t="s">
        <v>436</v>
      </c>
      <c r="E52" s="95">
        <v>99</v>
      </c>
      <c r="F52" s="95">
        <v>108</v>
      </c>
      <c r="G52" s="123" t="s">
        <v>99</v>
      </c>
      <c r="H52" s="95" t="s">
        <v>255</v>
      </c>
      <c r="I52" s="95" t="s">
        <v>65</v>
      </c>
      <c r="J52" s="95" t="s">
        <v>616</v>
      </c>
      <c r="K52" t="e">
        <f>I52*J52</f>
        <v>#VALUE!</v>
      </c>
      <c r="L52" t="e">
        <f>100*(1-(M52/K52))</f>
        <v>#VALUE!</v>
      </c>
      <c r="M52">
        <f>I52*SUM(M53)</f>
        <v>0</v>
      </c>
      <c r="N52">
        <v>52</v>
      </c>
      <c r="O52" s="95" t="s">
        <v>256</v>
      </c>
      <c r="P52" s="123" t="s">
        <v>604</v>
      </c>
      <c r="Q52" s="123" t="s">
        <v>81</v>
      </c>
      <c r="R52" s="95" t="s">
        <v>616</v>
      </c>
      <c r="S52" s="95" t="s">
        <v>585</v>
      </c>
      <c r="T52" s="95" t="s">
        <v>594</v>
      </c>
      <c r="U52" s="95" t="s">
        <v>578</v>
      </c>
    </row>
    <row r="53" spans="1:21" x14ac:dyDescent="0.25">
      <c r="A53" s="95" t="s">
        <v>257</v>
      </c>
      <c r="B53" s="95">
        <v>4</v>
      </c>
      <c r="C53" s="95" t="s">
        <v>254</v>
      </c>
      <c r="D53" s="95" t="s">
        <v>65</v>
      </c>
      <c r="E53" s="95">
        <v>100</v>
      </c>
      <c r="F53" s="95">
        <v>107</v>
      </c>
      <c r="G53" s="123" t="s">
        <v>99</v>
      </c>
      <c r="H53" s="95" t="s">
        <v>255</v>
      </c>
      <c r="I53" s="95" t="s">
        <v>65</v>
      </c>
      <c r="J53" s="95" t="s">
        <v>616</v>
      </c>
      <c r="K53" t="e">
        <f>I53*J53</f>
        <v>#VALUE!</v>
      </c>
      <c r="L53" t="e">
        <f>100*(1-(M53/K53))</f>
        <v>#VALUE!</v>
      </c>
      <c r="M53">
        <f>I53*SUM(M54)</f>
        <v>0</v>
      </c>
      <c r="N53">
        <v>53</v>
      </c>
      <c r="O53" s="95" t="s">
        <v>258</v>
      </c>
      <c r="P53" s="123" t="s">
        <v>225</v>
      </c>
      <c r="Q53" s="123" t="s">
        <v>81</v>
      </c>
      <c r="R53" s="95" t="s">
        <v>616</v>
      </c>
      <c r="S53" s="95" t="s">
        <v>552</v>
      </c>
      <c r="T53" s="95" t="s">
        <v>563</v>
      </c>
      <c r="U53" s="95" t="s">
        <v>541</v>
      </c>
    </row>
    <row r="54" spans="1:21" x14ac:dyDescent="0.25">
      <c r="A54" s="95" t="s">
        <v>259</v>
      </c>
      <c r="B54" s="95">
        <v>5</v>
      </c>
      <c r="C54" s="95" t="s">
        <v>257</v>
      </c>
      <c r="D54" s="95" t="s">
        <v>65</v>
      </c>
      <c r="E54" s="95">
        <v>101</v>
      </c>
      <c r="F54" s="95">
        <v>106</v>
      </c>
      <c r="G54" s="123" t="s">
        <v>99</v>
      </c>
      <c r="H54" s="95" t="s">
        <v>255</v>
      </c>
      <c r="I54" s="95" t="s">
        <v>98</v>
      </c>
      <c r="J54" s="95" t="s">
        <v>616</v>
      </c>
      <c r="K54" t="e">
        <f>I54*J54</f>
        <v>#VALUE!</v>
      </c>
      <c r="L54" t="e">
        <f>100*(1-(M54/K54))</f>
        <v>#VALUE!</v>
      </c>
      <c r="M54">
        <f>I54*SUM(M55)</f>
        <v>0</v>
      </c>
      <c r="N54">
        <v>54</v>
      </c>
      <c r="O54" s="95" t="s">
        <v>260</v>
      </c>
      <c r="P54" s="123" t="s">
        <v>227</v>
      </c>
      <c r="Q54" s="123" t="s">
        <v>81</v>
      </c>
      <c r="R54" s="95" t="s">
        <v>616</v>
      </c>
      <c r="S54" s="95" t="s">
        <v>511</v>
      </c>
      <c r="T54" s="95" t="s">
        <v>522</v>
      </c>
      <c r="U54" s="95" t="s">
        <v>501</v>
      </c>
    </row>
    <row r="55" spans="1:21" x14ac:dyDescent="0.25">
      <c r="A55" s="95" t="s">
        <v>261</v>
      </c>
      <c r="B55" s="95">
        <v>6</v>
      </c>
      <c r="C55" s="95" t="s">
        <v>259</v>
      </c>
      <c r="D55" s="95" t="s">
        <v>65</v>
      </c>
      <c r="E55">
        <v>102</v>
      </c>
      <c r="F55">
        <v>105</v>
      </c>
      <c r="G55" s="98" t="s">
        <v>99</v>
      </c>
      <c r="H55" s="86" t="s">
        <v>262</v>
      </c>
      <c r="I55">
        <v>1</v>
      </c>
      <c r="J55">
        <f>SUM(K56)</f>
        <v>12033.62</v>
      </c>
      <c r="K55">
        <f>I55*J55</f>
        <v>12033.62</v>
      </c>
      <c r="L55">
        <f>100*(1-(M55/K55))</f>
        <v>100</v>
      </c>
      <c r="M55">
        <f>I55*SUM(M56)</f>
        <v>0</v>
      </c>
      <c r="N55">
        <v>55</v>
      </c>
      <c r="O55" s="95" t="s">
        <v>263</v>
      </c>
      <c r="P55" s="123" t="s">
        <v>229</v>
      </c>
      <c r="Q55" s="123" t="s">
        <v>81</v>
      </c>
      <c r="R55" s="95" t="s">
        <v>448</v>
      </c>
      <c r="S55" s="95" t="s">
        <v>472</v>
      </c>
      <c r="T55" s="95" t="s">
        <v>484</v>
      </c>
      <c r="U55" s="95" t="s">
        <v>460</v>
      </c>
    </row>
    <row r="56" spans="1:21" x14ac:dyDescent="0.25">
      <c r="A56" s="95" t="s">
        <v>264</v>
      </c>
      <c r="B56" s="95">
        <v>7</v>
      </c>
      <c r="C56" s="95" t="s">
        <v>261</v>
      </c>
      <c r="D56" s="95" t="s">
        <v>65</v>
      </c>
      <c r="E56">
        <v>103</v>
      </c>
      <c r="F56">
        <v>104</v>
      </c>
      <c r="G56" s="98" t="s">
        <v>65</v>
      </c>
      <c r="H56" s="86" t="s">
        <v>265</v>
      </c>
      <c r="I56">
        <v>1</v>
      </c>
      <c r="J56">
        <v>12033.62</v>
      </c>
      <c r="K56">
        <f>I56*J56</f>
        <v>12033.62</v>
      </c>
      <c r="L56">
        <v>100</v>
      </c>
      <c r="M56">
        <f>(1-(L56/100))*K56</f>
        <v>0</v>
      </c>
      <c r="N56">
        <v>56</v>
      </c>
      <c r="O56" s="95" t="s">
        <v>266</v>
      </c>
      <c r="P56" s="123" t="s">
        <v>231</v>
      </c>
      <c r="Q56" s="123" t="s">
        <v>81</v>
      </c>
    </row>
    <row r="57" spans="1:21" x14ac:dyDescent="0.25">
      <c r="A57" s="95" t="s">
        <v>267</v>
      </c>
      <c r="B57" s="95">
        <v>3</v>
      </c>
      <c r="C57" s="95" t="s">
        <v>2</v>
      </c>
      <c r="D57" s="95" t="s">
        <v>437</v>
      </c>
      <c r="E57">
        <v>109</v>
      </c>
      <c r="F57">
        <v>122</v>
      </c>
      <c r="G57" s="98" t="s">
        <v>99</v>
      </c>
      <c r="H57" s="86" t="s">
        <v>268</v>
      </c>
      <c r="I57">
        <v>1</v>
      </c>
      <c r="J57">
        <f>SUM(K58)</f>
        <v>638290.58400000003</v>
      </c>
      <c r="K57">
        <f>I57*J57</f>
        <v>638290.58400000003</v>
      </c>
      <c r="L57">
        <f>100*(1-(M57/K57))</f>
        <v>27.83</v>
      </c>
      <c r="M57">
        <f>I57*SUM(M58)</f>
        <v>460654.3144728</v>
      </c>
      <c r="N57">
        <v>57</v>
      </c>
      <c r="O57" s="95" t="s">
        <v>269</v>
      </c>
      <c r="P57" s="123" t="s">
        <v>605</v>
      </c>
      <c r="Q57" s="123" t="s">
        <v>81</v>
      </c>
      <c r="R57" s="95" t="s">
        <v>571</v>
      </c>
      <c r="S57" s="95" t="s">
        <v>586</v>
      </c>
      <c r="T57" s="95" t="s">
        <v>595</v>
      </c>
      <c r="U57" s="95" t="s">
        <v>579</v>
      </c>
    </row>
    <row r="58" spans="1:21" x14ac:dyDescent="0.25">
      <c r="A58" s="95" t="s">
        <v>270</v>
      </c>
      <c r="B58" s="95">
        <v>4</v>
      </c>
      <c r="C58" s="95" t="s">
        <v>267</v>
      </c>
      <c r="D58" s="95" t="s">
        <v>65</v>
      </c>
      <c r="E58">
        <v>110</v>
      </c>
      <c r="F58">
        <v>121</v>
      </c>
      <c r="G58" s="98" t="s">
        <v>99</v>
      </c>
      <c r="H58" s="86" t="s">
        <v>268</v>
      </c>
      <c r="I58">
        <v>1</v>
      </c>
      <c r="J58">
        <f>SUM(K59)</f>
        <v>638290.58400000003</v>
      </c>
      <c r="K58">
        <f>I58*J58</f>
        <v>638290.58400000003</v>
      </c>
      <c r="L58">
        <f>100*(1-(M58/K58))</f>
        <v>27.83</v>
      </c>
      <c r="M58">
        <f>I58*SUM(M59)</f>
        <v>460654.3144728</v>
      </c>
      <c r="N58">
        <v>58</v>
      </c>
      <c r="O58" s="95" t="s">
        <v>271</v>
      </c>
      <c r="P58" s="123" t="s">
        <v>233</v>
      </c>
      <c r="Q58" s="123" t="s">
        <v>81</v>
      </c>
      <c r="R58" s="95" t="s">
        <v>531</v>
      </c>
      <c r="S58" s="95" t="s">
        <v>553</v>
      </c>
      <c r="T58" s="95" t="s">
        <v>564</v>
      </c>
      <c r="U58" s="95" t="s">
        <v>542</v>
      </c>
    </row>
    <row r="59" spans="1:21" x14ac:dyDescent="0.25">
      <c r="A59" s="95" t="s">
        <v>272</v>
      </c>
      <c r="B59" s="95">
        <v>5</v>
      </c>
      <c r="C59" s="95" t="s">
        <v>270</v>
      </c>
      <c r="D59" s="95" t="s">
        <v>65</v>
      </c>
      <c r="E59">
        <v>111</v>
      </c>
      <c r="F59">
        <v>120</v>
      </c>
      <c r="G59" s="98" t="s">
        <v>99</v>
      </c>
      <c r="H59" s="86" t="s">
        <v>268</v>
      </c>
      <c r="I59">
        <v>1</v>
      </c>
      <c r="J59">
        <f>SUM(K60)</f>
        <v>638290.58400000003</v>
      </c>
      <c r="K59">
        <f>I59*J59</f>
        <v>638290.58400000003</v>
      </c>
      <c r="L59">
        <f>100*(1-(M59/K59))</f>
        <v>27.83</v>
      </c>
      <c r="M59">
        <f>I59*SUM(M60)</f>
        <v>460654.3144728</v>
      </c>
      <c r="N59">
        <v>59</v>
      </c>
      <c r="O59" s="95" t="s">
        <v>273</v>
      </c>
      <c r="P59" s="123" t="s">
        <v>235</v>
      </c>
      <c r="Q59" s="123" t="s">
        <v>81</v>
      </c>
      <c r="R59" s="95" t="s">
        <v>492</v>
      </c>
      <c r="S59" s="95" t="s">
        <v>512</v>
      </c>
      <c r="T59" s="95" t="s">
        <v>523</v>
      </c>
      <c r="U59" s="95" t="s">
        <v>502</v>
      </c>
    </row>
    <row r="60" spans="1:21" x14ac:dyDescent="0.25">
      <c r="A60" s="95" t="s">
        <v>274</v>
      </c>
      <c r="B60" s="95">
        <v>6</v>
      </c>
      <c r="C60" s="95" t="s">
        <v>272</v>
      </c>
      <c r="D60" s="95" t="s">
        <v>65</v>
      </c>
      <c r="E60">
        <v>112</v>
      </c>
      <c r="F60">
        <v>119</v>
      </c>
      <c r="G60" s="98" t="s">
        <v>99</v>
      </c>
      <c r="H60" s="86" t="s">
        <v>249</v>
      </c>
      <c r="I60">
        <v>1</v>
      </c>
      <c r="J60">
        <f>SUM(K61,K62,K63)</f>
        <v>638290.58400000003</v>
      </c>
      <c r="K60">
        <f>I60*J60</f>
        <v>638290.58400000003</v>
      </c>
      <c r="L60">
        <f>100*(1-(M60/K60))</f>
        <v>27.83</v>
      </c>
      <c r="M60">
        <f>I60*SUM(M61,M62,M63)</f>
        <v>460654.3144728</v>
      </c>
      <c r="N60">
        <v>60</v>
      </c>
      <c r="O60" s="95" t="s">
        <v>275</v>
      </c>
      <c r="P60" s="123" t="s">
        <v>237</v>
      </c>
      <c r="Q60" s="123" t="s">
        <v>81</v>
      </c>
      <c r="R60" s="95" t="s">
        <v>449</v>
      </c>
      <c r="S60" s="95" t="s">
        <v>473</v>
      </c>
      <c r="T60" s="95" t="s">
        <v>485</v>
      </c>
      <c r="U60" s="95" t="s">
        <v>461</v>
      </c>
    </row>
    <row r="61" spans="1:21" x14ac:dyDescent="0.25">
      <c r="A61" s="95" t="s">
        <v>276</v>
      </c>
      <c r="B61" s="95">
        <v>7</v>
      </c>
      <c r="C61" s="95" t="s">
        <v>274</v>
      </c>
      <c r="D61" s="95" t="s">
        <v>65</v>
      </c>
      <c r="E61">
        <v>113</v>
      </c>
      <c r="F61">
        <v>114</v>
      </c>
      <c r="G61" s="98" t="s">
        <v>65</v>
      </c>
      <c r="H61" s="86" t="s">
        <v>277</v>
      </c>
      <c r="I61">
        <v>2700000</v>
      </c>
      <c r="J61">
        <v>0.05</v>
      </c>
      <c r="K61">
        <f>I61*J61</f>
        <v>135000</v>
      </c>
      <c r="L61">
        <v>27.83</v>
      </c>
      <c r="M61">
        <f>(1-(L61/100))*K61</f>
        <v>97429.5</v>
      </c>
      <c r="N61">
        <v>61</v>
      </c>
      <c r="O61" s="95" t="s">
        <v>278</v>
      </c>
      <c r="P61" s="123" t="s">
        <v>239</v>
      </c>
      <c r="Q61" s="123" t="s">
        <v>81</v>
      </c>
    </row>
    <row r="62" spans="1:21" x14ac:dyDescent="0.25">
      <c r="A62" s="95" t="s">
        <v>279</v>
      </c>
      <c r="B62" s="95">
        <v>7</v>
      </c>
      <c r="C62" s="95" t="s">
        <v>274</v>
      </c>
      <c r="D62" s="95" t="s">
        <v>98</v>
      </c>
      <c r="E62">
        <v>115</v>
      </c>
      <c r="F62">
        <v>116</v>
      </c>
      <c r="G62" s="98" t="s">
        <v>65</v>
      </c>
      <c r="H62" s="86" t="s">
        <v>280</v>
      </c>
      <c r="I62">
        <v>5400000</v>
      </c>
      <c r="J62">
        <v>3.820196E-2</v>
      </c>
      <c r="K62">
        <f>I62*J62</f>
        <v>206290.584</v>
      </c>
      <c r="L62">
        <v>27.83</v>
      </c>
      <c r="M62">
        <f>(1-(L62/100))*K62</f>
        <v>148879.91447280001</v>
      </c>
      <c r="N62">
        <v>62</v>
      </c>
      <c r="O62" s="95" t="s">
        <v>281</v>
      </c>
      <c r="P62" s="123" t="s">
        <v>606</v>
      </c>
      <c r="Q62" s="123" t="s">
        <v>81</v>
      </c>
    </row>
    <row r="63" spans="1:21" x14ac:dyDescent="0.25">
      <c r="A63" s="95" t="s">
        <v>282</v>
      </c>
      <c r="B63" s="95">
        <v>7</v>
      </c>
      <c r="C63" s="95" t="s">
        <v>274</v>
      </c>
      <c r="D63" s="95" t="s">
        <v>431</v>
      </c>
      <c r="E63">
        <v>117</v>
      </c>
      <c r="F63">
        <v>118</v>
      </c>
      <c r="G63" s="98" t="s">
        <v>65</v>
      </c>
      <c r="H63" s="86" t="s">
        <v>283</v>
      </c>
      <c r="I63">
        <v>2700000</v>
      </c>
      <c r="J63">
        <v>0.11</v>
      </c>
      <c r="K63">
        <f>I63*J63</f>
        <v>297000</v>
      </c>
      <c r="L63">
        <v>27.83</v>
      </c>
      <c r="M63">
        <f>(1-(L63/100))*K63</f>
        <v>214344.9</v>
      </c>
      <c r="N63">
        <v>63</v>
      </c>
      <c r="O63" s="95" t="s">
        <v>284</v>
      </c>
      <c r="P63" s="123" t="s">
        <v>242</v>
      </c>
      <c r="Q63" s="123" t="s">
        <v>81</v>
      </c>
    </row>
    <row r="64" spans="1:21" x14ac:dyDescent="0.25">
      <c r="A64" s="95" t="s">
        <v>285</v>
      </c>
      <c r="B64" s="95">
        <v>3</v>
      </c>
      <c r="C64" s="95" t="s">
        <v>2</v>
      </c>
      <c r="D64" s="95" t="s">
        <v>438</v>
      </c>
      <c r="E64">
        <v>123</v>
      </c>
      <c r="F64">
        <v>132</v>
      </c>
      <c r="G64" s="98" t="s">
        <v>99</v>
      </c>
      <c r="H64" s="86" t="s">
        <v>286</v>
      </c>
      <c r="I64">
        <v>1</v>
      </c>
      <c r="J64">
        <f>SUM(K65)</f>
        <v>11191.5</v>
      </c>
      <c r="K64">
        <f>I64*J64</f>
        <v>11191.5</v>
      </c>
      <c r="L64">
        <f>100*(1-(M64/K64))</f>
        <v>27.83</v>
      </c>
      <c r="M64">
        <f>I64*SUM(M65)</f>
        <v>8076.9055499999995</v>
      </c>
      <c r="N64">
        <v>64</v>
      </c>
      <c r="O64" s="95" t="s">
        <v>287</v>
      </c>
      <c r="P64" s="123" t="s">
        <v>245</v>
      </c>
      <c r="Q64" s="123" t="s">
        <v>81</v>
      </c>
      <c r="R64" s="95" t="s">
        <v>525</v>
      </c>
      <c r="S64" s="95" t="s">
        <v>544</v>
      </c>
      <c r="T64" s="95" t="s">
        <v>555</v>
      </c>
      <c r="U64" s="95" t="s">
        <v>533</v>
      </c>
    </row>
    <row r="65" spans="1:21" x14ac:dyDescent="0.25">
      <c r="A65" s="95" t="s">
        <v>288</v>
      </c>
      <c r="B65" s="95">
        <v>4</v>
      </c>
      <c r="C65" s="95" t="s">
        <v>285</v>
      </c>
      <c r="D65" s="95" t="s">
        <v>65</v>
      </c>
      <c r="E65">
        <v>124</v>
      </c>
      <c r="F65">
        <v>131</v>
      </c>
      <c r="G65" s="98" t="s">
        <v>99</v>
      </c>
      <c r="H65" s="86" t="s">
        <v>286</v>
      </c>
      <c r="I65">
        <v>1</v>
      </c>
      <c r="J65">
        <f>SUM(K66)</f>
        <v>11191.5</v>
      </c>
      <c r="K65">
        <f>I65*J65</f>
        <v>11191.5</v>
      </c>
      <c r="L65">
        <f>100*(1-(M65/K65))</f>
        <v>27.83</v>
      </c>
      <c r="M65">
        <f>I65*SUM(M66)</f>
        <v>8076.9055499999995</v>
      </c>
      <c r="N65">
        <v>65</v>
      </c>
      <c r="O65" s="95" t="s">
        <v>289</v>
      </c>
      <c r="P65" s="123" t="s">
        <v>247</v>
      </c>
      <c r="Q65" s="123" t="s">
        <v>81</v>
      </c>
      <c r="R65" s="95" t="s">
        <v>486</v>
      </c>
      <c r="S65" s="95" t="s">
        <v>503</v>
      </c>
      <c r="T65" s="95" t="s">
        <v>514</v>
      </c>
      <c r="U65" s="95" t="s">
        <v>493</v>
      </c>
    </row>
    <row r="66" spans="1:21" x14ac:dyDescent="0.25">
      <c r="A66" s="95" t="s">
        <v>290</v>
      </c>
      <c r="B66" s="95">
        <v>5</v>
      </c>
      <c r="C66" s="95" t="s">
        <v>288</v>
      </c>
      <c r="D66" s="95" t="s">
        <v>65</v>
      </c>
      <c r="E66">
        <v>125</v>
      </c>
      <c r="F66">
        <v>130</v>
      </c>
      <c r="G66" s="98" t="s">
        <v>99</v>
      </c>
      <c r="H66" s="86" t="s">
        <v>286</v>
      </c>
      <c r="I66">
        <v>1</v>
      </c>
      <c r="J66">
        <f>SUM(K67,K68)</f>
        <v>11191.5</v>
      </c>
      <c r="K66">
        <f>I66*J66</f>
        <v>11191.5</v>
      </c>
      <c r="L66">
        <f>100*(1-(M66/K66))</f>
        <v>27.83</v>
      </c>
      <c r="M66">
        <f>I66*SUM(M67,M68)</f>
        <v>8076.9055499999995</v>
      </c>
      <c r="N66">
        <v>66</v>
      </c>
      <c r="O66" s="95" t="s">
        <v>291</v>
      </c>
      <c r="P66" s="123" t="s">
        <v>250</v>
      </c>
      <c r="Q66" s="123" t="s">
        <v>81</v>
      </c>
      <c r="R66" s="95" t="s">
        <v>440</v>
      </c>
      <c r="S66" s="95" t="s">
        <v>462</v>
      </c>
      <c r="T66" s="95" t="s">
        <v>474</v>
      </c>
      <c r="U66" s="95" t="s">
        <v>450</v>
      </c>
    </row>
    <row r="67" spans="1:21" x14ac:dyDescent="0.25">
      <c r="A67" s="95" t="s">
        <v>292</v>
      </c>
      <c r="B67" s="95">
        <v>6</v>
      </c>
      <c r="C67" s="95" t="s">
        <v>290</v>
      </c>
      <c r="D67" s="95" t="s">
        <v>65</v>
      </c>
      <c r="E67">
        <v>126</v>
      </c>
      <c r="F67">
        <v>127</v>
      </c>
      <c r="G67" s="98" t="s">
        <v>65</v>
      </c>
      <c r="H67" s="86" t="s">
        <v>293</v>
      </c>
      <c r="I67">
        <v>450</v>
      </c>
      <c r="J67">
        <v>13.8</v>
      </c>
      <c r="K67">
        <f>I67*J67</f>
        <v>6210</v>
      </c>
      <c r="L67">
        <v>27.83</v>
      </c>
      <c r="M67">
        <f>(1-(L67/100))*K67</f>
        <v>4481.7569999999996</v>
      </c>
      <c r="N67">
        <v>67</v>
      </c>
      <c r="O67" s="95" t="s">
        <v>294</v>
      </c>
      <c r="P67" s="123" t="s">
        <v>607</v>
      </c>
      <c r="Q67" s="123" t="s">
        <v>81</v>
      </c>
    </row>
    <row r="68" spans="1:21" x14ac:dyDescent="0.25">
      <c r="A68" s="95" t="s">
        <v>295</v>
      </c>
      <c r="B68" s="95">
        <v>6</v>
      </c>
      <c r="C68" s="95" t="s">
        <v>290</v>
      </c>
      <c r="D68" s="95" t="s">
        <v>98</v>
      </c>
      <c r="E68">
        <v>128</v>
      </c>
      <c r="F68">
        <v>129</v>
      </c>
      <c r="G68" s="98" t="s">
        <v>65</v>
      </c>
      <c r="H68" s="86" t="s">
        <v>296</v>
      </c>
      <c r="I68">
        <v>450</v>
      </c>
      <c r="J68">
        <v>11.07</v>
      </c>
      <c r="K68">
        <f>I68*J68</f>
        <v>4981.5</v>
      </c>
      <c r="L68">
        <v>27.83</v>
      </c>
      <c r="M68">
        <f>(1-(L68/100))*K68</f>
        <v>3595.1485499999999</v>
      </c>
      <c r="N68">
        <v>68</v>
      </c>
      <c r="O68" s="95" t="s">
        <v>297</v>
      </c>
      <c r="P68" s="123" t="s">
        <v>253</v>
      </c>
      <c r="Q68" s="123" t="s">
        <v>81</v>
      </c>
    </row>
    <row r="69" spans="1:21" x14ac:dyDescent="0.25">
      <c r="A69" s="95" t="s">
        <v>298</v>
      </c>
      <c r="B69" s="95">
        <v>3</v>
      </c>
      <c r="C69" s="95" t="s">
        <v>2</v>
      </c>
      <c r="D69" s="95" t="s">
        <v>151</v>
      </c>
      <c r="E69">
        <v>133</v>
      </c>
      <c r="F69">
        <v>202</v>
      </c>
      <c r="G69" s="98" t="s">
        <v>99</v>
      </c>
      <c r="H69" s="86" t="s">
        <v>299</v>
      </c>
      <c r="I69">
        <v>1</v>
      </c>
      <c r="J69">
        <f>SUM(K70)</f>
        <v>195858</v>
      </c>
      <c r="K69">
        <f>I69*J69</f>
        <v>195858</v>
      </c>
      <c r="L69">
        <f>100*(1-(M69/K69))</f>
        <v>27.829999999999988</v>
      </c>
      <c r="M69">
        <f>I69*SUM(M70)</f>
        <v>141350.71860000002</v>
      </c>
      <c r="N69">
        <v>69</v>
      </c>
      <c r="O69" s="95" t="s">
        <v>300</v>
      </c>
      <c r="P69" s="123" t="s">
        <v>608</v>
      </c>
      <c r="Q69" s="123" t="s">
        <v>81</v>
      </c>
      <c r="R69" s="95" t="s">
        <v>567</v>
      </c>
      <c r="S69" s="95" t="s">
        <v>580</v>
      </c>
      <c r="T69" s="95" t="s">
        <v>589</v>
      </c>
      <c r="U69" s="95" t="s">
        <v>573</v>
      </c>
    </row>
    <row r="70" spans="1:21" x14ac:dyDescent="0.25">
      <c r="A70" s="95" t="s">
        <v>301</v>
      </c>
      <c r="B70" s="95">
        <v>4</v>
      </c>
      <c r="C70" s="95" t="s">
        <v>298</v>
      </c>
      <c r="D70" s="95" t="s">
        <v>65</v>
      </c>
      <c r="E70">
        <v>134</v>
      </c>
      <c r="F70">
        <v>201</v>
      </c>
      <c r="G70" s="98" t="s">
        <v>99</v>
      </c>
      <c r="H70" s="86" t="s">
        <v>299</v>
      </c>
      <c r="I70">
        <v>1</v>
      </c>
      <c r="J70">
        <f>SUM(K71)</f>
        <v>195858</v>
      </c>
      <c r="K70">
        <f>I70*J70</f>
        <v>195858</v>
      </c>
      <c r="L70">
        <f>100*(1-(M70/K70))</f>
        <v>27.829999999999988</v>
      </c>
      <c r="M70">
        <f>I70*SUM(M71)</f>
        <v>141350.71860000002</v>
      </c>
      <c r="N70">
        <v>70</v>
      </c>
      <c r="O70" s="95" t="s">
        <v>302</v>
      </c>
      <c r="P70" s="123" t="s">
        <v>256</v>
      </c>
      <c r="Q70" s="123" t="s">
        <v>81</v>
      </c>
      <c r="R70" s="95" t="s">
        <v>526</v>
      </c>
      <c r="S70" s="95" t="s">
        <v>545</v>
      </c>
      <c r="T70" s="95" t="s">
        <v>556</v>
      </c>
      <c r="U70" s="95" t="s">
        <v>534</v>
      </c>
    </row>
    <row r="71" spans="1:21" x14ac:dyDescent="0.25">
      <c r="A71" s="95" t="s">
        <v>303</v>
      </c>
      <c r="B71" s="95">
        <v>5</v>
      </c>
      <c r="C71" s="95" t="s">
        <v>301</v>
      </c>
      <c r="D71" s="95" t="s">
        <v>65</v>
      </c>
      <c r="E71">
        <v>135</v>
      </c>
      <c r="F71">
        <v>200</v>
      </c>
      <c r="G71" s="98" t="s">
        <v>99</v>
      </c>
      <c r="H71" s="86" t="s">
        <v>299</v>
      </c>
      <c r="I71">
        <v>1</v>
      </c>
      <c r="J71">
        <f>SUM(K72,K101)</f>
        <v>195858</v>
      </c>
      <c r="K71">
        <f>I71*J71</f>
        <v>195858</v>
      </c>
      <c r="L71">
        <f>100*(1-(M71/K71))</f>
        <v>27.829999999999988</v>
      </c>
      <c r="M71">
        <f>I71*SUM(M72,M101)</f>
        <v>141350.71860000002</v>
      </c>
      <c r="N71">
        <v>71</v>
      </c>
      <c r="O71" s="95" t="s">
        <v>304</v>
      </c>
      <c r="P71" s="123" t="s">
        <v>258</v>
      </c>
      <c r="Q71" s="123" t="s">
        <v>81</v>
      </c>
      <c r="R71" s="95" t="s">
        <v>487</v>
      </c>
      <c r="S71" s="95" t="s">
        <v>504</v>
      </c>
      <c r="T71" s="95" t="s">
        <v>515</v>
      </c>
      <c r="U71" s="95" t="s">
        <v>494</v>
      </c>
    </row>
    <row r="72" spans="1:21" x14ac:dyDescent="0.25">
      <c r="A72" s="95" t="s">
        <v>305</v>
      </c>
      <c r="B72" s="95">
        <v>6</v>
      </c>
      <c r="C72" s="95" t="s">
        <v>303</v>
      </c>
      <c r="D72" s="95" t="s">
        <v>65</v>
      </c>
      <c r="E72">
        <v>136</v>
      </c>
      <c r="F72">
        <v>193</v>
      </c>
      <c r="G72" s="98" t="s">
        <v>99</v>
      </c>
      <c r="H72" s="86" t="s">
        <v>306</v>
      </c>
      <c r="I72">
        <v>1</v>
      </c>
      <c r="J72">
        <f>SUM(K73,K74,K75,K76,K77,K78,K79,K80,K81,K82,K83,K84,K85,K86,K87,K88,K89,K90,K91,K92,K93,K94,K95,K96,K97,K98,K99,K100)</f>
        <v>183834</v>
      </c>
      <c r="K72">
        <f>I72*J72</f>
        <v>183834</v>
      </c>
      <c r="L72">
        <f>100*(1-(M72/K72))</f>
        <v>27.829999999999988</v>
      </c>
      <c r="M72">
        <f>I72*SUM(M73,M74,M75,M76,M77,M78,M79,M80,M81,M82,M83,M84,M85,M86,M87,M88,M89,M90,M91,M92,M93,M94,M95,M96,M97,M98,M99,M100)</f>
        <v>132672.99780000001</v>
      </c>
      <c r="N72">
        <v>72</v>
      </c>
      <c r="O72" s="95" t="s">
        <v>307</v>
      </c>
      <c r="P72" s="123" t="s">
        <v>260</v>
      </c>
      <c r="Q72" s="123" t="s">
        <v>81</v>
      </c>
      <c r="R72" s="95" t="s">
        <v>441</v>
      </c>
      <c r="S72" s="95" t="s">
        <v>463</v>
      </c>
      <c r="T72" s="95" t="s">
        <v>475</v>
      </c>
      <c r="U72" s="95" t="s">
        <v>451</v>
      </c>
    </row>
    <row r="73" spans="1:21" x14ac:dyDescent="0.25">
      <c r="A73" s="95" t="s">
        <v>308</v>
      </c>
      <c r="B73" s="95">
        <v>7</v>
      </c>
      <c r="C73" s="95" t="s">
        <v>305</v>
      </c>
      <c r="D73" s="95" t="s">
        <v>65</v>
      </c>
      <c r="E73">
        <v>137</v>
      </c>
      <c r="F73">
        <v>138</v>
      </c>
      <c r="G73" s="98" t="s">
        <v>65</v>
      </c>
      <c r="H73" s="86" t="s">
        <v>309</v>
      </c>
      <c r="I73">
        <v>300</v>
      </c>
      <c r="J73">
        <v>16.239999999999998</v>
      </c>
      <c r="K73">
        <f>I73*J73</f>
        <v>4871.9999999999991</v>
      </c>
      <c r="L73">
        <v>27.83</v>
      </c>
      <c r="M73">
        <f>(1-(L73/100))*K73</f>
        <v>3516.1223999999993</v>
      </c>
      <c r="N73">
        <v>73</v>
      </c>
      <c r="O73" s="95" t="s">
        <v>310</v>
      </c>
      <c r="P73" s="123" t="s">
        <v>263</v>
      </c>
      <c r="Q73" s="123" t="s">
        <v>81</v>
      </c>
    </row>
    <row r="74" spans="1:21" x14ac:dyDescent="0.25">
      <c r="A74" s="95" t="s">
        <v>311</v>
      </c>
      <c r="B74" s="95">
        <v>7</v>
      </c>
      <c r="C74" s="95" t="s">
        <v>305</v>
      </c>
      <c r="D74" s="95" t="s">
        <v>98</v>
      </c>
      <c r="E74">
        <v>139</v>
      </c>
      <c r="F74">
        <v>140</v>
      </c>
      <c r="G74" s="98" t="s">
        <v>65</v>
      </c>
      <c r="H74" s="86" t="s">
        <v>312</v>
      </c>
      <c r="I74">
        <v>300</v>
      </c>
      <c r="J74">
        <v>110.71</v>
      </c>
      <c r="K74">
        <f>I74*J74</f>
        <v>33213</v>
      </c>
      <c r="L74">
        <v>27.83</v>
      </c>
      <c r="M74">
        <f>(1-(L74/100))*K74</f>
        <v>23969.822100000001</v>
      </c>
      <c r="N74">
        <v>74</v>
      </c>
      <c r="O74" s="95" t="s">
        <v>313</v>
      </c>
      <c r="P74" s="123" t="s">
        <v>609</v>
      </c>
      <c r="Q74" s="123" t="s">
        <v>81</v>
      </c>
    </row>
    <row r="75" spans="1:21" x14ac:dyDescent="0.25">
      <c r="A75" s="95" t="s">
        <v>314</v>
      </c>
      <c r="B75" s="95">
        <v>7</v>
      </c>
      <c r="C75" s="95" t="s">
        <v>305</v>
      </c>
      <c r="D75" s="95" t="s">
        <v>431</v>
      </c>
      <c r="E75">
        <v>141</v>
      </c>
      <c r="F75">
        <v>142</v>
      </c>
      <c r="G75" s="98" t="s">
        <v>65</v>
      </c>
      <c r="H75" s="86" t="s">
        <v>315</v>
      </c>
      <c r="I75">
        <v>300</v>
      </c>
      <c r="J75">
        <v>12.88</v>
      </c>
      <c r="K75">
        <f>I75*J75</f>
        <v>3864.0000000000005</v>
      </c>
      <c r="L75">
        <v>27.83</v>
      </c>
      <c r="M75">
        <f>(1-(L75/100))*K75</f>
        <v>2788.6488000000004</v>
      </c>
      <c r="N75">
        <v>75</v>
      </c>
      <c r="O75" s="95" t="s">
        <v>316</v>
      </c>
      <c r="P75" s="123" t="s">
        <v>266</v>
      </c>
      <c r="Q75" s="123" t="s">
        <v>81</v>
      </c>
    </row>
    <row r="76" spans="1:21" x14ac:dyDescent="0.25">
      <c r="A76" s="95" t="s">
        <v>317</v>
      </c>
      <c r="B76" s="95">
        <v>7</v>
      </c>
      <c r="C76" s="95" t="s">
        <v>305</v>
      </c>
      <c r="D76" s="95" t="s">
        <v>432</v>
      </c>
      <c r="E76">
        <v>143</v>
      </c>
      <c r="F76">
        <v>144</v>
      </c>
      <c r="G76" s="98" t="s">
        <v>65</v>
      </c>
      <c r="H76" s="86" t="s">
        <v>318</v>
      </c>
      <c r="I76">
        <v>450</v>
      </c>
      <c r="J76">
        <v>22.14</v>
      </c>
      <c r="K76">
        <f>I76*J76</f>
        <v>9963</v>
      </c>
      <c r="L76">
        <v>27.83</v>
      </c>
      <c r="M76">
        <f>(1-(L76/100))*K76</f>
        <v>7190.2970999999998</v>
      </c>
      <c r="N76">
        <v>76</v>
      </c>
      <c r="O76" s="95" t="s">
        <v>319</v>
      </c>
      <c r="P76" s="123" t="s">
        <v>610</v>
      </c>
      <c r="Q76" s="123" t="s">
        <v>81</v>
      </c>
    </row>
    <row r="77" spans="1:21" x14ac:dyDescent="0.25">
      <c r="A77" s="95" t="s">
        <v>320</v>
      </c>
      <c r="B77" s="95">
        <v>7</v>
      </c>
      <c r="C77" s="95" t="s">
        <v>305</v>
      </c>
      <c r="D77" s="95" t="s">
        <v>433</v>
      </c>
      <c r="E77">
        <v>145</v>
      </c>
      <c r="F77">
        <v>146</v>
      </c>
      <c r="G77" s="98" t="s">
        <v>65</v>
      </c>
      <c r="H77" s="86" t="s">
        <v>321</v>
      </c>
      <c r="I77">
        <v>300</v>
      </c>
      <c r="J77">
        <v>18.45</v>
      </c>
      <c r="K77">
        <f>I77*J77</f>
        <v>5535</v>
      </c>
      <c r="L77">
        <v>27.83</v>
      </c>
      <c r="M77">
        <f>(1-(L77/100))*K77</f>
        <v>3994.6095</v>
      </c>
      <c r="N77">
        <v>77</v>
      </c>
      <c r="O77" s="95" t="s">
        <v>322</v>
      </c>
      <c r="P77" s="123" t="s">
        <v>269</v>
      </c>
      <c r="Q77" s="123" t="s">
        <v>81</v>
      </c>
    </row>
    <row r="78" spans="1:21" x14ac:dyDescent="0.25">
      <c r="A78" s="95" t="s">
        <v>323</v>
      </c>
      <c r="B78" s="95">
        <v>7</v>
      </c>
      <c r="C78" s="95" t="s">
        <v>305</v>
      </c>
      <c r="D78" s="95" t="s">
        <v>434</v>
      </c>
      <c r="E78">
        <v>147</v>
      </c>
      <c r="F78">
        <v>148</v>
      </c>
      <c r="G78" s="98" t="s">
        <v>65</v>
      </c>
      <c r="H78" s="86" t="s">
        <v>324</v>
      </c>
      <c r="I78">
        <v>300</v>
      </c>
      <c r="J78">
        <v>8.59</v>
      </c>
      <c r="K78">
        <f>I78*J78</f>
        <v>2577</v>
      </c>
      <c r="L78">
        <v>27.83</v>
      </c>
      <c r="M78">
        <f>(1-(L78/100))*K78</f>
        <v>1859.8208999999999</v>
      </c>
      <c r="N78">
        <v>78</v>
      </c>
      <c r="O78" s="95" t="s">
        <v>325</v>
      </c>
      <c r="P78" s="123" t="s">
        <v>271</v>
      </c>
      <c r="Q78" s="123" t="s">
        <v>81</v>
      </c>
    </row>
    <row r="79" spans="1:21" x14ac:dyDescent="0.25">
      <c r="A79" s="95" t="s">
        <v>326</v>
      </c>
      <c r="B79" s="95">
        <v>7</v>
      </c>
      <c r="C79" s="95" t="s">
        <v>305</v>
      </c>
      <c r="D79" s="95" t="s">
        <v>435</v>
      </c>
      <c r="E79">
        <v>149</v>
      </c>
      <c r="F79">
        <v>150</v>
      </c>
      <c r="G79" s="98" t="s">
        <v>65</v>
      </c>
      <c r="H79" s="86" t="s">
        <v>327</v>
      </c>
      <c r="I79">
        <v>300</v>
      </c>
      <c r="J79">
        <v>11.45</v>
      </c>
      <c r="K79">
        <f>I79*J79</f>
        <v>3435</v>
      </c>
      <c r="L79">
        <v>27.83</v>
      </c>
      <c r="M79">
        <f>(1-(L79/100))*K79</f>
        <v>2479.0394999999999</v>
      </c>
      <c r="N79">
        <v>79</v>
      </c>
      <c r="O79" s="95" t="s">
        <v>328</v>
      </c>
      <c r="P79" s="123" t="s">
        <v>273</v>
      </c>
      <c r="Q79" s="123" t="s">
        <v>81</v>
      </c>
    </row>
    <row r="80" spans="1:21" x14ac:dyDescent="0.25">
      <c r="A80" s="95" t="s">
        <v>329</v>
      </c>
      <c r="B80" s="95">
        <v>7</v>
      </c>
      <c r="C80" s="95" t="s">
        <v>305</v>
      </c>
      <c r="D80" s="95" t="s">
        <v>436</v>
      </c>
      <c r="E80">
        <v>151</v>
      </c>
      <c r="F80">
        <v>152</v>
      </c>
      <c r="G80" s="98" t="s">
        <v>65</v>
      </c>
      <c r="H80" s="86" t="s">
        <v>330</v>
      </c>
      <c r="I80">
        <v>300</v>
      </c>
      <c r="J80">
        <v>5.73</v>
      </c>
      <c r="K80">
        <f>I80*J80</f>
        <v>1719.0000000000002</v>
      </c>
      <c r="L80">
        <v>27.83</v>
      </c>
      <c r="M80">
        <f>(1-(L80/100))*K80</f>
        <v>1240.6023000000002</v>
      </c>
      <c r="N80">
        <v>80</v>
      </c>
      <c r="O80" s="95" t="s">
        <v>331</v>
      </c>
      <c r="P80" s="123" t="s">
        <v>275</v>
      </c>
      <c r="Q80" s="123" t="s">
        <v>81</v>
      </c>
    </row>
    <row r="81" spans="1:17" x14ac:dyDescent="0.25">
      <c r="A81" s="95" t="s">
        <v>332</v>
      </c>
      <c r="B81" s="95">
        <v>7</v>
      </c>
      <c r="C81" s="95" t="s">
        <v>305</v>
      </c>
      <c r="D81" s="95" t="s">
        <v>437</v>
      </c>
      <c r="E81">
        <v>153</v>
      </c>
      <c r="F81">
        <v>154</v>
      </c>
      <c r="G81" s="98" t="s">
        <v>65</v>
      </c>
      <c r="H81" s="86" t="s">
        <v>333</v>
      </c>
      <c r="I81">
        <v>300</v>
      </c>
      <c r="J81">
        <v>10.02</v>
      </c>
      <c r="K81">
        <f>I81*J81</f>
        <v>3006</v>
      </c>
      <c r="L81">
        <v>27.83</v>
      </c>
      <c r="M81">
        <f>(1-(L81/100))*K81</f>
        <v>2169.4302000000002</v>
      </c>
      <c r="N81">
        <v>81</v>
      </c>
      <c r="O81" s="95" t="s">
        <v>334</v>
      </c>
      <c r="P81" s="123" t="s">
        <v>611</v>
      </c>
      <c r="Q81" s="123" t="s">
        <v>81</v>
      </c>
    </row>
    <row r="82" spans="1:17" x14ac:dyDescent="0.25">
      <c r="A82" s="95" t="s">
        <v>335</v>
      </c>
      <c r="B82" s="95">
        <v>7</v>
      </c>
      <c r="C82" s="95" t="s">
        <v>305</v>
      </c>
      <c r="D82" s="95" t="s">
        <v>438</v>
      </c>
      <c r="E82">
        <v>155</v>
      </c>
      <c r="F82">
        <v>156</v>
      </c>
      <c r="G82" s="98" t="s">
        <v>65</v>
      </c>
      <c r="H82" s="86" t="s">
        <v>336</v>
      </c>
      <c r="I82">
        <v>300</v>
      </c>
      <c r="J82">
        <v>14.31</v>
      </c>
      <c r="K82">
        <f>I82*J82</f>
        <v>4293</v>
      </c>
      <c r="L82">
        <v>27.83</v>
      </c>
      <c r="M82">
        <f>(1-(L82/100))*K82</f>
        <v>3098.2581</v>
      </c>
      <c r="N82">
        <v>82</v>
      </c>
      <c r="O82" s="95" t="s">
        <v>337</v>
      </c>
      <c r="P82" s="123" t="s">
        <v>278</v>
      </c>
      <c r="Q82" s="123" t="s">
        <v>81</v>
      </c>
    </row>
    <row r="83" spans="1:17" x14ac:dyDescent="0.25">
      <c r="A83" s="95" t="s">
        <v>338</v>
      </c>
      <c r="B83" s="95">
        <v>7</v>
      </c>
      <c r="C83" s="95" t="s">
        <v>305</v>
      </c>
      <c r="D83" s="95" t="s">
        <v>151</v>
      </c>
      <c r="E83">
        <v>157</v>
      </c>
      <c r="F83">
        <v>158</v>
      </c>
      <c r="G83" s="98" t="s">
        <v>65</v>
      </c>
      <c r="H83" s="86" t="s">
        <v>339</v>
      </c>
      <c r="I83">
        <v>300</v>
      </c>
      <c r="J83">
        <v>8.1199999999999992</v>
      </c>
      <c r="K83">
        <f>I83*J83</f>
        <v>2435.9999999999995</v>
      </c>
      <c r="L83">
        <v>27.83</v>
      </c>
      <c r="M83">
        <f>(1-(L83/100))*K83</f>
        <v>1758.0611999999996</v>
      </c>
      <c r="N83">
        <v>83</v>
      </c>
      <c r="O83" s="95" t="s">
        <v>340</v>
      </c>
      <c r="P83" s="123" t="s">
        <v>281</v>
      </c>
      <c r="Q83" s="123" t="s">
        <v>81</v>
      </c>
    </row>
    <row r="84" spans="1:17" x14ac:dyDescent="0.25">
      <c r="A84" s="95" t="s">
        <v>341</v>
      </c>
      <c r="B84" s="95">
        <v>7</v>
      </c>
      <c r="C84" s="95" t="s">
        <v>305</v>
      </c>
      <c r="D84" s="95" t="s">
        <v>152</v>
      </c>
      <c r="E84">
        <v>159</v>
      </c>
      <c r="F84">
        <v>160</v>
      </c>
      <c r="G84" s="98" t="s">
        <v>65</v>
      </c>
      <c r="H84" s="86" t="s">
        <v>342</v>
      </c>
      <c r="I84">
        <v>300</v>
      </c>
      <c r="J84">
        <v>22.14</v>
      </c>
      <c r="K84">
        <f>I84*J84</f>
        <v>6642</v>
      </c>
      <c r="L84">
        <v>27.83</v>
      </c>
      <c r="M84">
        <f>(1-(L84/100))*K84</f>
        <v>4793.5313999999998</v>
      </c>
      <c r="N84">
        <v>84</v>
      </c>
      <c r="O84" s="95" t="s">
        <v>343</v>
      </c>
      <c r="P84" s="123" t="s">
        <v>284</v>
      </c>
      <c r="Q84" s="123" t="s">
        <v>81</v>
      </c>
    </row>
    <row r="85" spans="1:17" x14ac:dyDescent="0.25">
      <c r="A85" s="95" t="s">
        <v>344</v>
      </c>
      <c r="B85" s="95">
        <v>7</v>
      </c>
      <c r="C85" s="95" t="s">
        <v>305</v>
      </c>
      <c r="D85" s="95" t="s">
        <v>153</v>
      </c>
      <c r="E85">
        <v>161</v>
      </c>
      <c r="F85">
        <v>162</v>
      </c>
      <c r="G85" s="98" t="s">
        <v>65</v>
      </c>
      <c r="H85" s="86" t="s">
        <v>345</v>
      </c>
      <c r="I85">
        <v>300</v>
      </c>
      <c r="J85">
        <v>170.32</v>
      </c>
      <c r="K85">
        <f>I85*J85</f>
        <v>51096</v>
      </c>
      <c r="L85">
        <v>27.83</v>
      </c>
      <c r="M85">
        <f>(1-(L85/100))*K85</f>
        <v>36875.983200000002</v>
      </c>
      <c r="N85">
        <v>85</v>
      </c>
      <c r="O85" s="95" t="s">
        <v>346</v>
      </c>
      <c r="P85" s="123" t="s">
        <v>612</v>
      </c>
      <c r="Q85" s="123" t="s">
        <v>81</v>
      </c>
    </row>
    <row r="86" spans="1:17" x14ac:dyDescent="0.25">
      <c r="A86" s="95" t="s">
        <v>347</v>
      </c>
      <c r="B86" s="95">
        <v>7</v>
      </c>
      <c r="C86" s="95" t="s">
        <v>305</v>
      </c>
      <c r="D86" s="95" t="s">
        <v>154</v>
      </c>
      <c r="E86">
        <v>163</v>
      </c>
      <c r="F86">
        <v>164</v>
      </c>
      <c r="G86" s="98" t="s">
        <v>65</v>
      </c>
      <c r="H86" s="86" t="s">
        <v>348</v>
      </c>
      <c r="I86">
        <v>300</v>
      </c>
      <c r="J86">
        <v>11.45</v>
      </c>
      <c r="K86">
        <f>I86*J86</f>
        <v>3435</v>
      </c>
      <c r="L86">
        <v>27.83</v>
      </c>
      <c r="M86">
        <f>(1-(L86/100))*K86</f>
        <v>2479.0394999999999</v>
      </c>
      <c r="N86">
        <v>86</v>
      </c>
      <c r="O86" s="95" t="s">
        <v>349</v>
      </c>
      <c r="P86" s="123" t="s">
        <v>287</v>
      </c>
      <c r="Q86" s="123" t="s">
        <v>81</v>
      </c>
    </row>
    <row r="87" spans="1:17" x14ac:dyDescent="0.25">
      <c r="A87" s="95" t="s">
        <v>350</v>
      </c>
      <c r="B87" s="95">
        <v>7</v>
      </c>
      <c r="C87" s="95" t="s">
        <v>305</v>
      </c>
      <c r="D87" s="95" t="s">
        <v>103</v>
      </c>
      <c r="E87">
        <v>165</v>
      </c>
      <c r="F87">
        <v>166</v>
      </c>
      <c r="G87" s="98" t="s">
        <v>65</v>
      </c>
      <c r="H87" s="86" t="s">
        <v>351</v>
      </c>
      <c r="I87">
        <v>300</v>
      </c>
      <c r="J87">
        <v>11.35</v>
      </c>
      <c r="K87">
        <f>I87*J87</f>
        <v>3405</v>
      </c>
      <c r="L87">
        <v>27.83</v>
      </c>
      <c r="M87">
        <f>(1-(L87/100))*K87</f>
        <v>2457.3885</v>
      </c>
      <c r="N87">
        <v>87</v>
      </c>
      <c r="O87" s="95" t="s">
        <v>352</v>
      </c>
      <c r="P87" s="123" t="s">
        <v>289</v>
      </c>
      <c r="Q87" s="123" t="s">
        <v>81</v>
      </c>
    </row>
    <row r="88" spans="1:17" x14ac:dyDescent="0.25">
      <c r="A88" s="95" t="s">
        <v>353</v>
      </c>
      <c r="B88" s="95">
        <v>7</v>
      </c>
      <c r="C88" s="95" t="s">
        <v>305</v>
      </c>
      <c r="D88" s="95" t="s">
        <v>104</v>
      </c>
      <c r="E88">
        <v>167</v>
      </c>
      <c r="F88">
        <v>168</v>
      </c>
      <c r="G88" s="98" t="s">
        <v>65</v>
      </c>
      <c r="H88" s="86" t="s">
        <v>354</v>
      </c>
      <c r="I88">
        <v>300</v>
      </c>
      <c r="J88">
        <v>8.59</v>
      </c>
      <c r="K88">
        <f>I88*J88</f>
        <v>2577</v>
      </c>
      <c r="L88">
        <v>27.83</v>
      </c>
      <c r="M88">
        <f>(1-(L88/100))*K88</f>
        <v>1859.8208999999999</v>
      </c>
      <c r="N88">
        <v>88</v>
      </c>
      <c r="O88" s="95" t="s">
        <v>355</v>
      </c>
      <c r="P88" s="123" t="s">
        <v>291</v>
      </c>
      <c r="Q88" s="123" t="s">
        <v>81</v>
      </c>
    </row>
    <row r="89" spans="1:17" x14ac:dyDescent="0.25">
      <c r="A89" s="95" t="s">
        <v>356</v>
      </c>
      <c r="B89" s="95">
        <v>7</v>
      </c>
      <c r="C89" s="95" t="s">
        <v>305</v>
      </c>
      <c r="D89" s="95" t="s">
        <v>105</v>
      </c>
      <c r="E89">
        <v>169</v>
      </c>
      <c r="F89">
        <v>170</v>
      </c>
      <c r="G89" s="98" t="s">
        <v>65</v>
      </c>
      <c r="H89" s="86" t="s">
        <v>357</v>
      </c>
      <c r="I89">
        <v>300</v>
      </c>
      <c r="J89">
        <v>8.59</v>
      </c>
      <c r="K89">
        <f>I89*J89</f>
        <v>2577</v>
      </c>
      <c r="L89">
        <v>27.83</v>
      </c>
      <c r="M89">
        <f>(1-(L89/100))*K89</f>
        <v>1859.8208999999999</v>
      </c>
      <c r="N89">
        <v>89</v>
      </c>
      <c r="O89" s="95" t="s">
        <v>358</v>
      </c>
      <c r="P89" s="123" t="s">
        <v>294</v>
      </c>
      <c r="Q89" s="123" t="s">
        <v>81</v>
      </c>
    </row>
    <row r="90" spans="1:17" x14ac:dyDescent="0.25">
      <c r="A90" s="95" t="s">
        <v>359</v>
      </c>
      <c r="B90" s="95">
        <v>7</v>
      </c>
      <c r="C90" s="95" t="s">
        <v>305</v>
      </c>
      <c r="D90" s="95" t="s">
        <v>106</v>
      </c>
      <c r="E90">
        <v>171</v>
      </c>
      <c r="F90">
        <v>172</v>
      </c>
      <c r="G90" s="98" t="s">
        <v>65</v>
      </c>
      <c r="H90" s="86" t="s">
        <v>360</v>
      </c>
      <c r="I90">
        <v>300</v>
      </c>
      <c r="J90">
        <v>11.45</v>
      </c>
      <c r="K90">
        <f>I90*J90</f>
        <v>3435</v>
      </c>
      <c r="L90">
        <v>27.83</v>
      </c>
      <c r="M90">
        <f>(1-(L90/100))*K90</f>
        <v>2479.0394999999999</v>
      </c>
      <c r="N90">
        <v>90</v>
      </c>
      <c r="O90" s="95" t="s">
        <v>361</v>
      </c>
      <c r="P90" s="123" t="s">
        <v>297</v>
      </c>
      <c r="Q90" s="123" t="s">
        <v>81</v>
      </c>
    </row>
    <row r="91" spans="1:17" x14ac:dyDescent="0.25">
      <c r="A91" s="95" t="s">
        <v>362</v>
      </c>
      <c r="B91" s="95">
        <v>7</v>
      </c>
      <c r="C91" s="95" t="s">
        <v>305</v>
      </c>
      <c r="D91" s="95" t="s">
        <v>107</v>
      </c>
      <c r="E91">
        <v>173</v>
      </c>
      <c r="F91">
        <v>174</v>
      </c>
      <c r="G91" s="98" t="s">
        <v>65</v>
      </c>
      <c r="H91" s="86" t="s">
        <v>363</v>
      </c>
      <c r="I91">
        <v>300</v>
      </c>
      <c r="J91">
        <v>11.07</v>
      </c>
      <c r="K91">
        <f>I91*J91</f>
        <v>3321</v>
      </c>
      <c r="L91">
        <v>27.83</v>
      </c>
      <c r="M91">
        <f>(1-(L91/100))*K91</f>
        <v>2396.7656999999999</v>
      </c>
      <c r="N91">
        <v>91</v>
      </c>
      <c r="O91" s="95" t="s">
        <v>364</v>
      </c>
      <c r="P91" s="123" t="s">
        <v>613</v>
      </c>
      <c r="Q91" s="123" t="s">
        <v>81</v>
      </c>
    </row>
    <row r="92" spans="1:17" x14ac:dyDescent="0.25">
      <c r="A92" s="95" t="s">
        <v>365</v>
      </c>
      <c r="B92" s="95">
        <v>7</v>
      </c>
      <c r="C92" s="95" t="s">
        <v>305</v>
      </c>
      <c r="D92" s="95" t="s">
        <v>108</v>
      </c>
      <c r="E92">
        <v>175</v>
      </c>
      <c r="F92">
        <v>176</v>
      </c>
      <c r="G92" s="98" t="s">
        <v>65</v>
      </c>
      <c r="H92" s="86" t="s">
        <v>366</v>
      </c>
      <c r="I92">
        <v>300</v>
      </c>
      <c r="J92">
        <v>11.07</v>
      </c>
      <c r="K92">
        <f>I92*J92</f>
        <v>3321</v>
      </c>
      <c r="L92">
        <v>27.83</v>
      </c>
      <c r="M92">
        <f>(1-(L92/100))*K92</f>
        <v>2396.7656999999999</v>
      </c>
      <c r="N92">
        <v>92</v>
      </c>
      <c r="O92" s="95" t="s">
        <v>367</v>
      </c>
      <c r="P92" s="123" t="s">
        <v>300</v>
      </c>
      <c r="Q92" s="123" t="s">
        <v>81</v>
      </c>
    </row>
    <row r="93" spans="1:17" x14ac:dyDescent="0.25">
      <c r="A93" s="95" t="s">
        <v>368</v>
      </c>
      <c r="B93" s="95">
        <v>7</v>
      </c>
      <c r="C93" s="95" t="s">
        <v>305</v>
      </c>
      <c r="D93" s="95" t="s">
        <v>155</v>
      </c>
      <c r="E93">
        <v>177</v>
      </c>
      <c r="F93">
        <v>178</v>
      </c>
      <c r="G93" s="98" t="s">
        <v>65</v>
      </c>
      <c r="H93" s="86" t="s">
        <v>369</v>
      </c>
      <c r="I93">
        <v>300</v>
      </c>
      <c r="J93">
        <v>16.239999999999998</v>
      </c>
      <c r="K93">
        <f>I93*J93</f>
        <v>4871.9999999999991</v>
      </c>
      <c r="L93">
        <v>27.83</v>
      </c>
      <c r="M93">
        <f>(1-(L93/100))*K93</f>
        <v>3516.1223999999993</v>
      </c>
      <c r="N93">
        <v>93</v>
      </c>
      <c r="O93" s="95" t="s">
        <v>370</v>
      </c>
      <c r="P93" s="123" t="s">
        <v>302</v>
      </c>
      <c r="Q93" s="123" t="s">
        <v>81</v>
      </c>
    </row>
    <row r="94" spans="1:17" x14ac:dyDescent="0.25">
      <c r="A94" s="95" t="s">
        <v>371</v>
      </c>
      <c r="B94" s="95">
        <v>7</v>
      </c>
      <c r="C94" s="95" t="s">
        <v>305</v>
      </c>
      <c r="D94" s="95" t="s">
        <v>109</v>
      </c>
      <c r="E94">
        <v>179</v>
      </c>
      <c r="F94">
        <v>180</v>
      </c>
      <c r="G94" s="98" t="s">
        <v>65</v>
      </c>
      <c r="H94" s="86" t="s">
        <v>372</v>
      </c>
      <c r="I94">
        <v>300</v>
      </c>
      <c r="J94">
        <v>8.11</v>
      </c>
      <c r="K94">
        <f>I94*J94</f>
        <v>2433</v>
      </c>
      <c r="L94">
        <v>27.83</v>
      </c>
      <c r="M94">
        <f>(1-(L94/100))*K94</f>
        <v>1755.8960999999999</v>
      </c>
      <c r="N94">
        <v>94</v>
      </c>
      <c r="O94" s="95" t="s">
        <v>373</v>
      </c>
      <c r="P94" s="123" t="s">
        <v>304</v>
      </c>
      <c r="Q94" s="123" t="s">
        <v>81</v>
      </c>
    </row>
    <row r="95" spans="1:17" x14ac:dyDescent="0.25">
      <c r="A95" s="95" t="s">
        <v>374</v>
      </c>
      <c r="B95" s="95">
        <v>7</v>
      </c>
      <c r="C95" s="95" t="s">
        <v>305</v>
      </c>
      <c r="D95" s="95" t="s">
        <v>110</v>
      </c>
      <c r="E95">
        <v>181</v>
      </c>
      <c r="F95">
        <v>182</v>
      </c>
      <c r="G95" s="98" t="s">
        <v>65</v>
      </c>
      <c r="H95" s="86" t="s">
        <v>375</v>
      </c>
      <c r="I95">
        <v>300</v>
      </c>
      <c r="J95">
        <v>18.45</v>
      </c>
      <c r="K95">
        <f>I95*J95</f>
        <v>5535</v>
      </c>
      <c r="L95">
        <v>27.83</v>
      </c>
      <c r="M95">
        <f>(1-(L95/100))*K95</f>
        <v>3994.6095</v>
      </c>
      <c r="N95">
        <v>95</v>
      </c>
      <c r="O95" s="95" t="s">
        <v>376</v>
      </c>
      <c r="P95" s="123" t="s">
        <v>307</v>
      </c>
      <c r="Q95" s="123" t="s">
        <v>81</v>
      </c>
    </row>
    <row r="96" spans="1:17" x14ac:dyDescent="0.25">
      <c r="A96" s="95" t="s">
        <v>377</v>
      </c>
      <c r="B96" s="95">
        <v>7</v>
      </c>
      <c r="C96" s="95" t="s">
        <v>305</v>
      </c>
      <c r="D96" s="95" t="s">
        <v>439</v>
      </c>
      <c r="E96">
        <v>183</v>
      </c>
      <c r="F96">
        <v>184</v>
      </c>
      <c r="G96" s="98" t="s">
        <v>65</v>
      </c>
      <c r="H96" s="86" t="s">
        <v>378</v>
      </c>
      <c r="I96">
        <v>300</v>
      </c>
      <c r="J96">
        <v>13.29</v>
      </c>
      <c r="K96">
        <f>I96*J96</f>
        <v>3986.9999999999995</v>
      </c>
      <c r="L96">
        <v>27.83</v>
      </c>
      <c r="M96">
        <f>(1-(L96/100))*K96</f>
        <v>2877.4178999999999</v>
      </c>
      <c r="N96">
        <v>96</v>
      </c>
      <c r="O96" s="95" t="s">
        <v>379</v>
      </c>
      <c r="P96" s="123" t="s">
        <v>614</v>
      </c>
      <c r="Q96" s="123" t="s">
        <v>81</v>
      </c>
    </row>
    <row r="97" spans="1:21" x14ac:dyDescent="0.25">
      <c r="A97" s="95" t="s">
        <v>380</v>
      </c>
      <c r="B97" s="95">
        <v>7</v>
      </c>
      <c r="C97" s="95" t="s">
        <v>305</v>
      </c>
      <c r="D97" s="95" t="s">
        <v>111</v>
      </c>
      <c r="E97">
        <v>185</v>
      </c>
      <c r="F97">
        <v>186</v>
      </c>
      <c r="G97" s="98" t="s">
        <v>65</v>
      </c>
      <c r="H97" s="86" t="s">
        <v>381</v>
      </c>
      <c r="I97">
        <v>300</v>
      </c>
      <c r="J97">
        <v>12.98</v>
      </c>
      <c r="K97">
        <f>I97*J97</f>
        <v>3894</v>
      </c>
      <c r="L97">
        <v>27.83</v>
      </c>
      <c r="M97">
        <f>(1-(L97/100))*K97</f>
        <v>2810.2998000000002</v>
      </c>
      <c r="N97">
        <v>97</v>
      </c>
      <c r="O97" s="95" t="s">
        <v>382</v>
      </c>
      <c r="P97" s="123" t="s">
        <v>310</v>
      </c>
      <c r="Q97" s="123" t="s">
        <v>81</v>
      </c>
    </row>
    <row r="98" spans="1:21" x14ac:dyDescent="0.25">
      <c r="A98" s="95" t="s">
        <v>383</v>
      </c>
      <c r="B98" s="95">
        <v>7</v>
      </c>
      <c r="C98" s="95" t="s">
        <v>305</v>
      </c>
      <c r="D98" s="95" t="s">
        <v>112</v>
      </c>
      <c r="E98">
        <v>187</v>
      </c>
      <c r="F98">
        <v>188</v>
      </c>
      <c r="G98" s="98" t="s">
        <v>65</v>
      </c>
      <c r="H98" s="86" t="s">
        <v>384</v>
      </c>
      <c r="I98">
        <v>300</v>
      </c>
      <c r="J98">
        <v>2.21</v>
      </c>
      <c r="K98">
        <f>I98*J98</f>
        <v>663</v>
      </c>
      <c r="L98">
        <v>27.83</v>
      </c>
      <c r="M98">
        <f>(1-(L98/100))*K98</f>
        <v>478.4871</v>
      </c>
      <c r="N98">
        <v>98</v>
      </c>
      <c r="O98" s="95" t="s">
        <v>385</v>
      </c>
      <c r="P98" s="123" t="s">
        <v>313</v>
      </c>
      <c r="Q98" s="123" t="s">
        <v>81</v>
      </c>
    </row>
    <row r="99" spans="1:21" x14ac:dyDescent="0.25">
      <c r="A99" s="95" t="s">
        <v>386</v>
      </c>
      <c r="B99" s="95">
        <v>7</v>
      </c>
      <c r="C99" s="95" t="s">
        <v>305</v>
      </c>
      <c r="D99" s="95" t="s">
        <v>113</v>
      </c>
      <c r="E99">
        <v>189</v>
      </c>
      <c r="F99">
        <v>190</v>
      </c>
      <c r="G99" s="98" t="s">
        <v>65</v>
      </c>
      <c r="H99" s="86" t="s">
        <v>387</v>
      </c>
      <c r="I99">
        <v>300</v>
      </c>
      <c r="J99">
        <v>14.31</v>
      </c>
      <c r="K99">
        <f>I99*J99</f>
        <v>4293</v>
      </c>
      <c r="L99">
        <v>27.83</v>
      </c>
      <c r="M99">
        <f>(1-(L99/100))*K99</f>
        <v>3098.2581</v>
      </c>
      <c r="N99">
        <v>99</v>
      </c>
      <c r="O99" s="95" t="s">
        <v>388</v>
      </c>
      <c r="P99" s="123" t="s">
        <v>316</v>
      </c>
      <c r="Q99" s="123" t="s">
        <v>81</v>
      </c>
    </row>
    <row r="100" spans="1:21" x14ac:dyDescent="0.25">
      <c r="A100" s="95" t="s">
        <v>389</v>
      </c>
      <c r="B100" s="95">
        <v>7</v>
      </c>
      <c r="C100" s="95" t="s">
        <v>305</v>
      </c>
      <c r="D100" s="95" t="s">
        <v>114</v>
      </c>
      <c r="E100">
        <v>191</v>
      </c>
      <c r="F100">
        <v>192</v>
      </c>
      <c r="G100" s="98" t="s">
        <v>65</v>
      </c>
      <c r="H100" s="86" t="s">
        <v>390</v>
      </c>
      <c r="I100">
        <v>300</v>
      </c>
      <c r="J100">
        <v>11.45</v>
      </c>
      <c r="K100">
        <f>I100*J100</f>
        <v>3435</v>
      </c>
      <c r="L100">
        <v>27.83</v>
      </c>
      <c r="M100">
        <f>(1-(L100/100))*K100</f>
        <v>2479.0394999999999</v>
      </c>
      <c r="N100">
        <v>100</v>
      </c>
      <c r="O100" s="95" t="s">
        <v>391</v>
      </c>
      <c r="P100" s="123" t="s">
        <v>319</v>
      </c>
      <c r="Q100" s="123" t="s">
        <v>81</v>
      </c>
    </row>
    <row r="101" spans="1:21" x14ac:dyDescent="0.25">
      <c r="A101" s="95" t="s">
        <v>392</v>
      </c>
      <c r="B101" s="95">
        <v>6</v>
      </c>
      <c r="C101" s="95" t="s">
        <v>303</v>
      </c>
      <c r="D101" s="95" t="s">
        <v>98</v>
      </c>
      <c r="E101">
        <v>194</v>
      </c>
      <c r="F101">
        <v>199</v>
      </c>
      <c r="G101" s="98" t="s">
        <v>99</v>
      </c>
      <c r="H101" s="86" t="s">
        <v>306</v>
      </c>
      <c r="I101">
        <v>1</v>
      </c>
      <c r="J101">
        <f>SUM(K102,K103)</f>
        <v>12024</v>
      </c>
      <c r="K101">
        <f>I101*J101</f>
        <v>12024</v>
      </c>
      <c r="L101">
        <f>100*(1-(M101/K101))</f>
        <v>27.830000000000009</v>
      </c>
      <c r="M101">
        <f>I101*SUM(M102,M103)</f>
        <v>8677.7207999999991</v>
      </c>
      <c r="N101">
        <v>101</v>
      </c>
      <c r="O101" s="95" t="s">
        <v>393</v>
      </c>
      <c r="P101" s="123" t="s">
        <v>322</v>
      </c>
      <c r="Q101" s="123" t="s">
        <v>81</v>
      </c>
      <c r="R101" s="95" t="s">
        <v>442</v>
      </c>
      <c r="S101" s="95" t="s">
        <v>464</v>
      </c>
      <c r="T101" s="95" t="s">
        <v>476</v>
      </c>
      <c r="U101" s="95" t="s">
        <v>452</v>
      </c>
    </row>
    <row r="102" spans="1:21" x14ac:dyDescent="0.25">
      <c r="A102" s="95" t="s">
        <v>394</v>
      </c>
      <c r="B102" s="95">
        <v>7</v>
      </c>
      <c r="C102" s="95" t="s">
        <v>392</v>
      </c>
      <c r="D102" s="95" t="s">
        <v>65</v>
      </c>
      <c r="E102">
        <v>195</v>
      </c>
      <c r="F102">
        <v>196</v>
      </c>
      <c r="G102" s="98" t="s">
        <v>65</v>
      </c>
      <c r="H102" s="86" t="s">
        <v>395</v>
      </c>
      <c r="I102">
        <v>300</v>
      </c>
      <c r="J102">
        <v>15.2</v>
      </c>
      <c r="K102">
        <f>I102*J102</f>
        <v>4560</v>
      </c>
      <c r="L102">
        <v>27.83</v>
      </c>
      <c r="M102">
        <f>(1-(L102/100))*K102</f>
        <v>3290.9520000000002</v>
      </c>
      <c r="N102">
        <v>102</v>
      </c>
      <c r="O102" s="95" t="s">
        <v>396</v>
      </c>
      <c r="P102" s="123" t="s">
        <v>325</v>
      </c>
      <c r="Q102" s="123" t="s">
        <v>81</v>
      </c>
    </row>
    <row r="103" spans="1:21" x14ac:dyDescent="0.25">
      <c r="A103" s="95" t="s">
        <v>397</v>
      </c>
      <c r="B103" s="95">
        <v>7</v>
      </c>
      <c r="C103" s="95" t="s">
        <v>392</v>
      </c>
      <c r="D103" s="95" t="s">
        <v>98</v>
      </c>
      <c r="E103">
        <v>197</v>
      </c>
      <c r="F103">
        <v>198</v>
      </c>
      <c r="G103" s="98" t="s">
        <v>65</v>
      </c>
      <c r="H103" s="86" t="s">
        <v>398</v>
      </c>
      <c r="I103">
        <v>300</v>
      </c>
      <c r="J103">
        <v>24.88</v>
      </c>
      <c r="K103">
        <f>I103*J103</f>
        <v>7464</v>
      </c>
      <c r="L103">
        <v>27.83</v>
      </c>
      <c r="M103">
        <f>(1-(L103/100))*K103</f>
        <v>5386.7687999999998</v>
      </c>
      <c r="N103">
        <v>103</v>
      </c>
      <c r="O103" s="95" t="s">
        <v>399</v>
      </c>
      <c r="P103" s="123" t="s">
        <v>328</v>
      </c>
      <c r="Q103" s="123" t="s">
        <v>81</v>
      </c>
    </row>
    <row r="104" spans="1:21" x14ac:dyDescent="0.25">
      <c r="A104" s="95" t="s">
        <v>400</v>
      </c>
      <c r="B104" s="95">
        <v>3</v>
      </c>
      <c r="C104" s="95" t="s">
        <v>2</v>
      </c>
      <c r="D104" s="95" t="s">
        <v>152</v>
      </c>
      <c r="E104">
        <v>203</v>
      </c>
      <c r="F104">
        <v>214</v>
      </c>
      <c r="G104" s="98" t="s">
        <v>99</v>
      </c>
      <c r="H104" s="86" t="s">
        <v>401</v>
      </c>
      <c r="I104">
        <v>1</v>
      </c>
      <c r="J104">
        <f>SUM(K105)</f>
        <v>1574449.68</v>
      </c>
      <c r="K104">
        <f>I104*J104</f>
        <v>1574449.68</v>
      </c>
      <c r="L104">
        <f>100*(1-(M104/K104))</f>
        <v>7.0000000000000062</v>
      </c>
      <c r="M104">
        <f>I104*SUM(M105)</f>
        <v>1464238.2023999998</v>
      </c>
      <c r="N104">
        <v>104</v>
      </c>
      <c r="O104" s="95" t="s">
        <v>402</v>
      </c>
      <c r="P104" s="123" t="s">
        <v>331</v>
      </c>
      <c r="Q104" s="123" t="s">
        <v>81</v>
      </c>
      <c r="R104" s="95" t="s">
        <v>527</v>
      </c>
      <c r="S104" s="95" t="s">
        <v>546</v>
      </c>
      <c r="T104" s="95" t="s">
        <v>557</v>
      </c>
      <c r="U104" s="95" t="s">
        <v>535</v>
      </c>
    </row>
    <row r="105" spans="1:21" x14ac:dyDescent="0.25">
      <c r="A105" s="95" t="s">
        <v>403</v>
      </c>
      <c r="B105" s="95">
        <v>4</v>
      </c>
      <c r="C105" s="95" t="s">
        <v>400</v>
      </c>
      <c r="D105" s="95" t="s">
        <v>65</v>
      </c>
      <c r="E105">
        <v>204</v>
      </c>
      <c r="F105">
        <v>213</v>
      </c>
      <c r="G105" s="98" t="s">
        <v>99</v>
      </c>
      <c r="H105" s="86" t="s">
        <v>401</v>
      </c>
      <c r="I105">
        <v>1</v>
      </c>
      <c r="J105">
        <f>SUM(K106)</f>
        <v>1574449.68</v>
      </c>
      <c r="K105">
        <f>I105*J105</f>
        <v>1574449.68</v>
      </c>
      <c r="L105">
        <f>100*(1-(M105/K105))</f>
        <v>7.0000000000000062</v>
      </c>
      <c r="M105">
        <f>I105*SUM(M106)</f>
        <v>1464238.2023999998</v>
      </c>
      <c r="N105">
        <v>105</v>
      </c>
      <c r="O105" s="95" t="s">
        <v>404</v>
      </c>
      <c r="P105" s="123" t="s">
        <v>334</v>
      </c>
      <c r="Q105" s="123" t="s">
        <v>81</v>
      </c>
      <c r="R105" s="95" t="s">
        <v>488</v>
      </c>
      <c r="S105" s="95" t="s">
        <v>505</v>
      </c>
      <c r="T105" s="95" t="s">
        <v>516</v>
      </c>
      <c r="U105" s="95" t="s">
        <v>495</v>
      </c>
    </row>
    <row r="106" spans="1:21" x14ac:dyDescent="0.25">
      <c r="A106" s="95" t="s">
        <v>405</v>
      </c>
      <c r="B106" s="95">
        <v>5</v>
      </c>
      <c r="C106" s="95" t="s">
        <v>403</v>
      </c>
      <c r="D106" s="95" t="s">
        <v>65</v>
      </c>
      <c r="E106">
        <v>205</v>
      </c>
      <c r="F106">
        <v>212</v>
      </c>
      <c r="G106" s="98" t="s">
        <v>99</v>
      </c>
      <c r="H106" s="86" t="s">
        <v>401</v>
      </c>
      <c r="I106">
        <v>1</v>
      </c>
      <c r="J106">
        <f>SUM(K107,K108,K109)</f>
        <v>1574449.68</v>
      </c>
      <c r="K106">
        <f>I106*J106</f>
        <v>1574449.68</v>
      </c>
      <c r="L106">
        <f>100*(1-(M106/K106))</f>
        <v>7.0000000000000062</v>
      </c>
      <c r="M106">
        <f>I106*SUM(M107,M108,M109)</f>
        <v>1464238.2023999998</v>
      </c>
      <c r="N106">
        <v>106</v>
      </c>
      <c r="O106" s="95" t="s">
        <v>406</v>
      </c>
      <c r="P106" s="123" t="s">
        <v>337</v>
      </c>
      <c r="Q106" s="123" t="s">
        <v>81</v>
      </c>
      <c r="R106" s="95" t="s">
        <v>443</v>
      </c>
      <c r="S106" s="95" t="s">
        <v>465</v>
      </c>
      <c r="T106" s="95" t="s">
        <v>477</v>
      </c>
      <c r="U106" s="95" t="s">
        <v>453</v>
      </c>
    </row>
    <row r="107" spans="1:21" x14ac:dyDescent="0.25">
      <c r="A107" s="95" t="s">
        <v>407</v>
      </c>
      <c r="B107" s="95">
        <v>6</v>
      </c>
      <c r="C107" s="95" t="s">
        <v>405</v>
      </c>
      <c r="D107" s="95" t="s">
        <v>65</v>
      </c>
      <c r="E107">
        <v>206</v>
      </c>
      <c r="F107">
        <v>207</v>
      </c>
      <c r="G107" s="98" t="s">
        <v>65</v>
      </c>
      <c r="H107" s="86" t="s">
        <v>408</v>
      </c>
      <c r="I107">
        <v>1</v>
      </c>
      <c r="J107">
        <v>169901.54</v>
      </c>
      <c r="K107">
        <f>I107*J107</f>
        <v>169901.54</v>
      </c>
      <c r="L107">
        <v>7</v>
      </c>
      <c r="M107">
        <f>(1-(L107/100))*K107</f>
        <v>158008.43220000001</v>
      </c>
      <c r="N107">
        <v>107</v>
      </c>
      <c r="O107" s="95" t="s">
        <v>409</v>
      </c>
      <c r="P107" s="123" t="s">
        <v>340</v>
      </c>
      <c r="Q107" s="123" t="s">
        <v>81</v>
      </c>
    </row>
    <row r="108" spans="1:21" x14ac:dyDescent="0.25">
      <c r="A108" s="95" t="s">
        <v>410</v>
      </c>
      <c r="B108" s="95">
        <v>6</v>
      </c>
      <c r="C108" s="95" t="s">
        <v>405</v>
      </c>
      <c r="D108" s="95" t="s">
        <v>98</v>
      </c>
      <c r="E108">
        <v>208</v>
      </c>
      <c r="F108">
        <v>209</v>
      </c>
      <c r="G108" s="98" t="s">
        <v>65</v>
      </c>
      <c r="H108" s="86" t="s">
        <v>411</v>
      </c>
      <c r="I108">
        <v>1</v>
      </c>
      <c r="J108">
        <v>1367064.15</v>
      </c>
      <c r="K108">
        <f>I108*J108</f>
        <v>1367064.15</v>
      </c>
      <c r="L108">
        <v>7</v>
      </c>
      <c r="M108">
        <f>(1-(L108/100))*K108</f>
        <v>1271369.6594999998</v>
      </c>
      <c r="N108">
        <v>108</v>
      </c>
      <c r="O108" s="95" t="s">
        <v>412</v>
      </c>
      <c r="P108" s="123" t="s">
        <v>343</v>
      </c>
      <c r="Q108" s="123" t="s">
        <v>81</v>
      </c>
    </row>
    <row r="109" spans="1:21" x14ac:dyDescent="0.25">
      <c r="A109" s="95" t="s">
        <v>413</v>
      </c>
      <c r="B109" s="95">
        <v>6</v>
      </c>
      <c r="C109" s="95" t="s">
        <v>405</v>
      </c>
      <c r="D109" s="95" t="s">
        <v>431</v>
      </c>
      <c r="E109">
        <v>210</v>
      </c>
      <c r="F109">
        <v>211</v>
      </c>
      <c r="G109" s="98" t="s">
        <v>65</v>
      </c>
      <c r="H109" s="86" t="s">
        <v>414</v>
      </c>
      <c r="I109">
        <v>1</v>
      </c>
      <c r="J109">
        <v>37483.99</v>
      </c>
      <c r="K109">
        <f>I109*J109</f>
        <v>37483.99</v>
      </c>
      <c r="L109">
        <v>7</v>
      </c>
      <c r="M109">
        <f>(1-(L109/100))*K109</f>
        <v>34860.110699999997</v>
      </c>
      <c r="N109">
        <v>109</v>
      </c>
      <c r="O109" s="95" t="s">
        <v>415</v>
      </c>
      <c r="P109" s="123" t="s">
        <v>346</v>
      </c>
      <c r="Q109" s="123" t="s">
        <v>81</v>
      </c>
    </row>
    <row r="110" spans="1:21" x14ac:dyDescent="0.25">
      <c r="A110" s="95" t="s">
        <v>416</v>
      </c>
      <c r="B110" s="95">
        <v>2</v>
      </c>
      <c r="C110" s="95" t="s">
        <v>65</v>
      </c>
      <c r="D110" s="95" t="s">
        <v>98</v>
      </c>
      <c r="E110">
        <v>216</v>
      </c>
      <c r="F110">
        <v>225</v>
      </c>
      <c r="G110" s="98" t="s">
        <v>99</v>
      </c>
      <c r="H110" s="86" t="s">
        <v>417</v>
      </c>
      <c r="I110">
        <v>1</v>
      </c>
      <c r="J110">
        <f>SUM(K111)</f>
        <v>19559.404049410001</v>
      </c>
      <c r="K110">
        <f>I110*J110</f>
        <v>19559.404049410001</v>
      </c>
      <c r="L110">
        <f>100*(1-(M110/K110))</f>
        <v>27.83</v>
      </c>
      <c r="M110">
        <f>I110*SUM(M111)</f>
        <v>14116.021902459197</v>
      </c>
      <c r="N110">
        <v>110</v>
      </c>
      <c r="O110" s="95" t="s">
        <v>418</v>
      </c>
      <c r="P110" s="123" t="s">
        <v>151</v>
      </c>
      <c r="Q110" s="123" t="s">
        <v>417</v>
      </c>
      <c r="R110" s="95" t="s">
        <v>621</v>
      </c>
      <c r="S110" s="95" t="s">
        <v>587</v>
      </c>
      <c r="T110" s="95" t="s">
        <v>596</v>
      </c>
      <c r="U110" s="95" t="s">
        <v>622</v>
      </c>
    </row>
    <row r="111" spans="1:21" x14ac:dyDescent="0.25">
      <c r="A111" s="95" t="s">
        <v>419</v>
      </c>
      <c r="B111" s="95">
        <v>3</v>
      </c>
      <c r="C111" s="95" t="s">
        <v>416</v>
      </c>
      <c r="D111" s="95" t="s">
        <v>65</v>
      </c>
      <c r="E111">
        <v>217</v>
      </c>
      <c r="F111">
        <v>224</v>
      </c>
      <c r="G111" s="98" t="s">
        <v>99</v>
      </c>
      <c r="H111" s="86" t="s">
        <v>420</v>
      </c>
      <c r="I111">
        <v>1</v>
      </c>
      <c r="J111">
        <f>SUM(K112)</f>
        <v>19559.404049410001</v>
      </c>
      <c r="K111">
        <f>I111*J111</f>
        <v>19559.404049410001</v>
      </c>
      <c r="L111">
        <f>100*(1-(M111/K111))</f>
        <v>27.83</v>
      </c>
      <c r="M111">
        <f>I111*SUM(M112)</f>
        <v>14116.021902459197</v>
      </c>
      <c r="N111">
        <v>111</v>
      </c>
      <c r="O111" s="95" t="s">
        <v>421</v>
      </c>
      <c r="P111" s="123" t="s">
        <v>152</v>
      </c>
      <c r="Q111" s="123" t="s">
        <v>417</v>
      </c>
      <c r="R111" s="95" t="s">
        <v>619</v>
      </c>
      <c r="S111" s="95" t="s">
        <v>588</v>
      </c>
      <c r="T111" s="95" t="s">
        <v>597</v>
      </c>
      <c r="U111" s="95" t="s">
        <v>620</v>
      </c>
    </row>
    <row r="112" spans="1:21" x14ac:dyDescent="0.25">
      <c r="A112" s="95" t="s">
        <v>422</v>
      </c>
      <c r="B112" s="95">
        <v>4</v>
      </c>
      <c r="C112" s="95" t="s">
        <v>419</v>
      </c>
      <c r="D112" s="95" t="s">
        <v>65</v>
      </c>
      <c r="E112">
        <v>218</v>
      </c>
      <c r="F112">
        <v>223</v>
      </c>
      <c r="G112" s="98" t="s">
        <v>99</v>
      </c>
      <c r="H112" s="86" t="s">
        <v>423</v>
      </c>
      <c r="I112">
        <v>1</v>
      </c>
      <c r="J112">
        <f>SUM(K113)</f>
        <v>19559.404049410001</v>
      </c>
      <c r="K112">
        <f>I112*J112</f>
        <v>19559.404049410001</v>
      </c>
      <c r="L112">
        <f>100*(1-(M112/K112))</f>
        <v>27.83</v>
      </c>
      <c r="M112">
        <f>I112*SUM(M113)</f>
        <v>14116.021902459197</v>
      </c>
      <c r="N112">
        <v>112</v>
      </c>
      <c r="O112" s="95" t="s">
        <v>424</v>
      </c>
      <c r="P112" s="123" t="s">
        <v>153</v>
      </c>
      <c r="Q112" s="123" t="s">
        <v>417</v>
      </c>
      <c r="R112" s="95" t="s">
        <v>532</v>
      </c>
      <c r="S112" s="95" t="s">
        <v>554</v>
      </c>
      <c r="T112" s="95" t="s">
        <v>565</v>
      </c>
      <c r="U112" s="95" t="s">
        <v>543</v>
      </c>
    </row>
    <row r="113" spans="1:21" x14ac:dyDescent="0.25">
      <c r="A113" s="95" t="s">
        <v>425</v>
      </c>
      <c r="B113" s="95">
        <v>5</v>
      </c>
      <c r="C113" s="95" t="s">
        <v>422</v>
      </c>
      <c r="D113" s="95" t="s">
        <v>65</v>
      </c>
      <c r="E113">
        <v>219</v>
      </c>
      <c r="F113">
        <v>222</v>
      </c>
      <c r="G113" s="98" t="s">
        <v>99</v>
      </c>
      <c r="H113" s="86" t="s">
        <v>426</v>
      </c>
      <c r="I113">
        <v>1</v>
      </c>
      <c r="J113">
        <f>SUM(K114)</f>
        <v>19559.404049410001</v>
      </c>
      <c r="K113">
        <f>I113*J113</f>
        <v>19559.404049410001</v>
      </c>
      <c r="L113">
        <f>100*(1-(M113/K113))</f>
        <v>27.83</v>
      </c>
      <c r="M113">
        <f>I113*SUM(M114)</f>
        <v>14116.021902459197</v>
      </c>
      <c r="N113">
        <v>113</v>
      </c>
      <c r="O113" s="95" t="s">
        <v>427</v>
      </c>
      <c r="P113" s="123" t="s">
        <v>154</v>
      </c>
      <c r="Q113" s="123" t="s">
        <v>417</v>
      </c>
      <c r="R113" s="95" t="s">
        <v>617</v>
      </c>
      <c r="S113" s="95" t="s">
        <v>513</v>
      </c>
      <c r="T113" s="95" t="s">
        <v>524</v>
      </c>
      <c r="U113" s="95" t="s">
        <v>618</v>
      </c>
    </row>
    <row r="114" spans="1:21" x14ac:dyDescent="0.25">
      <c r="A114" s="95" t="s">
        <v>428</v>
      </c>
      <c r="B114" s="95">
        <v>6</v>
      </c>
      <c r="C114" s="95" t="s">
        <v>425</v>
      </c>
      <c r="D114" s="95" t="s">
        <v>65</v>
      </c>
      <c r="E114">
        <v>220</v>
      </c>
      <c r="F114">
        <v>221</v>
      </c>
      <c r="G114" s="98" t="s">
        <v>65</v>
      </c>
      <c r="H114" s="86" t="s">
        <v>429</v>
      </c>
      <c r="I114">
        <v>1</v>
      </c>
      <c r="J114">
        <v>19559.404049410001</v>
      </c>
      <c r="K114">
        <f>I114*J114</f>
        <v>19559.404049410001</v>
      </c>
      <c r="L114">
        <v>27.83</v>
      </c>
      <c r="M114">
        <f>(1-(L114/100))*K114</f>
        <v>14116.021902459197</v>
      </c>
      <c r="N114">
        <v>114</v>
      </c>
      <c r="O114" s="95" t="s">
        <v>430</v>
      </c>
      <c r="P114" s="123" t="s">
        <v>103</v>
      </c>
      <c r="Q114" s="123" t="s">
        <v>417</v>
      </c>
    </row>
    <row r="115" spans="1:21" x14ac:dyDescent="0.25">
      <c r="G115" s="98"/>
      <c r="H115" s="86"/>
      <c r="P115" s="123"/>
      <c r="Q115" s="123"/>
    </row>
    <row r="116" spans="1:21" x14ac:dyDescent="0.25">
      <c r="G116" s="98"/>
      <c r="H116" s="86"/>
      <c r="P116" s="123"/>
      <c r="Q116" s="123"/>
    </row>
    <row r="117" spans="1:21" x14ac:dyDescent="0.25">
      <c r="G117" s="98"/>
      <c r="H117" s="86"/>
      <c r="P117" s="123"/>
      <c r="Q117" s="123"/>
    </row>
    <row r="118" spans="1:21" x14ac:dyDescent="0.25">
      <c r="G118" s="98"/>
      <c r="H118" s="86"/>
      <c r="P118" s="123"/>
      <c r="Q118" s="123"/>
    </row>
    <row r="119" spans="1:21" x14ac:dyDescent="0.25">
      <c r="G119" s="98"/>
      <c r="H119" s="86"/>
      <c r="P119" s="123"/>
      <c r="Q119" s="123"/>
    </row>
    <row r="120" spans="1:21" x14ac:dyDescent="0.25">
      <c r="G120" s="98"/>
      <c r="H120" s="86"/>
      <c r="P120" s="123"/>
      <c r="Q120" s="123"/>
    </row>
    <row r="121" spans="1:21" x14ac:dyDescent="0.25">
      <c r="G121" s="98"/>
      <c r="H121" s="86"/>
      <c r="P121" s="123"/>
      <c r="Q121" s="123"/>
    </row>
    <row r="122" spans="1:21" x14ac:dyDescent="0.25">
      <c r="G122" s="98"/>
      <c r="H122" s="86"/>
      <c r="P122" s="123"/>
      <c r="Q122" s="123"/>
    </row>
    <row r="123" spans="1:21" ht="15.75" thickBot="1" x14ac:dyDescent="0.3">
      <c r="G123" s="98"/>
      <c r="H123" s="8"/>
      <c r="I123" s="7"/>
      <c r="J123" s="6"/>
      <c r="K123" s="6"/>
      <c r="L123" s="115"/>
      <c r="M123" s="116"/>
      <c r="N123" s="117"/>
      <c r="O123" s="118"/>
      <c r="P123" s="6"/>
      <c r="Q123" s="123"/>
    </row>
    <row r="124" spans="1:21" x14ac:dyDescent="0.25">
      <c r="G124" s="98"/>
      <c r="H124" s="5"/>
      <c r="I124" s="3"/>
      <c r="J124" s="5"/>
      <c r="K124" s="5"/>
      <c r="L124" s="119"/>
      <c r="M124" s="112"/>
      <c r="N124" s="120"/>
      <c r="O124" s="119"/>
      <c r="P124" s="5"/>
      <c r="Q124" s="123"/>
    </row>
    <row r="125" spans="1:21" x14ac:dyDescent="0.25">
      <c r="G125" s="98"/>
      <c r="H125" s="2"/>
      <c r="I125" s="3"/>
      <c r="J125" s="2"/>
      <c r="K125" s="2"/>
      <c r="L125" s="106"/>
      <c r="M125" s="112"/>
      <c r="N125" s="107"/>
      <c r="O125" s="106"/>
      <c r="P125" s="2"/>
      <c r="Q125" s="123"/>
    </row>
    <row r="126" spans="1:21" x14ac:dyDescent="0.25">
      <c r="G126" s="98"/>
      <c r="H126" s="2"/>
      <c r="I126" s="3"/>
      <c r="J126" s="2"/>
      <c r="K126" s="2"/>
      <c r="L126" s="106"/>
      <c r="M126" s="112"/>
      <c r="N126" s="107"/>
      <c r="O126" s="106"/>
      <c r="P126" s="2"/>
      <c r="Q126" s="123"/>
    </row>
    <row r="127" spans="1:21" x14ac:dyDescent="0.25">
      <c r="G127" s="98"/>
      <c r="H127" s="2"/>
      <c r="I127" s="3"/>
      <c r="J127" s="2"/>
      <c r="K127" s="2"/>
      <c r="L127" s="106"/>
      <c r="M127" s="112"/>
      <c r="N127" s="107"/>
      <c r="O127" s="106"/>
      <c r="P127" s="2"/>
      <c r="Q127" s="123"/>
    </row>
    <row r="128" spans="1:21" x14ac:dyDescent="0.25">
      <c r="G128" s="98"/>
      <c r="H128" s="2"/>
      <c r="I128" s="2"/>
      <c r="J128" s="2"/>
      <c r="K128" s="2"/>
      <c r="L128" s="106"/>
      <c r="M128" s="112"/>
      <c r="N128" s="107"/>
      <c r="O128" s="106"/>
      <c r="P128" s="2"/>
      <c r="Q128" s="123"/>
    </row>
    <row r="129" spans="7:17" x14ac:dyDescent="0.25">
      <c r="G129" s="98"/>
      <c r="H129" s="2"/>
      <c r="I129" s="2"/>
      <c r="J129" s="2"/>
      <c r="K129" s="2"/>
      <c r="L129" s="106"/>
      <c r="M129" s="106"/>
      <c r="N129" s="107"/>
      <c r="O129" s="106"/>
      <c r="P129" s="2"/>
      <c r="Q129" s="123"/>
    </row>
    <row r="130" spans="7:17" x14ac:dyDescent="0.25">
      <c r="G130" s="98"/>
      <c r="P130" s="123"/>
      <c r="Q130" s="123"/>
    </row>
    <row r="131" spans="7:17" x14ac:dyDescent="0.25">
      <c r="G131" s="98"/>
      <c r="P131" s="123"/>
      <c r="Q131" s="123"/>
    </row>
    <row r="132" spans="7:17" x14ac:dyDescent="0.25">
      <c r="G132" s="98"/>
      <c r="P132" s="123"/>
      <c r="Q132" s="123"/>
    </row>
    <row r="133" spans="7:17" x14ac:dyDescent="0.25">
      <c r="G133" s="98"/>
      <c r="P133" s="123"/>
      <c r="Q133" s="123"/>
    </row>
    <row r="134" spans="7:17" x14ac:dyDescent="0.25">
      <c r="G134" s="98"/>
      <c r="P134" s="123"/>
      <c r="Q134" s="123"/>
    </row>
    <row r="135" spans="7:17" x14ac:dyDescent="0.25">
      <c r="G135" s="98"/>
      <c r="P135" s="123"/>
      <c r="Q135" s="123"/>
    </row>
    <row r="136" spans="7:17" x14ac:dyDescent="0.25">
      <c r="G136" s="98"/>
      <c r="P136" s="123"/>
      <c r="Q136" s="123"/>
    </row>
    <row r="137" spans="7:17" x14ac:dyDescent="0.25">
      <c r="G137" s="98"/>
      <c r="P137" s="123"/>
      <c r="Q137" s="123"/>
    </row>
    <row r="138" spans="7:17" x14ac:dyDescent="0.25">
      <c r="G138" s="98"/>
      <c r="P138" s="123"/>
      <c r="Q138" s="123"/>
    </row>
    <row r="139" spans="7:17" x14ac:dyDescent="0.25">
      <c r="G139" s="98"/>
      <c r="P139" s="123"/>
      <c r="Q139" s="123"/>
    </row>
    <row r="140" spans="7:17" x14ac:dyDescent="0.25">
      <c r="G140" s="98"/>
      <c r="P140" s="123"/>
      <c r="Q140" s="123"/>
    </row>
    <row r="141" spans="7:17" x14ac:dyDescent="0.25">
      <c r="G141" s="98"/>
      <c r="P141" s="123"/>
      <c r="Q141" s="123"/>
    </row>
    <row r="142" spans="7:17" x14ac:dyDescent="0.25">
      <c r="G142" s="98"/>
      <c r="P142" s="123"/>
      <c r="Q142" s="123"/>
    </row>
    <row r="143" spans="7:17" x14ac:dyDescent="0.25">
      <c r="G143" s="98"/>
      <c r="P143" s="123"/>
      <c r="Q143" s="123"/>
    </row>
    <row r="144" spans="7:17" x14ac:dyDescent="0.25">
      <c r="G144" s="98"/>
      <c r="P144" s="123"/>
      <c r="Q144" s="123"/>
    </row>
    <row r="145" spans="7:17" x14ac:dyDescent="0.25">
      <c r="G145" s="98"/>
      <c r="P145" s="123"/>
      <c r="Q145" s="123"/>
    </row>
    <row r="146" spans="7:17" x14ac:dyDescent="0.25">
      <c r="G146" s="98"/>
      <c r="P146" s="123"/>
      <c r="Q146" s="123"/>
    </row>
    <row r="147" spans="7:17" x14ac:dyDescent="0.25">
      <c r="G147" s="98"/>
      <c r="P147" s="123"/>
      <c r="Q147" s="123"/>
    </row>
    <row r="148" spans="7:17" x14ac:dyDescent="0.25">
      <c r="G148" s="98"/>
      <c r="P148" s="123"/>
      <c r="Q148" s="123"/>
    </row>
    <row r="149" spans="7:17" x14ac:dyDescent="0.25">
      <c r="G149" s="98"/>
      <c r="P149" s="123"/>
      <c r="Q149" s="123"/>
    </row>
    <row r="150" spans="7:17" x14ac:dyDescent="0.25">
      <c r="G150" s="98"/>
      <c r="P150" s="123"/>
      <c r="Q150" s="123"/>
    </row>
    <row r="151" spans="7:17" x14ac:dyDescent="0.25">
      <c r="G151" s="98"/>
      <c r="P151" s="123"/>
      <c r="Q151" s="123"/>
    </row>
    <row r="152" spans="7:17" x14ac:dyDescent="0.25">
      <c r="G152" s="98"/>
      <c r="P152" s="123"/>
      <c r="Q152" s="123"/>
    </row>
    <row r="153" spans="7:17" x14ac:dyDescent="0.25">
      <c r="G153" s="98"/>
      <c r="P153" s="123"/>
      <c r="Q153" s="123"/>
    </row>
    <row r="154" spans="7:17" x14ac:dyDescent="0.25">
      <c r="G154" s="98"/>
      <c r="P154" s="123"/>
      <c r="Q154" s="123"/>
    </row>
    <row r="155" spans="7:17" x14ac:dyDescent="0.25">
      <c r="G155" s="98"/>
      <c r="P155" s="123"/>
      <c r="Q155" s="123"/>
    </row>
    <row r="156" spans="7:17" x14ac:dyDescent="0.25">
      <c r="G156" s="98"/>
      <c r="P156" s="123"/>
      <c r="Q156" s="123"/>
    </row>
    <row r="157" spans="7:17" x14ac:dyDescent="0.25">
      <c r="G157" s="98"/>
      <c r="P157" s="123"/>
      <c r="Q157" s="123"/>
    </row>
    <row r="158" spans="7:17" x14ac:dyDescent="0.25">
      <c r="G158" s="98"/>
      <c r="P158" s="123"/>
      <c r="Q158" s="123"/>
    </row>
    <row r="159" spans="7:17" x14ac:dyDescent="0.25">
      <c r="G159" s="98"/>
      <c r="P159" s="123"/>
      <c r="Q159" s="123"/>
    </row>
    <row r="160" spans="7:17" x14ac:dyDescent="0.25">
      <c r="G160" s="98"/>
      <c r="P160" s="123"/>
      <c r="Q160" s="123"/>
    </row>
    <row r="161" spans="7:17" x14ac:dyDescent="0.25">
      <c r="G161" s="98"/>
      <c r="P161" s="123"/>
      <c r="Q161" s="123"/>
    </row>
    <row r="162" spans="7:17" x14ac:dyDescent="0.25">
      <c r="G162" s="98"/>
      <c r="P162" s="123"/>
      <c r="Q162" s="123"/>
    </row>
    <row r="163" spans="7:17" x14ac:dyDescent="0.25">
      <c r="G163" s="98"/>
      <c r="P163" s="123"/>
      <c r="Q163" s="123"/>
    </row>
    <row r="164" spans="7:17" x14ac:dyDescent="0.25">
      <c r="G164" s="98"/>
      <c r="P164" s="123"/>
      <c r="Q164" s="123"/>
    </row>
    <row r="165" spans="7:17" x14ac:dyDescent="0.25">
      <c r="G165" s="98"/>
      <c r="P165" s="123"/>
      <c r="Q165" s="123"/>
    </row>
    <row r="166" spans="7:17" x14ac:dyDescent="0.25">
      <c r="G166" s="98"/>
      <c r="P166" s="123"/>
      <c r="Q166" s="123"/>
    </row>
    <row r="167" spans="7:17" x14ac:dyDescent="0.25">
      <c r="G167" s="98"/>
      <c r="P167" s="123"/>
      <c r="Q167" s="123"/>
    </row>
    <row r="168" spans="7:17" x14ac:dyDescent="0.25">
      <c r="G168" s="98"/>
      <c r="P168" s="123"/>
      <c r="Q168" s="123"/>
    </row>
    <row r="169" spans="7:17" x14ac:dyDescent="0.25">
      <c r="G169" s="98"/>
      <c r="P169" s="123"/>
      <c r="Q169" s="123"/>
    </row>
    <row r="170" spans="7:17" x14ac:dyDescent="0.25">
      <c r="G170" s="98"/>
      <c r="P170" s="123"/>
      <c r="Q170" s="123"/>
    </row>
    <row r="171" spans="7:17" x14ac:dyDescent="0.25">
      <c r="G171" s="98"/>
      <c r="P171" s="123"/>
      <c r="Q171" s="123"/>
    </row>
    <row r="172" spans="7:17" x14ac:dyDescent="0.25">
      <c r="G172" s="98"/>
      <c r="P172" s="123"/>
      <c r="Q172" s="123"/>
    </row>
    <row r="173" spans="7:17" x14ac:dyDescent="0.25">
      <c r="G173" s="98"/>
      <c r="P173" s="123"/>
      <c r="Q173" s="123"/>
    </row>
    <row r="174" spans="7:17" x14ac:dyDescent="0.25">
      <c r="G174" s="98"/>
      <c r="P174" s="123"/>
      <c r="Q174" s="123"/>
    </row>
    <row r="175" spans="7:17" x14ac:dyDescent="0.25">
      <c r="G175" s="98"/>
      <c r="P175" s="123"/>
      <c r="Q175" s="123"/>
    </row>
    <row r="176" spans="7:17" x14ac:dyDescent="0.25">
      <c r="G176" s="98"/>
      <c r="P176" s="123"/>
      <c r="Q176" s="123"/>
    </row>
    <row r="177" spans="7:17" x14ac:dyDescent="0.25">
      <c r="G177" s="98"/>
      <c r="P177" s="123"/>
      <c r="Q177" s="123"/>
    </row>
    <row r="178" spans="7:17" x14ac:dyDescent="0.25">
      <c r="G178" s="98"/>
      <c r="P178" s="123"/>
      <c r="Q178" s="123"/>
    </row>
    <row r="179" spans="7:17" x14ac:dyDescent="0.25">
      <c r="G179" s="98"/>
      <c r="P179" s="123"/>
      <c r="Q179" s="123"/>
    </row>
    <row r="180" spans="7:17" x14ac:dyDescent="0.25">
      <c r="G180" s="98"/>
      <c r="P180" s="123"/>
      <c r="Q180" s="123"/>
    </row>
    <row r="181" spans="7:17" x14ac:dyDescent="0.25">
      <c r="G181" s="98"/>
      <c r="P181" s="123"/>
      <c r="Q181" s="123"/>
    </row>
    <row r="182" spans="7:17" x14ac:dyDescent="0.25">
      <c r="G182" s="98"/>
      <c r="P182" s="123"/>
      <c r="Q182" s="123"/>
    </row>
    <row r="183" spans="7:17" x14ac:dyDescent="0.25">
      <c r="G183" s="98"/>
      <c r="P183" s="123"/>
      <c r="Q183" s="123"/>
    </row>
    <row r="184" spans="7:17" x14ac:dyDescent="0.25">
      <c r="G184" s="98"/>
      <c r="P184" s="123"/>
      <c r="Q184" s="123"/>
    </row>
    <row r="185" spans="7:17" x14ac:dyDescent="0.25">
      <c r="G185" s="98"/>
      <c r="P185" s="123"/>
      <c r="Q185" s="123"/>
    </row>
    <row r="186" spans="7:17" x14ac:dyDescent="0.25">
      <c r="G186" s="98"/>
      <c r="P186" s="123"/>
      <c r="Q186" s="123"/>
    </row>
    <row r="187" spans="7:17" x14ac:dyDescent="0.25">
      <c r="G187" s="98"/>
      <c r="P187" s="123"/>
      <c r="Q187" s="123"/>
    </row>
    <row r="188" spans="7:17" x14ac:dyDescent="0.25">
      <c r="G188" s="98"/>
      <c r="P188" s="123"/>
      <c r="Q188" s="123"/>
    </row>
    <row r="189" spans="7:17" x14ac:dyDescent="0.25">
      <c r="G189" s="98"/>
      <c r="P189" s="123"/>
      <c r="Q189" s="123"/>
    </row>
    <row r="190" spans="7:17" x14ac:dyDescent="0.25">
      <c r="G190" s="98"/>
      <c r="P190" s="123"/>
      <c r="Q190" s="123"/>
    </row>
    <row r="191" spans="7:17" x14ac:dyDescent="0.25">
      <c r="G191" s="98"/>
      <c r="P191" s="123"/>
      <c r="Q191" s="123"/>
    </row>
    <row r="192" spans="7:17" x14ac:dyDescent="0.25">
      <c r="G192" s="98"/>
      <c r="P192" s="123"/>
      <c r="Q192" s="123"/>
    </row>
    <row r="193" spans="7:17" x14ac:dyDescent="0.25">
      <c r="G193" s="98"/>
      <c r="P193" s="123"/>
      <c r="Q193" s="123"/>
    </row>
    <row r="194" spans="7:17" x14ac:dyDescent="0.25">
      <c r="G194" s="98"/>
      <c r="P194" s="123"/>
      <c r="Q194" s="123"/>
    </row>
    <row r="195" spans="7:17" x14ac:dyDescent="0.25">
      <c r="G195" s="98"/>
      <c r="P195" s="123"/>
      <c r="Q195" s="123"/>
    </row>
    <row r="196" spans="7:17" x14ac:dyDescent="0.25">
      <c r="G196" s="98"/>
      <c r="P196" s="123"/>
      <c r="Q196" s="123"/>
    </row>
    <row r="197" spans="7:17" x14ac:dyDescent="0.25">
      <c r="G197" s="98"/>
      <c r="P197" s="123"/>
      <c r="Q197" s="123"/>
    </row>
    <row r="198" spans="7:17" x14ac:dyDescent="0.25">
      <c r="G198" s="98"/>
      <c r="P198" s="123"/>
      <c r="Q198" s="123"/>
    </row>
    <row r="199" spans="7:17" x14ac:dyDescent="0.25">
      <c r="G199" s="98"/>
      <c r="P199" s="123"/>
      <c r="Q199" s="123"/>
    </row>
    <row r="200" spans="7:17" x14ac:dyDescent="0.25">
      <c r="G200" s="98"/>
      <c r="P200" s="123"/>
      <c r="Q200" s="123"/>
    </row>
    <row r="201" spans="7:17" x14ac:dyDescent="0.25">
      <c r="G201" s="98"/>
      <c r="P201" s="123"/>
      <c r="Q201" s="123"/>
    </row>
    <row r="202" spans="7:17" x14ac:dyDescent="0.25">
      <c r="G202" s="98"/>
      <c r="P202" s="123"/>
      <c r="Q202" s="123"/>
    </row>
    <row r="203" spans="7:17" x14ac:dyDescent="0.25">
      <c r="G203" s="98"/>
      <c r="P203" s="123"/>
      <c r="Q203" s="123"/>
    </row>
    <row r="204" spans="7:17" x14ac:dyDescent="0.25">
      <c r="G204" s="98"/>
      <c r="P204" s="123"/>
      <c r="Q204" s="123"/>
    </row>
    <row r="205" spans="7:17" x14ac:dyDescent="0.25">
      <c r="G205" s="98"/>
      <c r="P205" s="123"/>
      <c r="Q205" s="123"/>
    </row>
    <row r="206" spans="7:17" x14ac:dyDescent="0.25">
      <c r="G206" s="98"/>
      <c r="P206" s="123"/>
      <c r="Q206" s="123"/>
    </row>
    <row r="207" spans="7:17" x14ac:dyDescent="0.25">
      <c r="G207" s="98"/>
      <c r="P207" s="123"/>
      <c r="Q207" s="123"/>
    </row>
    <row r="208" spans="7:17" x14ac:dyDescent="0.25">
      <c r="G208" s="98"/>
      <c r="P208" s="123"/>
      <c r="Q208" s="123"/>
    </row>
    <row r="209" spans="7:17" x14ac:dyDescent="0.25">
      <c r="G209" s="98"/>
      <c r="P209" s="123"/>
      <c r="Q209" s="123"/>
    </row>
    <row r="210" spans="7:17" x14ac:dyDescent="0.25">
      <c r="G210" s="98"/>
      <c r="P210" s="123"/>
      <c r="Q210" s="123"/>
    </row>
    <row r="211" spans="7:17" x14ac:dyDescent="0.25">
      <c r="G211" s="98"/>
      <c r="P211" s="123"/>
      <c r="Q211" s="123"/>
    </row>
    <row r="212" spans="7:17" x14ac:dyDescent="0.25">
      <c r="G212" s="98"/>
      <c r="P212" s="123"/>
      <c r="Q212" s="123"/>
    </row>
    <row r="213" spans="7:17" x14ac:dyDescent="0.25">
      <c r="G213" s="98"/>
      <c r="P213" s="123"/>
      <c r="Q213" s="123"/>
    </row>
    <row r="214" spans="7:17" x14ac:dyDescent="0.25">
      <c r="G214" s="98"/>
      <c r="P214" s="123"/>
      <c r="Q214" s="123"/>
    </row>
    <row r="215" spans="7:17" x14ac:dyDescent="0.25">
      <c r="G215" s="98"/>
      <c r="P215" s="123"/>
      <c r="Q215" s="123"/>
    </row>
    <row r="216" spans="7:17" x14ac:dyDescent="0.25">
      <c r="G216" s="98"/>
      <c r="P216" s="123"/>
      <c r="Q216" s="123"/>
    </row>
    <row r="217" spans="7:17" x14ac:dyDescent="0.25">
      <c r="G217" s="98"/>
      <c r="P217" s="123"/>
      <c r="Q217" s="123"/>
    </row>
    <row r="218" spans="7:17" x14ac:dyDescent="0.25">
      <c r="G218" s="98"/>
      <c r="P218" s="123"/>
      <c r="Q218" s="123"/>
    </row>
    <row r="219" spans="7:17" x14ac:dyDescent="0.25">
      <c r="G219" s="98"/>
      <c r="P219" s="123"/>
      <c r="Q219" s="123"/>
    </row>
    <row r="220" spans="7:17" x14ac:dyDescent="0.25">
      <c r="G220" s="98"/>
      <c r="P220" s="123"/>
      <c r="Q220" s="123"/>
    </row>
    <row r="221" spans="7:17" x14ac:dyDescent="0.25">
      <c r="G221" s="98"/>
      <c r="P221" s="123"/>
      <c r="Q221" s="123"/>
    </row>
    <row r="222" spans="7:17" x14ac:dyDescent="0.25">
      <c r="G222" s="98"/>
      <c r="P222" s="123"/>
      <c r="Q222" s="123"/>
    </row>
    <row r="223" spans="7:17" x14ac:dyDescent="0.25">
      <c r="G223" s="98"/>
      <c r="P223" s="123"/>
      <c r="Q223" s="123"/>
    </row>
    <row r="224" spans="7:17" x14ac:dyDescent="0.25">
      <c r="G224" s="98"/>
      <c r="P224" s="123"/>
      <c r="Q224" s="123"/>
    </row>
    <row r="225" spans="7:17" x14ac:dyDescent="0.25">
      <c r="G225" s="98"/>
      <c r="P225" s="123"/>
      <c r="Q225" s="123"/>
    </row>
    <row r="226" spans="7:17" x14ac:dyDescent="0.25">
      <c r="G226" s="98"/>
      <c r="P226" s="123"/>
      <c r="Q226" s="123"/>
    </row>
    <row r="227" spans="7:17" x14ac:dyDescent="0.25">
      <c r="G227" s="98"/>
      <c r="P227" s="123"/>
      <c r="Q227" s="123"/>
    </row>
    <row r="228" spans="7:17" x14ac:dyDescent="0.25">
      <c r="G228" s="98"/>
      <c r="P228" s="123"/>
      <c r="Q228" s="123"/>
    </row>
    <row r="229" spans="7:17" x14ac:dyDescent="0.25">
      <c r="G229" s="98"/>
      <c r="P229" s="123"/>
      <c r="Q229" s="123"/>
    </row>
    <row r="230" spans="7:17" x14ac:dyDescent="0.25">
      <c r="G230" s="98"/>
      <c r="P230" s="123"/>
      <c r="Q230" s="123"/>
    </row>
    <row r="231" spans="7:17" x14ac:dyDescent="0.25">
      <c r="G231" s="98"/>
      <c r="P231" s="123"/>
      <c r="Q231" s="123"/>
    </row>
    <row r="232" spans="7:17" x14ac:dyDescent="0.25">
      <c r="G232" s="98"/>
      <c r="P232" s="123"/>
      <c r="Q232" s="123"/>
    </row>
    <row r="233" spans="7:17" x14ac:dyDescent="0.25">
      <c r="G233" s="98"/>
      <c r="P233" s="123"/>
      <c r="Q233" s="123"/>
    </row>
    <row r="234" spans="7:17" x14ac:dyDescent="0.25">
      <c r="G234" s="98"/>
      <c r="P234" s="123"/>
      <c r="Q234" s="123"/>
    </row>
    <row r="235" spans="7:17" x14ac:dyDescent="0.25">
      <c r="G235" s="98"/>
      <c r="P235" s="123"/>
      <c r="Q235" s="123"/>
    </row>
    <row r="236" spans="7:17" x14ac:dyDescent="0.25">
      <c r="G236" s="98"/>
      <c r="P236" s="123"/>
      <c r="Q236" s="123"/>
    </row>
    <row r="237" spans="7:17" x14ac:dyDescent="0.25">
      <c r="G237" s="98"/>
      <c r="P237" s="123"/>
      <c r="Q237" s="123"/>
    </row>
    <row r="238" spans="7:17" x14ac:dyDescent="0.25">
      <c r="G238" s="98"/>
      <c r="P238" s="123"/>
      <c r="Q238" s="123"/>
    </row>
    <row r="239" spans="7:17" x14ac:dyDescent="0.25">
      <c r="G239" s="98"/>
      <c r="P239" s="123"/>
      <c r="Q239" s="123"/>
    </row>
    <row r="240" spans="7:17" x14ac:dyDescent="0.25">
      <c r="G240" s="98"/>
      <c r="P240" s="123"/>
      <c r="Q240" s="123"/>
    </row>
    <row r="241" spans="7:17" x14ac:dyDescent="0.25">
      <c r="G241" s="98"/>
      <c r="P241" s="123"/>
      <c r="Q241" s="123"/>
    </row>
    <row r="242" spans="7:17" x14ac:dyDescent="0.25">
      <c r="G242" s="98"/>
      <c r="P242" s="123"/>
      <c r="Q242" s="123"/>
    </row>
    <row r="243" spans="7:17" x14ac:dyDescent="0.25">
      <c r="G243" s="98"/>
      <c r="P243" s="123"/>
      <c r="Q243" s="123"/>
    </row>
    <row r="244" spans="7:17" x14ac:dyDescent="0.25">
      <c r="G244" s="98"/>
      <c r="P244" s="123"/>
      <c r="Q244" s="123"/>
    </row>
    <row r="245" spans="7:17" x14ac:dyDescent="0.25">
      <c r="G245" s="98"/>
      <c r="P245" s="123"/>
      <c r="Q245" s="123"/>
    </row>
    <row r="246" spans="7:17" x14ac:dyDescent="0.25">
      <c r="G246" s="98"/>
      <c r="P246" s="123"/>
      <c r="Q246" s="123"/>
    </row>
    <row r="247" spans="7:17" x14ac:dyDescent="0.25">
      <c r="G247" s="98"/>
      <c r="P247" s="123"/>
      <c r="Q247" s="123"/>
    </row>
    <row r="248" spans="7:17" x14ac:dyDescent="0.25">
      <c r="G248" s="98"/>
      <c r="P248" s="123"/>
      <c r="Q248" s="123"/>
    </row>
    <row r="249" spans="7:17" x14ac:dyDescent="0.25">
      <c r="G249" s="98"/>
      <c r="P249" s="123"/>
      <c r="Q249" s="123"/>
    </row>
    <row r="250" spans="7:17" x14ac:dyDescent="0.25">
      <c r="G250" s="98"/>
      <c r="P250" s="123"/>
      <c r="Q250" s="123"/>
    </row>
    <row r="251" spans="7:17" x14ac:dyDescent="0.25">
      <c r="G251" s="98"/>
      <c r="P251" s="123"/>
      <c r="Q251" s="123"/>
    </row>
    <row r="252" spans="7:17" x14ac:dyDescent="0.25">
      <c r="G252" s="98"/>
      <c r="P252" s="123"/>
      <c r="Q252" s="123"/>
    </row>
    <row r="253" spans="7:17" x14ac:dyDescent="0.25">
      <c r="G253" s="98"/>
      <c r="P253" s="123"/>
      <c r="Q253" s="123"/>
    </row>
    <row r="254" spans="7:17" x14ac:dyDescent="0.25">
      <c r="G254" s="98"/>
      <c r="P254" s="123"/>
      <c r="Q254" s="123"/>
    </row>
    <row r="255" spans="7:17" x14ac:dyDescent="0.25">
      <c r="G255" s="98"/>
      <c r="P255" s="123"/>
      <c r="Q255" s="123"/>
    </row>
    <row r="256" spans="7:17" x14ac:dyDescent="0.25">
      <c r="G256" s="98"/>
      <c r="P256" s="123"/>
      <c r="Q256" s="123"/>
    </row>
    <row r="257" spans="7:17" x14ac:dyDescent="0.25">
      <c r="G257" s="98"/>
      <c r="P257" s="123"/>
      <c r="Q257" s="123"/>
    </row>
    <row r="258" spans="7:17" x14ac:dyDescent="0.25">
      <c r="G258" s="98"/>
      <c r="P258" s="123"/>
      <c r="Q258" s="123"/>
    </row>
    <row r="259" spans="7:17" x14ac:dyDescent="0.25">
      <c r="G259" s="98"/>
      <c r="P259" s="123"/>
      <c r="Q259" s="123"/>
    </row>
    <row r="260" spans="7:17" x14ac:dyDescent="0.25">
      <c r="G260" s="98"/>
    </row>
    <row r="261" spans="7:17" x14ac:dyDescent="0.25">
      <c r="G261" s="98"/>
    </row>
    <row r="262" spans="7:17" x14ac:dyDescent="0.25">
      <c r="G262" s="98"/>
    </row>
    <row r="263" spans="7:17" x14ac:dyDescent="0.25">
      <c r="G263" s="98"/>
    </row>
    <row r="264" spans="7:17" x14ac:dyDescent="0.25">
      <c r="G264" s="98"/>
    </row>
    <row r="265" spans="7:17" x14ac:dyDescent="0.25">
      <c r="G265" s="98"/>
    </row>
    <row r="266" spans="7:17" x14ac:dyDescent="0.25">
      <c r="G266" s="98"/>
    </row>
    <row r="267" spans="7:17" x14ac:dyDescent="0.25">
      <c r="G267" s="98"/>
    </row>
    <row r="268" spans="7:17" x14ac:dyDescent="0.25">
      <c r="G268" s="98"/>
    </row>
    <row r="269" spans="7:17" x14ac:dyDescent="0.25">
      <c r="G269" s="98"/>
    </row>
    <row r="270" spans="7:17" x14ac:dyDescent="0.25">
      <c r="G270" s="98"/>
    </row>
    <row r="271" spans="7:17" x14ac:dyDescent="0.25">
      <c r="G271" s="98"/>
    </row>
    <row r="272" spans="7:17" x14ac:dyDescent="0.25">
      <c r="G272" s="98"/>
    </row>
    <row r="273" spans="7:7" x14ac:dyDescent="0.25">
      <c r="G273" s="98"/>
    </row>
    <row r="274" spans="7:7" x14ac:dyDescent="0.25">
      <c r="G274" s="98"/>
    </row>
    <row r="275" spans="7:7" x14ac:dyDescent="0.25">
      <c r="G275" s="98"/>
    </row>
    <row r="276" spans="7:7" x14ac:dyDescent="0.25">
      <c r="G276" s="98"/>
    </row>
    <row r="277" spans="7:7" x14ac:dyDescent="0.25">
      <c r="G277" s="98"/>
    </row>
    <row r="278" spans="7:7" x14ac:dyDescent="0.25">
      <c r="G278" s="98"/>
    </row>
    <row r="279" spans="7:7" x14ac:dyDescent="0.25">
      <c r="G279" s="98"/>
    </row>
    <row r="280" spans="7:7" x14ac:dyDescent="0.25">
      <c r="G280" s="98"/>
    </row>
    <row r="281" spans="7:7" x14ac:dyDescent="0.25">
      <c r="G281" s="98"/>
    </row>
    <row r="282" spans="7:7" x14ac:dyDescent="0.25">
      <c r="G282" s="98"/>
    </row>
    <row r="283" spans="7:7" x14ac:dyDescent="0.25">
      <c r="G283" s="98"/>
    </row>
    <row r="284" spans="7:7" x14ac:dyDescent="0.25">
      <c r="G284" s="98"/>
    </row>
    <row r="285" spans="7:7" x14ac:dyDescent="0.25">
      <c r="G285" s="98"/>
    </row>
    <row r="286" spans="7:7" x14ac:dyDescent="0.25">
      <c r="G286" s="98"/>
    </row>
    <row r="287" spans="7:7" x14ac:dyDescent="0.25">
      <c r="G287" s="98"/>
    </row>
    <row r="288" spans="7:7" x14ac:dyDescent="0.25">
      <c r="G288" s="98"/>
    </row>
    <row r="289" spans="7:7" x14ac:dyDescent="0.25">
      <c r="G289" s="98"/>
    </row>
    <row r="290" spans="7:7" x14ac:dyDescent="0.25">
      <c r="G290" s="98"/>
    </row>
    <row r="291" spans="7:7" x14ac:dyDescent="0.25">
      <c r="G291" s="98"/>
    </row>
    <row r="292" spans="7:7" x14ac:dyDescent="0.25">
      <c r="G292" s="98"/>
    </row>
    <row r="293" spans="7:7" x14ac:dyDescent="0.25">
      <c r="G293" s="98"/>
    </row>
    <row r="294" spans="7:7" x14ac:dyDescent="0.25">
      <c r="G294" s="98"/>
    </row>
    <row r="295" spans="7:7" x14ac:dyDescent="0.25">
      <c r="G295" s="98"/>
    </row>
    <row r="296" spans="7:7" x14ac:dyDescent="0.25">
      <c r="G296" s="98"/>
    </row>
    <row r="297" spans="7:7" x14ac:dyDescent="0.25">
      <c r="G297" s="98"/>
    </row>
    <row r="298" spans="7:7" x14ac:dyDescent="0.25">
      <c r="G298" s="98"/>
    </row>
    <row r="299" spans="7:7" x14ac:dyDescent="0.25">
      <c r="G299" s="98"/>
    </row>
    <row r="300" spans="7:7" x14ac:dyDescent="0.25">
      <c r="G300" s="98"/>
    </row>
    <row r="301" spans="7:7" x14ac:dyDescent="0.25">
      <c r="G301" s="98"/>
    </row>
    <row r="302" spans="7:7" x14ac:dyDescent="0.25">
      <c r="G302" s="98"/>
    </row>
    <row r="303" spans="7:7" x14ac:dyDescent="0.25">
      <c r="G303" s="98"/>
    </row>
    <row r="304" spans="7:7" x14ac:dyDescent="0.25">
      <c r="G304" s="98"/>
    </row>
    <row r="305" spans="7:7" x14ac:dyDescent="0.25">
      <c r="G305" s="98"/>
    </row>
    <row r="306" spans="7:7" x14ac:dyDescent="0.25">
      <c r="G306" s="98"/>
    </row>
    <row r="307" spans="7:7" x14ac:dyDescent="0.25">
      <c r="G307" s="98"/>
    </row>
    <row r="308" spans="7:7" x14ac:dyDescent="0.25">
      <c r="G308" s="98"/>
    </row>
    <row r="309" spans="7:7" x14ac:dyDescent="0.25">
      <c r="G309" s="98"/>
    </row>
    <row r="310" spans="7:7" x14ac:dyDescent="0.25">
      <c r="G310" s="98"/>
    </row>
    <row r="311" spans="7:7" x14ac:dyDescent="0.25">
      <c r="G311" s="98"/>
    </row>
    <row r="312" spans="7:7" x14ac:dyDescent="0.25">
      <c r="G312" s="98"/>
    </row>
    <row r="313" spans="7:7" x14ac:dyDescent="0.25">
      <c r="G313" s="98"/>
    </row>
    <row r="314" spans="7:7" x14ac:dyDescent="0.25">
      <c r="G314" s="98"/>
    </row>
    <row r="315" spans="7:7" x14ac:dyDescent="0.25">
      <c r="G315" s="98"/>
    </row>
    <row r="316" spans="7:7" x14ac:dyDescent="0.25">
      <c r="G316" s="98"/>
    </row>
    <row r="317" spans="7:7" x14ac:dyDescent="0.25">
      <c r="G317" s="98"/>
    </row>
    <row r="318" spans="7:7" x14ac:dyDescent="0.25">
      <c r="G318" s="98"/>
    </row>
    <row r="319" spans="7:7" x14ac:dyDescent="0.25">
      <c r="G319" s="98"/>
    </row>
    <row r="320" spans="7:7" x14ac:dyDescent="0.25">
      <c r="G320" s="98"/>
    </row>
    <row r="321" spans="7:7" x14ac:dyDescent="0.25">
      <c r="G321" s="98"/>
    </row>
    <row r="322" spans="7:7" x14ac:dyDescent="0.25">
      <c r="G322" s="98"/>
    </row>
    <row r="323" spans="7:7" x14ac:dyDescent="0.25">
      <c r="G323" s="98"/>
    </row>
    <row r="324" spans="7:7" x14ac:dyDescent="0.25">
      <c r="G324" s="98"/>
    </row>
    <row r="325" spans="7:7" x14ac:dyDescent="0.25">
      <c r="G325" s="98"/>
    </row>
    <row r="326" spans="7:7" x14ac:dyDescent="0.25">
      <c r="G326" s="98"/>
    </row>
    <row r="327" spans="7:7" x14ac:dyDescent="0.25">
      <c r="G327" s="98"/>
    </row>
    <row r="328" spans="7:7" x14ac:dyDescent="0.25">
      <c r="G328" s="98"/>
    </row>
    <row r="329" spans="7:7" x14ac:dyDescent="0.25">
      <c r="G329" s="98"/>
    </row>
    <row r="330" spans="7:7" x14ac:dyDescent="0.25">
      <c r="G330" s="98"/>
    </row>
    <row r="331" spans="7:7" x14ac:dyDescent="0.25">
      <c r="G331" s="98"/>
    </row>
    <row r="332" spans="7:7" x14ac:dyDescent="0.25">
      <c r="G332" s="98"/>
    </row>
    <row r="333" spans="7:7" x14ac:dyDescent="0.25">
      <c r="G333" s="98"/>
    </row>
    <row r="334" spans="7:7" x14ac:dyDescent="0.25">
      <c r="G334" s="98"/>
    </row>
    <row r="335" spans="7:7" x14ac:dyDescent="0.25">
      <c r="G335" s="98"/>
    </row>
    <row r="336" spans="7:7" x14ac:dyDescent="0.25">
      <c r="G336" s="98"/>
    </row>
    <row r="337" spans="7:7" x14ac:dyDescent="0.25">
      <c r="G337" s="98"/>
    </row>
    <row r="338" spans="7:7" x14ac:dyDescent="0.25">
      <c r="G338" s="98"/>
    </row>
    <row r="339" spans="7:7" x14ac:dyDescent="0.25">
      <c r="G339" s="98"/>
    </row>
    <row r="340" spans="7:7" x14ac:dyDescent="0.25">
      <c r="G340" s="98"/>
    </row>
    <row r="341" spans="7:7" x14ac:dyDescent="0.25">
      <c r="G341" s="98"/>
    </row>
    <row r="342" spans="7:7" x14ac:dyDescent="0.25">
      <c r="G342" s="98"/>
    </row>
    <row r="343" spans="7:7" x14ac:dyDescent="0.25">
      <c r="G343" s="98"/>
    </row>
    <row r="344" spans="7:7" x14ac:dyDescent="0.25">
      <c r="G344" s="98"/>
    </row>
    <row r="345" spans="7:7" x14ac:dyDescent="0.25">
      <c r="G345" s="98"/>
    </row>
    <row r="346" spans="7:7" x14ac:dyDescent="0.25">
      <c r="G346" s="98"/>
    </row>
    <row r="347" spans="7:7" x14ac:dyDescent="0.25">
      <c r="G347" s="98"/>
    </row>
    <row r="348" spans="7:7" x14ac:dyDescent="0.25">
      <c r="G348" s="98"/>
    </row>
    <row r="349" spans="7:7" x14ac:dyDescent="0.25">
      <c r="G349" s="98"/>
    </row>
    <row r="350" spans="7:7" x14ac:dyDescent="0.25">
      <c r="G350" s="98"/>
    </row>
    <row r="351" spans="7:7" x14ac:dyDescent="0.25">
      <c r="G351" s="98"/>
    </row>
    <row r="352" spans="7:7" x14ac:dyDescent="0.25">
      <c r="G352" s="98"/>
    </row>
    <row r="353" spans="7:7" x14ac:dyDescent="0.25">
      <c r="G353" s="98"/>
    </row>
    <row r="354" spans="7:7" x14ac:dyDescent="0.25">
      <c r="G354" s="98"/>
    </row>
    <row r="355" spans="7:7" x14ac:dyDescent="0.25">
      <c r="G355" s="98"/>
    </row>
    <row r="356" spans="7:7" x14ac:dyDescent="0.25">
      <c r="G356" s="98"/>
    </row>
    <row r="357" spans="7:7" x14ac:dyDescent="0.25">
      <c r="G357" s="98"/>
    </row>
    <row r="358" spans="7:7" x14ac:dyDescent="0.25">
      <c r="G358" s="98"/>
    </row>
    <row r="359" spans="7:7" x14ac:dyDescent="0.25">
      <c r="G359" s="98"/>
    </row>
    <row r="360" spans="7:7" x14ac:dyDescent="0.25">
      <c r="G360" s="98"/>
    </row>
    <row r="361" spans="7:7" x14ac:dyDescent="0.25">
      <c r="G361" s="98"/>
    </row>
    <row r="362" spans="7:7" x14ac:dyDescent="0.25">
      <c r="G362" s="98"/>
    </row>
    <row r="363" spans="7:7" x14ac:dyDescent="0.25">
      <c r="G363" s="98"/>
    </row>
    <row r="364" spans="7:7" x14ac:dyDescent="0.25">
      <c r="G364" s="98"/>
    </row>
    <row r="365" spans="7:7" x14ac:dyDescent="0.25">
      <c r="G365" s="98"/>
    </row>
    <row r="366" spans="7:7" x14ac:dyDescent="0.25">
      <c r="G366" s="98"/>
    </row>
    <row r="367" spans="7:7" x14ac:dyDescent="0.25">
      <c r="G367" s="98"/>
    </row>
    <row r="368" spans="7:7" x14ac:dyDescent="0.25">
      <c r="G368" s="98"/>
    </row>
    <row r="369" spans="7:7" x14ac:dyDescent="0.25">
      <c r="G369" s="98"/>
    </row>
    <row r="370" spans="7:7" x14ac:dyDescent="0.25">
      <c r="G370" s="98"/>
    </row>
    <row r="371" spans="7:7" x14ac:dyDescent="0.25">
      <c r="G371" s="98"/>
    </row>
    <row r="372" spans="7:7" x14ac:dyDescent="0.25">
      <c r="G372" s="98"/>
    </row>
    <row r="373" spans="7:7" x14ac:dyDescent="0.25">
      <c r="G373" s="98"/>
    </row>
    <row r="374" spans="7:7" x14ac:dyDescent="0.25">
      <c r="G374" s="98"/>
    </row>
    <row r="375" spans="7:7" x14ac:dyDescent="0.25">
      <c r="G375" s="98"/>
    </row>
    <row r="376" spans="7:7" x14ac:dyDescent="0.25">
      <c r="G376" s="98"/>
    </row>
    <row r="377" spans="7:7" x14ac:dyDescent="0.25">
      <c r="G377" s="98"/>
    </row>
    <row r="378" spans="7:7" x14ac:dyDescent="0.25">
      <c r="G378" s="98"/>
    </row>
    <row r="379" spans="7:7" x14ac:dyDescent="0.25">
      <c r="G379" s="98"/>
    </row>
    <row r="380" spans="7:7" x14ac:dyDescent="0.25">
      <c r="G380" s="98"/>
    </row>
    <row r="381" spans="7:7" x14ac:dyDescent="0.25">
      <c r="G381" s="98"/>
    </row>
    <row r="382" spans="7:7" x14ac:dyDescent="0.25">
      <c r="G382" s="98"/>
    </row>
    <row r="383" spans="7:7" x14ac:dyDescent="0.25">
      <c r="G383" s="98"/>
    </row>
    <row r="384" spans="7:7" x14ac:dyDescent="0.25">
      <c r="G384" s="98"/>
    </row>
    <row r="385" spans="7:7" x14ac:dyDescent="0.25">
      <c r="G385" s="98"/>
    </row>
    <row r="386" spans="7:7" x14ac:dyDescent="0.25">
      <c r="G386" s="98"/>
    </row>
    <row r="387" spans="7:7" x14ac:dyDescent="0.25">
      <c r="G387" s="98"/>
    </row>
    <row r="388" spans="7:7" x14ac:dyDescent="0.25">
      <c r="G388" s="98"/>
    </row>
    <row r="389" spans="7:7" x14ac:dyDescent="0.25">
      <c r="G389" s="98"/>
    </row>
    <row r="390" spans="7:7" x14ac:dyDescent="0.25">
      <c r="G390" s="98"/>
    </row>
    <row r="391" spans="7:7" x14ac:dyDescent="0.25">
      <c r="G391" s="98"/>
    </row>
    <row r="392" spans="7:7" x14ac:dyDescent="0.25">
      <c r="G392" s="98"/>
    </row>
    <row r="393" spans="7:7" x14ac:dyDescent="0.25">
      <c r="G393" s="98"/>
    </row>
    <row r="394" spans="7:7" x14ac:dyDescent="0.25">
      <c r="G394" s="98"/>
    </row>
    <row r="395" spans="7:7" x14ac:dyDescent="0.25">
      <c r="G395" s="98"/>
    </row>
    <row r="396" spans="7:7" x14ac:dyDescent="0.25">
      <c r="G396" s="98"/>
    </row>
    <row r="397" spans="7:7" x14ac:dyDescent="0.25">
      <c r="G397" s="98"/>
    </row>
    <row r="398" spans="7:7" x14ac:dyDescent="0.25">
      <c r="G398" s="98"/>
    </row>
    <row r="399" spans="7:7" x14ac:dyDescent="0.25">
      <c r="G399" s="98"/>
    </row>
    <row r="400" spans="7:7" x14ac:dyDescent="0.25">
      <c r="G400" s="98"/>
    </row>
    <row r="401" spans="7:7" x14ac:dyDescent="0.25">
      <c r="G401" s="98"/>
    </row>
    <row r="402" spans="7:7" x14ac:dyDescent="0.25">
      <c r="G402" s="98"/>
    </row>
    <row r="403" spans="7:7" x14ac:dyDescent="0.25">
      <c r="G403" s="98"/>
    </row>
    <row r="404" spans="7:7" x14ac:dyDescent="0.25">
      <c r="G404" s="98"/>
    </row>
    <row r="405" spans="7:7" x14ac:dyDescent="0.25">
      <c r="G405" s="98"/>
    </row>
    <row r="406" spans="7:7" x14ac:dyDescent="0.25">
      <c r="G406" s="98"/>
    </row>
    <row r="407" spans="7:7" x14ac:dyDescent="0.25">
      <c r="G407" s="98"/>
    </row>
    <row r="408" spans="7:7" x14ac:dyDescent="0.25">
      <c r="G408" s="98"/>
    </row>
    <row r="409" spans="7:7" x14ac:dyDescent="0.25">
      <c r="G409" s="98"/>
    </row>
    <row r="410" spans="7:7" x14ac:dyDescent="0.25">
      <c r="G410" s="98"/>
    </row>
    <row r="411" spans="7:7" x14ac:dyDescent="0.25">
      <c r="G411" s="98"/>
    </row>
    <row r="412" spans="7:7" x14ac:dyDescent="0.25">
      <c r="G412" s="98"/>
    </row>
    <row r="413" spans="7:7" x14ac:dyDescent="0.25">
      <c r="G413" s="98"/>
    </row>
    <row r="414" spans="7:7" x14ac:dyDescent="0.25">
      <c r="G414" s="98"/>
    </row>
    <row r="415" spans="7:7" x14ac:dyDescent="0.25">
      <c r="G415" s="98"/>
    </row>
    <row r="416" spans="7:7" x14ac:dyDescent="0.25">
      <c r="G416" s="98"/>
    </row>
    <row r="417" spans="7:7" x14ac:dyDescent="0.25">
      <c r="G417" s="98"/>
    </row>
    <row r="418" spans="7:7" x14ac:dyDescent="0.25">
      <c r="G418" s="98"/>
    </row>
    <row r="419" spans="7:7" x14ac:dyDescent="0.25">
      <c r="G419" s="98"/>
    </row>
    <row r="420" spans="7:7" x14ac:dyDescent="0.25">
      <c r="G420" s="98"/>
    </row>
    <row r="421" spans="7:7" x14ac:dyDescent="0.25">
      <c r="G421" s="98"/>
    </row>
    <row r="422" spans="7:7" x14ac:dyDescent="0.25">
      <c r="G422" s="98"/>
    </row>
    <row r="423" spans="7:7" x14ac:dyDescent="0.25">
      <c r="G423" s="98"/>
    </row>
    <row r="424" spans="7:7" x14ac:dyDescent="0.25">
      <c r="G424" s="98"/>
    </row>
    <row r="425" spans="7:7" x14ac:dyDescent="0.25">
      <c r="G425" s="98"/>
    </row>
    <row r="426" spans="7:7" x14ac:dyDescent="0.25">
      <c r="G426" s="98"/>
    </row>
    <row r="427" spans="7:7" x14ac:dyDescent="0.25">
      <c r="G427" s="98"/>
    </row>
    <row r="428" spans="7:7" x14ac:dyDescent="0.25">
      <c r="G428" s="98"/>
    </row>
    <row r="429" spans="7:7" x14ac:dyDescent="0.25">
      <c r="G429" s="98"/>
    </row>
    <row r="430" spans="7:7" x14ac:dyDescent="0.25">
      <c r="G430" s="98"/>
    </row>
    <row r="431" spans="7:7" x14ac:dyDescent="0.25">
      <c r="G431" s="98"/>
    </row>
    <row r="432" spans="7:7" x14ac:dyDescent="0.25">
      <c r="G432" s="98"/>
    </row>
    <row r="433" spans="7:7" x14ac:dyDescent="0.25">
      <c r="G433" s="98"/>
    </row>
    <row r="434" spans="7:7" x14ac:dyDescent="0.25">
      <c r="G434" s="98"/>
    </row>
    <row r="435" spans="7:7" x14ac:dyDescent="0.25">
      <c r="G435" s="98"/>
    </row>
    <row r="436" spans="7:7" x14ac:dyDescent="0.25">
      <c r="G436" s="98"/>
    </row>
    <row r="437" spans="7:7" x14ac:dyDescent="0.25">
      <c r="G437" s="98"/>
    </row>
    <row r="438" spans="7:7" x14ac:dyDescent="0.25">
      <c r="G438" s="98"/>
    </row>
    <row r="439" spans="7:7" x14ac:dyDescent="0.25">
      <c r="G439" s="98"/>
    </row>
    <row r="440" spans="7:7" x14ac:dyDescent="0.25">
      <c r="G440" s="98"/>
    </row>
    <row r="441" spans="7:7" x14ac:dyDescent="0.25">
      <c r="G441" s="98"/>
    </row>
    <row r="442" spans="7:7" x14ac:dyDescent="0.25">
      <c r="G442" s="98"/>
    </row>
    <row r="443" spans="7:7" x14ac:dyDescent="0.25">
      <c r="G443" s="98"/>
    </row>
    <row r="444" spans="7:7" x14ac:dyDescent="0.25">
      <c r="G444" s="98"/>
    </row>
    <row r="445" spans="7:7" x14ac:dyDescent="0.25">
      <c r="G445" s="98"/>
    </row>
    <row r="446" spans="7:7" x14ac:dyDescent="0.25">
      <c r="G446" s="98"/>
    </row>
    <row r="447" spans="7:7" x14ac:dyDescent="0.25">
      <c r="G447" s="98"/>
    </row>
    <row r="448" spans="7:7" x14ac:dyDescent="0.25">
      <c r="G448" s="98"/>
    </row>
    <row r="449" spans="7:7" x14ac:dyDescent="0.25">
      <c r="G449" s="98"/>
    </row>
    <row r="450" spans="7:7" x14ac:dyDescent="0.25">
      <c r="G450" s="98"/>
    </row>
    <row r="451" spans="7:7" x14ac:dyDescent="0.25">
      <c r="G451" s="98"/>
    </row>
    <row r="452" spans="7:7" x14ac:dyDescent="0.25">
      <c r="G452" s="98"/>
    </row>
    <row r="453" spans="7:7" x14ac:dyDescent="0.25">
      <c r="G453" s="98"/>
    </row>
    <row r="454" spans="7:7" x14ac:dyDescent="0.25">
      <c r="G454" s="98"/>
    </row>
    <row r="455" spans="7:7" x14ac:dyDescent="0.25">
      <c r="G455" s="98"/>
    </row>
    <row r="456" spans="7:7" x14ac:dyDescent="0.25">
      <c r="G456" s="98"/>
    </row>
    <row r="457" spans="7:7" x14ac:dyDescent="0.25">
      <c r="G457" s="98"/>
    </row>
    <row r="458" spans="7:7" x14ac:dyDescent="0.25">
      <c r="G458" s="98"/>
    </row>
    <row r="459" spans="7:7" x14ac:dyDescent="0.25">
      <c r="G459" s="98"/>
    </row>
    <row r="460" spans="7:7" x14ac:dyDescent="0.25">
      <c r="G460" s="98"/>
    </row>
    <row r="461" spans="7:7" x14ac:dyDescent="0.25">
      <c r="G461" s="98"/>
    </row>
    <row r="462" spans="7:7" x14ac:dyDescent="0.25">
      <c r="G462" s="98"/>
    </row>
    <row r="463" spans="7:7" x14ac:dyDescent="0.25">
      <c r="G463" s="98"/>
    </row>
    <row r="464" spans="7:7" x14ac:dyDescent="0.25">
      <c r="G464" s="98"/>
    </row>
    <row r="465" spans="7:7" x14ac:dyDescent="0.25">
      <c r="G465" s="98"/>
    </row>
    <row r="466" spans="7:7" x14ac:dyDescent="0.25">
      <c r="G466" s="98"/>
    </row>
    <row r="467" spans="7:7" x14ac:dyDescent="0.25">
      <c r="G467" s="98"/>
    </row>
    <row r="468" spans="7:7" x14ac:dyDescent="0.25">
      <c r="G468" s="98"/>
    </row>
    <row r="469" spans="7:7" x14ac:dyDescent="0.25">
      <c r="G469" s="98"/>
    </row>
    <row r="470" spans="7:7" x14ac:dyDescent="0.25">
      <c r="G470" s="98"/>
    </row>
    <row r="471" spans="7:7" x14ac:dyDescent="0.25">
      <c r="G471" s="98"/>
    </row>
    <row r="472" spans="7:7" x14ac:dyDescent="0.25">
      <c r="G472" s="98"/>
    </row>
    <row r="473" spans="7:7" x14ac:dyDescent="0.25">
      <c r="G473" s="98"/>
    </row>
    <row r="474" spans="7:7" x14ac:dyDescent="0.25">
      <c r="G474" s="98"/>
    </row>
    <row r="475" spans="7:7" x14ac:dyDescent="0.25">
      <c r="G475" s="98"/>
    </row>
    <row r="476" spans="7:7" x14ac:dyDescent="0.25">
      <c r="G476" s="98"/>
    </row>
    <row r="477" spans="7:7" x14ac:dyDescent="0.25">
      <c r="G477" s="98"/>
    </row>
    <row r="478" spans="7:7" x14ac:dyDescent="0.25">
      <c r="G478" s="98"/>
    </row>
    <row r="479" spans="7:7" x14ac:dyDescent="0.25">
      <c r="G479" s="98"/>
    </row>
    <row r="480" spans="7:7" x14ac:dyDescent="0.25">
      <c r="G480" s="98"/>
    </row>
    <row r="481" spans="7:7" x14ac:dyDescent="0.25">
      <c r="G481" s="98"/>
    </row>
    <row r="482" spans="7:7" x14ac:dyDescent="0.25">
      <c r="G482" s="98"/>
    </row>
    <row r="483" spans="7:7" x14ac:dyDescent="0.25">
      <c r="G483" s="98"/>
    </row>
    <row r="484" spans="7:7" x14ac:dyDescent="0.25">
      <c r="G484" s="98"/>
    </row>
    <row r="485" spans="7:7" x14ac:dyDescent="0.25">
      <c r="G485" s="98"/>
    </row>
    <row r="486" spans="7:7" x14ac:dyDescent="0.25">
      <c r="G486" s="98"/>
    </row>
    <row r="487" spans="7:7" x14ac:dyDescent="0.25">
      <c r="G487" s="98"/>
    </row>
    <row r="488" spans="7:7" x14ac:dyDescent="0.25">
      <c r="G488" s="98"/>
    </row>
    <row r="489" spans="7:7" x14ac:dyDescent="0.25">
      <c r="G489" s="98"/>
    </row>
    <row r="490" spans="7:7" x14ac:dyDescent="0.25">
      <c r="G490" s="98"/>
    </row>
    <row r="491" spans="7:7" x14ac:dyDescent="0.25">
      <c r="G491" s="98"/>
    </row>
    <row r="492" spans="7:7" x14ac:dyDescent="0.25">
      <c r="G492" s="98"/>
    </row>
    <row r="493" spans="7:7" x14ac:dyDescent="0.25">
      <c r="G493" s="98"/>
    </row>
    <row r="494" spans="7:7" x14ac:dyDescent="0.25">
      <c r="G494" s="98"/>
    </row>
    <row r="495" spans="7:7" x14ac:dyDescent="0.25">
      <c r="G495" s="98"/>
    </row>
    <row r="496" spans="7:7" x14ac:dyDescent="0.25">
      <c r="G496" s="98"/>
    </row>
    <row r="497" spans="7:7" x14ac:dyDescent="0.25">
      <c r="G497" s="98"/>
    </row>
    <row r="498" spans="7:7" x14ac:dyDescent="0.25">
      <c r="G498" s="98"/>
    </row>
    <row r="499" spans="7:7" x14ac:dyDescent="0.25">
      <c r="G499" s="98"/>
    </row>
    <row r="500" spans="7:7" x14ac:dyDescent="0.25">
      <c r="G500" s="98"/>
    </row>
    <row r="501" spans="7:7" x14ac:dyDescent="0.25">
      <c r="G501" s="98"/>
    </row>
    <row r="502" spans="7:7" x14ac:dyDescent="0.25">
      <c r="G502" s="98"/>
    </row>
    <row r="503" spans="7:7" x14ac:dyDescent="0.25">
      <c r="G503" s="98"/>
    </row>
    <row r="504" spans="7:7" x14ac:dyDescent="0.25">
      <c r="G504" s="98"/>
    </row>
    <row r="505" spans="7:7" x14ac:dyDescent="0.25">
      <c r="G505" s="98"/>
    </row>
    <row r="506" spans="7:7" x14ac:dyDescent="0.25">
      <c r="G506" s="98"/>
    </row>
    <row r="507" spans="7:7" x14ac:dyDescent="0.25">
      <c r="G507" s="98"/>
    </row>
    <row r="508" spans="7:7" x14ac:dyDescent="0.25">
      <c r="G508" s="98"/>
    </row>
    <row r="509" spans="7:7" x14ac:dyDescent="0.25">
      <c r="G509" s="98"/>
    </row>
    <row r="510" spans="7:7" x14ac:dyDescent="0.25">
      <c r="G510" s="98"/>
    </row>
    <row r="511" spans="7:7" x14ac:dyDescent="0.25">
      <c r="G511" s="98"/>
    </row>
    <row r="512" spans="7:7" x14ac:dyDescent="0.25">
      <c r="G512" s="98"/>
    </row>
    <row r="513" spans="7:7" x14ac:dyDescent="0.25">
      <c r="G513" s="98"/>
    </row>
    <row r="514" spans="7:7" x14ac:dyDescent="0.25">
      <c r="G514" s="98"/>
    </row>
    <row r="515" spans="7:7" x14ac:dyDescent="0.25">
      <c r="G515" s="98"/>
    </row>
    <row r="516" spans="7:7" x14ac:dyDescent="0.25">
      <c r="G516" s="98"/>
    </row>
    <row r="517" spans="7:7" x14ac:dyDescent="0.25">
      <c r="G517" s="98"/>
    </row>
    <row r="518" spans="7:7" x14ac:dyDescent="0.25">
      <c r="G518" s="98"/>
    </row>
    <row r="519" spans="7:7" x14ac:dyDescent="0.25">
      <c r="G519" s="98"/>
    </row>
    <row r="520" spans="7:7" x14ac:dyDescent="0.25">
      <c r="G520" s="98"/>
    </row>
    <row r="521" spans="7:7" x14ac:dyDescent="0.25">
      <c r="G521" s="98"/>
    </row>
    <row r="522" spans="7:7" x14ac:dyDescent="0.25">
      <c r="G522" s="98"/>
    </row>
    <row r="523" spans="7:7" x14ac:dyDescent="0.25">
      <c r="G523" s="98"/>
    </row>
    <row r="524" spans="7:7" x14ac:dyDescent="0.25">
      <c r="G524" s="98"/>
    </row>
    <row r="525" spans="7:7" x14ac:dyDescent="0.25">
      <c r="G525" s="98"/>
    </row>
    <row r="526" spans="7:7" x14ac:dyDescent="0.25">
      <c r="G526" s="98"/>
    </row>
    <row r="527" spans="7:7" x14ac:dyDescent="0.25">
      <c r="G527" s="98"/>
    </row>
    <row r="528" spans="7:7" x14ac:dyDescent="0.25">
      <c r="G528" s="98"/>
    </row>
    <row r="529" spans="7:7" x14ac:dyDescent="0.25">
      <c r="G529" s="98"/>
    </row>
    <row r="530" spans="7:7" x14ac:dyDescent="0.25">
      <c r="G530" s="98"/>
    </row>
    <row r="531" spans="7:7" x14ac:dyDescent="0.25">
      <c r="G531" s="98"/>
    </row>
    <row r="532" spans="7:7" x14ac:dyDescent="0.25">
      <c r="G532" s="98"/>
    </row>
    <row r="533" spans="7:7" x14ac:dyDescent="0.25">
      <c r="G533" s="98"/>
    </row>
    <row r="534" spans="7:7" x14ac:dyDescent="0.25">
      <c r="G534" s="98"/>
    </row>
    <row r="535" spans="7:7" x14ac:dyDescent="0.25">
      <c r="G535" s="98"/>
    </row>
    <row r="536" spans="7:7" x14ac:dyDescent="0.25">
      <c r="G536" s="98"/>
    </row>
    <row r="537" spans="7:7" x14ac:dyDescent="0.25">
      <c r="G537" s="98"/>
    </row>
    <row r="538" spans="7:7" x14ac:dyDescent="0.25">
      <c r="G538" s="98"/>
    </row>
    <row r="539" spans="7:7" x14ac:dyDescent="0.25">
      <c r="G539" s="98"/>
    </row>
    <row r="540" spans="7:7" x14ac:dyDescent="0.25">
      <c r="G540" s="98"/>
    </row>
    <row r="541" spans="7:7" x14ac:dyDescent="0.25">
      <c r="G541" s="98"/>
    </row>
    <row r="542" spans="7:7" x14ac:dyDescent="0.25">
      <c r="G542" s="98"/>
    </row>
    <row r="543" spans="7:7" x14ac:dyDescent="0.25">
      <c r="G543" s="98"/>
    </row>
    <row r="544" spans="7:7" x14ac:dyDescent="0.25">
      <c r="G544" s="98"/>
    </row>
    <row r="545" spans="7:7" x14ac:dyDescent="0.25">
      <c r="G545" s="98"/>
    </row>
    <row r="546" spans="7:7" x14ac:dyDescent="0.25">
      <c r="G546" s="98"/>
    </row>
    <row r="547" spans="7:7" x14ac:dyDescent="0.25">
      <c r="G547" s="98"/>
    </row>
    <row r="548" spans="7:7" x14ac:dyDescent="0.25">
      <c r="G548" s="98"/>
    </row>
    <row r="549" spans="7:7" x14ac:dyDescent="0.25">
      <c r="G549" s="98"/>
    </row>
    <row r="550" spans="7:7" x14ac:dyDescent="0.25">
      <c r="G550" s="98"/>
    </row>
    <row r="551" spans="7:7" x14ac:dyDescent="0.25">
      <c r="G551" s="98"/>
    </row>
    <row r="552" spans="7:7" x14ac:dyDescent="0.25">
      <c r="G552" s="98"/>
    </row>
    <row r="553" spans="7:7" x14ac:dyDescent="0.25">
      <c r="G553" s="98"/>
    </row>
    <row r="554" spans="7:7" x14ac:dyDescent="0.25">
      <c r="G554" s="98"/>
    </row>
    <row r="555" spans="7:7" x14ac:dyDescent="0.25">
      <c r="G555" s="98"/>
    </row>
    <row r="556" spans="7:7" x14ac:dyDescent="0.25">
      <c r="G556" s="98"/>
    </row>
    <row r="557" spans="7:7" x14ac:dyDescent="0.25">
      <c r="G557" s="98"/>
    </row>
    <row r="558" spans="7:7" x14ac:dyDescent="0.25">
      <c r="G558" s="98"/>
    </row>
    <row r="559" spans="7:7" x14ac:dyDescent="0.25">
      <c r="G559" s="98"/>
    </row>
    <row r="560" spans="7:7" x14ac:dyDescent="0.25">
      <c r="G560" s="98"/>
    </row>
    <row r="561" spans="7:7" x14ac:dyDescent="0.25">
      <c r="G561" s="98"/>
    </row>
    <row r="562" spans="7:7" x14ac:dyDescent="0.25">
      <c r="G562" s="98"/>
    </row>
    <row r="563" spans="7:7" x14ac:dyDescent="0.25">
      <c r="G563" s="98"/>
    </row>
    <row r="564" spans="7:7" x14ac:dyDescent="0.25">
      <c r="G564" s="98"/>
    </row>
    <row r="565" spans="7:7" x14ac:dyDescent="0.25">
      <c r="G565" s="98"/>
    </row>
    <row r="566" spans="7:7" x14ac:dyDescent="0.25">
      <c r="G566" s="98"/>
    </row>
    <row r="567" spans="7:7" x14ac:dyDescent="0.25">
      <c r="G567" s="98"/>
    </row>
    <row r="568" spans="7:7" x14ac:dyDescent="0.25">
      <c r="G568" s="98"/>
    </row>
    <row r="569" spans="7:7" x14ac:dyDescent="0.25">
      <c r="G569" s="98"/>
    </row>
    <row r="570" spans="7:7" x14ac:dyDescent="0.25">
      <c r="G570" s="98"/>
    </row>
    <row r="571" spans="7:7" x14ac:dyDescent="0.25">
      <c r="G571" s="98"/>
    </row>
    <row r="572" spans="7:7" x14ac:dyDescent="0.25">
      <c r="G572" s="98"/>
    </row>
    <row r="573" spans="7:7" x14ac:dyDescent="0.25">
      <c r="G573" s="98"/>
    </row>
    <row r="574" spans="7:7" x14ac:dyDescent="0.25">
      <c r="G574" s="98"/>
    </row>
    <row r="575" spans="7:7" x14ac:dyDescent="0.25">
      <c r="G575" s="98"/>
    </row>
    <row r="576" spans="7:7" x14ac:dyDescent="0.25">
      <c r="G576" s="98"/>
    </row>
    <row r="577" spans="7:7" x14ac:dyDescent="0.25">
      <c r="G577" s="98"/>
    </row>
    <row r="578" spans="7:7" x14ac:dyDescent="0.25">
      <c r="G578" s="98"/>
    </row>
    <row r="579" spans="7:7" x14ac:dyDescent="0.25">
      <c r="G579" s="98"/>
    </row>
    <row r="580" spans="7:7" x14ac:dyDescent="0.25">
      <c r="G580" s="98"/>
    </row>
    <row r="581" spans="7:7" x14ac:dyDescent="0.25">
      <c r="G581" s="98"/>
    </row>
    <row r="582" spans="7:7" x14ac:dyDescent="0.25">
      <c r="G582" s="98"/>
    </row>
    <row r="583" spans="7:7" x14ac:dyDescent="0.25">
      <c r="G583" s="98"/>
    </row>
    <row r="584" spans="7:7" x14ac:dyDescent="0.25">
      <c r="G584" s="98"/>
    </row>
    <row r="585" spans="7:7" x14ac:dyDescent="0.25">
      <c r="G585" s="98"/>
    </row>
    <row r="586" spans="7:7" x14ac:dyDescent="0.25">
      <c r="G586" s="98"/>
    </row>
    <row r="587" spans="7:7" x14ac:dyDescent="0.25">
      <c r="G587" s="98"/>
    </row>
    <row r="588" spans="7:7" x14ac:dyDescent="0.25">
      <c r="G588" s="98"/>
    </row>
    <row r="589" spans="7:7" x14ac:dyDescent="0.25">
      <c r="G589" s="98"/>
    </row>
    <row r="590" spans="7:7" x14ac:dyDescent="0.25">
      <c r="G590" s="98"/>
    </row>
    <row r="591" spans="7:7" x14ac:dyDescent="0.25">
      <c r="G591" s="98"/>
    </row>
    <row r="592" spans="7:7" x14ac:dyDescent="0.25">
      <c r="G592" s="98"/>
    </row>
    <row r="593" spans="7:7" x14ac:dyDescent="0.25">
      <c r="G593" s="98"/>
    </row>
    <row r="594" spans="7:7" x14ac:dyDescent="0.25">
      <c r="G594" s="98"/>
    </row>
    <row r="595" spans="7:7" x14ac:dyDescent="0.25">
      <c r="G595" s="98"/>
    </row>
    <row r="596" spans="7:7" x14ac:dyDescent="0.25">
      <c r="G596" s="98"/>
    </row>
    <row r="597" spans="7:7" x14ac:dyDescent="0.25">
      <c r="G597" s="98"/>
    </row>
    <row r="598" spans="7:7" x14ac:dyDescent="0.25">
      <c r="G598" s="98"/>
    </row>
    <row r="599" spans="7:7" x14ac:dyDescent="0.25">
      <c r="G599" s="98"/>
    </row>
    <row r="600" spans="7:7" x14ac:dyDescent="0.25">
      <c r="G600" s="98"/>
    </row>
    <row r="601" spans="7:7" x14ac:dyDescent="0.25">
      <c r="G601" s="98"/>
    </row>
    <row r="602" spans="7:7" x14ac:dyDescent="0.25">
      <c r="G602" s="98"/>
    </row>
    <row r="603" spans="7:7" x14ac:dyDescent="0.25">
      <c r="G603" s="98"/>
    </row>
    <row r="604" spans="7:7" x14ac:dyDescent="0.25">
      <c r="G604" s="98"/>
    </row>
    <row r="605" spans="7:7" x14ac:dyDescent="0.25">
      <c r="G605" s="98"/>
    </row>
    <row r="606" spans="7:7" x14ac:dyDescent="0.25">
      <c r="G606" s="98"/>
    </row>
    <row r="607" spans="7:7" x14ac:dyDescent="0.25">
      <c r="G607" s="98"/>
    </row>
    <row r="608" spans="7:7" x14ac:dyDescent="0.25">
      <c r="G608" s="98"/>
    </row>
    <row r="609" spans="7:7" x14ac:dyDescent="0.25">
      <c r="G609" s="98"/>
    </row>
    <row r="610" spans="7:7" x14ac:dyDescent="0.25">
      <c r="G610" s="98"/>
    </row>
    <row r="611" spans="7:7" x14ac:dyDescent="0.25">
      <c r="G611" s="98"/>
    </row>
    <row r="612" spans="7:7" x14ac:dyDescent="0.25">
      <c r="G612" s="98"/>
    </row>
    <row r="613" spans="7:7" x14ac:dyDescent="0.25">
      <c r="G613" s="98"/>
    </row>
    <row r="614" spans="7:7" x14ac:dyDescent="0.25">
      <c r="G614" s="98"/>
    </row>
    <row r="615" spans="7:7" x14ac:dyDescent="0.25">
      <c r="G615" s="98"/>
    </row>
    <row r="616" spans="7:7" x14ac:dyDescent="0.25">
      <c r="G616" s="98"/>
    </row>
    <row r="617" spans="7:7" x14ac:dyDescent="0.25">
      <c r="G617" s="98"/>
    </row>
    <row r="618" spans="7:7" x14ac:dyDescent="0.25">
      <c r="G618" s="98"/>
    </row>
    <row r="619" spans="7:7" x14ac:dyDescent="0.25">
      <c r="G619" s="98"/>
    </row>
    <row r="620" spans="7:7" x14ac:dyDescent="0.25">
      <c r="G620" s="98"/>
    </row>
    <row r="621" spans="7:7" x14ac:dyDescent="0.25">
      <c r="G621" s="98"/>
    </row>
    <row r="622" spans="7:7" x14ac:dyDescent="0.25">
      <c r="G622" s="98"/>
    </row>
    <row r="623" spans="7:7" x14ac:dyDescent="0.25">
      <c r="G623" s="98"/>
    </row>
    <row r="624" spans="7:7" x14ac:dyDescent="0.25">
      <c r="G624" s="98"/>
    </row>
    <row r="625" spans="7:7" x14ac:dyDescent="0.25">
      <c r="G625" s="98"/>
    </row>
    <row r="626" spans="7:7" x14ac:dyDescent="0.25">
      <c r="G626" s="98"/>
    </row>
    <row r="627" spans="7:7" x14ac:dyDescent="0.25">
      <c r="G627" s="98"/>
    </row>
    <row r="628" spans="7:7" x14ac:dyDescent="0.25">
      <c r="G628" s="98"/>
    </row>
    <row r="629" spans="7:7" x14ac:dyDescent="0.25">
      <c r="G629" s="98"/>
    </row>
    <row r="630" spans="7:7" x14ac:dyDescent="0.25">
      <c r="G630" s="98"/>
    </row>
    <row r="631" spans="7:7" x14ac:dyDescent="0.25">
      <c r="G631" s="98"/>
    </row>
    <row r="632" spans="7:7" x14ac:dyDescent="0.25">
      <c r="G632" s="98"/>
    </row>
    <row r="633" spans="7:7" x14ac:dyDescent="0.25">
      <c r="G633" s="98"/>
    </row>
    <row r="634" spans="7:7" x14ac:dyDescent="0.25">
      <c r="G634" s="98"/>
    </row>
    <row r="635" spans="7:7" x14ac:dyDescent="0.25">
      <c r="G635" s="98"/>
    </row>
    <row r="636" spans="7:7" x14ac:dyDescent="0.25">
      <c r="G636" s="98"/>
    </row>
    <row r="637" spans="7:7" x14ac:dyDescent="0.25">
      <c r="G637" s="98"/>
    </row>
    <row r="638" spans="7:7" x14ac:dyDescent="0.25">
      <c r="G638" s="98"/>
    </row>
    <row r="639" spans="7:7" x14ac:dyDescent="0.25">
      <c r="G639" s="98"/>
    </row>
    <row r="640" spans="7:7" x14ac:dyDescent="0.25">
      <c r="G640" s="98"/>
    </row>
    <row r="641" spans="7:7" x14ac:dyDescent="0.25">
      <c r="G641" s="98"/>
    </row>
    <row r="642" spans="7:7" x14ac:dyDescent="0.25">
      <c r="G642" s="98"/>
    </row>
    <row r="643" spans="7:7" x14ac:dyDescent="0.25">
      <c r="G643" s="98"/>
    </row>
    <row r="644" spans="7:7" x14ac:dyDescent="0.25">
      <c r="G644" s="98"/>
    </row>
    <row r="645" spans="7:7" x14ac:dyDescent="0.25">
      <c r="G645" s="98"/>
    </row>
    <row r="646" spans="7:7" x14ac:dyDescent="0.25">
      <c r="G646" s="98"/>
    </row>
    <row r="647" spans="7:7" x14ac:dyDescent="0.25">
      <c r="G647" s="98"/>
    </row>
    <row r="648" spans="7:7" x14ac:dyDescent="0.25">
      <c r="G648" s="98"/>
    </row>
    <row r="649" spans="7:7" x14ac:dyDescent="0.25">
      <c r="G649" s="98"/>
    </row>
    <row r="650" spans="7:7" x14ac:dyDescent="0.25">
      <c r="G650" s="98"/>
    </row>
    <row r="651" spans="7:7" x14ac:dyDescent="0.25">
      <c r="G651" s="98"/>
    </row>
    <row r="652" spans="7:7" x14ac:dyDescent="0.25">
      <c r="G652" s="98"/>
    </row>
    <row r="653" spans="7:7" x14ac:dyDescent="0.25">
      <c r="G653" s="98"/>
    </row>
    <row r="654" spans="7:7" x14ac:dyDescent="0.25">
      <c r="G654" s="98"/>
    </row>
    <row r="655" spans="7:7" x14ac:dyDescent="0.25">
      <c r="G655" s="98"/>
    </row>
    <row r="656" spans="7:7" x14ac:dyDescent="0.25">
      <c r="G656" s="98"/>
    </row>
    <row r="657" spans="7:7" x14ac:dyDescent="0.25">
      <c r="G657" s="98"/>
    </row>
  </sheetData>
  <autoFilter ref="A1:G25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9"/>
  <sheetViews>
    <sheetView tabSelected="1" view="pageBreakPreview" zoomScaleNormal="100" workbookViewId="0">
      <selection activeCell="E16" sqref="E16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21" customWidth="1"/>
    <col min="6" max="6" width="12.7109375" style="121" customWidth="1"/>
    <col min="7" max="7" width="10" style="122" customWidth="1"/>
    <col min="8" max="8" width="13.140625" style="121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1"/>
      <c r="B1" s="21"/>
      <c r="C1" s="21"/>
      <c r="D1" s="21"/>
      <c r="E1" s="100"/>
      <c r="F1" s="100"/>
      <c r="G1" s="101"/>
      <c r="H1" s="100"/>
      <c r="I1" s="21"/>
    </row>
    <row r="2" spans="1:9" s="2" customFormat="1" x14ac:dyDescent="0.2">
      <c r="A2" s="27"/>
      <c r="B2" s="27"/>
      <c r="C2" s="27"/>
      <c r="D2" s="27"/>
      <c r="E2" s="102"/>
      <c r="F2" s="102"/>
      <c r="G2" s="103"/>
      <c r="H2" s="102"/>
      <c r="I2" s="27"/>
    </row>
    <row r="3" spans="1:9" s="22" customFormat="1" ht="15.75" x14ac:dyDescent="0.25">
      <c r="A3" s="25" t="s">
        <v>16</v>
      </c>
      <c r="B3" s="24" t="s">
        <v>15</v>
      </c>
      <c r="E3" s="104"/>
      <c r="F3" s="104"/>
      <c r="G3" s="105"/>
      <c r="H3" s="104"/>
      <c r="I3" s="23"/>
    </row>
    <row r="4" spans="1:9" s="22" customFormat="1" ht="15.75" x14ac:dyDescent="0.25">
      <c r="A4" s="25" t="s">
        <v>14</v>
      </c>
      <c r="B4" s="26" t="s">
        <v>13</v>
      </c>
      <c r="E4" s="104"/>
      <c r="F4" s="104"/>
      <c r="G4" s="105"/>
      <c r="H4" s="104"/>
      <c r="I4" s="23"/>
    </row>
    <row r="5" spans="1:9" s="22" customFormat="1" ht="15.75" x14ac:dyDescent="0.25">
      <c r="A5" s="25" t="s">
        <v>12</v>
      </c>
      <c r="B5" s="24" t="s">
        <v>72</v>
      </c>
      <c r="E5" s="104"/>
      <c r="F5" s="104"/>
      <c r="G5" s="105"/>
      <c r="H5" s="104"/>
      <c r="I5" s="23"/>
    </row>
    <row r="6" spans="1:9" s="2" customFormat="1" x14ac:dyDescent="0.2">
      <c r="A6" s="21"/>
      <c r="B6" s="21"/>
      <c r="C6" s="21"/>
      <c r="D6" s="21"/>
      <c r="E6" s="100"/>
      <c r="F6" s="100"/>
      <c r="G6" s="101"/>
      <c r="H6" s="100"/>
      <c r="I6" s="21"/>
    </row>
    <row r="7" spans="1:9" s="2" customFormat="1" x14ac:dyDescent="0.2">
      <c r="E7" s="106"/>
      <c r="F7" s="106"/>
      <c r="G7" s="107"/>
      <c r="H7" s="106"/>
    </row>
    <row r="8" spans="1:9" ht="34.5" thickBot="1" x14ac:dyDescent="0.25">
      <c r="A8" s="20" t="s">
        <v>11</v>
      </c>
      <c r="B8" s="19" t="s">
        <v>10</v>
      </c>
      <c r="C8" s="18" t="s">
        <v>9</v>
      </c>
      <c r="D8" s="17" t="s">
        <v>8</v>
      </c>
      <c r="E8" s="108" t="s">
        <v>7</v>
      </c>
      <c r="F8" s="108" t="s">
        <v>6</v>
      </c>
      <c r="G8" s="108" t="s">
        <v>5</v>
      </c>
      <c r="H8" s="108" t="s">
        <v>4</v>
      </c>
      <c r="I8" s="16" t="s">
        <v>3</v>
      </c>
    </row>
    <row r="9" spans="1:9" ht="13.5" thickTop="1" x14ac:dyDescent="0.2">
      <c r="A9" s="10"/>
      <c r="B9" s="14"/>
      <c r="C9" s="9"/>
      <c r="D9" s="9"/>
      <c r="E9" s="109"/>
      <c r="F9" s="109"/>
      <c r="G9" s="110"/>
      <c r="H9" s="109"/>
      <c r="I9" s="9"/>
    </row>
    <row r="10" spans="1:9" x14ac:dyDescent="0.2">
      <c r="A10" s="13"/>
      <c r="B10" s="15"/>
      <c r="C10" s="12"/>
      <c r="D10" s="12"/>
      <c r="E10" s="111"/>
      <c r="F10" s="112"/>
      <c r="G10" s="113"/>
      <c r="H10" s="114"/>
      <c r="I10" s="11"/>
    </row>
    <row r="11" spans="1:9" x14ac:dyDescent="0.2">
      <c r="A11" s="13"/>
      <c r="B11" s="15"/>
      <c r="C11" s="12"/>
      <c r="D11" s="12"/>
      <c r="E11" s="111"/>
      <c r="F11" s="112"/>
      <c r="G11" s="113"/>
      <c r="H11" s="114"/>
      <c r="I11" s="11"/>
    </row>
    <row r="12" spans="1:9" ht="13.5" thickBot="1" x14ac:dyDescent="0.25">
      <c r="A12" s="8"/>
      <c r="B12" s="7"/>
      <c r="C12" s="6"/>
      <c r="D12" s="6"/>
      <c r="E12" s="115"/>
      <c r="F12" s="116"/>
      <c r="G12" s="117"/>
      <c r="H12" s="118"/>
      <c r="I12" s="6"/>
    </row>
    <row r="13" spans="1:9" x14ac:dyDescent="0.2">
      <c r="A13" s="5"/>
      <c r="B13" s="3" t="s">
        <v>76</v>
      </c>
      <c r="C13" s="5"/>
      <c r="D13" s="5"/>
      <c r="E13" s="119"/>
      <c r="F13" s="112"/>
      <c r="G13" s="120"/>
      <c r="H13" s="119" t="e">
        <f>'detail Template'!#REF!</f>
        <v>#REF!</v>
      </c>
      <c r="I13" s="5"/>
    </row>
    <row r="14" spans="1:9" x14ac:dyDescent="0.2">
      <c r="A14" s="2"/>
      <c r="B14" s="3" t="s">
        <v>77</v>
      </c>
      <c r="C14" s="2"/>
      <c r="D14" s="2"/>
      <c r="E14" s="106"/>
      <c r="F14" s="112"/>
      <c r="G14" s="107"/>
      <c r="H14" s="106" t="e">
        <f>'detail Template'!#REF!</f>
        <v>#REF!</v>
      </c>
      <c r="I14" s="2"/>
    </row>
    <row r="15" spans="1:9" s="4" customFormat="1" x14ac:dyDescent="0.2">
      <c r="A15" s="2"/>
      <c r="B15" s="3" t="s">
        <v>78</v>
      </c>
      <c r="C15" s="2"/>
      <c r="D15" s="2"/>
      <c r="E15" s="106"/>
      <c r="F15" s="112"/>
      <c r="G15" s="107"/>
      <c r="H15" s="106" t="e">
        <f>'detail Template'!#REF!</f>
        <v>#REF!</v>
      </c>
      <c r="I15" s="2"/>
    </row>
    <row r="16" spans="1:9" x14ac:dyDescent="0.2">
      <c r="A16" s="2"/>
      <c r="B16" s="3"/>
      <c r="C16" s="2"/>
      <c r="D16" s="2"/>
      <c r="E16" s="106"/>
      <c r="F16" s="112"/>
      <c r="G16" s="107"/>
      <c r="H16" s="106"/>
      <c r="I16" s="2"/>
    </row>
    <row r="17" spans="1:9" x14ac:dyDescent="0.2">
      <c r="A17" s="2"/>
      <c r="B17" s="2" t="s">
        <v>79</v>
      </c>
      <c r="C17" s="2"/>
      <c r="D17" s="2"/>
      <c r="E17" s="106"/>
      <c r="F17" s="112"/>
      <c r="G17" s="107"/>
      <c r="H17" s="106" t="e">
        <f>SUM(H14,H15)</f>
        <v>#REF!</v>
      </c>
      <c r="I17" s="2"/>
    </row>
    <row r="18" spans="1:9" x14ac:dyDescent="0.2">
      <c r="A18" s="2"/>
      <c r="B18" s="2"/>
      <c r="C18" s="2"/>
      <c r="D18" s="2"/>
      <c r="E18" s="106"/>
      <c r="F18" s="106"/>
      <c r="G18" s="107"/>
      <c r="H18" s="106"/>
      <c r="I18" s="2"/>
    </row>
    <row r="19" spans="1:9" ht="15" x14ac:dyDescent="0.25">
      <c r="A19"/>
      <c r="B19"/>
      <c r="C19"/>
      <c r="D19"/>
      <c r="E19"/>
      <c r="F19"/>
      <c r="G19"/>
      <c r="H19"/>
      <c r="I19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43"/>
  <sheetViews>
    <sheetView view="pageBreakPreview" topLeftCell="A25" zoomScaleNormal="100" workbookViewId="0">
      <selection activeCell="G30" sqref="G3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1"/>
      <c r="B1" s="21"/>
      <c r="C1" s="21"/>
      <c r="D1" s="21"/>
      <c r="E1" s="21"/>
      <c r="F1" s="21"/>
      <c r="G1" s="21"/>
      <c r="H1" s="27"/>
    </row>
    <row r="2" spans="1:8" s="2" customFormat="1" x14ac:dyDescent="0.2">
      <c r="A2" s="27"/>
      <c r="B2" s="27"/>
      <c r="C2" s="27"/>
      <c r="D2" s="27"/>
      <c r="E2" s="27"/>
      <c r="F2" s="27"/>
      <c r="G2" s="27"/>
      <c r="H2" s="27"/>
    </row>
    <row r="3" spans="1:8" s="27" customFormat="1" x14ac:dyDescent="0.2">
      <c r="A3" s="34" t="s">
        <v>53</v>
      </c>
      <c r="E3" s="34" t="s">
        <v>52</v>
      </c>
    </row>
    <row r="4" spans="1:8" s="27" customFormat="1" x14ac:dyDescent="0.2">
      <c r="A4" s="34" t="s">
        <v>51</v>
      </c>
      <c r="E4" s="34" t="s">
        <v>50</v>
      </c>
      <c r="F4" s="27" t="s">
        <v>20</v>
      </c>
    </row>
    <row r="5" spans="1:8" s="27" customFormat="1" x14ac:dyDescent="0.2">
      <c r="A5" s="34"/>
      <c r="E5" s="34"/>
    </row>
    <row r="6" spans="1:8" s="27" customFormat="1" x14ac:dyDescent="0.2">
      <c r="A6" s="34" t="s">
        <v>49</v>
      </c>
      <c r="E6" s="34" t="s">
        <v>49</v>
      </c>
    </row>
    <row r="7" spans="1:8" s="2" customFormat="1" x14ac:dyDescent="0.2">
      <c r="A7" s="21"/>
      <c r="B7" s="21"/>
      <c r="C7" s="21"/>
      <c r="D7" s="21"/>
      <c r="E7" s="21"/>
      <c r="F7" s="21"/>
      <c r="G7" s="21"/>
      <c r="H7" s="27"/>
    </row>
    <row r="8" spans="1:8" s="2" customFormat="1" x14ac:dyDescent="0.2">
      <c r="A8" s="27"/>
      <c r="B8" s="27"/>
      <c r="C8" s="27"/>
      <c r="D8" s="27"/>
      <c r="E8" s="27"/>
      <c r="F8" s="27"/>
      <c r="G8" s="27"/>
      <c r="H8" s="27"/>
    </row>
    <row r="9" spans="1:8" s="22" customFormat="1" ht="15.75" x14ac:dyDescent="0.25">
      <c r="A9" s="25" t="s">
        <v>16</v>
      </c>
      <c r="B9" s="24" t="s">
        <v>15</v>
      </c>
    </row>
    <row r="10" spans="1:8" s="22" customFormat="1" ht="15.75" x14ac:dyDescent="0.25">
      <c r="A10" s="25" t="s">
        <v>14</v>
      </c>
      <c r="B10" s="26" t="s">
        <v>13</v>
      </c>
    </row>
    <row r="11" spans="1:8" s="22" customFormat="1" ht="15.75" x14ac:dyDescent="0.25">
      <c r="A11" s="85" t="s">
        <v>12</v>
      </c>
      <c r="B11" s="84" t="s">
        <v>72</v>
      </c>
      <c r="C11" s="23"/>
      <c r="D11" s="23"/>
      <c r="E11" s="23"/>
      <c r="F11" s="23"/>
      <c r="G11" s="23"/>
      <c r="H11" s="23"/>
    </row>
    <row r="12" spans="1:8" s="2" customFormat="1" ht="15.75" x14ac:dyDescent="0.25">
      <c r="A12" s="83"/>
      <c r="B12" s="82"/>
      <c r="C12" s="27"/>
      <c r="D12" s="27"/>
      <c r="E12" s="27"/>
      <c r="F12" s="27"/>
      <c r="G12" s="27"/>
      <c r="H12" s="27"/>
    </row>
    <row r="13" spans="1:8" s="2" customFormat="1" x14ac:dyDescent="0.2">
      <c r="A13" s="27"/>
      <c r="B13" s="27"/>
      <c r="C13" s="27"/>
      <c r="D13" s="27"/>
      <c r="E13" s="27"/>
      <c r="F13" s="27"/>
      <c r="G13" s="27"/>
      <c r="H13" s="27"/>
    </row>
    <row r="14" spans="1:8" s="2" customFormat="1" ht="15.75" x14ac:dyDescent="0.25">
      <c r="A14" s="42" t="s">
        <v>48</v>
      </c>
      <c r="B14" s="41"/>
      <c r="C14" s="41"/>
      <c r="D14" s="41"/>
      <c r="E14" s="41"/>
      <c r="F14" s="41"/>
      <c r="G14" s="40"/>
      <c r="H14" s="41"/>
    </row>
    <row r="15" spans="1:8" s="2" customFormat="1" ht="15.75" x14ac:dyDescent="0.25">
      <c r="A15" s="81"/>
    </row>
    <row r="16" spans="1:8" s="2" customFormat="1" ht="64.5" thickBot="1" x14ac:dyDescent="0.25">
      <c r="A16" s="34" t="s">
        <v>47</v>
      </c>
      <c r="B16" s="27"/>
      <c r="C16" s="27"/>
      <c r="D16" s="27"/>
      <c r="E16" s="46" t="s">
        <v>73</v>
      </c>
      <c r="G16" s="99" t="s">
        <v>74</v>
      </c>
      <c r="H16" s="99" t="s">
        <v>75</v>
      </c>
    </row>
    <row r="17" spans="1:8" s="5" customFormat="1" ht="13.5" thickTop="1" x14ac:dyDescent="0.2">
      <c r="A17" s="80" t="s">
        <v>43</v>
      </c>
      <c r="B17" s="79"/>
      <c r="C17" s="79"/>
      <c r="D17" s="79"/>
      <c r="E17" s="78"/>
      <c r="F17" s="78"/>
      <c r="G17" s="78">
        <v>100</v>
      </c>
      <c r="H17" s="77">
        <f>SUM(E17:G17)</f>
        <v>100</v>
      </c>
    </row>
    <row r="18" spans="1:8" s="5" customFormat="1" x14ac:dyDescent="0.2">
      <c r="A18" s="34"/>
      <c r="B18" s="46" t="s">
        <v>46</v>
      </c>
      <c r="C18" s="34"/>
      <c r="D18" s="34"/>
      <c r="E18" s="46">
        <v>100</v>
      </c>
      <c r="F18" s="46"/>
      <c r="G18" s="46"/>
      <c r="H18" s="75"/>
    </row>
    <row r="19" spans="1:8" s="5" customFormat="1" x14ac:dyDescent="0.2">
      <c r="A19" s="34"/>
      <c r="B19" s="46" t="s">
        <v>45</v>
      </c>
      <c r="C19" s="34"/>
      <c r="D19" s="34"/>
      <c r="E19" s="46">
        <v>500</v>
      </c>
      <c r="F19" s="46"/>
      <c r="G19" s="46"/>
      <c r="H19" s="75"/>
    </row>
    <row r="20" spans="1:8" s="5" customFormat="1" x14ac:dyDescent="0.2">
      <c r="A20" s="34"/>
      <c r="B20" s="46" t="s">
        <v>44</v>
      </c>
      <c r="C20" s="34"/>
      <c r="D20" s="34"/>
      <c r="E20" s="46">
        <v>120</v>
      </c>
      <c r="F20" s="46"/>
      <c r="G20" s="46"/>
      <c r="H20" s="75"/>
    </row>
    <row r="21" spans="1:8" s="34" customFormat="1" x14ac:dyDescent="0.2">
      <c r="A21" s="34" t="s">
        <v>42</v>
      </c>
      <c r="F21" s="46"/>
      <c r="G21" s="46">
        <v>100</v>
      </c>
      <c r="H21" s="75">
        <f>SUM(E21:G21)</f>
        <v>100</v>
      </c>
    </row>
    <row r="22" spans="1:8" s="34" customFormat="1" x14ac:dyDescent="0.2">
      <c r="B22" s="46" t="s">
        <v>46</v>
      </c>
      <c r="E22" s="46">
        <v>100</v>
      </c>
      <c r="F22" s="46"/>
      <c r="G22" s="46"/>
      <c r="H22" s="75"/>
    </row>
    <row r="23" spans="1:8" s="34" customFormat="1" x14ac:dyDescent="0.2">
      <c r="B23" s="46" t="s">
        <v>45</v>
      </c>
      <c r="E23" s="46">
        <v>500</v>
      </c>
      <c r="F23" s="46"/>
      <c r="G23" s="46"/>
      <c r="H23" s="75"/>
    </row>
    <row r="24" spans="1:8" s="34" customFormat="1" x14ac:dyDescent="0.2">
      <c r="B24" s="46" t="s">
        <v>44</v>
      </c>
      <c r="E24" s="46">
        <v>120</v>
      </c>
      <c r="F24" s="46"/>
      <c r="G24" s="46"/>
      <c r="H24" s="75"/>
    </row>
    <row r="25" spans="1:8" s="5" customFormat="1" x14ac:dyDescent="0.2">
      <c r="A25" s="76" t="s">
        <v>41</v>
      </c>
      <c r="B25" s="34"/>
      <c r="C25" s="34"/>
      <c r="D25" s="34"/>
      <c r="E25" s="46">
        <v>100</v>
      </c>
      <c r="F25" s="46"/>
      <c r="G25" s="46">
        <v>100</v>
      </c>
      <c r="H25" s="75">
        <f>SUM(E25:G25)</f>
        <v>200</v>
      </c>
    </row>
    <row r="26" spans="1:8" s="2" customFormat="1" ht="13.5" thickBot="1" x14ac:dyDescent="0.25">
      <c r="A26" s="74"/>
      <c r="B26" s="73"/>
      <c r="C26" s="72"/>
      <c r="D26" s="72"/>
      <c r="E26" s="71"/>
      <c r="F26" s="71"/>
      <c r="G26" s="71"/>
      <c r="H26" s="70"/>
    </row>
    <row r="27" spans="1:8" s="5" customFormat="1" ht="13.5" thickTop="1" x14ac:dyDescent="0.2">
      <c r="A27" s="69" t="s">
        <v>40</v>
      </c>
      <c r="B27" s="68"/>
      <c r="C27" s="68"/>
      <c r="D27" s="68"/>
      <c r="E27" s="67">
        <f>E22+E17+E25</f>
        <v>200</v>
      </c>
      <c r="F27" s="67">
        <f>F21+F17+F25</f>
        <v>0</v>
      </c>
      <c r="G27" s="66">
        <f>G21+G17+G25</f>
        <v>300</v>
      </c>
      <c r="H27" s="66">
        <f>SUM(E27:G27)</f>
        <v>500</v>
      </c>
    </row>
    <row r="28" spans="1:8" s="5" customFormat="1" x14ac:dyDescent="0.2">
      <c r="A28" s="65" t="s">
        <v>39</v>
      </c>
      <c r="B28" s="64"/>
      <c r="C28" s="64"/>
      <c r="D28" s="64"/>
      <c r="E28" s="63"/>
      <c r="F28" s="63"/>
      <c r="G28" s="62"/>
      <c r="H28" s="62"/>
    </row>
    <row r="29" spans="1:8" s="56" customFormat="1" ht="12" x14ac:dyDescent="0.2">
      <c r="A29" s="61"/>
      <c r="B29" s="59" t="s">
        <v>38</v>
      </c>
      <c r="C29" s="59"/>
      <c r="D29" s="59"/>
      <c r="E29" s="58"/>
      <c r="F29" s="58"/>
      <c r="G29" s="57"/>
      <c r="H29" s="57"/>
    </row>
    <row r="30" spans="1:8" s="56" customFormat="1" ht="12" x14ac:dyDescent="0.2">
      <c r="A30" s="61"/>
      <c r="B30" s="59" t="s">
        <v>37</v>
      </c>
      <c r="C30" s="59"/>
      <c r="D30" s="59"/>
      <c r="E30" s="58"/>
      <c r="F30" s="58"/>
      <c r="G30" s="57"/>
      <c r="H30" s="57"/>
    </row>
    <row r="31" spans="1:8" s="56" customFormat="1" ht="12" x14ac:dyDescent="0.2">
      <c r="A31" s="61"/>
      <c r="B31" s="59" t="s">
        <v>36</v>
      </c>
      <c r="C31" s="59"/>
      <c r="D31" s="59"/>
      <c r="E31" s="58"/>
      <c r="F31" s="58"/>
      <c r="G31" s="57"/>
      <c r="H31" s="57"/>
    </row>
    <row r="32" spans="1:8" s="56" customFormat="1" ht="12" x14ac:dyDescent="0.2">
      <c r="A32" s="61"/>
      <c r="B32" s="59" t="s">
        <v>35</v>
      </c>
      <c r="C32" s="59"/>
      <c r="D32" s="59"/>
      <c r="E32" s="58"/>
      <c r="F32" s="58"/>
      <c r="G32" s="57"/>
      <c r="H32" s="57"/>
    </row>
    <row r="33" spans="1:10" s="56" customFormat="1" ht="12" x14ac:dyDescent="0.2">
      <c r="A33" s="60" t="s">
        <v>34</v>
      </c>
      <c r="B33" s="59"/>
      <c r="C33" s="59"/>
      <c r="D33" s="59"/>
      <c r="E33" s="58"/>
      <c r="F33" s="58"/>
      <c r="G33" s="57"/>
      <c r="H33" s="57"/>
    </row>
    <row r="34" spans="1:10" s="56" customFormat="1" ht="12" x14ac:dyDescent="0.2">
      <c r="A34" s="60"/>
      <c r="B34" s="59" t="s">
        <v>33</v>
      </c>
      <c r="C34" s="59"/>
      <c r="D34" s="59"/>
      <c r="E34" s="58"/>
      <c r="F34" s="58"/>
      <c r="G34" s="57"/>
      <c r="H34" s="57"/>
    </row>
    <row r="35" spans="1:10" s="2" customFormat="1" ht="13.5" thickBot="1" x14ac:dyDescent="0.25">
      <c r="A35" s="55"/>
      <c r="B35" s="54"/>
      <c r="C35" s="53"/>
      <c r="D35" s="53"/>
      <c r="E35" s="52"/>
      <c r="F35" s="52"/>
      <c r="G35" s="51"/>
      <c r="H35" s="51">
        <f>SUM(E35:G35)</f>
        <v>0</v>
      </c>
    </row>
    <row r="36" spans="1:10" s="5" customFormat="1" ht="14.25" thickTop="1" thickBot="1" x14ac:dyDescent="0.25">
      <c r="A36" s="50" t="s">
        <v>32</v>
      </c>
      <c r="B36" s="49"/>
      <c r="C36" s="49"/>
      <c r="D36" s="49"/>
      <c r="E36" s="48">
        <f>E27-E28</f>
        <v>200</v>
      </c>
      <c r="F36" s="48">
        <f>F27-F28</f>
        <v>0</v>
      </c>
      <c r="G36" s="47">
        <f>G27-G28</f>
        <v>300</v>
      </c>
      <c r="H36" s="47">
        <f>SUM(E36:G36)</f>
        <v>500</v>
      </c>
    </row>
    <row r="37" spans="1:10" s="5" customFormat="1" ht="13.5" thickTop="1" x14ac:dyDescent="0.2">
      <c r="A37" s="34"/>
      <c r="B37" s="34"/>
      <c r="C37" s="34"/>
      <c r="D37" s="34"/>
      <c r="E37" s="46"/>
      <c r="F37" s="46"/>
      <c r="G37" s="46"/>
      <c r="H37" s="46"/>
    </row>
    <row r="38" spans="1:10" s="2" customFormat="1" x14ac:dyDescent="0.2"/>
    <row r="39" spans="1:10" s="38" customFormat="1" ht="15.75" x14ac:dyDescent="0.25">
      <c r="A39" s="42" t="s">
        <v>31</v>
      </c>
      <c r="B39" s="41"/>
      <c r="C39" s="41"/>
      <c r="D39" s="41"/>
      <c r="E39" s="41"/>
      <c r="F39" s="41"/>
      <c r="G39" s="41"/>
      <c r="H39" s="40"/>
      <c r="I39" s="39"/>
    </row>
    <row r="40" spans="1:10" s="2" customFormat="1" x14ac:dyDescent="0.2"/>
    <row r="41" spans="1:10" s="2" customFormat="1" x14ac:dyDescent="0.2">
      <c r="A41" s="45" t="s">
        <v>30</v>
      </c>
      <c r="B41" s="44"/>
      <c r="C41" s="44"/>
      <c r="D41" s="44"/>
      <c r="E41" s="44"/>
      <c r="F41" s="44"/>
      <c r="G41" s="44"/>
      <c r="H41" s="43"/>
      <c r="I41" s="27"/>
      <c r="J41" s="27"/>
    </row>
    <row r="42" spans="1:10" s="2" customFormat="1" x14ac:dyDescent="0.2">
      <c r="A42" s="33" t="s">
        <v>29</v>
      </c>
      <c r="B42" s="27"/>
      <c r="C42" s="27"/>
      <c r="D42" s="27"/>
      <c r="E42" s="27"/>
      <c r="F42" s="27"/>
      <c r="G42" s="27"/>
      <c r="H42" s="32"/>
      <c r="I42" s="27"/>
      <c r="J42" s="27"/>
    </row>
    <row r="43" spans="1:10" s="2" customFormat="1" x14ac:dyDescent="0.2">
      <c r="A43" s="33" t="s">
        <v>28</v>
      </c>
      <c r="B43" s="27"/>
      <c r="C43" s="27"/>
      <c r="D43" s="27"/>
      <c r="E43" s="27"/>
      <c r="F43" s="27"/>
      <c r="G43" s="27"/>
      <c r="H43" s="32"/>
      <c r="I43" s="27"/>
      <c r="J43" s="27"/>
    </row>
    <row r="44" spans="1:10" s="2" customFormat="1" x14ac:dyDescent="0.2">
      <c r="A44" s="33" t="s">
        <v>27</v>
      </c>
      <c r="B44" s="27"/>
      <c r="C44" s="27"/>
      <c r="D44" s="27"/>
      <c r="E44" s="27"/>
      <c r="F44" s="27"/>
      <c r="G44" s="27"/>
      <c r="H44" s="32"/>
      <c r="I44" s="27"/>
      <c r="J44" s="27"/>
    </row>
    <row r="45" spans="1:10" s="2" customFormat="1" x14ac:dyDescent="0.2">
      <c r="A45" s="33" t="s">
        <v>26</v>
      </c>
      <c r="B45" s="27"/>
      <c r="C45" s="27"/>
      <c r="D45" s="27"/>
      <c r="E45" s="27"/>
      <c r="F45" s="27"/>
      <c r="G45" s="27"/>
      <c r="H45" s="32"/>
      <c r="I45" s="27"/>
      <c r="J45" s="27"/>
    </row>
    <row r="46" spans="1:10" s="2" customFormat="1" x14ac:dyDescent="0.2">
      <c r="A46" s="33" t="s">
        <v>26</v>
      </c>
      <c r="B46" s="27"/>
      <c r="C46" s="27"/>
      <c r="D46" s="27"/>
      <c r="E46" s="27"/>
      <c r="F46" s="27"/>
      <c r="G46" s="27"/>
      <c r="H46" s="32"/>
      <c r="I46" s="27"/>
      <c r="J46" s="27"/>
    </row>
    <row r="47" spans="1:10" s="2" customFormat="1" x14ac:dyDescent="0.2">
      <c r="A47" s="31"/>
      <c r="B47" s="21"/>
      <c r="C47" s="21"/>
      <c r="D47" s="21"/>
      <c r="E47" s="21"/>
      <c r="F47" s="21"/>
      <c r="G47" s="21"/>
      <c r="H47" s="30"/>
      <c r="I47" s="27"/>
      <c r="J47" s="27"/>
    </row>
    <row r="48" spans="1:10" s="2" customFormat="1" x14ac:dyDescent="0.2"/>
    <row r="49" spans="1:10" s="38" customFormat="1" ht="15.75" x14ac:dyDescent="0.25">
      <c r="A49" s="42" t="s">
        <v>25</v>
      </c>
      <c r="B49" s="41"/>
      <c r="C49" s="41"/>
      <c r="D49" s="41"/>
      <c r="E49" s="41"/>
      <c r="F49" s="41"/>
      <c r="G49" s="41"/>
      <c r="H49" s="40"/>
      <c r="I49" s="39"/>
    </row>
    <row r="50" spans="1:10" s="2" customFormat="1" x14ac:dyDescent="0.2"/>
    <row r="51" spans="1:10" s="5" customFormat="1" x14ac:dyDescent="0.2">
      <c r="A51" s="37" t="s">
        <v>24</v>
      </c>
      <c r="B51" s="37" t="s">
        <v>23</v>
      </c>
      <c r="C51" s="37" t="s">
        <v>22</v>
      </c>
      <c r="D51" s="36"/>
      <c r="E51" s="36"/>
      <c r="F51" s="36"/>
      <c r="G51" s="36"/>
      <c r="H51" s="35"/>
      <c r="I51" s="34"/>
      <c r="J51" s="34"/>
    </row>
    <row r="52" spans="1:10" s="2" customFormat="1" x14ac:dyDescent="0.2">
      <c r="A52" s="33" t="s">
        <v>21</v>
      </c>
      <c r="B52" s="33" t="s">
        <v>18</v>
      </c>
      <c r="C52" s="33" t="s">
        <v>20</v>
      </c>
      <c r="D52" s="27"/>
      <c r="E52" s="27"/>
      <c r="F52" s="27"/>
      <c r="G52" s="27"/>
      <c r="H52" s="32"/>
      <c r="I52" s="27"/>
      <c r="J52" s="27"/>
    </row>
    <row r="53" spans="1:10" s="2" customFormat="1" x14ac:dyDescent="0.2">
      <c r="A53" s="33" t="s">
        <v>19</v>
      </c>
      <c r="B53" s="33" t="s">
        <v>18</v>
      </c>
      <c r="C53" s="33" t="s">
        <v>17</v>
      </c>
      <c r="D53" s="27"/>
      <c r="E53" s="27"/>
      <c r="F53" s="27"/>
      <c r="G53" s="27"/>
      <c r="H53" s="32"/>
      <c r="I53" s="27"/>
      <c r="J53" s="27"/>
    </row>
    <row r="54" spans="1:10" s="2" customFormat="1" x14ac:dyDescent="0.2">
      <c r="A54" s="33"/>
      <c r="B54" s="33"/>
      <c r="C54" s="33"/>
      <c r="D54" s="27"/>
      <c r="E54" s="27"/>
      <c r="F54" s="27"/>
      <c r="G54" s="27"/>
      <c r="H54" s="32"/>
      <c r="I54" s="27"/>
      <c r="J54" s="27"/>
    </row>
    <row r="55" spans="1:10" s="2" customFormat="1" x14ac:dyDescent="0.2">
      <c r="A55" s="33"/>
      <c r="B55" s="33"/>
      <c r="C55" s="33"/>
      <c r="D55" s="27"/>
      <c r="E55" s="27"/>
      <c r="F55" s="27"/>
      <c r="G55" s="27"/>
      <c r="H55" s="32"/>
      <c r="I55" s="27"/>
      <c r="J55" s="27"/>
    </row>
    <row r="56" spans="1:10" s="2" customFormat="1" x14ac:dyDescent="0.2">
      <c r="A56" s="31"/>
      <c r="B56" s="31"/>
      <c r="C56" s="31"/>
      <c r="D56" s="21"/>
      <c r="E56" s="21"/>
      <c r="F56" s="21"/>
      <c r="G56" s="27"/>
      <c r="H56" s="30"/>
      <c r="I56" s="27"/>
      <c r="J56" s="27"/>
    </row>
    <row r="57" spans="1:10" s="2" customFormat="1" x14ac:dyDescent="0.2">
      <c r="G57" s="27"/>
    </row>
    <row r="58" spans="1:10" s="2" customFormat="1" x14ac:dyDescent="0.2">
      <c r="G58" s="27"/>
    </row>
    <row r="59" spans="1:10" s="2" customFormat="1" x14ac:dyDescent="0.2">
      <c r="G59" s="27"/>
    </row>
    <row r="60" spans="1:10" x14ac:dyDescent="0.2">
      <c r="G60" s="27"/>
    </row>
    <row r="61" spans="1:10" x14ac:dyDescent="0.2">
      <c r="G61" s="27"/>
    </row>
    <row r="62" spans="1:10" x14ac:dyDescent="0.2">
      <c r="G62" s="27"/>
    </row>
    <row r="63" spans="1:10" x14ac:dyDescent="0.2">
      <c r="G63" s="27"/>
    </row>
    <row r="64" spans="1:10" x14ac:dyDescent="0.2">
      <c r="G64" s="27"/>
    </row>
    <row r="65" spans="7:7" x14ac:dyDescent="0.2">
      <c r="G65" s="27"/>
    </row>
    <row r="66" spans="7:7" x14ac:dyDescent="0.2">
      <c r="G66" s="27"/>
    </row>
    <row r="67" spans="7:7" x14ac:dyDescent="0.2">
      <c r="G67" s="27"/>
    </row>
    <row r="68" spans="7:7" x14ac:dyDescent="0.2">
      <c r="G68" s="27"/>
    </row>
    <row r="69" spans="7:7" x14ac:dyDescent="0.2">
      <c r="G69" s="27"/>
    </row>
    <row r="70" spans="7:7" x14ac:dyDescent="0.2">
      <c r="G70" s="27"/>
    </row>
    <row r="71" spans="7:7" x14ac:dyDescent="0.2">
      <c r="G71" s="27"/>
    </row>
    <row r="72" spans="7:7" x14ac:dyDescent="0.2">
      <c r="G72" s="27"/>
    </row>
    <row r="73" spans="7:7" x14ac:dyDescent="0.2">
      <c r="G73" s="27"/>
    </row>
    <row r="74" spans="7:7" x14ac:dyDescent="0.2">
      <c r="G74" s="27"/>
    </row>
    <row r="75" spans="7:7" x14ac:dyDescent="0.2">
      <c r="G75" s="27"/>
    </row>
    <row r="76" spans="7:7" x14ac:dyDescent="0.2">
      <c r="G76" s="27"/>
    </row>
    <row r="77" spans="7:7" x14ac:dyDescent="0.2">
      <c r="G77" s="27"/>
    </row>
    <row r="78" spans="7:7" x14ac:dyDescent="0.2">
      <c r="G78" s="27"/>
    </row>
    <row r="79" spans="7:7" x14ac:dyDescent="0.2">
      <c r="G79" s="27"/>
    </row>
    <row r="80" spans="7:7" x14ac:dyDescent="0.2">
      <c r="G80" s="27"/>
    </row>
    <row r="81" spans="7:7" x14ac:dyDescent="0.2">
      <c r="G81" s="27"/>
    </row>
    <row r="82" spans="7:7" x14ac:dyDescent="0.2">
      <c r="G82" s="27"/>
    </row>
    <row r="83" spans="7:7" x14ac:dyDescent="0.2">
      <c r="G83" s="27"/>
    </row>
    <row r="84" spans="7:7" x14ac:dyDescent="0.2">
      <c r="G84" s="27"/>
    </row>
    <row r="85" spans="7:7" x14ac:dyDescent="0.2">
      <c r="G85" s="27"/>
    </row>
    <row r="86" spans="7:7" x14ac:dyDescent="0.2">
      <c r="G86" s="27"/>
    </row>
    <row r="87" spans="7:7" x14ac:dyDescent="0.2">
      <c r="G87" s="27"/>
    </row>
    <row r="88" spans="7:7" x14ac:dyDescent="0.2">
      <c r="G88" s="27"/>
    </row>
    <row r="89" spans="7:7" x14ac:dyDescent="0.2">
      <c r="G89" s="27"/>
    </row>
    <row r="90" spans="7:7" x14ac:dyDescent="0.2">
      <c r="G90" s="27"/>
    </row>
    <row r="91" spans="7:7" x14ac:dyDescent="0.2">
      <c r="G91" s="27"/>
    </row>
    <row r="92" spans="7:7" x14ac:dyDescent="0.2">
      <c r="G92" s="27"/>
    </row>
    <row r="93" spans="7:7" x14ac:dyDescent="0.2">
      <c r="G93" s="27"/>
    </row>
    <row r="94" spans="7:7" x14ac:dyDescent="0.2">
      <c r="G94" s="27"/>
    </row>
    <row r="95" spans="7:7" x14ac:dyDescent="0.2">
      <c r="G95" s="27"/>
    </row>
    <row r="96" spans="7:7" x14ac:dyDescent="0.2">
      <c r="G96" s="27"/>
    </row>
    <row r="97" spans="7:7" x14ac:dyDescent="0.2">
      <c r="G97" s="27"/>
    </row>
    <row r="98" spans="7:7" x14ac:dyDescent="0.2">
      <c r="G98" s="27"/>
    </row>
    <row r="99" spans="7:7" x14ac:dyDescent="0.2">
      <c r="G99" s="27"/>
    </row>
    <row r="100" spans="7:7" x14ac:dyDescent="0.2">
      <c r="G100" s="27"/>
    </row>
    <row r="101" spans="7:7" x14ac:dyDescent="0.2">
      <c r="G101" s="27"/>
    </row>
    <row r="102" spans="7:7" x14ac:dyDescent="0.2">
      <c r="G102" s="27"/>
    </row>
    <row r="103" spans="7:7" x14ac:dyDescent="0.2">
      <c r="G103" s="27"/>
    </row>
    <row r="104" spans="7:7" x14ac:dyDescent="0.2">
      <c r="G104" s="27"/>
    </row>
    <row r="105" spans="7:7" x14ac:dyDescent="0.2">
      <c r="G105" s="27"/>
    </row>
    <row r="106" spans="7:7" x14ac:dyDescent="0.2">
      <c r="G106" s="27"/>
    </row>
    <row r="107" spans="7:7" x14ac:dyDescent="0.2">
      <c r="G107" s="27"/>
    </row>
    <row r="108" spans="7:7" x14ac:dyDescent="0.2">
      <c r="G108" s="27"/>
    </row>
    <row r="109" spans="7:7" x14ac:dyDescent="0.2">
      <c r="G109" s="27"/>
    </row>
    <row r="110" spans="7:7" x14ac:dyDescent="0.2">
      <c r="G110" s="27"/>
    </row>
    <row r="111" spans="7:7" x14ac:dyDescent="0.2">
      <c r="G111" s="27"/>
    </row>
    <row r="112" spans="7:7" x14ac:dyDescent="0.2">
      <c r="G112" s="27"/>
    </row>
    <row r="113" spans="7:7" x14ac:dyDescent="0.2">
      <c r="G113" s="27"/>
    </row>
    <row r="114" spans="7:7" x14ac:dyDescent="0.2">
      <c r="G114" s="27"/>
    </row>
    <row r="115" spans="7:7" x14ac:dyDescent="0.2">
      <c r="G115" s="27"/>
    </row>
    <row r="116" spans="7:7" x14ac:dyDescent="0.2">
      <c r="G116" s="27"/>
    </row>
    <row r="117" spans="7:7" x14ac:dyDescent="0.2">
      <c r="G117" s="27"/>
    </row>
    <row r="118" spans="7:7" x14ac:dyDescent="0.2">
      <c r="G118" s="27"/>
    </row>
    <row r="119" spans="7:7" x14ac:dyDescent="0.2">
      <c r="G119" s="27"/>
    </row>
    <row r="120" spans="7:7" x14ac:dyDescent="0.2">
      <c r="G120" s="27"/>
    </row>
    <row r="121" spans="7:7" x14ac:dyDescent="0.2">
      <c r="G121" s="27"/>
    </row>
    <row r="122" spans="7:7" x14ac:dyDescent="0.2">
      <c r="G122" s="27"/>
    </row>
    <row r="123" spans="7:7" x14ac:dyDescent="0.2">
      <c r="G123" s="27"/>
    </row>
    <row r="124" spans="7:7" x14ac:dyDescent="0.2">
      <c r="G124" s="27"/>
    </row>
    <row r="125" spans="7:7" x14ac:dyDescent="0.2">
      <c r="G125" s="27"/>
    </row>
    <row r="126" spans="7:7" x14ac:dyDescent="0.2">
      <c r="G126" s="27"/>
    </row>
    <row r="127" spans="7:7" x14ac:dyDescent="0.2">
      <c r="G127" s="27"/>
    </row>
    <row r="128" spans="7:7" x14ac:dyDescent="0.2">
      <c r="G128" s="27"/>
    </row>
    <row r="129" spans="7:7" x14ac:dyDescent="0.2">
      <c r="G129" s="27"/>
    </row>
    <row r="130" spans="7:7" x14ac:dyDescent="0.2">
      <c r="G130" s="27"/>
    </row>
    <row r="131" spans="7:7" x14ac:dyDescent="0.2">
      <c r="G131" s="27"/>
    </row>
    <row r="132" spans="7:7" x14ac:dyDescent="0.2">
      <c r="G132" s="27"/>
    </row>
    <row r="133" spans="7:7" x14ac:dyDescent="0.2">
      <c r="G133" s="27"/>
    </row>
    <row r="134" spans="7:7" x14ac:dyDescent="0.2">
      <c r="G134" s="27"/>
    </row>
    <row r="135" spans="7:7" x14ac:dyDescent="0.2">
      <c r="G135" s="27"/>
    </row>
    <row r="136" spans="7:7" x14ac:dyDescent="0.2">
      <c r="G136" s="27"/>
    </row>
    <row r="137" spans="7:7" x14ac:dyDescent="0.2">
      <c r="G137" s="27"/>
    </row>
    <row r="138" spans="7:7" x14ac:dyDescent="0.2">
      <c r="G138" s="27"/>
    </row>
    <row r="139" spans="7:7" x14ac:dyDescent="0.2">
      <c r="G139" s="27"/>
    </row>
    <row r="140" spans="7:7" x14ac:dyDescent="0.2">
      <c r="G140" s="21"/>
    </row>
    <row r="141" spans="7:7" x14ac:dyDescent="0.2">
      <c r="G141" s="2"/>
    </row>
    <row r="142" spans="7:7" x14ac:dyDescent="0.2">
      <c r="G142" s="2"/>
    </row>
    <row r="143" spans="7:7" x14ac:dyDescent="0.2">
      <c r="G143" s="2"/>
    </row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Database</vt:lpstr>
      <vt:lpstr>detail Template</vt:lpstr>
      <vt:lpstr>Summary</vt:lpstr>
      <vt:lpstr>'detail Template'!Print_Area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2012-04-22T13:28:44Z</dcterms:modified>
</cp:coreProperties>
</file>
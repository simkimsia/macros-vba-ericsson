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735" windowWidth="13140" windowHeight="5265" activeTab="1"/>
  </bookViews>
  <sheets>
    <sheet name="Sheet1" sheetId="1" r:id="rId1"/>
    <sheet name="Database" sheetId="2" r:id="rId2"/>
    <sheet name="detail boq Template" sheetId="4" r:id="rId3"/>
    <sheet name="Summary" sheetId="5" r:id="rId4"/>
  </sheets>
  <functionGroups builtInGroupCount="17"/>
  <definedNames>
    <definedName name="_xlnm._FilterDatabase" localSheetId="1" hidden="1">Database!$A$1:$G$18</definedName>
    <definedName name="_xlnm.Print_Area" localSheetId="3">Summary!$A$1:$H$51</definedName>
  </definedNames>
  <calcPr calcId="145621"/>
</workbook>
</file>

<file path=xl/calcChain.xml><?xml version="1.0" encoding="utf-8"?>
<calcChain xmlns="http://schemas.openxmlformats.org/spreadsheetml/2006/main">
  <c r="L2" i="2" l="1"/>
  <c r="K2" i="2"/>
  <c r="M2" i="2"/>
  <c r="J2" i="2"/>
  <c r="L45" i="2"/>
  <c r="L26" i="2"/>
  <c r="L21" i="2"/>
  <c r="L16" i="2"/>
  <c r="L3" i="2"/>
  <c r="K45" i="2"/>
  <c r="K26" i="2"/>
  <c r="K21" i="2"/>
  <c r="K16" i="2"/>
  <c r="K3" i="2"/>
  <c r="M45" i="2"/>
  <c r="M26" i="2"/>
  <c r="M21" i="2"/>
  <c r="M16" i="2"/>
  <c r="M3" i="2"/>
  <c r="J45" i="2"/>
  <c r="J26" i="2"/>
  <c r="J21" i="2"/>
  <c r="J16" i="2"/>
  <c r="J3" i="2"/>
  <c r="L63" i="2"/>
  <c r="L49" i="2"/>
  <c r="L31" i="2"/>
  <c r="L27" i="2"/>
  <c r="L22" i="2"/>
  <c r="L17" i="2"/>
  <c r="L4" i="2"/>
  <c r="K63" i="2"/>
  <c r="K49" i="2"/>
  <c r="K31" i="2"/>
  <c r="K27" i="2"/>
  <c r="K22" i="2"/>
  <c r="K17" i="2"/>
  <c r="K4" i="2"/>
  <c r="M63" i="2"/>
  <c r="M49" i="2"/>
  <c r="M31" i="2"/>
  <c r="M27" i="2"/>
  <c r="M22" i="2"/>
  <c r="M17" i="2"/>
  <c r="M4" i="2"/>
  <c r="J63" i="2"/>
  <c r="J49" i="2"/>
  <c r="J31" i="2"/>
  <c r="J27" i="2"/>
  <c r="J22" i="2"/>
  <c r="J17" i="2"/>
  <c r="J4" i="2"/>
  <c r="L64" i="2"/>
  <c r="L50" i="2"/>
  <c r="L46" i="2"/>
  <c r="L32" i="2"/>
  <c r="L28" i="2"/>
  <c r="L23" i="2"/>
  <c r="L18" i="2"/>
  <c r="L5" i="2"/>
  <c r="K64" i="2"/>
  <c r="K50" i="2"/>
  <c r="K46" i="2"/>
  <c r="K32" i="2"/>
  <c r="K28" i="2"/>
  <c r="K23" i="2"/>
  <c r="K18" i="2"/>
  <c r="K5" i="2"/>
  <c r="M64" i="2"/>
  <c r="M50" i="2"/>
  <c r="M46" i="2"/>
  <c r="M32" i="2"/>
  <c r="M28" i="2"/>
  <c r="M23" i="2"/>
  <c r="M18" i="2"/>
  <c r="M5" i="2"/>
  <c r="J64" i="2"/>
  <c r="J50" i="2"/>
  <c r="J46" i="2"/>
  <c r="J32" i="2"/>
  <c r="J28" i="2"/>
  <c r="J23" i="2"/>
  <c r="J18" i="2"/>
  <c r="J5" i="2"/>
  <c r="L68" i="2"/>
  <c r="L65" i="2"/>
  <c r="L59" i="2"/>
  <c r="L55" i="2"/>
  <c r="L51" i="2"/>
  <c r="L47" i="2"/>
  <c r="L33" i="2"/>
  <c r="L29" i="2"/>
  <c r="L24" i="2"/>
  <c r="L19" i="2"/>
  <c r="L6" i="2"/>
  <c r="K68" i="2"/>
  <c r="K65" i="2"/>
  <c r="K59" i="2"/>
  <c r="K55" i="2"/>
  <c r="K51" i="2"/>
  <c r="K47" i="2"/>
  <c r="K33" i="2"/>
  <c r="K29" i="2"/>
  <c r="K24" i="2"/>
  <c r="K19" i="2"/>
  <c r="K6" i="2"/>
  <c r="M68" i="2"/>
  <c r="M65" i="2"/>
  <c r="M59" i="2"/>
  <c r="M55" i="2"/>
  <c r="M51" i="2"/>
  <c r="M47" i="2"/>
  <c r="M33" i="2"/>
  <c r="M29" i="2"/>
  <c r="M24" i="2"/>
  <c r="M19" i="2"/>
  <c r="M6" i="2"/>
  <c r="J68" i="2"/>
  <c r="J65" i="2"/>
  <c r="J59" i="2"/>
  <c r="J55" i="2"/>
  <c r="J51" i="2"/>
  <c r="J47" i="2"/>
  <c r="J33" i="2"/>
  <c r="J29" i="2"/>
  <c r="J24" i="2"/>
  <c r="J19" i="2"/>
  <c r="J6" i="2"/>
  <c r="M69" i="2" l="1"/>
  <c r="K69" i="2"/>
  <c r="M67" i="2"/>
  <c r="K67" i="2"/>
  <c r="M66" i="2"/>
  <c r="K66" i="2"/>
  <c r="M62" i="2"/>
  <c r="K62" i="2"/>
  <c r="M61" i="2"/>
  <c r="K61" i="2"/>
  <c r="M60" i="2"/>
  <c r="K60" i="2"/>
  <c r="M58" i="2"/>
  <c r="K58" i="2"/>
  <c r="M57" i="2"/>
  <c r="K57" i="2"/>
  <c r="M56" i="2"/>
  <c r="K56" i="2"/>
  <c r="M54" i="2"/>
  <c r="K54" i="2"/>
  <c r="M53" i="2"/>
  <c r="K53" i="2"/>
  <c r="M52" i="2"/>
  <c r="K52" i="2"/>
  <c r="M48" i="2"/>
  <c r="K48" i="2"/>
  <c r="M44" i="2"/>
  <c r="K44" i="2"/>
  <c r="M43" i="2"/>
  <c r="K43" i="2"/>
  <c r="M42" i="2"/>
  <c r="K42" i="2"/>
  <c r="M41" i="2"/>
  <c r="K41" i="2"/>
  <c r="M40" i="2"/>
  <c r="K40" i="2"/>
  <c r="M39" i="2"/>
  <c r="K39" i="2"/>
  <c r="M38" i="2"/>
  <c r="K38" i="2"/>
  <c r="M37" i="2"/>
  <c r="K37" i="2"/>
  <c r="M36" i="2"/>
  <c r="K36" i="2"/>
  <c r="M35" i="2"/>
  <c r="K35" i="2"/>
  <c r="M34" i="2"/>
  <c r="K34" i="2"/>
  <c r="M30" i="2"/>
  <c r="K30" i="2"/>
  <c r="M25" i="2"/>
  <c r="K25" i="2"/>
  <c r="M20" i="2"/>
  <c r="K20" i="2"/>
  <c r="M15" i="2"/>
  <c r="K15" i="2"/>
  <c r="M14" i="2"/>
  <c r="K14" i="2"/>
  <c r="M13" i="2"/>
  <c r="K13" i="2"/>
  <c r="M12" i="2"/>
  <c r="K12" i="2"/>
  <c r="M11" i="2"/>
  <c r="K11" i="2"/>
  <c r="M10" i="2"/>
  <c r="K10" i="2"/>
  <c r="M9" i="2"/>
  <c r="K9" i="2"/>
  <c r="M8" i="2"/>
  <c r="K8" i="2"/>
  <c r="M7" i="2"/>
  <c r="K7" i="2"/>
  <c r="H17" i="5" l="1"/>
  <c r="H18" i="5"/>
  <c r="H19" i="5"/>
  <c r="E21" i="5"/>
  <c r="F21" i="5"/>
  <c r="G21" i="5"/>
  <c r="H21" i="5"/>
  <c r="H29" i="5"/>
  <c r="E30" i="5"/>
  <c r="F30" i="5"/>
  <c r="G30" i="5"/>
  <c r="H30" i="5" l="1"/>
  <c r="F11" i="4"/>
  <c r="H11" i="4"/>
  <c r="F12" i="4"/>
  <c r="H12" i="4" s="1"/>
  <c r="F13" i="4"/>
  <c r="H13" i="4" s="1"/>
  <c r="F14" i="4"/>
  <c r="H14" i="4"/>
  <c r="F15" i="4"/>
  <c r="H15" i="4"/>
  <c r="F17" i="4"/>
  <c r="H17" i="4"/>
  <c r="F33" i="4"/>
</calcChain>
</file>

<file path=xl/sharedStrings.xml><?xml version="1.0" encoding="utf-8"?>
<sst xmlns="http://schemas.openxmlformats.org/spreadsheetml/2006/main" count="466" uniqueCount="231">
  <si>
    <t xml:space="preserve"> </t>
  </si>
  <si>
    <t>Grand Total RAN after incentive</t>
  </si>
  <si>
    <t>incentive RAN 2</t>
  </si>
  <si>
    <t>incentive RAN 1</t>
  </si>
  <si>
    <t>Grand Total RAN</t>
  </si>
  <si>
    <t>Piece</t>
  </si>
  <si>
    <t>Product number level</t>
  </si>
  <si>
    <t>1.1.3.1.1.2</t>
  </si>
  <si>
    <t>1.1.3.1.1.1</t>
  </si>
  <si>
    <t>Set</t>
  </si>
  <si>
    <t>Detail level 3</t>
  </si>
  <si>
    <t>1.1.3.1</t>
  </si>
  <si>
    <t>Detail level 2</t>
  </si>
  <si>
    <t>1.1.3</t>
  </si>
  <si>
    <t>1.1.2.1.1.6</t>
  </si>
  <si>
    <t>1.1.2.1.1.5</t>
  </si>
  <si>
    <t>1.1.2.1.1.4</t>
  </si>
  <si>
    <t>1.1.2.1.1.3</t>
  </si>
  <si>
    <t>1.1.2.1.1.2</t>
  </si>
  <si>
    <t>1.1.2.1.1.1</t>
  </si>
  <si>
    <t>Node</t>
  </si>
  <si>
    <t>1.1.2.1</t>
  </si>
  <si>
    <t>1.1.2</t>
  </si>
  <si>
    <t>GGSN3-U/I PIC (3rd generation)</t>
  </si>
  <si>
    <t>1.1.1.1.1.8</t>
  </si>
  <si>
    <t>Flexible PIC Concentrator Type 3 (FPC3 M320)</t>
  </si>
  <si>
    <t>1.1.1.1.1.5</t>
  </si>
  <si>
    <t>8-Port Gigabit Ethernet PIC 1000Base-T</t>
  </si>
  <si>
    <t>1.1.1.1.1.2</t>
  </si>
  <si>
    <t>1-Port 10 Gigabit Ethernet PIC (S)</t>
  </si>
  <si>
    <t>1.1.1.1.1.1</t>
  </si>
  <si>
    <t>GGSN</t>
  </si>
  <si>
    <t>1.1</t>
  </si>
  <si>
    <t>1st Year Support (SGD)</t>
  </si>
  <si>
    <t>Total Net 
(SGD)</t>
  </si>
  <si>
    <t>Discount
(%)</t>
  </si>
  <si>
    <t>Total Gross (SGD)</t>
  </si>
  <si>
    <t>Unit Gross (SGD)</t>
  </si>
  <si>
    <t>Product
Unit</t>
  </si>
  <si>
    <t>Qty</t>
  </si>
  <si>
    <t>Name</t>
  </si>
  <si>
    <t>Item No</t>
  </si>
  <si>
    <t>DD Month YYYY</t>
  </si>
  <si>
    <t>Date:</t>
  </si>
  <si>
    <t>01</t>
  </si>
  <si>
    <t>Revision:</t>
  </si>
  <si>
    <t>Singtel FY xxxxxx</t>
  </si>
  <si>
    <t>Project name:</t>
  </si>
  <si>
    <t>yyyyyyyyyyy</t>
  </si>
  <si>
    <t>DD month YYYY</t>
  </si>
  <si>
    <t>Rev 02</t>
  </si>
  <si>
    <t>xxxxxxxxxx</t>
  </si>
  <si>
    <t>Rev 01</t>
  </si>
  <si>
    <t>Description of Change</t>
  </si>
  <si>
    <t>Date</t>
  </si>
  <si>
    <t>Rev no.</t>
  </si>
  <si>
    <t>Revision History:</t>
  </si>
  <si>
    <t>etc.</t>
  </si>
  <si>
    <t>Conditions</t>
  </si>
  <si>
    <t>Offer validation period</t>
  </si>
  <si>
    <t>Incoterms</t>
  </si>
  <si>
    <t>Payment terms</t>
  </si>
  <si>
    <t>Terms and Conditions:</t>
  </si>
  <si>
    <t>Grand Total after Incentive</t>
  </si>
  <si>
    <t>Payment Terms incentive</t>
  </si>
  <si>
    <t>Total before payment terms incentive</t>
  </si>
  <si>
    <t>Incentive RAN 2</t>
  </si>
  <si>
    <t>Incentive RAN 1</t>
  </si>
  <si>
    <t>Incentive core 2</t>
  </si>
  <si>
    <t>Incentive core 1</t>
  </si>
  <si>
    <t>Total Incentive</t>
  </si>
  <si>
    <t>Grand Total</t>
  </si>
  <si>
    <t>VAS</t>
  </si>
  <si>
    <t>RAN</t>
  </si>
  <si>
    <t>CORE</t>
  </si>
  <si>
    <t>Total</t>
  </si>
  <si>
    <t>Services</t>
  </si>
  <si>
    <t>SW</t>
  </si>
  <si>
    <t>HW</t>
  </si>
  <si>
    <t>Currency: SGD</t>
  </si>
  <si>
    <t>Price Summary Table</t>
  </si>
  <si>
    <t>Tel:</t>
  </si>
  <si>
    <t>Address:</t>
  </si>
  <si>
    <r>
      <t xml:space="preserve">Address: </t>
    </r>
    <r>
      <rPr>
        <sz val="10"/>
        <rFont val="Arial"/>
        <family val="2"/>
      </rPr>
      <t>xxxxxxxxx</t>
    </r>
  </si>
  <si>
    <r>
      <t xml:space="preserve">Attn: </t>
    </r>
    <r>
      <rPr>
        <sz val="10"/>
        <rFont val="Arial"/>
        <family val="2"/>
      </rPr>
      <t>xxxxxxx</t>
    </r>
  </si>
  <si>
    <r>
      <t xml:space="preserve">Contact person: </t>
    </r>
    <r>
      <rPr>
        <sz val="10"/>
        <rFont val="Arial"/>
        <family val="2"/>
      </rPr>
      <t>xxxxxxxxxxx</t>
    </r>
  </si>
  <si>
    <t>Item_No</t>
  </si>
  <si>
    <t>Parent</t>
  </si>
  <si>
    <t>Right</t>
  </si>
  <si>
    <t>Bottom</t>
  </si>
  <si>
    <t>Quantity</t>
  </si>
  <si>
    <t>Unit Gross</t>
  </si>
  <si>
    <t>Unit</t>
  </si>
  <si>
    <t>Total Gross</t>
  </si>
  <si>
    <t>Discount</t>
  </si>
  <si>
    <t>Total Net</t>
  </si>
  <si>
    <t>Left</t>
  </si>
  <si>
    <t>1</t>
  </si>
  <si>
    <t>Level</t>
  </si>
  <si>
    <t>Title</t>
  </si>
  <si>
    <t/>
  </si>
  <si>
    <t>GGSN 1</t>
  </si>
  <si>
    <t>1.1.1</t>
  </si>
  <si>
    <t>new GGSN (M320)</t>
  </si>
  <si>
    <t>1.1.1.1</t>
  </si>
  <si>
    <t>New GGSN HW for Telenai site</t>
  </si>
  <si>
    <t>1.1.1.1.1</t>
  </si>
  <si>
    <t>PRODUCT PACKAGE/GGSN-MPG 2011A HW (FAP1302515)</t>
  </si>
  <si>
    <t>1.1.1.1.1.3</t>
  </si>
  <si>
    <t>CB+RE Redundancy kit (M320)</t>
  </si>
  <si>
    <t>1.1.1.1.1.4</t>
  </si>
  <si>
    <t>Flexible PIC Concentrator Type 2 (FPC2 M320)</t>
  </si>
  <si>
    <t>1.1.1.1.1.6</t>
  </si>
  <si>
    <t>GGSN-MPG 2011A HW Base M320</t>
  </si>
  <si>
    <t>1.1.1.1.1.7</t>
  </si>
  <si>
    <t>GGSN3-C PIC (3rd generation)</t>
  </si>
  <si>
    <t>1.1.1.1.1.9</t>
  </si>
  <si>
    <t>Multi Services 400 PIC (MS-PIC 400)</t>
  </si>
  <si>
    <t>1.2</t>
  </si>
  <si>
    <t>SGSN</t>
  </si>
  <si>
    <t>1.2.1</t>
  </si>
  <si>
    <t>new SGSN HW - MKVI+ 1500/2000/3000L</t>
  </si>
  <si>
    <t>1.2.1.1</t>
  </si>
  <si>
    <t>new SGSN HW (Pool)</t>
  </si>
  <si>
    <t>1.2.1.1.1</t>
  </si>
  <si>
    <t>PRODUCT PACKAGE/SGSN-MME 2011A MkVI+ (FAP1302484)</t>
  </si>
  <si>
    <t>1.2.1.1.1.1</t>
  </si>
  <si>
    <t>SGSN-MME 2011A MkVI+ 1500/2000/3000L HW Base</t>
  </si>
  <si>
    <t>1.3</t>
  </si>
  <si>
    <t>Internal DNS</t>
  </si>
  <si>
    <t>1.3.1</t>
  </si>
  <si>
    <t>IPWorks 12A (iDNS) HW</t>
  </si>
  <si>
    <t>1.3.1.1</t>
  </si>
  <si>
    <t>1.3.1.1.1</t>
  </si>
  <si>
    <t>PRODUCT PACKAGE/IPWorks 12 A (FAP1303002)</t>
  </si>
  <si>
    <t>1.3.1.1.1.1</t>
  </si>
  <si>
    <t>HP DL380R06 24Gb mem, 4 x 146Gb disk (DC)</t>
  </si>
  <si>
    <t>1.4</t>
  </si>
  <si>
    <t>External DNS</t>
  </si>
  <si>
    <t>1.4.1</t>
  </si>
  <si>
    <t>IPWorks 12A (eDNS) HW</t>
  </si>
  <si>
    <t>1.4.1.1</t>
  </si>
  <si>
    <t>1.4.1.1.1</t>
  </si>
  <si>
    <t>1.4.1.1.1.1</t>
  </si>
  <si>
    <t>1.5</t>
  </si>
  <si>
    <t>O&amp;M, NMC, Performance</t>
  </si>
  <si>
    <t>1.5.1</t>
  </si>
  <si>
    <t>OSSRC ENIQ SW Expand</t>
  </si>
  <si>
    <t>1.5.1.1</t>
  </si>
  <si>
    <t>O12expand_pscore</t>
  </si>
  <si>
    <t>1.5.1.1.1</t>
  </si>
  <si>
    <t>FAJ1211142, Ericsson GGSN PM Tech Pack (kIP-Session)</t>
  </si>
  <si>
    <t>1.5.1.1.2</t>
  </si>
  <si>
    <t>FAJ 121 1509, Ericsson GGSN KPI Report (kIP-Session)</t>
  </si>
  <si>
    <t>1.5.1.1.3</t>
  </si>
  <si>
    <t>FAJ1211232, Ericsson SGSN KPI Report (per KSAU)</t>
  </si>
  <si>
    <t>1.5.1.1.4</t>
  </si>
  <si>
    <t>FAJ1211141, SGSN-MME PM Tech Pack (per KSAU)</t>
  </si>
  <si>
    <t>1.5.1.1.5</t>
  </si>
  <si>
    <t>Core Network Starter Package, GSN&amp;J20 ( Per kSAU )</t>
  </si>
  <si>
    <t>1.5.1.1.6</t>
  </si>
  <si>
    <t>Core Network Starter Package,  ( kIP-Session)</t>
  </si>
  <si>
    <t>1.5.1.1.7</t>
  </si>
  <si>
    <t>FAJ 121 853, SGSN in Pool Management (KSAU)</t>
  </si>
  <si>
    <t>1.5.1.1.8</t>
  </si>
  <si>
    <t>FAJ 121 713, GPRS Configuration Manager (KSAU)</t>
  </si>
  <si>
    <t>1.5.1.1.9</t>
  </si>
  <si>
    <t>FAJ 121 713, GPRS Configuration Manager -GGSN (Per IP-Session)</t>
  </si>
  <si>
    <t>1.5.1.1.10</t>
  </si>
  <si>
    <t>FAJ 121 089, OSS Client solution, Client Extension, Additional Users in step of 10</t>
  </si>
  <si>
    <t>1.5.1.1.11</t>
  </si>
  <si>
    <t>Connection to OSS-RC FM (COF), Datacom Nodes</t>
  </si>
  <si>
    <t>1.6</t>
  </si>
  <si>
    <t>Features</t>
  </si>
  <si>
    <t>1.6.1</t>
  </si>
  <si>
    <t>FAJ 121 1972 R1, Support for SGSN in Pool (Up to Ph5 and Ph4C)</t>
  </si>
  <si>
    <t>1.6.1.1</t>
  </si>
  <si>
    <t>FAJ 121 1972 R1, Support for SGSN in Pool, 16 ChE</t>
  </si>
  <si>
    <t>1.6.1.1.1</t>
  </si>
  <si>
    <t>FAJ121972 R1, Support for SGSN in Pool, 16 ChE</t>
  </si>
  <si>
    <t>1.6.2</t>
  </si>
  <si>
    <t>SGSN 2009A to 2011B SW Upgrade</t>
  </si>
  <si>
    <t>1.6.2.1</t>
  </si>
  <si>
    <t>1.6.2.1.1</t>
  </si>
  <si>
    <t>PRODUCT PACKAGE/SGSN-MME 2011B SW Lic (FAP1302716)</t>
  </si>
  <si>
    <t>1.6.2.1.1.1</t>
  </si>
  <si>
    <t>SGSN-MME 2010B to 2011B 10 kPPS GSM or 50 kPPS WCDMA SW Upgrade License</t>
  </si>
  <si>
    <t>1.6.2.1.1.2</t>
  </si>
  <si>
    <t>SGSN-MME 2010B to 2011B 25 kSAU SW Upgrade License</t>
  </si>
  <si>
    <t>1.6.2.1.1.3</t>
  </si>
  <si>
    <t>SGSN-MME 2010B to 2011B 5k IP Sessions SW Upgrade License</t>
  </si>
  <si>
    <t>1.6.2.1.2</t>
  </si>
  <si>
    <t>PRODUCT PACKAGE/SGSN-MME 2010B SW (FAP1302105)</t>
  </si>
  <si>
    <t>1.6.2.1.2.1</t>
  </si>
  <si>
    <t>SGSN-MME 2009B to 2010B 10 kPPS GSM or 50 kPPS WCDMA SW Upgrade License</t>
  </si>
  <si>
    <t>1.6.2.1.2.2</t>
  </si>
  <si>
    <t>SGSN-MME 2009B to 2010B 25 kSAU Upgrade SW License</t>
  </si>
  <si>
    <t>1.6.2.1.2.3</t>
  </si>
  <si>
    <t>SGSN-MME 2009B to 2010B 5k IP Sessions Upgrade SW License</t>
  </si>
  <si>
    <t>1.6.2.1.3</t>
  </si>
  <si>
    <t>PRODUCT PACKAGE/SGSN-MME 2009B (FAP1301520)</t>
  </si>
  <si>
    <t>1.6.2.1.3.1</t>
  </si>
  <si>
    <t>SGSN 2009A to 2009B 10 kPPS GSM or 50 kPPS WCDMA SW Upgrade License</t>
  </si>
  <si>
    <t>1.6.2.1.3.2</t>
  </si>
  <si>
    <t>SGSN 2009A to 2009B 25 kSAU Upgrade SW License</t>
  </si>
  <si>
    <t>1.6.2.1.3.3</t>
  </si>
  <si>
    <t>SGSN 2009A to 2009B 5 kPDP Upgrade SW License</t>
  </si>
  <si>
    <t>1.6.3</t>
  </si>
  <si>
    <t>SGSN Pool Features 2011B</t>
  </si>
  <si>
    <t>1.6.3.1</t>
  </si>
  <si>
    <t>1.6.3.1.1</t>
  </si>
  <si>
    <t>1.6.3.1.1.1</t>
  </si>
  <si>
    <t>APN Resolution Funchtional Extension</t>
  </si>
  <si>
    <t>1.6.3.1.1.2</t>
  </si>
  <si>
    <t>SGSN Pool for GSM</t>
  </si>
  <si>
    <t>1.6.4</t>
  </si>
  <si>
    <t>Existing GGSN SW Upgrade &amp; Expansion</t>
  </si>
  <si>
    <t>1.6.4.1</t>
  </si>
  <si>
    <t>GGSN SW Upgrade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</si>
  <si>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</si>
  <si>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</si>
  <si>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</si>
  <si>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</si>
  <si>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</si>
  <si>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</si>
  <si>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</si>
  <si>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</si>
  <si>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</si>
  <si>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</si>
  <si>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0</t>
  </si>
  <si>
    <t>CurrentRow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</si>
</sst>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,###,##0"/>
  </numFmts>
  <fonts count="18" x14ac:knownFonts="1">
    <font>
      <sz val="11"/>
      <color theme="1"/>
      <name val="Calibri"/>
      <family val="2"/>
      <scheme val="minor"/>
    </font>
    <font>
      <sz val="10"/>
      <name val="Arial"/>
    </font>
    <font>
      <sz val="8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sz val="8"/>
      <color indexed="10"/>
      <name val="Arial"/>
      <family val="2"/>
    </font>
    <font>
      <sz val="10"/>
      <color indexed="62"/>
      <name val="Arial"/>
      <family val="2"/>
    </font>
    <font>
      <sz val="12"/>
      <color indexed="62"/>
      <name val="Arial"/>
      <family val="2"/>
    </font>
    <font>
      <b/>
      <sz val="12"/>
      <color indexed="62"/>
      <name val="Arial"/>
      <family val="2"/>
    </font>
    <font>
      <sz val="10"/>
      <color indexed="9"/>
      <name val="Arial"/>
      <family val="2"/>
    </font>
    <font>
      <b/>
      <sz val="12"/>
      <color indexed="9"/>
      <name val="Arial"/>
      <family val="2"/>
    </font>
    <font>
      <i/>
      <sz val="10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</borders>
  <cellStyleXfs count="7">
    <xf numFmtId="0" fontId="0" fillId="0" borderId="0"/>
    <xf numFmtId="0" fontId="1" fillId="0" borderId="0"/>
    <xf numFmtId="164" fontId="2" fillId="0" borderId="0" applyFill="0" applyBorder="0"/>
    <xf numFmtId="164" fontId="2" fillId="3" borderId="0" applyFill="0" applyBorder="0"/>
    <xf numFmtId="164" fontId="2" fillId="0" borderId="0" applyFill="0" applyBorder="0"/>
    <xf numFmtId="164" fontId="5" fillId="0" borderId="0" applyFill="0" applyBorder="0"/>
    <xf numFmtId="49" fontId="3" fillId="0" borderId="2" applyFill="0" applyBorder="0">
      <alignment wrapText="1"/>
    </xf>
  </cellStyleXfs>
  <cellXfs count="122">
    <xf numFmtId="0" fontId="0" fillId="0" borderId="0" xfId="0"/>
    <xf numFmtId="0" fontId="1" fillId="0" borderId="0" xfId="1"/>
    <xf numFmtId="0" fontId="1" fillId="0" borderId="0" xfId="1" applyAlignment="1">
      <alignment horizontal="center"/>
    </xf>
    <xf numFmtId="0" fontId="1" fillId="2" borderId="0" xfId="1" applyFill="1"/>
    <xf numFmtId="0" fontId="1" fillId="2" borderId="0" xfId="1" applyFill="1" applyAlignment="1">
      <alignment horizontal="center"/>
    </xf>
    <xf numFmtId="164" fontId="2" fillId="2" borderId="0" xfId="2" applyFill="1"/>
    <xf numFmtId="0" fontId="3" fillId="2" borderId="0" xfId="1" applyFont="1" applyFill="1" applyAlignment="1">
      <alignment horizontal="left" wrapText="1"/>
    </xf>
    <xf numFmtId="0" fontId="4" fillId="0" borderId="0" xfId="1" applyFont="1"/>
    <xf numFmtId="0" fontId="4" fillId="2" borderId="0" xfId="1" applyFont="1" applyFill="1"/>
    <xf numFmtId="0" fontId="4" fillId="2" borderId="0" xfId="1" applyFont="1" applyFill="1" applyAlignment="1">
      <alignment horizontal="center"/>
    </xf>
    <xf numFmtId="0" fontId="2" fillId="2" borderId="1" xfId="1" applyFont="1" applyFill="1" applyBorder="1" applyAlignment="1"/>
    <xf numFmtId="164" fontId="2" fillId="2" borderId="1" xfId="3" applyFill="1" applyBorder="1"/>
    <xf numFmtId="0" fontId="2" fillId="2" borderId="1" xfId="1" applyFont="1" applyFill="1" applyBorder="1" applyAlignment="1">
      <alignment horizontal="center"/>
    </xf>
    <xf numFmtId="164" fontId="2" fillId="2" borderId="1" xfId="2" applyFill="1" applyBorder="1"/>
    <xf numFmtId="164" fontId="2" fillId="2" borderId="1" xfId="4" applyFill="1" applyBorder="1"/>
    <xf numFmtId="0" fontId="2" fillId="2" borderId="1" xfId="1" applyFont="1" applyFill="1" applyBorder="1" applyAlignment="1">
      <alignment horizontal="left" wrapText="1"/>
    </xf>
    <xf numFmtId="49" fontId="2" fillId="2" borderId="1" xfId="1" applyNumberFormat="1" applyFont="1" applyFill="1" applyBorder="1" applyAlignment="1"/>
    <xf numFmtId="0" fontId="2" fillId="2" borderId="0" xfId="1" applyFont="1" applyFill="1" applyBorder="1" applyAlignment="1"/>
    <xf numFmtId="164" fontId="2" fillId="2" borderId="0" xfId="3" applyFill="1" applyBorder="1"/>
    <xf numFmtId="0" fontId="2" fillId="2" borderId="0" xfId="1" applyFont="1" applyFill="1" applyBorder="1" applyAlignment="1">
      <alignment horizontal="center"/>
    </xf>
    <xf numFmtId="164" fontId="2" fillId="2" borderId="0" xfId="2" applyFill="1" applyBorder="1"/>
    <xf numFmtId="164" fontId="2" fillId="2" borderId="0" xfId="4" applyFill="1" applyBorder="1"/>
    <xf numFmtId="0" fontId="2" fillId="2" borderId="0" xfId="1" applyFont="1" applyFill="1" applyBorder="1" applyAlignment="1">
      <alignment horizontal="left" wrapText="1"/>
    </xf>
    <xf numFmtId="49" fontId="2" fillId="2" borderId="0" xfId="1" applyNumberFormat="1" applyFont="1" applyFill="1" applyBorder="1" applyAlignment="1"/>
    <xf numFmtId="0" fontId="2" fillId="2" borderId="0" xfId="1" applyFont="1" applyFill="1" applyAlignment="1"/>
    <xf numFmtId="164" fontId="2" fillId="2" borderId="0" xfId="3" applyFill="1"/>
    <xf numFmtId="0" fontId="2" fillId="2" borderId="0" xfId="1" applyFont="1" applyFill="1" applyAlignment="1">
      <alignment horizontal="center"/>
    </xf>
    <xf numFmtId="164" fontId="2" fillId="2" borderId="0" xfId="4" applyFill="1"/>
    <xf numFmtId="0" fontId="2" fillId="2" borderId="0" xfId="1" applyFont="1" applyFill="1" applyAlignment="1">
      <alignment horizontal="left" wrapText="1"/>
    </xf>
    <xf numFmtId="49" fontId="2" fillId="2" borderId="0" xfId="1" applyNumberFormat="1" applyFont="1" applyFill="1" applyAlignment="1"/>
    <xf numFmtId="164" fontId="5" fillId="2" borderId="0" xfId="5" applyFill="1"/>
    <xf numFmtId="0" fontId="3" fillId="2" borderId="0" xfId="1" applyFont="1" applyFill="1" applyAlignment="1">
      <alignment horizontal="center"/>
    </xf>
    <xf numFmtId="0" fontId="3" fillId="2" borderId="0" xfId="1" applyFont="1" applyFill="1" applyAlignment="1"/>
    <xf numFmtId="49" fontId="3" fillId="2" borderId="0" xfId="1" applyNumberFormat="1" applyFont="1" applyFill="1" applyAlignment="1"/>
    <xf numFmtId="0" fontId="2" fillId="2" borderId="0" xfId="1" applyFont="1" applyFill="1" applyAlignment="1">
      <alignment wrapText="1"/>
    </xf>
    <xf numFmtId="0" fontId="3" fillId="2" borderId="0" xfId="1" applyFont="1" applyFill="1" applyAlignment="1">
      <alignment wrapText="1"/>
    </xf>
    <xf numFmtId="49" fontId="3" fillId="4" borderId="2" xfId="6" applyFont="1" applyFill="1" applyBorder="1" applyAlignment="1">
      <alignment horizontal="center" wrapText="1"/>
    </xf>
    <xf numFmtId="49" fontId="3" fillId="2" borderId="2" xfId="6" applyFont="1" applyFill="1" applyBorder="1" applyAlignment="1">
      <alignment horizontal="center" wrapText="1"/>
    </xf>
    <xf numFmtId="49" fontId="3" fillId="2" borderId="2" xfId="6" applyFont="1" applyFill="1" applyBorder="1" applyAlignment="1">
      <alignment horizontal="right" wrapText="1"/>
    </xf>
    <xf numFmtId="49" fontId="3" fillId="2" borderId="2" xfId="6" applyFill="1" applyBorder="1" applyAlignment="1">
      <alignment wrapText="1"/>
    </xf>
    <xf numFmtId="49" fontId="3" fillId="2" borderId="2" xfId="6" applyFill="1" applyBorder="1">
      <alignment wrapText="1"/>
    </xf>
    <xf numFmtId="0" fontId="1" fillId="2" borderId="3" xfId="1" applyFill="1" applyBorder="1"/>
    <xf numFmtId="0" fontId="1" fillId="2" borderId="3" xfId="1" applyFill="1" applyBorder="1" applyAlignment="1">
      <alignment horizontal="center"/>
    </xf>
    <xf numFmtId="0" fontId="6" fillId="2" borderId="0" xfId="1" applyFont="1" applyFill="1"/>
    <xf numFmtId="0" fontId="6" fillId="2" borderId="0" xfId="1" applyFont="1" applyFill="1" applyBorder="1"/>
    <xf numFmtId="0" fontId="6" fillId="2" borderId="0" xfId="1" applyFont="1" applyFill="1" applyAlignment="1">
      <alignment horizontal="center"/>
    </xf>
    <xf numFmtId="0" fontId="7" fillId="2" borderId="0" xfId="1" applyFont="1" applyFill="1"/>
    <xf numFmtId="0" fontId="8" fillId="2" borderId="0" xfId="1" applyFont="1" applyFill="1"/>
    <xf numFmtId="0" fontId="7" fillId="2" borderId="0" xfId="1" quotePrefix="1" applyFont="1" applyFill="1"/>
    <xf numFmtId="0" fontId="1" fillId="2" borderId="0" xfId="1" applyFill="1" applyBorder="1"/>
    <xf numFmtId="0" fontId="1" fillId="2" borderId="0" xfId="1" applyFill="1" applyBorder="1" applyAlignment="1">
      <alignment horizontal="center"/>
    </xf>
    <xf numFmtId="2" fontId="0" fillId="0" borderId="0" xfId="0" applyNumberFormat="1"/>
    <xf numFmtId="19" fontId="0" fillId="0" borderId="0" xfId="0" applyNumberFormat="1"/>
    <xf numFmtId="0" fontId="1" fillId="2" borderId="4" xfId="1" applyFill="1" applyBorder="1"/>
    <xf numFmtId="0" fontId="1" fillId="2" borderId="5" xfId="1" applyFill="1" applyBorder="1"/>
    <xf numFmtId="0" fontId="1" fillId="2" borderId="6" xfId="1" applyFill="1" applyBorder="1"/>
    <xf numFmtId="0" fontId="1" fillId="2" borderId="7" xfId="1" applyFill="1" applyBorder="1"/>
    <xf numFmtId="0" fontId="4" fillId="2" borderId="0" xfId="1" applyFont="1" applyFill="1" applyBorder="1"/>
    <xf numFmtId="0" fontId="4" fillId="2" borderId="8" xfId="1" applyFont="1" applyFill="1" applyBorder="1"/>
    <xf numFmtId="0" fontId="4" fillId="2" borderId="9" xfId="1" applyFont="1" applyFill="1" applyBorder="1"/>
    <xf numFmtId="0" fontId="4" fillId="2" borderId="10" xfId="1" applyFont="1" applyFill="1" applyBorder="1"/>
    <xf numFmtId="0" fontId="9" fillId="5" borderId="0" xfId="1" applyFont="1" applyFill="1"/>
    <xf numFmtId="0" fontId="9" fillId="5" borderId="0" xfId="1" applyFont="1" applyFill="1" applyBorder="1"/>
    <xf numFmtId="0" fontId="9" fillId="5" borderId="8" xfId="1" applyFont="1" applyFill="1" applyBorder="1"/>
    <xf numFmtId="0" fontId="9" fillId="5" borderId="9" xfId="1" applyFont="1" applyFill="1" applyBorder="1"/>
    <xf numFmtId="0" fontId="10" fillId="5" borderId="10" xfId="1" applyFont="1" applyFill="1" applyBorder="1"/>
    <xf numFmtId="0" fontId="1" fillId="2" borderId="11" xfId="1" applyFill="1" applyBorder="1"/>
    <xf numFmtId="0" fontId="1" fillId="2" borderId="12" xfId="1" applyFill="1" applyBorder="1"/>
    <xf numFmtId="0" fontId="1" fillId="2" borderId="13" xfId="1" applyFill="1" applyBorder="1"/>
    <xf numFmtId="0" fontId="4" fillId="2" borderId="0" xfId="1" applyFont="1" applyFill="1" applyBorder="1" applyAlignment="1">
      <alignment horizontal="center"/>
    </xf>
    <xf numFmtId="0" fontId="4" fillId="6" borderId="14" xfId="1" applyFont="1" applyFill="1" applyBorder="1" applyAlignment="1">
      <alignment horizontal="center"/>
    </xf>
    <xf numFmtId="0" fontId="4" fillId="6" borderId="15" xfId="1" applyFont="1" applyFill="1" applyBorder="1" applyAlignment="1">
      <alignment horizontal="center"/>
    </xf>
    <xf numFmtId="0" fontId="4" fillId="6" borderId="15" xfId="1" applyFont="1" applyFill="1" applyBorder="1"/>
    <xf numFmtId="0" fontId="4" fillId="6" borderId="16" xfId="1" applyFont="1" applyFill="1" applyBorder="1"/>
    <xf numFmtId="0" fontId="1" fillId="7" borderId="14" xfId="1" applyFill="1" applyBorder="1" applyAlignment="1">
      <alignment horizontal="center"/>
    </xf>
    <xf numFmtId="0" fontId="1" fillId="7" borderId="15" xfId="1" applyFill="1" applyBorder="1" applyAlignment="1">
      <alignment horizontal="center"/>
    </xf>
    <xf numFmtId="0" fontId="1" fillId="7" borderId="15" xfId="1" applyFill="1" applyBorder="1"/>
    <xf numFmtId="0" fontId="11" fillId="7" borderId="15" xfId="1" applyFont="1" applyFill="1" applyBorder="1"/>
    <xf numFmtId="0" fontId="1" fillId="7" borderId="16" xfId="1" applyFill="1" applyBorder="1"/>
    <xf numFmtId="0" fontId="12" fillId="2" borderId="0" xfId="1" applyFont="1" applyFill="1"/>
    <xf numFmtId="0" fontId="12" fillId="7" borderId="17" xfId="1" applyFont="1" applyFill="1" applyBorder="1" applyAlignment="1">
      <alignment horizontal="center"/>
    </xf>
    <xf numFmtId="0" fontId="12" fillId="7" borderId="0" xfId="1" applyFont="1" applyFill="1" applyBorder="1" applyAlignment="1">
      <alignment horizontal="center"/>
    </xf>
    <xf numFmtId="0" fontId="12" fillId="7" borderId="0" xfId="1" applyFont="1" applyFill="1" applyBorder="1"/>
    <xf numFmtId="0" fontId="13" fillId="7" borderId="18" xfId="1" applyFont="1" applyFill="1" applyBorder="1"/>
    <xf numFmtId="0" fontId="12" fillId="7" borderId="18" xfId="1" applyFont="1" applyFill="1" applyBorder="1"/>
    <xf numFmtId="0" fontId="4" fillId="7" borderId="17" xfId="1" applyFont="1" applyFill="1" applyBorder="1" applyAlignment="1">
      <alignment horizontal="center"/>
    </xf>
    <xf numFmtId="0" fontId="4" fillId="7" borderId="0" xfId="1" applyFont="1" applyFill="1" applyBorder="1" applyAlignment="1">
      <alignment horizontal="center"/>
    </xf>
    <xf numFmtId="0" fontId="4" fillId="7" borderId="0" xfId="1" applyFont="1" applyFill="1" applyBorder="1"/>
    <xf numFmtId="0" fontId="4" fillId="7" borderId="18" xfId="1" applyFont="1" applyFill="1" applyBorder="1"/>
    <xf numFmtId="0" fontId="4" fillId="7" borderId="19" xfId="1" applyFont="1" applyFill="1" applyBorder="1" applyAlignment="1">
      <alignment horizontal="center"/>
    </xf>
    <xf numFmtId="0" fontId="4" fillId="7" borderId="20" xfId="1" applyFont="1" applyFill="1" applyBorder="1" applyAlignment="1">
      <alignment horizontal="center"/>
    </xf>
    <xf numFmtId="0" fontId="4" fillId="7" borderId="20" xfId="1" applyFont="1" applyFill="1" applyBorder="1"/>
    <xf numFmtId="0" fontId="4" fillId="7" borderId="21" xfId="1" applyFont="1" applyFill="1" applyBorder="1"/>
    <xf numFmtId="0" fontId="1" fillId="2" borderId="22" xfId="1" applyFill="1" applyBorder="1" applyAlignment="1">
      <alignment horizontal="center"/>
    </xf>
    <xf numFmtId="0" fontId="1" fillId="2" borderId="15" xfId="1" applyFill="1" applyBorder="1" applyAlignment="1">
      <alignment horizontal="center"/>
    </xf>
    <xf numFmtId="0" fontId="1" fillId="2" borderId="15" xfId="1" applyFill="1" applyBorder="1"/>
    <xf numFmtId="0" fontId="11" fillId="2" borderId="15" xfId="1" applyFont="1" applyFill="1" applyBorder="1"/>
    <xf numFmtId="0" fontId="1" fillId="2" borderId="16" xfId="1" applyFill="1" applyBorder="1"/>
    <xf numFmtId="0" fontId="4" fillId="2" borderId="23" xfId="1" applyFont="1" applyFill="1" applyBorder="1" applyAlignment="1">
      <alignment horizontal="center"/>
    </xf>
    <xf numFmtId="0" fontId="4" fillId="2" borderId="18" xfId="1" applyFont="1" applyFill="1" applyBorder="1"/>
    <xf numFmtId="0" fontId="4" fillId="2" borderId="24" xfId="1" applyFont="1" applyFill="1" applyBorder="1" applyAlignment="1">
      <alignment horizontal="center"/>
    </xf>
    <xf numFmtId="0" fontId="4" fillId="2" borderId="20" xfId="1" applyFont="1" applyFill="1" applyBorder="1" applyAlignment="1">
      <alignment horizontal="center"/>
    </xf>
    <xf numFmtId="0" fontId="4" fillId="2" borderId="20" xfId="1" applyFont="1" applyFill="1" applyBorder="1"/>
    <xf numFmtId="0" fontId="4" fillId="2" borderId="21" xfId="1" applyFont="1" applyFill="1" applyBorder="1"/>
    <xf numFmtId="0" fontId="14" fillId="2" borderId="0" xfId="1" applyFont="1" applyFill="1"/>
    <xf numFmtId="0" fontId="15" fillId="2" borderId="0" xfId="1" applyFont="1" applyFill="1" applyBorder="1"/>
    <xf numFmtId="0" fontId="14" fillId="2" borderId="0" xfId="1" applyFont="1" applyFill="1" applyBorder="1"/>
    <xf numFmtId="0" fontId="7" fillId="2" borderId="0" xfId="1" applyFont="1" applyFill="1" applyBorder="1"/>
    <xf numFmtId="0" fontId="8" fillId="2" borderId="0" xfId="1" applyFont="1" applyFill="1" applyBorder="1"/>
    <xf numFmtId="0" fontId="0" fillId="0" borderId="0" xfId="0" applyFont="1"/>
    <xf numFmtId="49" fontId="0" fillId="0" borderId="0" xfId="0" applyNumberFormat="1" applyFont="1"/>
    <xf numFmtId="49" fontId="17" fillId="0" borderId="0" xfId="1" applyNumberFormat="1" applyFont="1" applyFill="1" applyAlignment="1">
      <alignment horizontal="left"/>
    </xf>
    <xf numFmtId="49" fontId="17" fillId="0" borderId="0" xfId="1" applyNumberFormat="1" applyFont="1" applyFill="1" applyAlignment="1"/>
    <xf numFmtId="49" fontId="0" fillId="0" borderId="0" xfId="0" quotePrefix="1" applyNumberFormat="1" applyFont="1"/>
    <xf numFmtId="49" fontId="0" fillId="0" borderId="0" xfId="0" quotePrefix="1" applyNumberFormat="1" applyFont="1" applyFill="1" applyAlignment="1">
      <alignment horizontal="left"/>
    </xf>
    <xf numFmtId="1" fontId="0" fillId="0" borderId="0" xfId="0" quotePrefix="1" applyNumberFormat="1" applyFont="1"/>
    <xf numFmtId="1" fontId="0" fillId="0" borderId="0" xfId="0" applyNumberFormat="1" applyFont="1"/>
    <xf numFmtId="49" fontId="0" fillId="0" borderId="0" xfId="0" applyNumberFormat="1" applyFont="1" applyFill="1"/>
    <xf numFmtId="49" fontId="0" fillId="0" borderId="0" xfId="0" applyNumberFormat="1"/>
    <xf numFmtId="49" fontId="0" fillId="0" borderId="0" xfId="0" applyNumberFormat="1" applyFont="1" applyAlignment="1">
      <alignment horizontal="left"/>
    </xf>
    <xf numFmtId="0" fontId="0" fillId="0" borderId="0" xfId="0" quotePrefix="1" applyFont="1"/>
    <xf numFmtId="0" fontId="0" fillId="0" borderId="0" xfId="0" quotePrefix="1"/>
  </cellXfs>
  <cellStyles count="7">
    <cellStyle name="Normal" xfId="0" builtinId="0"/>
    <cellStyle name="Normal 2" xfId="1"/>
    <cellStyle name="VerdiColumnHeader" xfId="6"/>
    <cellStyle name="VerdiCost" xfId="5"/>
    <cellStyle name="VerdiTotalGross" xfId="2"/>
    <cellStyle name="VerdiTotalNetPrice" xfId="3"/>
    <cellStyle name="VerdiUnitGrossPrice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666750</xdr:colOff>
      <xdr:row>3</xdr:row>
      <xdr:rowOff>19050</xdr:rowOff>
    </xdr:from>
    <xdr:to>
      <xdr:col>1</xdr:col>
      <xdr:colOff>542925</xdr:colOff>
      <xdr:row>7</xdr:row>
      <xdr:rowOff>123825</xdr:rowOff>
    </xdr:to>
    <xdr:sp macro="[0]!ThisWorkbook.Choose" textlink="">
      <xdr:nvSpPr>
        <xdr:cNvPr id="2" name="Oval 1"/>
        <xdr:cNvSpPr/>
      </xdr:nvSpPr>
      <xdr:spPr>
        <a:xfrm>
          <a:off x="666750" y="590550"/>
          <a:ext cx="866775" cy="8667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SG" sz="1100"/>
            <a:t>Go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6"/>
  <sheetViews>
    <sheetView workbookViewId="0">
      <selection activeCell="R11" sqref="R11"/>
    </sheetView>
  </sheetViews>
  <sheetFormatPr defaultRowHeight="15" x14ac:dyDescent="0.25"/>
  <cols>
    <col min="1" max="1" width="17" customWidth="1"/>
  </cols>
  <sheetData>
    <row r="1" spans="1:6" x14ac:dyDescent="0.25">
      <c r="A1" s="52"/>
    </row>
    <row r="2" spans="1:6" x14ac:dyDescent="0.25">
      <c r="A2" t="s">
        <v>0</v>
      </c>
    </row>
    <row r="4" spans="1:6" x14ac:dyDescent="0.25">
      <c r="F4" s="51"/>
    </row>
    <row r="5" spans="1:6" x14ac:dyDescent="0.25">
      <c r="F5" s="51"/>
    </row>
    <row r="6" spans="1:6" x14ac:dyDescent="0.25">
      <c r="F6" s="51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70"/>
  <sheetViews>
    <sheetView tabSelected="1" workbookViewId="0">
      <selection activeCell="L14" sqref="L14"/>
    </sheetView>
  </sheetViews>
  <sheetFormatPr defaultRowHeight="15" x14ac:dyDescent="0.25"/>
  <cols>
    <col min="1" max="1" width="12.7109375" style="118" bestFit="1" customWidth="1"/>
    <col min="2" max="2" width="8.5703125" style="118" bestFit="1" customWidth="1"/>
    <col min="3" max="3" width="10.85546875" style="118" bestFit="1" customWidth="1"/>
    <col min="4" max="4" width="7" style="118" bestFit="1" customWidth="1"/>
    <col min="5" max="5" width="7.140625" bestFit="1" customWidth="1"/>
    <col min="6" max="6" width="7.85546875" bestFit="1" customWidth="1"/>
    <col min="7" max="7" width="9.42578125" customWidth="1"/>
    <col min="8" max="8" width="73.28515625" bestFit="1" customWidth="1"/>
    <col min="9" max="9" width="8.7109375" bestFit="1" customWidth="1"/>
    <col min="10" max="10" width="10" bestFit="1" customWidth="1"/>
    <col min="11" max="11" width="10.7109375" bestFit="1" customWidth="1"/>
    <col min="12" max="12" width="8.7109375" bestFit="1" customWidth="1"/>
    <col min="14" max="14" width="11.5703125" bestFit="1" customWidth="1"/>
  </cols>
  <sheetData>
    <row r="1" spans="1:14" x14ac:dyDescent="0.25">
      <c r="A1" s="117" t="s">
        <v>86</v>
      </c>
      <c r="B1" s="110" t="s">
        <v>98</v>
      </c>
      <c r="C1" s="110" t="s">
        <v>87</v>
      </c>
      <c r="D1" s="110" t="s">
        <v>92</v>
      </c>
      <c r="E1" s="109" t="s">
        <v>96</v>
      </c>
      <c r="F1" s="109" t="s">
        <v>88</v>
      </c>
      <c r="G1" s="109" t="s">
        <v>89</v>
      </c>
      <c r="H1" s="109" t="s">
        <v>99</v>
      </c>
      <c r="I1" s="109" t="s">
        <v>90</v>
      </c>
      <c r="J1" s="109" t="s">
        <v>91</v>
      </c>
      <c r="K1" s="109" t="s">
        <v>93</v>
      </c>
      <c r="L1" s="109" t="s">
        <v>94</v>
      </c>
      <c r="M1" s="109" t="s">
        <v>95</v>
      </c>
      <c r="N1" s="109" t="s">
        <v>230</v>
      </c>
    </row>
    <row r="2" spans="1:14" x14ac:dyDescent="0.25">
      <c r="A2" s="110" t="s">
        <v>97</v>
      </c>
      <c r="B2" s="110">
        <v>1</v>
      </c>
      <c r="C2" s="113" t="s">
        <v>100</v>
      </c>
      <c r="D2" s="110" t="s">
        <v>97</v>
      </c>
      <c r="E2" s="115">
        <v>1</v>
      </c>
      <c r="F2" s="115">
        <v>136</v>
      </c>
      <c r="G2" s="120" t="s">
        <v>229</v>
      </c>
      <c r="H2" s="109">
        <v>2012</v>
      </c>
      <c r="I2" s="109">
        <v>1</v>
      </c>
      <c r="J2" s="109">
        <f>SUM(K3,K16,K21,K26,K31,K45)</f>
        <v>4296.0304747999999</v>
      </c>
      <c r="K2" s="109">
        <f>I2*J2</f>
        <v>4296.0304747999999</v>
      </c>
      <c r="L2" s="109">
        <f>100*(1-(M2/K2))</f>
        <v>0</v>
      </c>
      <c r="M2" s="109">
        <f>I2*SUM(M3,M16,M21,M26,M31,M45)</f>
        <v>4296.0304747999999</v>
      </c>
      <c r="N2">
        <v>2</v>
      </c>
    </row>
    <row r="3" spans="1:14" x14ac:dyDescent="0.25">
      <c r="A3" s="111" t="s">
        <v>32</v>
      </c>
      <c r="B3" s="110">
        <v>2</v>
      </c>
      <c r="C3" s="114" t="s">
        <v>97</v>
      </c>
      <c r="D3" s="110" t="s">
        <v>97</v>
      </c>
      <c r="E3" s="116">
        <v>2</v>
      </c>
      <c r="F3" s="116">
        <v>27</v>
      </c>
      <c r="G3" s="120" t="s">
        <v>229</v>
      </c>
      <c r="H3" s="109" t="s">
        <v>101</v>
      </c>
      <c r="I3">
        <v>1</v>
      </c>
      <c r="J3">
        <f>SUM(K4)</f>
        <v>61.415861999999997</v>
      </c>
      <c r="K3">
        <f>I3*J3</f>
        <v>61.415861999999997</v>
      </c>
      <c r="L3">
        <f>100*(1-(M3/K3))</f>
        <v>0</v>
      </c>
      <c r="M3">
        <f>I3*SUM(M4)</f>
        <v>61.415861999999997</v>
      </c>
      <c r="N3">
        <v>3</v>
      </c>
    </row>
    <row r="4" spans="1:14" x14ac:dyDescent="0.25">
      <c r="A4" s="111" t="s">
        <v>102</v>
      </c>
      <c r="B4" s="110">
        <v>3</v>
      </c>
      <c r="C4" s="114" t="s">
        <v>32</v>
      </c>
      <c r="D4" s="110" t="s">
        <v>97</v>
      </c>
      <c r="E4" s="116">
        <v>3</v>
      </c>
      <c r="F4" s="116">
        <v>26</v>
      </c>
      <c r="G4" s="120" t="s">
        <v>229</v>
      </c>
      <c r="H4" s="109" t="s">
        <v>103</v>
      </c>
      <c r="I4">
        <v>1</v>
      </c>
      <c r="J4">
        <f>SUM(K5)</f>
        <v>61.415861999999997</v>
      </c>
      <c r="K4">
        <f>I4*J4</f>
        <v>61.415861999999997</v>
      </c>
      <c r="L4">
        <f>100*(1-(M4/K4))</f>
        <v>0</v>
      </c>
      <c r="M4">
        <f>I4*SUM(M5)</f>
        <v>61.415861999999997</v>
      </c>
      <c r="N4">
        <v>4</v>
      </c>
    </row>
    <row r="5" spans="1:14" x14ac:dyDescent="0.25">
      <c r="A5" s="112" t="s">
        <v>104</v>
      </c>
      <c r="B5" s="110">
        <v>4</v>
      </c>
      <c r="C5" s="111" t="s">
        <v>102</v>
      </c>
      <c r="D5" s="110" t="s">
        <v>97</v>
      </c>
      <c r="E5" s="115">
        <v>4</v>
      </c>
      <c r="F5" s="115">
        <v>25</v>
      </c>
      <c r="G5" s="120" t="s">
        <v>229</v>
      </c>
      <c r="H5" s="109" t="s">
        <v>105</v>
      </c>
      <c r="I5">
        <v>1</v>
      </c>
      <c r="J5">
        <f>SUM(K6)</f>
        <v>61.415861999999997</v>
      </c>
      <c r="K5">
        <f>I5*J5</f>
        <v>61.415861999999997</v>
      </c>
      <c r="L5">
        <f>100*(1-(M5/K5))</f>
        <v>0</v>
      </c>
      <c r="M5">
        <f>I5*SUM(M6)</f>
        <v>61.415861999999997</v>
      </c>
      <c r="N5">
        <v>5</v>
      </c>
    </row>
    <row r="6" spans="1:14" x14ac:dyDescent="0.25">
      <c r="A6" s="112" t="s">
        <v>106</v>
      </c>
      <c r="B6" s="110">
        <v>5</v>
      </c>
      <c r="C6" s="111" t="s">
        <v>104</v>
      </c>
      <c r="D6" s="110" t="s">
        <v>97</v>
      </c>
      <c r="E6" s="115">
        <v>5</v>
      </c>
      <c r="F6" s="115">
        <v>24</v>
      </c>
      <c r="G6" s="120" t="s">
        <v>229</v>
      </c>
      <c r="H6" s="109" t="s">
        <v>107</v>
      </c>
      <c r="I6">
        <v>1</v>
      </c>
      <c r="J6">
        <f>SUM(K7,K8,K9,K10,K11,K12,K13,K14,K15)</f>
        <v>61.415861999999997</v>
      </c>
      <c r="K6">
        <f>I6*J6</f>
        <v>61.415861999999997</v>
      </c>
      <c r="L6">
        <f>100*(1-(M6/K6))</f>
        <v>0</v>
      </c>
      <c r="M6">
        <f>I6*SUM(M7,M8,M9,M10,M11,M12,M13,M14,M15)</f>
        <v>61.415861999999997</v>
      </c>
      <c r="N6">
        <v>6</v>
      </c>
    </row>
    <row r="7" spans="1:14" x14ac:dyDescent="0.25">
      <c r="A7" s="112" t="s">
        <v>30</v>
      </c>
      <c r="B7" s="110">
        <v>6</v>
      </c>
      <c r="C7" s="112" t="s">
        <v>106</v>
      </c>
      <c r="D7" s="110" t="s">
        <v>97</v>
      </c>
      <c r="E7" s="115">
        <v>6</v>
      </c>
      <c r="F7" s="115">
        <v>7</v>
      </c>
      <c r="G7" s="120" t="s">
        <v>97</v>
      </c>
      <c r="H7" s="109" t="s">
        <v>29</v>
      </c>
      <c r="I7">
        <v>2</v>
      </c>
      <c r="J7">
        <v>3.7015861999999999</v>
      </c>
      <c r="K7">
        <f t="shared" ref="K7:K15" si="0">I7*J7</f>
        <v>7.4031723999999999</v>
      </c>
      <c r="L7">
        <v>0</v>
      </c>
      <c r="M7">
        <f t="shared" ref="M7:M15" si="1">(1-(L7/100))*K7</f>
        <v>7.4031723999999999</v>
      </c>
      <c r="N7">
        <v>7</v>
      </c>
    </row>
    <row r="8" spans="1:14" x14ac:dyDescent="0.25">
      <c r="A8" s="112" t="s">
        <v>28</v>
      </c>
      <c r="B8" s="110">
        <v>6</v>
      </c>
      <c r="C8" s="112" t="s">
        <v>106</v>
      </c>
      <c r="D8" s="110" t="s">
        <v>219</v>
      </c>
      <c r="E8" s="115">
        <v>8</v>
      </c>
      <c r="F8" s="115">
        <v>9</v>
      </c>
      <c r="G8" s="120" t="s">
        <v>97</v>
      </c>
      <c r="H8" s="109" t="s">
        <v>27</v>
      </c>
      <c r="I8">
        <v>2</v>
      </c>
      <c r="J8">
        <v>3.7015861999999999</v>
      </c>
      <c r="K8">
        <f t="shared" si="0"/>
        <v>7.4031723999999999</v>
      </c>
      <c r="L8">
        <v>0</v>
      </c>
      <c r="M8">
        <f t="shared" si="1"/>
        <v>7.4031723999999999</v>
      </c>
      <c r="N8">
        <v>8</v>
      </c>
    </row>
    <row r="9" spans="1:14" x14ac:dyDescent="0.25">
      <c r="A9" s="112" t="s">
        <v>108</v>
      </c>
      <c r="B9" s="110">
        <v>6</v>
      </c>
      <c r="C9" s="112" t="s">
        <v>106</v>
      </c>
      <c r="D9" s="110" t="s">
        <v>220</v>
      </c>
      <c r="E9" s="115">
        <v>10</v>
      </c>
      <c r="F9" s="115">
        <v>11</v>
      </c>
      <c r="G9" s="120" t="s">
        <v>97</v>
      </c>
      <c r="H9" s="109" t="s">
        <v>109</v>
      </c>
      <c r="I9">
        <v>1</v>
      </c>
      <c r="J9">
        <v>3.7015861999999999</v>
      </c>
      <c r="K9">
        <f t="shared" si="0"/>
        <v>3.7015861999999999</v>
      </c>
      <c r="L9">
        <v>0</v>
      </c>
      <c r="M9">
        <f t="shared" si="1"/>
        <v>3.7015861999999999</v>
      </c>
      <c r="N9">
        <v>9</v>
      </c>
    </row>
    <row r="10" spans="1:14" x14ac:dyDescent="0.25">
      <c r="A10" s="112" t="s">
        <v>110</v>
      </c>
      <c r="B10" s="110">
        <v>6</v>
      </c>
      <c r="C10" s="112" t="s">
        <v>106</v>
      </c>
      <c r="D10" s="110" t="s">
        <v>221</v>
      </c>
      <c r="E10" s="115">
        <v>12</v>
      </c>
      <c r="F10" s="115">
        <v>13</v>
      </c>
      <c r="G10" s="120" t="s">
        <v>97</v>
      </c>
      <c r="H10" s="109" t="s">
        <v>111</v>
      </c>
      <c r="I10">
        <v>3</v>
      </c>
      <c r="J10">
        <v>3.7015861999999999</v>
      </c>
      <c r="K10">
        <f t="shared" si="0"/>
        <v>11.1047586</v>
      </c>
      <c r="L10">
        <v>0</v>
      </c>
      <c r="M10">
        <f t="shared" si="1"/>
        <v>11.1047586</v>
      </c>
      <c r="N10">
        <v>10</v>
      </c>
    </row>
    <row r="11" spans="1:14" x14ac:dyDescent="0.25">
      <c r="A11" s="112" t="s">
        <v>26</v>
      </c>
      <c r="B11" s="110">
        <v>6</v>
      </c>
      <c r="C11" s="112" t="s">
        <v>106</v>
      </c>
      <c r="D11" s="110" t="s">
        <v>222</v>
      </c>
      <c r="E11" s="115">
        <v>14</v>
      </c>
      <c r="F11" s="115">
        <v>15</v>
      </c>
      <c r="G11" s="120" t="s">
        <v>97</v>
      </c>
      <c r="H11" s="109" t="s">
        <v>25</v>
      </c>
      <c r="I11">
        <v>2</v>
      </c>
      <c r="J11">
        <v>3.7015861999999999</v>
      </c>
      <c r="K11">
        <f t="shared" si="0"/>
        <v>7.4031723999999999</v>
      </c>
      <c r="L11">
        <v>0</v>
      </c>
      <c r="M11">
        <f t="shared" si="1"/>
        <v>7.4031723999999999</v>
      </c>
      <c r="N11">
        <v>11</v>
      </c>
    </row>
    <row r="12" spans="1:14" x14ac:dyDescent="0.25">
      <c r="A12" s="112" t="s">
        <v>112</v>
      </c>
      <c r="B12" s="110">
        <v>6</v>
      </c>
      <c r="C12" s="112" t="s">
        <v>106</v>
      </c>
      <c r="D12" s="110" t="s">
        <v>223</v>
      </c>
      <c r="E12" s="115">
        <v>16</v>
      </c>
      <c r="F12" s="115">
        <v>17</v>
      </c>
      <c r="G12" s="120" t="s">
        <v>97</v>
      </c>
      <c r="H12" s="109" t="s">
        <v>113</v>
      </c>
      <c r="I12">
        <v>1</v>
      </c>
      <c r="J12">
        <v>3.1</v>
      </c>
      <c r="K12">
        <f t="shared" si="0"/>
        <v>3.1</v>
      </c>
      <c r="L12">
        <v>0</v>
      </c>
      <c r="M12">
        <f t="shared" si="1"/>
        <v>3.1</v>
      </c>
      <c r="N12">
        <v>12</v>
      </c>
    </row>
    <row r="13" spans="1:14" x14ac:dyDescent="0.25">
      <c r="A13" s="112" t="s">
        <v>114</v>
      </c>
      <c r="B13" s="110">
        <v>6</v>
      </c>
      <c r="C13" s="112" t="s">
        <v>106</v>
      </c>
      <c r="D13" s="110" t="s">
        <v>224</v>
      </c>
      <c r="E13" s="115">
        <v>18</v>
      </c>
      <c r="F13" s="115">
        <v>19</v>
      </c>
      <c r="G13" s="120" t="s">
        <v>97</v>
      </c>
      <c r="H13" s="109" t="s">
        <v>115</v>
      </c>
      <c r="I13">
        <v>1</v>
      </c>
      <c r="J13">
        <v>2.5</v>
      </c>
      <c r="K13">
        <f t="shared" si="0"/>
        <v>2.5</v>
      </c>
      <c r="L13">
        <v>0</v>
      </c>
      <c r="M13">
        <f t="shared" si="1"/>
        <v>2.5</v>
      </c>
      <c r="N13">
        <v>13</v>
      </c>
    </row>
    <row r="14" spans="1:14" x14ac:dyDescent="0.25">
      <c r="A14" s="112" t="s">
        <v>24</v>
      </c>
      <c r="B14" s="110">
        <v>6</v>
      </c>
      <c r="C14" s="112" t="s">
        <v>106</v>
      </c>
      <c r="D14" s="110" t="s">
        <v>225</v>
      </c>
      <c r="E14" s="115">
        <v>20</v>
      </c>
      <c r="F14" s="115">
        <v>21</v>
      </c>
      <c r="G14" s="120" t="s">
        <v>97</v>
      </c>
      <c r="H14" s="109" t="s">
        <v>23</v>
      </c>
      <c r="I14">
        <v>4</v>
      </c>
      <c r="J14">
        <v>1.1000000000000001</v>
      </c>
      <c r="K14">
        <f t="shared" si="0"/>
        <v>4.4000000000000004</v>
      </c>
      <c r="L14">
        <v>0</v>
      </c>
      <c r="M14">
        <f t="shared" si="1"/>
        <v>4.4000000000000004</v>
      </c>
      <c r="N14">
        <v>14</v>
      </c>
    </row>
    <row r="15" spans="1:14" x14ac:dyDescent="0.25">
      <c r="A15" s="112" t="s">
        <v>116</v>
      </c>
      <c r="B15" s="110">
        <v>6</v>
      </c>
      <c r="C15" s="112" t="s">
        <v>106</v>
      </c>
      <c r="D15" s="110" t="s">
        <v>226</v>
      </c>
      <c r="E15" s="115">
        <v>22</v>
      </c>
      <c r="F15" s="115">
        <v>23</v>
      </c>
      <c r="G15" s="120" t="s">
        <v>97</v>
      </c>
      <c r="H15" s="109" t="s">
        <v>117</v>
      </c>
      <c r="I15">
        <v>2</v>
      </c>
      <c r="J15">
        <v>7.2</v>
      </c>
      <c r="K15">
        <f t="shared" si="0"/>
        <v>14.4</v>
      </c>
      <c r="L15">
        <v>0</v>
      </c>
      <c r="M15">
        <f t="shared" si="1"/>
        <v>14.4</v>
      </c>
      <c r="N15">
        <v>15</v>
      </c>
    </row>
    <row r="16" spans="1:14" x14ac:dyDescent="0.25">
      <c r="A16" s="112" t="s">
        <v>118</v>
      </c>
      <c r="B16" s="110">
        <v>2</v>
      </c>
      <c r="C16" s="112" t="s">
        <v>97</v>
      </c>
      <c r="D16" s="110" t="s">
        <v>219</v>
      </c>
      <c r="E16" s="115">
        <v>28</v>
      </c>
      <c r="F16" s="115">
        <v>37</v>
      </c>
      <c r="G16" s="120" t="s">
        <v>229</v>
      </c>
      <c r="H16" s="109" t="s">
        <v>119</v>
      </c>
      <c r="I16">
        <v>1</v>
      </c>
      <c r="J16">
        <f>SUM(K17)</f>
        <v>3.7015861999999999</v>
      </c>
      <c r="K16">
        <f>I16*J16</f>
        <v>3.7015861999999999</v>
      </c>
      <c r="L16">
        <f>100*(1-(M16/K16))</f>
        <v>0</v>
      </c>
      <c r="M16">
        <f>I16*SUM(M17)</f>
        <v>3.7015861999999999</v>
      </c>
      <c r="N16">
        <v>16</v>
      </c>
    </row>
    <row r="17" spans="1:14" x14ac:dyDescent="0.25">
      <c r="A17" s="112" t="s">
        <v>120</v>
      </c>
      <c r="B17" s="110">
        <v>3</v>
      </c>
      <c r="C17" s="112" t="s">
        <v>118</v>
      </c>
      <c r="D17" s="110" t="s">
        <v>97</v>
      </c>
      <c r="E17" s="115">
        <v>29</v>
      </c>
      <c r="F17" s="115">
        <v>36</v>
      </c>
      <c r="G17" s="120" t="s">
        <v>229</v>
      </c>
      <c r="H17" s="109" t="s">
        <v>121</v>
      </c>
      <c r="I17">
        <v>1</v>
      </c>
      <c r="J17">
        <f>SUM(K18)</f>
        <v>3.7015861999999999</v>
      </c>
      <c r="K17">
        <f>I17*J17</f>
        <v>3.7015861999999999</v>
      </c>
      <c r="L17">
        <f>100*(1-(M17/K17))</f>
        <v>0</v>
      </c>
      <c r="M17">
        <f>I17*SUM(M18)</f>
        <v>3.7015861999999999</v>
      </c>
      <c r="N17">
        <v>17</v>
      </c>
    </row>
    <row r="18" spans="1:14" x14ac:dyDescent="0.25">
      <c r="A18" s="112" t="s">
        <v>122</v>
      </c>
      <c r="B18" s="110">
        <v>4</v>
      </c>
      <c r="C18" s="112" t="s">
        <v>120</v>
      </c>
      <c r="D18" s="110" t="s">
        <v>97</v>
      </c>
      <c r="E18" s="109">
        <v>30</v>
      </c>
      <c r="F18" s="109">
        <v>35</v>
      </c>
      <c r="G18" s="120" t="s">
        <v>229</v>
      </c>
      <c r="H18" s="109" t="s">
        <v>123</v>
      </c>
      <c r="I18">
        <v>1</v>
      </c>
      <c r="J18">
        <f>SUM(K19)</f>
        <v>3.7015861999999999</v>
      </c>
      <c r="K18">
        <f>I18*J18</f>
        <v>3.7015861999999999</v>
      </c>
      <c r="L18">
        <f>100*(1-(M18/K18))</f>
        <v>0</v>
      </c>
      <c r="M18">
        <f>I18*SUM(M19)</f>
        <v>3.7015861999999999</v>
      </c>
      <c r="N18">
        <v>18</v>
      </c>
    </row>
    <row r="19" spans="1:14" x14ac:dyDescent="0.25">
      <c r="A19" s="117" t="s">
        <v>124</v>
      </c>
      <c r="B19" s="110">
        <v>5</v>
      </c>
      <c r="C19" s="110" t="s">
        <v>122</v>
      </c>
      <c r="D19" s="110" t="s">
        <v>97</v>
      </c>
      <c r="E19" s="109">
        <v>31</v>
      </c>
      <c r="F19" s="109">
        <v>34</v>
      </c>
      <c r="G19" s="120" t="s">
        <v>229</v>
      </c>
      <c r="H19" s="109" t="s">
        <v>125</v>
      </c>
      <c r="I19">
        <v>1</v>
      </c>
      <c r="J19">
        <f>SUM(K20)</f>
        <v>3.7015861999999999</v>
      </c>
      <c r="K19">
        <f>I19*J19</f>
        <v>3.7015861999999999</v>
      </c>
      <c r="L19">
        <f>100*(1-(M19/K19))</f>
        <v>0</v>
      </c>
      <c r="M19">
        <f>I19*SUM(M20)</f>
        <v>3.7015861999999999</v>
      </c>
      <c r="N19">
        <v>19</v>
      </c>
    </row>
    <row r="20" spans="1:14" x14ac:dyDescent="0.25">
      <c r="A20" s="117" t="s">
        <v>126</v>
      </c>
      <c r="B20" s="110">
        <v>6</v>
      </c>
      <c r="C20" s="110" t="s">
        <v>124</v>
      </c>
      <c r="D20" s="110" t="s">
        <v>97</v>
      </c>
      <c r="E20" s="109">
        <v>32</v>
      </c>
      <c r="F20" s="109">
        <v>33</v>
      </c>
      <c r="G20" s="120" t="s">
        <v>97</v>
      </c>
      <c r="H20" s="109" t="s">
        <v>127</v>
      </c>
      <c r="I20">
        <v>1</v>
      </c>
      <c r="J20">
        <v>3.7015861999999999</v>
      </c>
      <c r="K20">
        <f t="shared" ref="K16:K33" si="2">I20*J20</f>
        <v>3.7015861999999999</v>
      </c>
      <c r="L20">
        <v>0</v>
      </c>
      <c r="M20">
        <f>(1-(L20/100))*K20</f>
        <v>3.7015861999999999</v>
      </c>
      <c r="N20">
        <v>20</v>
      </c>
    </row>
    <row r="21" spans="1:14" x14ac:dyDescent="0.25">
      <c r="A21" s="117" t="s">
        <v>128</v>
      </c>
      <c r="B21" s="110">
        <v>2</v>
      </c>
      <c r="C21" s="110" t="s">
        <v>97</v>
      </c>
      <c r="D21" s="110" t="s">
        <v>220</v>
      </c>
      <c r="E21" s="109">
        <v>38</v>
      </c>
      <c r="F21" s="109">
        <v>47</v>
      </c>
      <c r="G21" s="120" t="s">
        <v>229</v>
      </c>
      <c r="H21" s="109" t="s">
        <v>129</v>
      </c>
      <c r="I21">
        <v>1</v>
      </c>
      <c r="J21">
        <f>SUM(K22)</f>
        <v>7.4031723999999999</v>
      </c>
      <c r="K21">
        <f>I21*J21</f>
        <v>7.4031723999999999</v>
      </c>
      <c r="L21">
        <f>100*(1-(M21/K21))</f>
        <v>0</v>
      </c>
      <c r="M21">
        <f>I21*SUM(M22)</f>
        <v>7.4031723999999999</v>
      </c>
      <c r="N21">
        <v>21</v>
      </c>
    </row>
    <row r="22" spans="1:14" x14ac:dyDescent="0.25">
      <c r="A22" s="110" t="s">
        <v>130</v>
      </c>
      <c r="B22" s="110">
        <v>3</v>
      </c>
      <c r="C22" s="110" t="s">
        <v>128</v>
      </c>
      <c r="D22" s="110" t="s">
        <v>97</v>
      </c>
      <c r="E22" s="109">
        <v>39</v>
      </c>
      <c r="F22" s="109">
        <v>46</v>
      </c>
      <c r="G22" s="120" t="s">
        <v>229</v>
      </c>
      <c r="H22" s="109" t="s">
        <v>131</v>
      </c>
      <c r="I22">
        <v>1</v>
      </c>
      <c r="J22">
        <f>SUM(K23)</f>
        <v>7.4031723999999999</v>
      </c>
      <c r="K22">
        <f>I22*J22</f>
        <v>7.4031723999999999</v>
      </c>
      <c r="L22">
        <f>100*(1-(M22/K22))</f>
        <v>0</v>
      </c>
      <c r="M22">
        <f>I22*SUM(M23)</f>
        <v>7.4031723999999999</v>
      </c>
      <c r="N22">
        <v>22</v>
      </c>
    </row>
    <row r="23" spans="1:14" x14ac:dyDescent="0.25">
      <c r="A23" s="118" t="s">
        <v>132</v>
      </c>
      <c r="B23" s="118">
        <v>4</v>
      </c>
      <c r="C23" s="118" t="s">
        <v>130</v>
      </c>
      <c r="D23" s="118" t="s">
        <v>97</v>
      </c>
      <c r="E23">
        <v>40</v>
      </c>
      <c r="F23">
        <v>45</v>
      </c>
      <c r="G23" s="121" t="s">
        <v>229</v>
      </c>
      <c r="H23" t="s">
        <v>131</v>
      </c>
      <c r="I23">
        <v>1</v>
      </c>
      <c r="J23">
        <f>SUM(K24)</f>
        <v>7.4031723999999999</v>
      </c>
      <c r="K23">
        <f>I23*J23</f>
        <v>7.4031723999999999</v>
      </c>
      <c r="L23">
        <f>100*(1-(M23/K23))</f>
        <v>0</v>
      </c>
      <c r="M23">
        <f>I23*SUM(M24)</f>
        <v>7.4031723999999999</v>
      </c>
      <c r="N23">
        <v>23</v>
      </c>
    </row>
    <row r="24" spans="1:14" x14ac:dyDescent="0.25">
      <c r="A24" s="112" t="s">
        <v>133</v>
      </c>
      <c r="B24" s="110">
        <v>5</v>
      </c>
      <c r="C24" s="119" t="s">
        <v>132</v>
      </c>
      <c r="D24" s="110" t="s">
        <v>97</v>
      </c>
      <c r="E24" s="109">
        <v>41</v>
      </c>
      <c r="F24" s="109">
        <v>44</v>
      </c>
      <c r="G24" s="120" t="s">
        <v>229</v>
      </c>
      <c r="H24" s="109" t="s">
        <v>134</v>
      </c>
      <c r="I24">
        <v>1</v>
      </c>
      <c r="J24">
        <f>SUM(K25)</f>
        <v>7.4031723999999999</v>
      </c>
      <c r="K24">
        <f>I24*J24</f>
        <v>7.4031723999999999</v>
      </c>
      <c r="L24">
        <f>100*(1-(M24/K24))</f>
        <v>0</v>
      </c>
      <c r="M24">
        <f>I24*SUM(M25)</f>
        <v>7.4031723999999999</v>
      </c>
      <c r="N24">
        <v>24</v>
      </c>
    </row>
    <row r="25" spans="1:14" x14ac:dyDescent="0.25">
      <c r="A25" s="117" t="s">
        <v>135</v>
      </c>
      <c r="B25" s="110">
        <v>6</v>
      </c>
      <c r="C25" s="110" t="s">
        <v>133</v>
      </c>
      <c r="D25" s="110" t="s">
        <v>97</v>
      </c>
      <c r="E25" s="109">
        <v>42</v>
      </c>
      <c r="F25" s="109">
        <v>43</v>
      </c>
      <c r="G25" s="120" t="s">
        <v>97</v>
      </c>
      <c r="H25" s="109" t="s">
        <v>136</v>
      </c>
      <c r="I25">
        <v>2</v>
      </c>
      <c r="J25">
        <v>3.7015861999999999</v>
      </c>
      <c r="K25">
        <f t="shared" si="2"/>
        <v>7.4031723999999999</v>
      </c>
      <c r="L25">
        <v>0</v>
      </c>
      <c r="M25">
        <f>(1-(L25/100))*K25</f>
        <v>7.4031723999999999</v>
      </c>
      <c r="N25">
        <v>25</v>
      </c>
    </row>
    <row r="26" spans="1:14" x14ac:dyDescent="0.25">
      <c r="A26" s="117" t="s">
        <v>137</v>
      </c>
      <c r="B26" s="110">
        <v>2</v>
      </c>
      <c r="C26" s="110" t="s">
        <v>97</v>
      </c>
      <c r="D26" s="110" t="s">
        <v>221</v>
      </c>
      <c r="E26" s="109">
        <v>48</v>
      </c>
      <c r="F26" s="109">
        <v>57</v>
      </c>
      <c r="G26" s="120" t="s">
        <v>229</v>
      </c>
      <c r="H26" s="109" t="s">
        <v>138</v>
      </c>
      <c r="I26">
        <v>1</v>
      </c>
      <c r="J26">
        <f>SUM(K27)</f>
        <v>7.4031723999999999</v>
      </c>
      <c r="K26">
        <f>I26*J26</f>
        <v>7.4031723999999999</v>
      </c>
      <c r="L26">
        <f>100*(1-(M26/K26))</f>
        <v>0</v>
      </c>
      <c r="M26">
        <f>I26*SUM(M27)</f>
        <v>7.4031723999999999</v>
      </c>
      <c r="N26">
        <v>26</v>
      </c>
    </row>
    <row r="27" spans="1:14" x14ac:dyDescent="0.25">
      <c r="A27" s="117" t="s">
        <v>139</v>
      </c>
      <c r="B27" s="110">
        <v>3</v>
      </c>
      <c r="C27" s="110" t="s">
        <v>137</v>
      </c>
      <c r="D27" s="110" t="s">
        <v>97</v>
      </c>
      <c r="E27" s="109">
        <v>49</v>
      </c>
      <c r="F27" s="109">
        <v>56</v>
      </c>
      <c r="G27" s="120" t="s">
        <v>229</v>
      </c>
      <c r="H27" s="109" t="s">
        <v>140</v>
      </c>
      <c r="I27">
        <v>1</v>
      </c>
      <c r="J27">
        <f>SUM(K28)</f>
        <v>7.4031723999999999</v>
      </c>
      <c r="K27">
        <f>I27*J27</f>
        <v>7.4031723999999999</v>
      </c>
      <c r="L27">
        <f>100*(1-(M27/K27))</f>
        <v>0</v>
      </c>
      <c r="M27">
        <f>I27*SUM(M28)</f>
        <v>7.4031723999999999</v>
      </c>
      <c r="N27">
        <v>27</v>
      </c>
    </row>
    <row r="28" spans="1:14" x14ac:dyDescent="0.25">
      <c r="A28" s="118" t="s">
        <v>141</v>
      </c>
      <c r="B28" s="118">
        <v>4</v>
      </c>
      <c r="C28" s="118" t="s">
        <v>139</v>
      </c>
      <c r="D28" s="118" t="s">
        <v>97</v>
      </c>
      <c r="E28">
        <v>50</v>
      </c>
      <c r="F28">
        <v>55</v>
      </c>
      <c r="G28" s="121" t="s">
        <v>229</v>
      </c>
      <c r="H28" t="s">
        <v>140</v>
      </c>
      <c r="I28">
        <v>1</v>
      </c>
      <c r="J28">
        <f>SUM(K29)</f>
        <v>7.4031723999999999</v>
      </c>
      <c r="K28">
        <f>I28*J28</f>
        <v>7.4031723999999999</v>
      </c>
      <c r="L28">
        <f>100*(1-(M28/K28))</f>
        <v>0</v>
      </c>
      <c r="M28">
        <f>I28*SUM(M29)</f>
        <v>7.4031723999999999</v>
      </c>
      <c r="N28">
        <v>28</v>
      </c>
    </row>
    <row r="29" spans="1:14" x14ac:dyDescent="0.25">
      <c r="A29" s="118" t="s">
        <v>142</v>
      </c>
      <c r="B29" s="118">
        <v>5</v>
      </c>
      <c r="C29" s="118" t="s">
        <v>141</v>
      </c>
      <c r="D29" s="118" t="s">
        <v>97</v>
      </c>
      <c r="E29">
        <v>51</v>
      </c>
      <c r="F29">
        <v>54</v>
      </c>
      <c r="G29" s="121" t="s">
        <v>229</v>
      </c>
      <c r="H29" t="s">
        <v>134</v>
      </c>
      <c r="I29">
        <v>1</v>
      </c>
      <c r="J29">
        <f>SUM(K30)</f>
        <v>7.4031723999999999</v>
      </c>
      <c r="K29">
        <f>I29*J29</f>
        <v>7.4031723999999999</v>
      </c>
      <c r="L29">
        <f>100*(1-(M29/K29))</f>
        <v>0</v>
      </c>
      <c r="M29">
        <f>I29*SUM(M30)</f>
        <v>7.4031723999999999</v>
      </c>
      <c r="N29">
        <v>29</v>
      </c>
    </row>
    <row r="30" spans="1:14" x14ac:dyDescent="0.25">
      <c r="A30" s="118" t="s">
        <v>143</v>
      </c>
      <c r="B30" s="118">
        <v>6</v>
      </c>
      <c r="C30" s="118" t="s">
        <v>142</v>
      </c>
      <c r="D30" s="118" t="s">
        <v>97</v>
      </c>
      <c r="E30">
        <v>52</v>
      </c>
      <c r="F30">
        <v>53</v>
      </c>
      <c r="G30" s="121" t="s">
        <v>97</v>
      </c>
      <c r="H30" t="s">
        <v>136</v>
      </c>
      <c r="I30">
        <v>2</v>
      </c>
      <c r="J30">
        <v>3.7015861999999999</v>
      </c>
      <c r="K30">
        <f t="shared" si="2"/>
        <v>7.4031723999999999</v>
      </c>
      <c r="L30">
        <v>0</v>
      </c>
      <c r="M30">
        <f>(1-(L30/100))*K30</f>
        <v>7.4031723999999999</v>
      </c>
      <c r="N30">
        <v>30</v>
      </c>
    </row>
    <row r="31" spans="1:14" x14ac:dyDescent="0.25">
      <c r="A31" s="118" t="s">
        <v>144</v>
      </c>
      <c r="B31" s="118">
        <v>2</v>
      </c>
      <c r="C31" s="118" t="s">
        <v>97</v>
      </c>
      <c r="D31" s="118" t="s">
        <v>222</v>
      </c>
      <c r="E31">
        <v>58</v>
      </c>
      <c r="F31">
        <v>85</v>
      </c>
      <c r="G31" s="121" t="s">
        <v>229</v>
      </c>
      <c r="H31" t="s">
        <v>145</v>
      </c>
      <c r="I31">
        <v>1</v>
      </c>
      <c r="J31">
        <f>SUM(K32)</f>
        <v>3364.7418557999999</v>
      </c>
      <c r="K31">
        <f>I31*J31</f>
        <v>3364.7418557999999</v>
      </c>
      <c r="L31">
        <f>100*(1-(M31/K31))</f>
        <v>0</v>
      </c>
      <c r="M31">
        <f>I31*SUM(M32)</f>
        <v>3364.7418557999999</v>
      </c>
      <c r="N31">
        <v>31</v>
      </c>
    </row>
    <row r="32" spans="1:14" x14ac:dyDescent="0.25">
      <c r="A32" s="118" t="s">
        <v>146</v>
      </c>
      <c r="B32" s="118">
        <v>3</v>
      </c>
      <c r="C32" s="118" t="s">
        <v>144</v>
      </c>
      <c r="D32" s="118" t="s">
        <v>97</v>
      </c>
      <c r="E32">
        <v>59</v>
      </c>
      <c r="F32">
        <v>84</v>
      </c>
      <c r="G32" s="121" t="s">
        <v>229</v>
      </c>
      <c r="H32" t="s">
        <v>147</v>
      </c>
      <c r="I32">
        <v>1</v>
      </c>
      <c r="J32">
        <f>SUM(K33)</f>
        <v>3364.7418557999999</v>
      </c>
      <c r="K32">
        <f>I32*J32</f>
        <v>3364.7418557999999</v>
      </c>
      <c r="L32">
        <f>100*(1-(M32/K32))</f>
        <v>0</v>
      </c>
      <c r="M32">
        <f>I32*SUM(M33)</f>
        <v>3364.7418557999999</v>
      </c>
      <c r="N32">
        <v>32</v>
      </c>
    </row>
    <row r="33" spans="1:14" x14ac:dyDescent="0.25">
      <c r="A33" s="118" t="s">
        <v>148</v>
      </c>
      <c r="B33" s="118">
        <v>4</v>
      </c>
      <c r="C33" s="118" t="s">
        <v>146</v>
      </c>
      <c r="D33" s="118" t="s">
        <v>97</v>
      </c>
      <c r="E33">
        <v>60</v>
      </c>
      <c r="F33">
        <v>83</v>
      </c>
      <c r="G33" s="121" t="s">
        <v>229</v>
      </c>
      <c r="H33" t="s">
        <v>149</v>
      </c>
      <c r="I33">
        <v>1</v>
      </c>
      <c r="J33">
        <f>SUM(K34,K35,K36,K37,K38,K39,K40,K41,K42,K43,K44)</f>
        <v>3364.7418557999999</v>
      </c>
      <c r="K33">
        <f>I33*J33</f>
        <v>3364.7418557999999</v>
      </c>
      <c r="L33">
        <f>100*(1-(M33/K33))</f>
        <v>0</v>
      </c>
      <c r="M33">
        <f>I33*SUM(M34,M35,M36,M37,M38,M39,M40,M41,M42,M43,M44)</f>
        <v>3364.7418557999999</v>
      </c>
      <c r="N33">
        <v>33</v>
      </c>
    </row>
    <row r="34" spans="1:14" x14ac:dyDescent="0.25">
      <c r="A34" s="118" t="s">
        <v>150</v>
      </c>
      <c r="B34" s="118">
        <v>5</v>
      </c>
      <c r="C34" s="118" t="s">
        <v>148</v>
      </c>
      <c r="D34" s="118" t="s">
        <v>97</v>
      </c>
      <c r="E34">
        <v>61</v>
      </c>
      <c r="F34">
        <v>62</v>
      </c>
      <c r="G34" s="121" t="s">
        <v>97</v>
      </c>
      <c r="H34" t="s">
        <v>151</v>
      </c>
      <c r="I34">
        <v>0</v>
      </c>
      <c r="J34">
        <v>3.7015861999999999</v>
      </c>
      <c r="K34">
        <f t="shared" ref="K34:K44" si="3">I34*J34</f>
        <v>0</v>
      </c>
      <c r="L34">
        <v>0</v>
      </c>
      <c r="M34">
        <f t="shared" ref="M34:M44" si="4">(1-(L34/100))*K34</f>
        <v>0</v>
      </c>
      <c r="N34">
        <v>34</v>
      </c>
    </row>
    <row r="35" spans="1:14" x14ac:dyDescent="0.25">
      <c r="A35" s="118" t="s">
        <v>152</v>
      </c>
      <c r="B35" s="118">
        <v>5</v>
      </c>
      <c r="C35" s="118" t="s">
        <v>148</v>
      </c>
      <c r="D35" s="118" t="s">
        <v>219</v>
      </c>
      <c r="E35">
        <v>63</v>
      </c>
      <c r="F35">
        <v>64</v>
      </c>
      <c r="G35" s="121" t="s">
        <v>97</v>
      </c>
      <c r="H35" t="s">
        <v>153</v>
      </c>
      <c r="I35">
        <v>0</v>
      </c>
      <c r="J35">
        <v>3.7015861999999999</v>
      </c>
      <c r="K35">
        <f t="shared" si="3"/>
        <v>0</v>
      </c>
      <c r="L35">
        <v>0</v>
      </c>
      <c r="M35">
        <f t="shared" si="4"/>
        <v>0</v>
      </c>
      <c r="N35">
        <v>35</v>
      </c>
    </row>
    <row r="36" spans="1:14" x14ac:dyDescent="0.25">
      <c r="A36" s="118" t="s">
        <v>154</v>
      </c>
      <c r="B36" s="118">
        <v>5</v>
      </c>
      <c r="C36" s="118" t="s">
        <v>148</v>
      </c>
      <c r="D36" s="118" t="s">
        <v>220</v>
      </c>
      <c r="E36">
        <v>65</v>
      </c>
      <c r="F36">
        <v>66</v>
      </c>
      <c r="G36" s="121" t="s">
        <v>97</v>
      </c>
      <c r="H36" t="s">
        <v>155</v>
      </c>
      <c r="I36">
        <v>0</v>
      </c>
      <c r="J36">
        <v>3.7015861999999999</v>
      </c>
      <c r="K36">
        <f t="shared" si="3"/>
        <v>0</v>
      </c>
      <c r="L36">
        <v>0</v>
      </c>
      <c r="M36">
        <f t="shared" si="4"/>
        <v>0</v>
      </c>
      <c r="N36">
        <v>36</v>
      </c>
    </row>
    <row r="37" spans="1:14" x14ac:dyDescent="0.25">
      <c r="A37" s="118" t="s">
        <v>156</v>
      </c>
      <c r="B37" s="118">
        <v>5</v>
      </c>
      <c r="C37" s="118" t="s">
        <v>148</v>
      </c>
      <c r="D37" s="118" t="s">
        <v>221</v>
      </c>
      <c r="E37">
        <v>67</v>
      </c>
      <c r="F37">
        <v>68</v>
      </c>
      <c r="G37" s="121" t="s">
        <v>97</v>
      </c>
      <c r="H37" t="s">
        <v>157</v>
      </c>
      <c r="I37">
        <v>0</v>
      </c>
      <c r="J37">
        <v>3.7015861999999999</v>
      </c>
      <c r="K37">
        <f t="shared" si="3"/>
        <v>0</v>
      </c>
      <c r="L37">
        <v>0</v>
      </c>
      <c r="M37">
        <f t="shared" si="4"/>
        <v>0</v>
      </c>
      <c r="N37">
        <v>37</v>
      </c>
    </row>
    <row r="38" spans="1:14" x14ac:dyDescent="0.25">
      <c r="A38" s="118" t="s">
        <v>158</v>
      </c>
      <c r="B38" s="118">
        <v>5</v>
      </c>
      <c r="C38" s="118" t="s">
        <v>148</v>
      </c>
      <c r="D38" s="118" t="s">
        <v>222</v>
      </c>
      <c r="E38">
        <v>69</v>
      </c>
      <c r="F38">
        <v>70</v>
      </c>
      <c r="G38" s="121" t="s">
        <v>97</v>
      </c>
      <c r="H38" t="s">
        <v>159</v>
      </c>
      <c r="I38">
        <v>0</v>
      </c>
      <c r="J38">
        <v>3.7015861999999999</v>
      </c>
      <c r="K38">
        <f t="shared" si="3"/>
        <v>0</v>
      </c>
      <c r="L38">
        <v>0</v>
      </c>
      <c r="M38">
        <f t="shared" si="4"/>
        <v>0</v>
      </c>
      <c r="N38">
        <v>38</v>
      </c>
    </row>
    <row r="39" spans="1:14" x14ac:dyDescent="0.25">
      <c r="A39" s="118" t="s">
        <v>160</v>
      </c>
      <c r="B39" s="118">
        <v>5</v>
      </c>
      <c r="C39" s="118" t="s">
        <v>148</v>
      </c>
      <c r="D39" s="118" t="s">
        <v>223</v>
      </c>
      <c r="E39">
        <v>71</v>
      </c>
      <c r="F39">
        <v>72</v>
      </c>
      <c r="G39" s="121" t="s">
        <v>97</v>
      </c>
      <c r="H39" t="s">
        <v>161</v>
      </c>
      <c r="I39">
        <v>0</v>
      </c>
      <c r="J39">
        <v>3.7015861999999999</v>
      </c>
      <c r="K39">
        <f t="shared" si="3"/>
        <v>0</v>
      </c>
      <c r="L39">
        <v>0</v>
      </c>
      <c r="M39">
        <f t="shared" si="4"/>
        <v>0</v>
      </c>
      <c r="N39">
        <v>39</v>
      </c>
    </row>
    <row r="40" spans="1:14" x14ac:dyDescent="0.25">
      <c r="A40" s="118" t="s">
        <v>162</v>
      </c>
      <c r="B40" s="118">
        <v>5</v>
      </c>
      <c r="C40" s="118" t="s">
        <v>148</v>
      </c>
      <c r="D40" s="118" t="s">
        <v>224</v>
      </c>
      <c r="E40">
        <v>73</v>
      </c>
      <c r="F40">
        <v>74</v>
      </c>
      <c r="G40" s="121" t="s">
        <v>97</v>
      </c>
      <c r="H40" t="s">
        <v>163</v>
      </c>
      <c r="I40">
        <v>350</v>
      </c>
      <c r="J40">
        <v>3.7015861999999999</v>
      </c>
      <c r="K40">
        <f t="shared" si="3"/>
        <v>1295.5551700000001</v>
      </c>
      <c r="L40">
        <v>0</v>
      </c>
      <c r="M40">
        <f t="shared" si="4"/>
        <v>1295.5551700000001</v>
      </c>
      <c r="N40">
        <v>40</v>
      </c>
    </row>
    <row r="41" spans="1:14" x14ac:dyDescent="0.25">
      <c r="A41" s="118" t="s">
        <v>164</v>
      </c>
      <c r="B41" s="118">
        <v>5</v>
      </c>
      <c r="C41" s="118" t="s">
        <v>148</v>
      </c>
      <c r="D41" s="118" t="s">
        <v>225</v>
      </c>
      <c r="E41">
        <v>75</v>
      </c>
      <c r="F41">
        <v>76</v>
      </c>
      <c r="G41" s="121" t="s">
        <v>97</v>
      </c>
      <c r="H41" t="s">
        <v>165</v>
      </c>
      <c r="I41">
        <v>350</v>
      </c>
      <c r="J41">
        <v>3.7015861999999999</v>
      </c>
      <c r="K41">
        <f t="shared" si="3"/>
        <v>1295.5551700000001</v>
      </c>
      <c r="L41">
        <v>0</v>
      </c>
      <c r="M41">
        <f t="shared" si="4"/>
        <v>1295.5551700000001</v>
      </c>
      <c r="N41">
        <v>41</v>
      </c>
    </row>
    <row r="42" spans="1:14" x14ac:dyDescent="0.25">
      <c r="A42" s="118" t="s">
        <v>166</v>
      </c>
      <c r="B42" s="118">
        <v>5</v>
      </c>
      <c r="C42" s="118" t="s">
        <v>148</v>
      </c>
      <c r="D42" s="118" t="s">
        <v>226</v>
      </c>
      <c r="E42">
        <v>77</v>
      </c>
      <c r="F42">
        <v>78</v>
      </c>
      <c r="G42" s="121" t="s">
        <v>97</v>
      </c>
      <c r="H42" t="s">
        <v>167</v>
      </c>
      <c r="I42">
        <v>200</v>
      </c>
      <c r="J42">
        <v>3.7015861999999999</v>
      </c>
      <c r="K42">
        <f t="shared" si="3"/>
        <v>740.31723999999997</v>
      </c>
      <c r="L42">
        <v>0</v>
      </c>
      <c r="M42">
        <f t="shared" si="4"/>
        <v>740.31723999999997</v>
      </c>
      <c r="N42">
        <v>42</v>
      </c>
    </row>
    <row r="43" spans="1:14" x14ac:dyDescent="0.25">
      <c r="A43" s="118" t="s">
        <v>168</v>
      </c>
      <c r="B43" s="118">
        <v>5</v>
      </c>
      <c r="C43" s="118" t="s">
        <v>148</v>
      </c>
      <c r="D43" s="118" t="s">
        <v>227</v>
      </c>
      <c r="E43">
        <v>79</v>
      </c>
      <c r="F43">
        <v>80</v>
      </c>
      <c r="G43" s="121" t="s">
        <v>97</v>
      </c>
      <c r="H43" t="s">
        <v>169</v>
      </c>
      <c r="I43">
        <v>1</v>
      </c>
      <c r="J43">
        <v>3.7015861999999999</v>
      </c>
      <c r="K43">
        <f t="shared" si="3"/>
        <v>3.7015861999999999</v>
      </c>
      <c r="L43">
        <v>0</v>
      </c>
      <c r="M43">
        <f t="shared" si="4"/>
        <v>3.7015861999999999</v>
      </c>
      <c r="N43">
        <v>43</v>
      </c>
    </row>
    <row r="44" spans="1:14" x14ac:dyDescent="0.25">
      <c r="A44" s="118" t="s">
        <v>170</v>
      </c>
      <c r="B44" s="118">
        <v>5</v>
      </c>
      <c r="C44" s="118" t="s">
        <v>148</v>
      </c>
      <c r="D44" s="118" t="s">
        <v>228</v>
      </c>
      <c r="E44">
        <v>81</v>
      </c>
      <c r="F44">
        <v>82</v>
      </c>
      <c r="G44" s="121" t="s">
        <v>97</v>
      </c>
      <c r="H44" t="s">
        <v>171</v>
      </c>
      <c r="I44">
        <v>8</v>
      </c>
      <c r="J44">
        <v>3.7015861999999999</v>
      </c>
      <c r="K44">
        <f t="shared" si="3"/>
        <v>29.6126896</v>
      </c>
      <c r="L44">
        <v>0</v>
      </c>
      <c r="M44">
        <f t="shared" si="4"/>
        <v>29.6126896</v>
      </c>
      <c r="N44">
        <v>44</v>
      </c>
    </row>
    <row r="45" spans="1:14" x14ac:dyDescent="0.25">
      <c r="A45" s="118" t="s">
        <v>172</v>
      </c>
      <c r="B45" s="118">
        <v>2</v>
      </c>
      <c r="C45" s="118" t="s">
        <v>97</v>
      </c>
      <c r="D45" s="118" t="s">
        <v>223</v>
      </c>
      <c r="E45">
        <v>86</v>
      </c>
      <c r="F45">
        <v>135</v>
      </c>
      <c r="G45" s="121" t="s">
        <v>229</v>
      </c>
      <c r="H45" t="s">
        <v>173</v>
      </c>
      <c r="I45">
        <v>1</v>
      </c>
      <c r="J45">
        <f>SUM(K46,K49,K63,K68)</f>
        <v>851.36482599999988</v>
      </c>
      <c r="K45">
        <f>I45*J45</f>
        <v>851.36482599999988</v>
      </c>
      <c r="L45">
        <f>100*(1-(M45/K45))</f>
        <v>0</v>
      </c>
      <c r="M45">
        <f>I45*SUM(M46,M49,M63,M68)</f>
        <v>851.36482599999988</v>
      </c>
      <c r="N45">
        <v>45</v>
      </c>
    </row>
    <row r="46" spans="1:14" x14ac:dyDescent="0.25">
      <c r="A46" s="118" t="s">
        <v>174</v>
      </c>
      <c r="B46" s="118">
        <v>3</v>
      </c>
      <c r="C46" s="118" t="s">
        <v>172</v>
      </c>
      <c r="D46" s="118" t="s">
        <v>97</v>
      </c>
      <c r="E46">
        <v>87</v>
      </c>
      <c r="F46">
        <v>92</v>
      </c>
      <c r="G46" s="121" t="s">
        <v>229</v>
      </c>
      <c r="H46" t="s">
        <v>175</v>
      </c>
      <c r="I46">
        <v>1</v>
      </c>
      <c r="J46">
        <f>SUM(K47)</f>
        <v>3.7015861999999999</v>
      </c>
      <c r="K46">
        <f>I46*J46</f>
        <v>3.7015861999999999</v>
      </c>
      <c r="L46">
        <f>100*(1-(M46/K46))</f>
        <v>0</v>
      </c>
      <c r="M46">
        <f>I46*SUM(M47)</f>
        <v>3.7015861999999999</v>
      </c>
      <c r="N46">
        <v>46</v>
      </c>
    </row>
    <row r="47" spans="1:14" x14ac:dyDescent="0.25">
      <c r="A47" s="118" t="s">
        <v>176</v>
      </c>
      <c r="B47" s="118">
        <v>4</v>
      </c>
      <c r="C47" s="118" t="s">
        <v>174</v>
      </c>
      <c r="D47" s="118" t="s">
        <v>97</v>
      </c>
      <c r="E47">
        <v>88</v>
      </c>
      <c r="F47">
        <v>91</v>
      </c>
      <c r="G47" s="121" t="s">
        <v>229</v>
      </c>
      <c r="H47" t="s">
        <v>177</v>
      </c>
      <c r="I47">
        <v>1</v>
      </c>
      <c r="J47">
        <f>SUM(K48)</f>
        <v>3.7015861999999999</v>
      </c>
      <c r="K47">
        <f>I47*J47</f>
        <v>3.7015861999999999</v>
      </c>
      <c r="L47">
        <f>100*(1-(M47/K47))</f>
        <v>0</v>
      </c>
      <c r="M47">
        <f>I47*SUM(M48)</f>
        <v>3.7015861999999999</v>
      </c>
      <c r="N47">
        <v>47</v>
      </c>
    </row>
    <row r="48" spans="1:14" x14ac:dyDescent="0.25">
      <c r="A48" s="118" t="s">
        <v>178</v>
      </c>
      <c r="B48" s="118">
        <v>5</v>
      </c>
      <c r="C48" s="118" t="s">
        <v>176</v>
      </c>
      <c r="D48" s="118" t="s">
        <v>97</v>
      </c>
      <c r="E48">
        <v>89</v>
      </c>
      <c r="F48">
        <v>90</v>
      </c>
      <c r="G48" s="121" t="s">
        <v>97</v>
      </c>
      <c r="H48" t="s">
        <v>179</v>
      </c>
      <c r="I48">
        <v>1</v>
      </c>
      <c r="J48">
        <v>3.7015861999999999</v>
      </c>
      <c r="K48">
        <f t="shared" ref="K45:K69" si="5">I48*J48</f>
        <v>3.7015861999999999</v>
      </c>
      <c r="L48">
        <v>0</v>
      </c>
      <c r="M48">
        <f>(1-(L48/100))*K48</f>
        <v>3.7015861999999999</v>
      </c>
      <c r="N48">
        <v>48</v>
      </c>
    </row>
    <row r="49" spans="1:14" x14ac:dyDescent="0.25">
      <c r="A49" s="118" t="s">
        <v>180</v>
      </c>
      <c r="B49" s="118">
        <v>3</v>
      </c>
      <c r="C49" s="118" t="s">
        <v>172</v>
      </c>
      <c r="D49" s="118" t="s">
        <v>219</v>
      </c>
      <c r="E49">
        <v>93</v>
      </c>
      <c r="F49">
        <v>120</v>
      </c>
      <c r="G49" s="121" t="s">
        <v>229</v>
      </c>
      <c r="H49" t="s">
        <v>181</v>
      </c>
      <c r="I49">
        <v>1</v>
      </c>
      <c r="J49">
        <f>SUM(K50)</f>
        <v>644.07599879999998</v>
      </c>
      <c r="K49">
        <f>I49*J49</f>
        <v>644.07599879999998</v>
      </c>
      <c r="L49">
        <f>100*(1-(M49/K49))</f>
        <v>0</v>
      </c>
      <c r="M49">
        <f>I49*SUM(M50)</f>
        <v>644.07599879999998</v>
      </c>
      <c r="N49">
        <v>49</v>
      </c>
    </row>
    <row r="50" spans="1:14" x14ac:dyDescent="0.25">
      <c r="A50" s="118" t="s">
        <v>182</v>
      </c>
      <c r="B50" s="118">
        <v>4</v>
      </c>
      <c r="C50" s="118" t="s">
        <v>180</v>
      </c>
      <c r="D50" s="118" t="s">
        <v>97</v>
      </c>
      <c r="E50">
        <v>94</v>
      </c>
      <c r="F50">
        <v>119</v>
      </c>
      <c r="G50" s="121" t="s">
        <v>229</v>
      </c>
      <c r="H50" t="s">
        <v>181</v>
      </c>
      <c r="I50">
        <v>1</v>
      </c>
      <c r="J50">
        <f>SUM(K51,K55,K59)</f>
        <v>644.07599879999998</v>
      </c>
      <c r="K50">
        <f>I50*J50</f>
        <v>644.07599879999998</v>
      </c>
      <c r="L50">
        <f>100*(1-(M50/K50))</f>
        <v>0</v>
      </c>
      <c r="M50">
        <f>I50*SUM(M51,M55,M59)</f>
        <v>644.07599879999998</v>
      </c>
      <c r="N50">
        <v>50</v>
      </c>
    </row>
    <row r="51" spans="1:14" x14ac:dyDescent="0.25">
      <c r="A51" s="118" t="s">
        <v>183</v>
      </c>
      <c r="B51" s="118">
        <v>5</v>
      </c>
      <c r="C51" s="118" t="s">
        <v>182</v>
      </c>
      <c r="D51" s="118" t="s">
        <v>97</v>
      </c>
      <c r="E51">
        <v>95</v>
      </c>
      <c r="F51">
        <v>102</v>
      </c>
      <c r="G51" s="121" t="s">
        <v>229</v>
      </c>
      <c r="H51" t="s">
        <v>184</v>
      </c>
      <c r="I51">
        <v>1</v>
      </c>
      <c r="J51">
        <f>SUM(K52,K53,K54)</f>
        <v>214.69199959999997</v>
      </c>
      <c r="K51">
        <f>I51*J51</f>
        <v>214.69199959999997</v>
      </c>
      <c r="L51">
        <f>100*(1-(M51/K51))</f>
        <v>0</v>
      </c>
      <c r="M51">
        <f>I51*SUM(M52,M53,M54)</f>
        <v>214.69199959999997</v>
      </c>
      <c r="N51">
        <v>51</v>
      </c>
    </row>
    <row r="52" spans="1:14" x14ac:dyDescent="0.25">
      <c r="A52" s="118" t="s">
        <v>185</v>
      </c>
      <c r="B52" s="118">
        <v>6</v>
      </c>
      <c r="C52" s="118" t="s">
        <v>183</v>
      </c>
      <c r="D52" s="118" t="s">
        <v>97</v>
      </c>
      <c r="E52">
        <v>96</v>
      </c>
      <c r="F52">
        <v>97</v>
      </c>
      <c r="G52" s="121" t="s">
        <v>97</v>
      </c>
      <c r="H52" t="s">
        <v>186</v>
      </c>
      <c r="I52">
        <v>4</v>
      </c>
      <c r="J52">
        <v>3.7015861999999999</v>
      </c>
      <c r="K52">
        <f t="shared" si="5"/>
        <v>14.8063448</v>
      </c>
      <c r="L52">
        <v>0</v>
      </c>
      <c r="M52">
        <f>(1-(L52/100))*K52</f>
        <v>14.8063448</v>
      </c>
      <c r="N52">
        <v>52</v>
      </c>
    </row>
    <row r="53" spans="1:14" x14ac:dyDescent="0.25">
      <c r="A53" s="118" t="s">
        <v>187</v>
      </c>
      <c r="B53" s="118">
        <v>6</v>
      </c>
      <c r="C53" s="118" t="s">
        <v>183</v>
      </c>
      <c r="D53" s="118" t="s">
        <v>219</v>
      </c>
      <c r="E53">
        <v>98</v>
      </c>
      <c r="F53">
        <v>99</v>
      </c>
      <c r="G53" s="121" t="s">
        <v>97</v>
      </c>
      <c r="H53" t="s">
        <v>188</v>
      </c>
      <c r="I53">
        <v>14</v>
      </c>
      <c r="J53">
        <v>3.7015861999999999</v>
      </c>
      <c r="K53">
        <f t="shared" si="5"/>
        <v>51.822206799999996</v>
      </c>
      <c r="L53">
        <v>0</v>
      </c>
      <c r="M53">
        <f>(1-(L53/100))*K53</f>
        <v>51.822206799999996</v>
      </c>
      <c r="N53">
        <v>53</v>
      </c>
    </row>
    <row r="54" spans="1:14" x14ac:dyDescent="0.25">
      <c r="A54" s="118" t="s">
        <v>189</v>
      </c>
      <c r="B54" s="118">
        <v>6</v>
      </c>
      <c r="C54" s="118" t="s">
        <v>183</v>
      </c>
      <c r="D54" s="118" t="s">
        <v>220</v>
      </c>
      <c r="E54">
        <v>100</v>
      </c>
      <c r="F54">
        <v>101</v>
      </c>
      <c r="G54" s="121" t="s">
        <v>97</v>
      </c>
      <c r="H54" t="s">
        <v>190</v>
      </c>
      <c r="I54">
        <v>40</v>
      </c>
      <c r="J54">
        <v>3.7015861999999999</v>
      </c>
      <c r="K54">
        <f t="shared" si="5"/>
        <v>148.06344799999999</v>
      </c>
      <c r="L54">
        <v>0</v>
      </c>
      <c r="M54">
        <f>(1-(L54/100))*K54</f>
        <v>148.06344799999999</v>
      </c>
      <c r="N54">
        <v>54</v>
      </c>
    </row>
    <row r="55" spans="1:14" x14ac:dyDescent="0.25">
      <c r="A55" s="118" t="s">
        <v>191</v>
      </c>
      <c r="B55" s="118">
        <v>5</v>
      </c>
      <c r="C55" s="118" t="s">
        <v>182</v>
      </c>
      <c r="D55" s="118" t="s">
        <v>219</v>
      </c>
      <c r="E55">
        <v>103</v>
      </c>
      <c r="F55">
        <v>110</v>
      </c>
      <c r="G55" s="121" t="s">
        <v>229</v>
      </c>
      <c r="H55" t="s">
        <v>192</v>
      </c>
      <c r="I55">
        <v>1</v>
      </c>
      <c r="J55">
        <f>SUM(K56,K57,K58)</f>
        <v>214.69199959999997</v>
      </c>
      <c r="K55">
        <f>I55*J55</f>
        <v>214.69199959999997</v>
      </c>
      <c r="L55">
        <f>100*(1-(M55/K55))</f>
        <v>0</v>
      </c>
      <c r="M55">
        <f>I55*SUM(M56,M57,M58)</f>
        <v>214.69199959999997</v>
      </c>
      <c r="N55">
        <v>55</v>
      </c>
    </row>
    <row r="56" spans="1:14" x14ac:dyDescent="0.25">
      <c r="A56" s="118" t="s">
        <v>193</v>
      </c>
      <c r="B56" s="118">
        <v>6</v>
      </c>
      <c r="C56" s="118" t="s">
        <v>191</v>
      </c>
      <c r="D56" s="118" t="s">
        <v>97</v>
      </c>
      <c r="E56">
        <v>104</v>
      </c>
      <c r="F56">
        <v>105</v>
      </c>
      <c r="G56" s="121" t="s">
        <v>97</v>
      </c>
      <c r="H56" t="s">
        <v>194</v>
      </c>
      <c r="I56">
        <v>4</v>
      </c>
      <c r="J56">
        <v>3.7015861999999999</v>
      </c>
      <c r="K56">
        <f t="shared" si="5"/>
        <v>14.8063448</v>
      </c>
      <c r="L56">
        <v>0</v>
      </c>
      <c r="M56">
        <f>(1-(L56/100))*K56</f>
        <v>14.8063448</v>
      </c>
      <c r="N56">
        <v>56</v>
      </c>
    </row>
    <row r="57" spans="1:14" x14ac:dyDescent="0.25">
      <c r="A57" s="118" t="s">
        <v>195</v>
      </c>
      <c r="B57" s="118">
        <v>6</v>
      </c>
      <c r="C57" s="118" t="s">
        <v>191</v>
      </c>
      <c r="D57" s="118" t="s">
        <v>219</v>
      </c>
      <c r="E57">
        <v>106</v>
      </c>
      <c r="F57">
        <v>107</v>
      </c>
      <c r="G57" s="121" t="s">
        <v>97</v>
      </c>
      <c r="H57" t="s">
        <v>196</v>
      </c>
      <c r="I57">
        <v>14</v>
      </c>
      <c r="J57">
        <v>3.7015861999999999</v>
      </c>
      <c r="K57">
        <f t="shared" si="5"/>
        <v>51.822206799999996</v>
      </c>
      <c r="L57">
        <v>0</v>
      </c>
      <c r="M57">
        <f>(1-(L57/100))*K57</f>
        <v>51.822206799999996</v>
      </c>
      <c r="N57">
        <v>57</v>
      </c>
    </row>
    <row r="58" spans="1:14" x14ac:dyDescent="0.25">
      <c r="A58" s="118" t="s">
        <v>197</v>
      </c>
      <c r="B58" s="118">
        <v>6</v>
      </c>
      <c r="C58" s="118" t="s">
        <v>191</v>
      </c>
      <c r="D58" s="118" t="s">
        <v>220</v>
      </c>
      <c r="E58">
        <v>108</v>
      </c>
      <c r="F58">
        <v>109</v>
      </c>
      <c r="G58" s="121" t="s">
        <v>97</v>
      </c>
      <c r="H58" t="s">
        <v>198</v>
      </c>
      <c r="I58">
        <v>40</v>
      </c>
      <c r="J58">
        <v>3.7015861999999999</v>
      </c>
      <c r="K58">
        <f t="shared" si="5"/>
        <v>148.06344799999999</v>
      </c>
      <c r="L58">
        <v>0</v>
      </c>
      <c r="M58">
        <f>(1-(L58/100))*K58</f>
        <v>148.06344799999999</v>
      </c>
      <c r="N58">
        <v>58</v>
      </c>
    </row>
    <row r="59" spans="1:14" x14ac:dyDescent="0.25">
      <c r="A59" s="118" t="s">
        <v>199</v>
      </c>
      <c r="B59" s="118">
        <v>5</v>
      </c>
      <c r="C59" s="118" t="s">
        <v>182</v>
      </c>
      <c r="D59" s="118" t="s">
        <v>220</v>
      </c>
      <c r="E59">
        <v>111</v>
      </c>
      <c r="F59">
        <v>118</v>
      </c>
      <c r="G59" s="121" t="s">
        <v>229</v>
      </c>
      <c r="H59" t="s">
        <v>200</v>
      </c>
      <c r="I59">
        <v>1</v>
      </c>
      <c r="J59">
        <f>SUM(K60,K61,K62)</f>
        <v>214.69199959999997</v>
      </c>
      <c r="K59">
        <f>I59*J59</f>
        <v>214.69199959999997</v>
      </c>
      <c r="L59">
        <f>100*(1-(M59/K59))</f>
        <v>0</v>
      </c>
      <c r="M59">
        <f>I59*SUM(M60,M61,M62)</f>
        <v>214.69199959999997</v>
      </c>
      <c r="N59">
        <v>59</v>
      </c>
    </row>
    <row r="60" spans="1:14" x14ac:dyDescent="0.25">
      <c r="A60" s="118" t="s">
        <v>201</v>
      </c>
      <c r="B60" s="118">
        <v>6</v>
      </c>
      <c r="C60" s="118" t="s">
        <v>199</v>
      </c>
      <c r="D60" s="118" t="s">
        <v>97</v>
      </c>
      <c r="E60">
        <v>112</v>
      </c>
      <c r="F60">
        <v>113</v>
      </c>
      <c r="G60" s="121" t="s">
        <v>97</v>
      </c>
      <c r="H60" t="s">
        <v>202</v>
      </c>
      <c r="I60">
        <v>4</v>
      </c>
      <c r="J60">
        <v>3.7015861999999999</v>
      </c>
      <c r="K60">
        <f t="shared" si="5"/>
        <v>14.8063448</v>
      </c>
      <c r="L60">
        <v>0</v>
      </c>
      <c r="M60">
        <f>(1-(L60/100))*K60</f>
        <v>14.8063448</v>
      </c>
      <c r="N60">
        <v>60</v>
      </c>
    </row>
    <row r="61" spans="1:14" x14ac:dyDescent="0.25">
      <c r="A61" s="118" t="s">
        <v>203</v>
      </c>
      <c r="B61" s="118">
        <v>6</v>
      </c>
      <c r="C61" s="118" t="s">
        <v>199</v>
      </c>
      <c r="D61" s="118" t="s">
        <v>219</v>
      </c>
      <c r="E61">
        <v>114</v>
      </c>
      <c r="F61">
        <v>115</v>
      </c>
      <c r="G61" s="121" t="s">
        <v>97</v>
      </c>
      <c r="H61" t="s">
        <v>204</v>
      </c>
      <c r="I61">
        <v>14</v>
      </c>
      <c r="J61">
        <v>3.7015861999999999</v>
      </c>
      <c r="K61">
        <f t="shared" si="5"/>
        <v>51.822206799999996</v>
      </c>
      <c r="L61">
        <v>0</v>
      </c>
      <c r="M61">
        <f>(1-(L61/100))*K61</f>
        <v>51.822206799999996</v>
      </c>
      <c r="N61">
        <v>61</v>
      </c>
    </row>
    <row r="62" spans="1:14" x14ac:dyDescent="0.25">
      <c r="A62" s="118" t="s">
        <v>205</v>
      </c>
      <c r="B62" s="118">
        <v>6</v>
      </c>
      <c r="C62" s="118" t="s">
        <v>199</v>
      </c>
      <c r="D62" s="118" t="s">
        <v>220</v>
      </c>
      <c r="E62">
        <v>116</v>
      </c>
      <c r="F62">
        <v>117</v>
      </c>
      <c r="G62" s="121" t="s">
        <v>97</v>
      </c>
      <c r="H62" t="s">
        <v>206</v>
      </c>
      <c r="I62">
        <v>40</v>
      </c>
      <c r="J62">
        <v>3.7015861999999999</v>
      </c>
      <c r="K62">
        <f t="shared" si="5"/>
        <v>148.06344799999999</v>
      </c>
      <c r="L62">
        <v>0</v>
      </c>
      <c r="M62">
        <f>(1-(L62/100))*K62</f>
        <v>148.06344799999999</v>
      </c>
      <c r="N62">
        <v>62</v>
      </c>
    </row>
    <row r="63" spans="1:14" x14ac:dyDescent="0.25">
      <c r="A63" s="118" t="s">
        <v>207</v>
      </c>
      <c r="B63" s="118">
        <v>3</v>
      </c>
      <c r="C63" s="118" t="s">
        <v>172</v>
      </c>
      <c r="D63" s="118" t="s">
        <v>220</v>
      </c>
      <c r="E63">
        <v>121</v>
      </c>
      <c r="F63">
        <v>130</v>
      </c>
      <c r="G63" s="121" t="s">
        <v>229</v>
      </c>
      <c r="H63" t="s">
        <v>208</v>
      </c>
      <c r="I63">
        <v>1</v>
      </c>
      <c r="J63">
        <f>SUM(K64)</f>
        <v>199.8856548</v>
      </c>
      <c r="K63">
        <f>I63*J63</f>
        <v>199.8856548</v>
      </c>
      <c r="L63">
        <f>100*(1-(M63/K63))</f>
        <v>0</v>
      </c>
      <c r="M63">
        <f>I63*SUM(M64)</f>
        <v>199.8856548</v>
      </c>
      <c r="N63">
        <v>63</v>
      </c>
    </row>
    <row r="64" spans="1:14" x14ac:dyDescent="0.25">
      <c r="A64" s="118" t="s">
        <v>209</v>
      </c>
      <c r="B64" s="118">
        <v>4</v>
      </c>
      <c r="C64" s="118" t="s">
        <v>207</v>
      </c>
      <c r="D64" s="118" t="s">
        <v>97</v>
      </c>
      <c r="E64">
        <v>122</v>
      </c>
      <c r="F64">
        <v>129</v>
      </c>
      <c r="G64" s="121" t="s">
        <v>229</v>
      </c>
      <c r="H64" t="s">
        <v>208</v>
      </c>
      <c r="I64">
        <v>1</v>
      </c>
      <c r="J64">
        <f>SUM(K65)</f>
        <v>199.8856548</v>
      </c>
      <c r="K64">
        <f>I64*J64</f>
        <v>199.8856548</v>
      </c>
      <c r="L64">
        <f>100*(1-(M64/K64))</f>
        <v>0</v>
      </c>
      <c r="M64">
        <f>I64*SUM(M65)</f>
        <v>199.8856548</v>
      </c>
      <c r="N64">
        <v>64</v>
      </c>
    </row>
    <row r="65" spans="1:14" x14ac:dyDescent="0.25">
      <c r="A65" s="118" t="s">
        <v>210</v>
      </c>
      <c r="B65" s="118">
        <v>5</v>
      </c>
      <c r="C65" s="118" t="s">
        <v>209</v>
      </c>
      <c r="D65" s="118" t="s">
        <v>97</v>
      </c>
      <c r="E65">
        <v>123</v>
      </c>
      <c r="F65">
        <v>128</v>
      </c>
      <c r="G65" s="121" t="s">
        <v>229</v>
      </c>
      <c r="H65" t="s">
        <v>184</v>
      </c>
      <c r="I65">
        <v>1</v>
      </c>
      <c r="J65">
        <f>SUM(K66,K67)</f>
        <v>199.8856548</v>
      </c>
      <c r="K65">
        <f>I65*J65</f>
        <v>199.8856548</v>
      </c>
      <c r="L65">
        <f>100*(1-(M65/K65))</f>
        <v>0</v>
      </c>
      <c r="M65">
        <f>I65*SUM(M66,M67)</f>
        <v>199.8856548</v>
      </c>
      <c r="N65">
        <v>65</v>
      </c>
    </row>
    <row r="66" spans="1:14" x14ac:dyDescent="0.25">
      <c r="A66" s="118" t="s">
        <v>211</v>
      </c>
      <c r="B66" s="118">
        <v>6</v>
      </c>
      <c r="C66" s="118" t="s">
        <v>210</v>
      </c>
      <c r="D66" s="118" t="s">
        <v>97</v>
      </c>
      <c r="E66">
        <v>124</v>
      </c>
      <c r="F66">
        <v>125</v>
      </c>
      <c r="G66" s="121" t="s">
        <v>97</v>
      </c>
      <c r="H66" t="s">
        <v>212</v>
      </c>
      <c r="I66">
        <v>40</v>
      </c>
      <c r="J66">
        <v>3.7015861999999999</v>
      </c>
      <c r="K66">
        <f t="shared" si="5"/>
        <v>148.06344799999999</v>
      </c>
      <c r="L66">
        <v>0</v>
      </c>
      <c r="M66">
        <f>(1-(L66/100))*K66</f>
        <v>148.06344799999999</v>
      </c>
      <c r="N66">
        <v>66</v>
      </c>
    </row>
    <row r="67" spans="1:14" x14ac:dyDescent="0.25">
      <c r="A67" s="118" t="s">
        <v>213</v>
      </c>
      <c r="B67" s="118">
        <v>6</v>
      </c>
      <c r="C67" s="118" t="s">
        <v>210</v>
      </c>
      <c r="D67" s="118" t="s">
        <v>219</v>
      </c>
      <c r="E67">
        <v>126</v>
      </c>
      <c r="F67">
        <v>127</v>
      </c>
      <c r="G67" s="121" t="s">
        <v>97</v>
      </c>
      <c r="H67" t="s">
        <v>214</v>
      </c>
      <c r="I67">
        <v>14</v>
      </c>
      <c r="J67">
        <v>3.7015861999999999</v>
      </c>
      <c r="K67">
        <f t="shared" si="5"/>
        <v>51.822206799999996</v>
      </c>
      <c r="L67">
        <v>0</v>
      </c>
      <c r="M67">
        <f>(1-(L67/100))*K67</f>
        <v>51.822206799999996</v>
      </c>
      <c r="N67">
        <v>67</v>
      </c>
    </row>
    <row r="68" spans="1:14" x14ac:dyDescent="0.25">
      <c r="A68" s="118" t="s">
        <v>215</v>
      </c>
      <c r="B68" s="118">
        <v>3</v>
      </c>
      <c r="C68" s="118" t="s">
        <v>172</v>
      </c>
      <c r="D68" s="118" t="s">
        <v>221</v>
      </c>
      <c r="E68">
        <v>131</v>
      </c>
      <c r="F68">
        <v>134</v>
      </c>
      <c r="G68" s="121" t="s">
        <v>229</v>
      </c>
      <c r="H68" t="s">
        <v>216</v>
      </c>
      <c r="I68">
        <v>1</v>
      </c>
      <c r="J68">
        <f>SUM(K69)</f>
        <v>3.7015861999999999</v>
      </c>
      <c r="K68">
        <f>I68*J68</f>
        <v>3.7015861999999999</v>
      </c>
      <c r="L68">
        <f>100*(1-(M68/K68))</f>
        <v>0</v>
      </c>
      <c r="M68">
        <f>I68*SUM(M69)</f>
        <v>3.7015861999999999</v>
      </c>
      <c r="N68">
        <v>68</v>
      </c>
    </row>
    <row r="69" spans="1:14" x14ac:dyDescent="0.25">
      <c r="A69" s="118" t="s">
        <v>217</v>
      </c>
      <c r="B69" s="118">
        <v>4</v>
      </c>
      <c r="C69" s="118" t="s">
        <v>215</v>
      </c>
      <c r="D69" s="118" t="s">
        <v>97</v>
      </c>
      <c r="E69">
        <v>132</v>
      </c>
      <c r="F69">
        <v>133</v>
      </c>
      <c r="G69" s="121" t="s">
        <v>97</v>
      </c>
      <c r="H69" t="s">
        <v>218</v>
      </c>
      <c r="I69">
        <v>1</v>
      </c>
      <c r="J69">
        <v>3.7015861999999999</v>
      </c>
      <c r="K69">
        <f t="shared" si="5"/>
        <v>3.7015861999999999</v>
      </c>
      <c r="L69">
        <v>0</v>
      </c>
      <c r="M69">
        <f>(1-(L69/100))*K69</f>
        <v>3.7015861999999999</v>
      </c>
      <c r="N69">
        <v>69</v>
      </c>
    </row>
    <row r="70" spans="1:14" x14ac:dyDescent="0.25">
      <c r="G70" s="121"/>
    </row>
  </sheetData>
  <autoFilter ref="A1:G18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I35"/>
  <sheetViews>
    <sheetView view="pageBreakPreview" zoomScaleNormal="100" workbookViewId="0">
      <selection activeCell="F19" sqref="F19"/>
    </sheetView>
  </sheetViews>
  <sheetFormatPr defaultRowHeight="12.75" x14ac:dyDescent="0.2"/>
  <cols>
    <col min="1" max="1" width="16.42578125" style="1" customWidth="1"/>
    <col min="2" max="2" width="28.28515625" style="1" customWidth="1"/>
    <col min="3" max="3" width="4.7109375" style="1" customWidth="1"/>
    <col min="4" max="4" width="8.7109375" style="1" customWidth="1"/>
    <col min="5" max="5" width="9" style="1" customWidth="1"/>
    <col min="6" max="6" width="12.7109375" style="1" customWidth="1"/>
    <col min="7" max="7" width="10" style="2" customWidth="1"/>
    <col min="8" max="8" width="13.140625" style="1" customWidth="1"/>
    <col min="9" max="9" width="13" style="1" customWidth="1"/>
    <col min="10" max="10" width="6.7109375" style="1" customWidth="1"/>
    <col min="11" max="11" width="7.140625" style="1" customWidth="1"/>
    <col min="12" max="12" width="7.28515625" style="1" customWidth="1"/>
    <col min="13" max="256" width="9.140625" style="1"/>
    <col min="257" max="257" width="16.42578125" style="1" customWidth="1"/>
    <col min="258" max="258" width="28.28515625" style="1" customWidth="1"/>
    <col min="259" max="259" width="4.7109375" style="1" customWidth="1"/>
    <col min="260" max="260" width="8.7109375" style="1" customWidth="1"/>
    <col min="261" max="261" width="9" style="1" customWidth="1"/>
    <col min="262" max="262" width="12.7109375" style="1" customWidth="1"/>
    <col min="263" max="263" width="10" style="1" customWidth="1"/>
    <col min="264" max="264" width="13.140625" style="1" customWidth="1"/>
    <col min="265" max="265" width="13" style="1" customWidth="1"/>
    <col min="266" max="266" width="6.7109375" style="1" customWidth="1"/>
    <col min="267" max="267" width="7.140625" style="1" customWidth="1"/>
    <col min="268" max="268" width="7.28515625" style="1" customWidth="1"/>
    <col min="269" max="512" width="9.140625" style="1"/>
    <col min="513" max="513" width="16.42578125" style="1" customWidth="1"/>
    <col min="514" max="514" width="28.28515625" style="1" customWidth="1"/>
    <col min="515" max="515" width="4.7109375" style="1" customWidth="1"/>
    <col min="516" max="516" width="8.7109375" style="1" customWidth="1"/>
    <col min="517" max="517" width="9" style="1" customWidth="1"/>
    <col min="518" max="518" width="12.7109375" style="1" customWidth="1"/>
    <col min="519" max="519" width="10" style="1" customWidth="1"/>
    <col min="520" max="520" width="13.140625" style="1" customWidth="1"/>
    <col min="521" max="521" width="13" style="1" customWidth="1"/>
    <col min="522" max="522" width="6.7109375" style="1" customWidth="1"/>
    <col min="523" max="523" width="7.140625" style="1" customWidth="1"/>
    <col min="524" max="524" width="7.28515625" style="1" customWidth="1"/>
    <col min="525" max="768" width="9.140625" style="1"/>
    <col min="769" max="769" width="16.42578125" style="1" customWidth="1"/>
    <col min="770" max="770" width="28.28515625" style="1" customWidth="1"/>
    <col min="771" max="771" width="4.7109375" style="1" customWidth="1"/>
    <col min="772" max="772" width="8.7109375" style="1" customWidth="1"/>
    <col min="773" max="773" width="9" style="1" customWidth="1"/>
    <col min="774" max="774" width="12.7109375" style="1" customWidth="1"/>
    <col min="775" max="775" width="10" style="1" customWidth="1"/>
    <col min="776" max="776" width="13.140625" style="1" customWidth="1"/>
    <col min="777" max="777" width="13" style="1" customWidth="1"/>
    <col min="778" max="778" width="6.7109375" style="1" customWidth="1"/>
    <col min="779" max="779" width="7.140625" style="1" customWidth="1"/>
    <col min="780" max="780" width="7.28515625" style="1" customWidth="1"/>
    <col min="781" max="1024" width="9.140625" style="1"/>
    <col min="1025" max="1025" width="16.42578125" style="1" customWidth="1"/>
    <col min="1026" max="1026" width="28.28515625" style="1" customWidth="1"/>
    <col min="1027" max="1027" width="4.7109375" style="1" customWidth="1"/>
    <col min="1028" max="1028" width="8.7109375" style="1" customWidth="1"/>
    <col min="1029" max="1029" width="9" style="1" customWidth="1"/>
    <col min="1030" max="1030" width="12.7109375" style="1" customWidth="1"/>
    <col min="1031" max="1031" width="10" style="1" customWidth="1"/>
    <col min="1032" max="1032" width="13.140625" style="1" customWidth="1"/>
    <col min="1033" max="1033" width="13" style="1" customWidth="1"/>
    <col min="1034" max="1034" width="6.7109375" style="1" customWidth="1"/>
    <col min="1035" max="1035" width="7.140625" style="1" customWidth="1"/>
    <col min="1036" max="1036" width="7.28515625" style="1" customWidth="1"/>
    <col min="1037" max="1280" width="9.140625" style="1"/>
    <col min="1281" max="1281" width="16.42578125" style="1" customWidth="1"/>
    <col min="1282" max="1282" width="28.28515625" style="1" customWidth="1"/>
    <col min="1283" max="1283" width="4.7109375" style="1" customWidth="1"/>
    <col min="1284" max="1284" width="8.7109375" style="1" customWidth="1"/>
    <col min="1285" max="1285" width="9" style="1" customWidth="1"/>
    <col min="1286" max="1286" width="12.7109375" style="1" customWidth="1"/>
    <col min="1287" max="1287" width="10" style="1" customWidth="1"/>
    <col min="1288" max="1288" width="13.140625" style="1" customWidth="1"/>
    <col min="1289" max="1289" width="13" style="1" customWidth="1"/>
    <col min="1290" max="1290" width="6.7109375" style="1" customWidth="1"/>
    <col min="1291" max="1291" width="7.140625" style="1" customWidth="1"/>
    <col min="1292" max="1292" width="7.28515625" style="1" customWidth="1"/>
    <col min="1293" max="1536" width="9.140625" style="1"/>
    <col min="1537" max="1537" width="16.42578125" style="1" customWidth="1"/>
    <col min="1538" max="1538" width="28.28515625" style="1" customWidth="1"/>
    <col min="1539" max="1539" width="4.7109375" style="1" customWidth="1"/>
    <col min="1540" max="1540" width="8.7109375" style="1" customWidth="1"/>
    <col min="1541" max="1541" width="9" style="1" customWidth="1"/>
    <col min="1542" max="1542" width="12.7109375" style="1" customWidth="1"/>
    <col min="1543" max="1543" width="10" style="1" customWidth="1"/>
    <col min="1544" max="1544" width="13.140625" style="1" customWidth="1"/>
    <col min="1545" max="1545" width="13" style="1" customWidth="1"/>
    <col min="1546" max="1546" width="6.7109375" style="1" customWidth="1"/>
    <col min="1547" max="1547" width="7.140625" style="1" customWidth="1"/>
    <col min="1548" max="1548" width="7.28515625" style="1" customWidth="1"/>
    <col min="1549" max="1792" width="9.140625" style="1"/>
    <col min="1793" max="1793" width="16.42578125" style="1" customWidth="1"/>
    <col min="1794" max="1794" width="28.28515625" style="1" customWidth="1"/>
    <col min="1795" max="1795" width="4.7109375" style="1" customWidth="1"/>
    <col min="1796" max="1796" width="8.7109375" style="1" customWidth="1"/>
    <col min="1797" max="1797" width="9" style="1" customWidth="1"/>
    <col min="1798" max="1798" width="12.7109375" style="1" customWidth="1"/>
    <col min="1799" max="1799" width="10" style="1" customWidth="1"/>
    <col min="1800" max="1800" width="13.140625" style="1" customWidth="1"/>
    <col min="1801" max="1801" width="13" style="1" customWidth="1"/>
    <col min="1802" max="1802" width="6.7109375" style="1" customWidth="1"/>
    <col min="1803" max="1803" width="7.140625" style="1" customWidth="1"/>
    <col min="1804" max="1804" width="7.28515625" style="1" customWidth="1"/>
    <col min="1805" max="2048" width="9.140625" style="1"/>
    <col min="2049" max="2049" width="16.42578125" style="1" customWidth="1"/>
    <col min="2050" max="2050" width="28.28515625" style="1" customWidth="1"/>
    <col min="2051" max="2051" width="4.7109375" style="1" customWidth="1"/>
    <col min="2052" max="2052" width="8.7109375" style="1" customWidth="1"/>
    <col min="2053" max="2053" width="9" style="1" customWidth="1"/>
    <col min="2054" max="2054" width="12.7109375" style="1" customWidth="1"/>
    <col min="2055" max="2055" width="10" style="1" customWidth="1"/>
    <col min="2056" max="2056" width="13.140625" style="1" customWidth="1"/>
    <col min="2057" max="2057" width="13" style="1" customWidth="1"/>
    <col min="2058" max="2058" width="6.7109375" style="1" customWidth="1"/>
    <col min="2059" max="2059" width="7.140625" style="1" customWidth="1"/>
    <col min="2060" max="2060" width="7.28515625" style="1" customWidth="1"/>
    <col min="2061" max="2304" width="9.140625" style="1"/>
    <col min="2305" max="2305" width="16.42578125" style="1" customWidth="1"/>
    <col min="2306" max="2306" width="28.28515625" style="1" customWidth="1"/>
    <col min="2307" max="2307" width="4.7109375" style="1" customWidth="1"/>
    <col min="2308" max="2308" width="8.7109375" style="1" customWidth="1"/>
    <col min="2309" max="2309" width="9" style="1" customWidth="1"/>
    <col min="2310" max="2310" width="12.7109375" style="1" customWidth="1"/>
    <col min="2311" max="2311" width="10" style="1" customWidth="1"/>
    <col min="2312" max="2312" width="13.140625" style="1" customWidth="1"/>
    <col min="2313" max="2313" width="13" style="1" customWidth="1"/>
    <col min="2314" max="2314" width="6.7109375" style="1" customWidth="1"/>
    <col min="2315" max="2315" width="7.140625" style="1" customWidth="1"/>
    <col min="2316" max="2316" width="7.28515625" style="1" customWidth="1"/>
    <col min="2317" max="2560" width="9.140625" style="1"/>
    <col min="2561" max="2561" width="16.42578125" style="1" customWidth="1"/>
    <col min="2562" max="2562" width="28.28515625" style="1" customWidth="1"/>
    <col min="2563" max="2563" width="4.7109375" style="1" customWidth="1"/>
    <col min="2564" max="2564" width="8.7109375" style="1" customWidth="1"/>
    <col min="2565" max="2565" width="9" style="1" customWidth="1"/>
    <col min="2566" max="2566" width="12.7109375" style="1" customWidth="1"/>
    <col min="2567" max="2567" width="10" style="1" customWidth="1"/>
    <col min="2568" max="2568" width="13.140625" style="1" customWidth="1"/>
    <col min="2569" max="2569" width="13" style="1" customWidth="1"/>
    <col min="2570" max="2570" width="6.7109375" style="1" customWidth="1"/>
    <col min="2571" max="2571" width="7.140625" style="1" customWidth="1"/>
    <col min="2572" max="2572" width="7.28515625" style="1" customWidth="1"/>
    <col min="2573" max="2816" width="9.140625" style="1"/>
    <col min="2817" max="2817" width="16.42578125" style="1" customWidth="1"/>
    <col min="2818" max="2818" width="28.28515625" style="1" customWidth="1"/>
    <col min="2819" max="2819" width="4.7109375" style="1" customWidth="1"/>
    <col min="2820" max="2820" width="8.7109375" style="1" customWidth="1"/>
    <col min="2821" max="2821" width="9" style="1" customWidth="1"/>
    <col min="2822" max="2822" width="12.7109375" style="1" customWidth="1"/>
    <col min="2823" max="2823" width="10" style="1" customWidth="1"/>
    <col min="2824" max="2824" width="13.140625" style="1" customWidth="1"/>
    <col min="2825" max="2825" width="13" style="1" customWidth="1"/>
    <col min="2826" max="2826" width="6.7109375" style="1" customWidth="1"/>
    <col min="2827" max="2827" width="7.140625" style="1" customWidth="1"/>
    <col min="2828" max="2828" width="7.28515625" style="1" customWidth="1"/>
    <col min="2829" max="3072" width="9.140625" style="1"/>
    <col min="3073" max="3073" width="16.42578125" style="1" customWidth="1"/>
    <col min="3074" max="3074" width="28.28515625" style="1" customWidth="1"/>
    <col min="3075" max="3075" width="4.7109375" style="1" customWidth="1"/>
    <col min="3076" max="3076" width="8.7109375" style="1" customWidth="1"/>
    <col min="3077" max="3077" width="9" style="1" customWidth="1"/>
    <col min="3078" max="3078" width="12.7109375" style="1" customWidth="1"/>
    <col min="3079" max="3079" width="10" style="1" customWidth="1"/>
    <col min="3080" max="3080" width="13.140625" style="1" customWidth="1"/>
    <col min="3081" max="3081" width="13" style="1" customWidth="1"/>
    <col min="3082" max="3082" width="6.7109375" style="1" customWidth="1"/>
    <col min="3083" max="3083" width="7.140625" style="1" customWidth="1"/>
    <col min="3084" max="3084" width="7.28515625" style="1" customWidth="1"/>
    <col min="3085" max="3328" width="9.140625" style="1"/>
    <col min="3329" max="3329" width="16.42578125" style="1" customWidth="1"/>
    <col min="3330" max="3330" width="28.28515625" style="1" customWidth="1"/>
    <col min="3331" max="3331" width="4.7109375" style="1" customWidth="1"/>
    <col min="3332" max="3332" width="8.7109375" style="1" customWidth="1"/>
    <col min="3333" max="3333" width="9" style="1" customWidth="1"/>
    <col min="3334" max="3334" width="12.7109375" style="1" customWidth="1"/>
    <col min="3335" max="3335" width="10" style="1" customWidth="1"/>
    <col min="3336" max="3336" width="13.140625" style="1" customWidth="1"/>
    <col min="3337" max="3337" width="13" style="1" customWidth="1"/>
    <col min="3338" max="3338" width="6.7109375" style="1" customWidth="1"/>
    <col min="3339" max="3339" width="7.140625" style="1" customWidth="1"/>
    <col min="3340" max="3340" width="7.28515625" style="1" customWidth="1"/>
    <col min="3341" max="3584" width="9.140625" style="1"/>
    <col min="3585" max="3585" width="16.42578125" style="1" customWidth="1"/>
    <col min="3586" max="3586" width="28.28515625" style="1" customWidth="1"/>
    <col min="3587" max="3587" width="4.7109375" style="1" customWidth="1"/>
    <col min="3588" max="3588" width="8.7109375" style="1" customWidth="1"/>
    <col min="3589" max="3589" width="9" style="1" customWidth="1"/>
    <col min="3590" max="3590" width="12.7109375" style="1" customWidth="1"/>
    <col min="3591" max="3591" width="10" style="1" customWidth="1"/>
    <col min="3592" max="3592" width="13.140625" style="1" customWidth="1"/>
    <col min="3593" max="3593" width="13" style="1" customWidth="1"/>
    <col min="3594" max="3594" width="6.7109375" style="1" customWidth="1"/>
    <col min="3595" max="3595" width="7.140625" style="1" customWidth="1"/>
    <col min="3596" max="3596" width="7.28515625" style="1" customWidth="1"/>
    <col min="3597" max="3840" width="9.140625" style="1"/>
    <col min="3841" max="3841" width="16.42578125" style="1" customWidth="1"/>
    <col min="3842" max="3842" width="28.28515625" style="1" customWidth="1"/>
    <col min="3843" max="3843" width="4.7109375" style="1" customWidth="1"/>
    <col min="3844" max="3844" width="8.7109375" style="1" customWidth="1"/>
    <col min="3845" max="3845" width="9" style="1" customWidth="1"/>
    <col min="3846" max="3846" width="12.7109375" style="1" customWidth="1"/>
    <col min="3847" max="3847" width="10" style="1" customWidth="1"/>
    <col min="3848" max="3848" width="13.140625" style="1" customWidth="1"/>
    <col min="3849" max="3849" width="13" style="1" customWidth="1"/>
    <col min="3850" max="3850" width="6.7109375" style="1" customWidth="1"/>
    <col min="3851" max="3851" width="7.140625" style="1" customWidth="1"/>
    <col min="3852" max="3852" width="7.28515625" style="1" customWidth="1"/>
    <col min="3853" max="4096" width="9.140625" style="1"/>
    <col min="4097" max="4097" width="16.42578125" style="1" customWidth="1"/>
    <col min="4098" max="4098" width="28.28515625" style="1" customWidth="1"/>
    <col min="4099" max="4099" width="4.7109375" style="1" customWidth="1"/>
    <col min="4100" max="4100" width="8.7109375" style="1" customWidth="1"/>
    <col min="4101" max="4101" width="9" style="1" customWidth="1"/>
    <col min="4102" max="4102" width="12.7109375" style="1" customWidth="1"/>
    <col min="4103" max="4103" width="10" style="1" customWidth="1"/>
    <col min="4104" max="4104" width="13.140625" style="1" customWidth="1"/>
    <col min="4105" max="4105" width="13" style="1" customWidth="1"/>
    <col min="4106" max="4106" width="6.7109375" style="1" customWidth="1"/>
    <col min="4107" max="4107" width="7.140625" style="1" customWidth="1"/>
    <col min="4108" max="4108" width="7.28515625" style="1" customWidth="1"/>
    <col min="4109" max="4352" width="9.140625" style="1"/>
    <col min="4353" max="4353" width="16.42578125" style="1" customWidth="1"/>
    <col min="4354" max="4354" width="28.28515625" style="1" customWidth="1"/>
    <col min="4355" max="4355" width="4.7109375" style="1" customWidth="1"/>
    <col min="4356" max="4356" width="8.7109375" style="1" customWidth="1"/>
    <col min="4357" max="4357" width="9" style="1" customWidth="1"/>
    <col min="4358" max="4358" width="12.7109375" style="1" customWidth="1"/>
    <col min="4359" max="4359" width="10" style="1" customWidth="1"/>
    <col min="4360" max="4360" width="13.140625" style="1" customWidth="1"/>
    <col min="4361" max="4361" width="13" style="1" customWidth="1"/>
    <col min="4362" max="4362" width="6.7109375" style="1" customWidth="1"/>
    <col min="4363" max="4363" width="7.140625" style="1" customWidth="1"/>
    <col min="4364" max="4364" width="7.28515625" style="1" customWidth="1"/>
    <col min="4365" max="4608" width="9.140625" style="1"/>
    <col min="4609" max="4609" width="16.42578125" style="1" customWidth="1"/>
    <col min="4610" max="4610" width="28.28515625" style="1" customWidth="1"/>
    <col min="4611" max="4611" width="4.7109375" style="1" customWidth="1"/>
    <col min="4612" max="4612" width="8.7109375" style="1" customWidth="1"/>
    <col min="4613" max="4613" width="9" style="1" customWidth="1"/>
    <col min="4614" max="4614" width="12.7109375" style="1" customWidth="1"/>
    <col min="4615" max="4615" width="10" style="1" customWidth="1"/>
    <col min="4616" max="4616" width="13.140625" style="1" customWidth="1"/>
    <col min="4617" max="4617" width="13" style="1" customWidth="1"/>
    <col min="4618" max="4618" width="6.7109375" style="1" customWidth="1"/>
    <col min="4619" max="4619" width="7.140625" style="1" customWidth="1"/>
    <col min="4620" max="4620" width="7.28515625" style="1" customWidth="1"/>
    <col min="4621" max="4864" width="9.140625" style="1"/>
    <col min="4865" max="4865" width="16.42578125" style="1" customWidth="1"/>
    <col min="4866" max="4866" width="28.28515625" style="1" customWidth="1"/>
    <col min="4867" max="4867" width="4.7109375" style="1" customWidth="1"/>
    <col min="4868" max="4868" width="8.7109375" style="1" customWidth="1"/>
    <col min="4869" max="4869" width="9" style="1" customWidth="1"/>
    <col min="4870" max="4870" width="12.7109375" style="1" customWidth="1"/>
    <col min="4871" max="4871" width="10" style="1" customWidth="1"/>
    <col min="4872" max="4872" width="13.140625" style="1" customWidth="1"/>
    <col min="4873" max="4873" width="13" style="1" customWidth="1"/>
    <col min="4874" max="4874" width="6.7109375" style="1" customWidth="1"/>
    <col min="4875" max="4875" width="7.140625" style="1" customWidth="1"/>
    <col min="4876" max="4876" width="7.28515625" style="1" customWidth="1"/>
    <col min="4877" max="5120" width="9.140625" style="1"/>
    <col min="5121" max="5121" width="16.42578125" style="1" customWidth="1"/>
    <col min="5122" max="5122" width="28.28515625" style="1" customWidth="1"/>
    <col min="5123" max="5123" width="4.7109375" style="1" customWidth="1"/>
    <col min="5124" max="5124" width="8.7109375" style="1" customWidth="1"/>
    <col min="5125" max="5125" width="9" style="1" customWidth="1"/>
    <col min="5126" max="5126" width="12.7109375" style="1" customWidth="1"/>
    <col min="5127" max="5127" width="10" style="1" customWidth="1"/>
    <col min="5128" max="5128" width="13.140625" style="1" customWidth="1"/>
    <col min="5129" max="5129" width="13" style="1" customWidth="1"/>
    <col min="5130" max="5130" width="6.7109375" style="1" customWidth="1"/>
    <col min="5131" max="5131" width="7.140625" style="1" customWidth="1"/>
    <col min="5132" max="5132" width="7.28515625" style="1" customWidth="1"/>
    <col min="5133" max="5376" width="9.140625" style="1"/>
    <col min="5377" max="5377" width="16.42578125" style="1" customWidth="1"/>
    <col min="5378" max="5378" width="28.28515625" style="1" customWidth="1"/>
    <col min="5379" max="5379" width="4.7109375" style="1" customWidth="1"/>
    <col min="5380" max="5380" width="8.7109375" style="1" customWidth="1"/>
    <col min="5381" max="5381" width="9" style="1" customWidth="1"/>
    <col min="5382" max="5382" width="12.7109375" style="1" customWidth="1"/>
    <col min="5383" max="5383" width="10" style="1" customWidth="1"/>
    <col min="5384" max="5384" width="13.140625" style="1" customWidth="1"/>
    <col min="5385" max="5385" width="13" style="1" customWidth="1"/>
    <col min="5386" max="5386" width="6.7109375" style="1" customWidth="1"/>
    <col min="5387" max="5387" width="7.140625" style="1" customWidth="1"/>
    <col min="5388" max="5388" width="7.28515625" style="1" customWidth="1"/>
    <col min="5389" max="5632" width="9.140625" style="1"/>
    <col min="5633" max="5633" width="16.42578125" style="1" customWidth="1"/>
    <col min="5634" max="5634" width="28.28515625" style="1" customWidth="1"/>
    <col min="5635" max="5635" width="4.7109375" style="1" customWidth="1"/>
    <col min="5636" max="5636" width="8.7109375" style="1" customWidth="1"/>
    <col min="5637" max="5637" width="9" style="1" customWidth="1"/>
    <col min="5638" max="5638" width="12.7109375" style="1" customWidth="1"/>
    <col min="5639" max="5639" width="10" style="1" customWidth="1"/>
    <col min="5640" max="5640" width="13.140625" style="1" customWidth="1"/>
    <col min="5641" max="5641" width="13" style="1" customWidth="1"/>
    <col min="5642" max="5642" width="6.7109375" style="1" customWidth="1"/>
    <col min="5643" max="5643" width="7.140625" style="1" customWidth="1"/>
    <col min="5644" max="5644" width="7.28515625" style="1" customWidth="1"/>
    <col min="5645" max="5888" width="9.140625" style="1"/>
    <col min="5889" max="5889" width="16.42578125" style="1" customWidth="1"/>
    <col min="5890" max="5890" width="28.28515625" style="1" customWidth="1"/>
    <col min="5891" max="5891" width="4.7109375" style="1" customWidth="1"/>
    <col min="5892" max="5892" width="8.7109375" style="1" customWidth="1"/>
    <col min="5893" max="5893" width="9" style="1" customWidth="1"/>
    <col min="5894" max="5894" width="12.7109375" style="1" customWidth="1"/>
    <col min="5895" max="5895" width="10" style="1" customWidth="1"/>
    <col min="5896" max="5896" width="13.140625" style="1" customWidth="1"/>
    <col min="5897" max="5897" width="13" style="1" customWidth="1"/>
    <col min="5898" max="5898" width="6.7109375" style="1" customWidth="1"/>
    <col min="5899" max="5899" width="7.140625" style="1" customWidth="1"/>
    <col min="5900" max="5900" width="7.28515625" style="1" customWidth="1"/>
    <col min="5901" max="6144" width="9.140625" style="1"/>
    <col min="6145" max="6145" width="16.42578125" style="1" customWidth="1"/>
    <col min="6146" max="6146" width="28.28515625" style="1" customWidth="1"/>
    <col min="6147" max="6147" width="4.7109375" style="1" customWidth="1"/>
    <col min="6148" max="6148" width="8.7109375" style="1" customWidth="1"/>
    <col min="6149" max="6149" width="9" style="1" customWidth="1"/>
    <col min="6150" max="6150" width="12.7109375" style="1" customWidth="1"/>
    <col min="6151" max="6151" width="10" style="1" customWidth="1"/>
    <col min="6152" max="6152" width="13.140625" style="1" customWidth="1"/>
    <col min="6153" max="6153" width="13" style="1" customWidth="1"/>
    <col min="6154" max="6154" width="6.7109375" style="1" customWidth="1"/>
    <col min="6155" max="6155" width="7.140625" style="1" customWidth="1"/>
    <col min="6156" max="6156" width="7.28515625" style="1" customWidth="1"/>
    <col min="6157" max="6400" width="9.140625" style="1"/>
    <col min="6401" max="6401" width="16.42578125" style="1" customWidth="1"/>
    <col min="6402" max="6402" width="28.28515625" style="1" customWidth="1"/>
    <col min="6403" max="6403" width="4.7109375" style="1" customWidth="1"/>
    <col min="6404" max="6404" width="8.7109375" style="1" customWidth="1"/>
    <col min="6405" max="6405" width="9" style="1" customWidth="1"/>
    <col min="6406" max="6406" width="12.7109375" style="1" customWidth="1"/>
    <col min="6407" max="6407" width="10" style="1" customWidth="1"/>
    <col min="6408" max="6408" width="13.140625" style="1" customWidth="1"/>
    <col min="6409" max="6409" width="13" style="1" customWidth="1"/>
    <col min="6410" max="6410" width="6.7109375" style="1" customWidth="1"/>
    <col min="6411" max="6411" width="7.140625" style="1" customWidth="1"/>
    <col min="6412" max="6412" width="7.28515625" style="1" customWidth="1"/>
    <col min="6413" max="6656" width="9.140625" style="1"/>
    <col min="6657" max="6657" width="16.42578125" style="1" customWidth="1"/>
    <col min="6658" max="6658" width="28.28515625" style="1" customWidth="1"/>
    <col min="6659" max="6659" width="4.7109375" style="1" customWidth="1"/>
    <col min="6660" max="6660" width="8.7109375" style="1" customWidth="1"/>
    <col min="6661" max="6661" width="9" style="1" customWidth="1"/>
    <col min="6662" max="6662" width="12.7109375" style="1" customWidth="1"/>
    <col min="6663" max="6663" width="10" style="1" customWidth="1"/>
    <col min="6664" max="6664" width="13.140625" style="1" customWidth="1"/>
    <col min="6665" max="6665" width="13" style="1" customWidth="1"/>
    <col min="6666" max="6666" width="6.7109375" style="1" customWidth="1"/>
    <col min="6667" max="6667" width="7.140625" style="1" customWidth="1"/>
    <col min="6668" max="6668" width="7.28515625" style="1" customWidth="1"/>
    <col min="6669" max="6912" width="9.140625" style="1"/>
    <col min="6913" max="6913" width="16.42578125" style="1" customWidth="1"/>
    <col min="6914" max="6914" width="28.28515625" style="1" customWidth="1"/>
    <col min="6915" max="6915" width="4.7109375" style="1" customWidth="1"/>
    <col min="6916" max="6916" width="8.7109375" style="1" customWidth="1"/>
    <col min="6917" max="6917" width="9" style="1" customWidth="1"/>
    <col min="6918" max="6918" width="12.7109375" style="1" customWidth="1"/>
    <col min="6919" max="6919" width="10" style="1" customWidth="1"/>
    <col min="6920" max="6920" width="13.140625" style="1" customWidth="1"/>
    <col min="6921" max="6921" width="13" style="1" customWidth="1"/>
    <col min="6922" max="6922" width="6.7109375" style="1" customWidth="1"/>
    <col min="6923" max="6923" width="7.140625" style="1" customWidth="1"/>
    <col min="6924" max="6924" width="7.28515625" style="1" customWidth="1"/>
    <col min="6925" max="7168" width="9.140625" style="1"/>
    <col min="7169" max="7169" width="16.42578125" style="1" customWidth="1"/>
    <col min="7170" max="7170" width="28.28515625" style="1" customWidth="1"/>
    <col min="7171" max="7171" width="4.7109375" style="1" customWidth="1"/>
    <col min="7172" max="7172" width="8.7109375" style="1" customWidth="1"/>
    <col min="7173" max="7173" width="9" style="1" customWidth="1"/>
    <col min="7174" max="7174" width="12.7109375" style="1" customWidth="1"/>
    <col min="7175" max="7175" width="10" style="1" customWidth="1"/>
    <col min="7176" max="7176" width="13.140625" style="1" customWidth="1"/>
    <col min="7177" max="7177" width="13" style="1" customWidth="1"/>
    <col min="7178" max="7178" width="6.7109375" style="1" customWidth="1"/>
    <col min="7179" max="7179" width="7.140625" style="1" customWidth="1"/>
    <col min="7180" max="7180" width="7.28515625" style="1" customWidth="1"/>
    <col min="7181" max="7424" width="9.140625" style="1"/>
    <col min="7425" max="7425" width="16.42578125" style="1" customWidth="1"/>
    <col min="7426" max="7426" width="28.28515625" style="1" customWidth="1"/>
    <col min="7427" max="7427" width="4.7109375" style="1" customWidth="1"/>
    <col min="7428" max="7428" width="8.7109375" style="1" customWidth="1"/>
    <col min="7429" max="7429" width="9" style="1" customWidth="1"/>
    <col min="7430" max="7430" width="12.7109375" style="1" customWidth="1"/>
    <col min="7431" max="7431" width="10" style="1" customWidth="1"/>
    <col min="7432" max="7432" width="13.140625" style="1" customWidth="1"/>
    <col min="7433" max="7433" width="13" style="1" customWidth="1"/>
    <col min="7434" max="7434" width="6.7109375" style="1" customWidth="1"/>
    <col min="7435" max="7435" width="7.140625" style="1" customWidth="1"/>
    <col min="7436" max="7436" width="7.28515625" style="1" customWidth="1"/>
    <col min="7437" max="7680" width="9.140625" style="1"/>
    <col min="7681" max="7681" width="16.42578125" style="1" customWidth="1"/>
    <col min="7682" max="7682" width="28.28515625" style="1" customWidth="1"/>
    <col min="7683" max="7683" width="4.7109375" style="1" customWidth="1"/>
    <col min="7684" max="7684" width="8.7109375" style="1" customWidth="1"/>
    <col min="7685" max="7685" width="9" style="1" customWidth="1"/>
    <col min="7686" max="7686" width="12.7109375" style="1" customWidth="1"/>
    <col min="7687" max="7687" width="10" style="1" customWidth="1"/>
    <col min="7688" max="7688" width="13.140625" style="1" customWidth="1"/>
    <col min="7689" max="7689" width="13" style="1" customWidth="1"/>
    <col min="7690" max="7690" width="6.7109375" style="1" customWidth="1"/>
    <col min="7691" max="7691" width="7.140625" style="1" customWidth="1"/>
    <col min="7692" max="7692" width="7.28515625" style="1" customWidth="1"/>
    <col min="7693" max="7936" width="9.140625" style="1"/>
    <col min="7937" max="7937" width="16.42578125" style="1" customWidth="1"/>
    <col min="7938" max="7938" width="28.28515625" style="1" customWidth="1"/>
    <col min="7939" max="7939" width="4.7109375" style="1" customWidth="1"/>
    <col min="7940" max="7940" width="8.7109375" style="1" customWidth="1"/>
    <col min="7941" max="7941" width="9" style="1" customWidth="1"/>
    <col min="7942" max="7942" width="12.7109375" style="1" customWidth="1"/>
    <col min="7943" max="7943" width="10" style="1" customWidth="1"/>
    <col min="7944" max="7944" width="13.140625" style="1" customWidth="1"/>
    <col min="7945" max="7945" width="13" style="1" customWidth="1"/>
    <col min="7946" max="7946" width="6.7109375" style="1" customWidth="1"/>
    <col min="7947" max="7947" width="7.140625" style="1" customWidth="1"/>
    <col min="7948" max="7948" width="7.28515625" style="1" customWidth="1"/>
    <col min="7949" max="8192" width="9.140625" style="1"/>
    <col min="8193" max="8193" width="16.42578125" style="1" customWidth="1"/>
    <col min="8194" max="8194" width="28.28515625" style="1" customWidth="1"/>
    <col min="8195" max="8195" width="4.7109375" style="1" customWidth="1"/>
    <col min="8196" max="8196" width="8.7109375" style="1" customWidth="1"/>
    <col min="8197" max="8197" width="9" style="1" customWidth="1"/>
    <col min="8198" max="8198" width="12.7109375" style="1" customWidth="1"/>
    <col min="8199" max="8199" width="10" style="1" customWidth="1"/>
    <col min="8200" max="8200" width="13.140625" style="1" customWidth="1"/>
    <col min="8201" max="8201" width="13" style="1" customWidth="1"/>
    <col min="8202" max="8202" width="6.7109375" style="1" customWidth="1"/>
    <col min="8203" max="8203" width="7.140625" style="1" customWidth="1"/>
    <col min="8204" max="8204" width="7.28515625" style="1" customWidth="1"/>
    <col min="8205" max="8448" width="9.140625" style="1"/>
    <col min="8449" max="8449" width="16.42578125" style="1" customWidth="1"/>
    <col min="8450" max="8450" width="28.28515625" style="1" customWidth="1"/>
    <col min="8451" max="8451" width="4.7109375" style="1" customWidth="1"/>
    <col min="8452" max="8452" width="8.7109375" style="1" customWidth="1"/>
    <col min="8453" max="8453" width="9" style="1" customWidth="1"/>
    <col min="8454" max="8454" width="12.7109375" style="1" customWidth="1"/>
    <col min="8455" max="8455" width="10" style="1" customWidth="1"/>
    <col min="8456" max="8456" width="13.140625" style="1" customWidth="1"/>
    <col min="8457" max="8457" width="13" style="1" customWidth="1"/>
    <col min="8458" max="8458" width="6.7109375" style="1" customWidth="1"/>
    <col min="8459" max="8459" width="7.140625" style="1" customWidth="1"/>
    <col min="8460" max="8460" width="7.28515625" style="1" customWidth="1"/>
    <col min="8461" max="8704" width="9.140625" style="1"/>
    <col min="8705" max="8705" width="16.42578125" style="1" customWidth="1"/>
    <col min="8706" max="8706" width="28.28515625" style="1" customWidth="1"/>
    <col min="8707" max="8707" width="4.7109375" style="1" customWidth="1"/>
    <col min="8708" max="8708" width="8.7109375" style="1" customWidth="1"/>
    <col min="8709" max="8709" width="9" style="1" customWidth="1"/>
    <col min="8710" max="8710" width="12.7109375" style="1" customWidth="1"/>
    <col min="8711" max="8711" width="10" style="1" customWidth="1"/>
    <col min="8712" max="8712" width="13.140625" style="1" customWidth="1"/>
    <col min="8713" max="8713" width="13" style="1" customWidth="1"/>
    <col min="8714" max="8714" width="6.7109375" style="1" customWidth="1"/>
    <col min="8715" max="8715" width="7.140625" style="1" customWidth="1"/>
    <col min="8716" max="8716" width="7.28515625" style="1" customWidth="1"/>
    <col min="8717" max="8960" width="9.140625" style="1"/>
    <col min="8961" max="8961" width="16.42578125" style="1" customWidth="1"/>
    <col min="8962" max="8962" width="28.28515625" style="1" customWidth="1"/>
    <col min="8963" max="8963" width="4.7109375" style="1" customWidth="1"/>
    <col min="8964" max="8964" width="8.7109375" style="1" customWidth="1"/>
    <col min="8965" max="8965" width="9" style="1" customWidth="1"/>
    <col min="8966" max="8966" width="12.7109375" style="1" customWidth="1"/>
    <col min="8967" max="8967" width="10" style="1" customWidth="1"/>
    <col min="8968" max="8968" width="13.140625" style="1" customWidth="1"/>
    <col min="8969" max="8969" width="13" style="1" customWidth="1"/>
    <col min="8970" max="8970" width="6.7109375" style="1" customWidth="1"/>
    <col min="8971" max="8971" width="7.140625" style="1" customWidth="1"/>
    <col min="8972" max="8972" width="7.28515625" style="1" customWidth="1"/>
    <col min="8973" max="9216" width="9.140625" style="1"/>
    <col min="9217" max="9217" width="16.42578125" style="1" customWidth="1"/>
    <col min="9218" max="9218" width="28.28515625" style="1" customWidth="1"/>
    <col min="9219" max="9219" width="4.7109375" style="1" customWidth="1"/>
    <col min="9220" max="9220" width="8.7109375" style="1" customWidth="1"/>
    <col min="9221" max="9221" width="9" style="1" customWidth="1"/>
    <col min="9222" max="9222" width="12.7109375" style="1" customWidth="1"/>
    <col min="9223" max="9223" width="10" style="1" customWidth="1"/>
    <col min="9224" max="9224" width="13.140625" style="1" customWidth="1"/>
    <col min="9225" max="9225" width="13" style="1" customWidth="1"/>
    <col min="9226" max="9226" width="6.7109375" style="1" customWidth="1"/>
    <col min="9227" max="9227" width="7.140625" style="1" customWidth="1"/>
    <col min="9228" max="9228" width="7.28515625" style="1" customWidth="1"/>
    <col min="9229" max="9472" width="9.140625" style="1"/>
    <col min="9473" max="9473" width="16.42578125" style="1" customWidth="1"/>
    <col min="9474" max="9474" width="28.28515625" style="1" customWidth="1"/>
    <col min="9475" max="9475" width="4.7109375" style="1" customWidth="1"/>
    <col min="9476" max="9476" width="8.7109375" style="1" customWidth="1"/>
    <col min="9477" max="9477" width="9" style="1" customWidth="1"/>
    <col min="9478" max="9478" width="12.7109375" style="1" customWidth="1"/>
    <col min="9479" max="9479" width="10" style="1" customWidth="1"/>
    <col min="9480" max="9480" width="13.140625" style="1" customWidth="1"/>
    <col min="9481" max="9481" width="13" style="1" customWidth="1"/>
    <col min="9482" max="9482" width="6.7109375" style="1" customWidth="1"/>
    <col min="9483" max="9483" width="7.140625" style="1" customWidth="1"/>
    <col min="9484" max="9484" width="7.28515625" style="1" customWidth="1"/>
    <col min="9485" max="9728" width="9.140625" style="1"/>
    <col min="9729" max="9729" width="16.42578125" style="1" customWidth="1"/>
    <col min="9730" max="9730" width="28.28515625" style="1" customWidth="1"/>
    <col min="9731" max="9731" width="4.7109375" style="1" customWidth="1"/>
    <col min="9732" max="9732" width="8.7109375" style="1" customWidth="1"/>
    <col min="9733" max="9733" width="9" style="1" customWidth="1"/>
    <col min="9734" max="9734" width="12.7109375" style="1" customWidth="1"/>
    <col min="9735" max="9735" width="10" style="1" customWidth="1"/>
    <col min="9736" max="9736" width="13.140625" style="1" customWidth="1"/>
    <col min="9737" max="9737" width="13" style="1" customWidth="1"/>
    <col min="9738" max="9738" width="6.7109375" style="1" customWidth="1"/>
    <col min="9739" max="9739" width="7.140625" style="1" customWidth="1"/>
    <col min="9740" max="9740" width="7.28515625" style="1" customWidth="1"/>
    <col min="9741" max="9984" width="9.140625" style="1"/>
    <col min="9985" max="9985" width="16.42578125" style="1" customWidth="1"/>
    <col min="9986" max="9986" width="28.28515625" style="1" customWidth="1"/>
    <col min="9987" max="9987" width="4.7109375" style="1" customWidth="1"/>
    <col min="9988" max="9988" width="8.7109375" style="1" customWidth="1"/>
    <col min="9989" max="9989" width="9" style="1" customWidth="1"/>
    <col min="9990" max="9990" width="12.7109375" style="1" customWidth="1"/>
    <col min="9991" max="9991" width="10" style="1" customWidth="1"/>
    <col min="9992" max="9992" width="13.140625" style="1" customWidth="1"/>
    <col min="9993" max="9993" width="13" style="1" customWidth="1"/>
    <col min="9994" max="9994" width="6.7109375" style="1" customWidth="1"/>
    <col min="9995" max="9995" width="7.140625" style="1" customWidth="1"/>
    <col min="9996" max="9996" width="7.28515625" style="1" customWidth="1"/>
    <col min="9997" max="10240" width="9.140625" style="1"/>
    <col min="10241" max="10241" width="16.42578125" style="1" customWidth="1"/>
    <col min="10242" max="10242" width="28.28515625" style="1" customWidth="1"/>
    <col min="10243" max="10243" width="4.7109375" style="1" customWidth="1"/>
    <col min="10244" max="10244" width="8.7109375" style="1" customWidth="1"/>
    <col min="10245" max="10245" width="9" style="1" customWidth="1"/>
    <col min="10246" max="10246" width="12.7109375" style="1" customWidth="1"/>
    <col min="10247" max="10247" width="10" style="1" customWidth="1"/>
    <col min="10248" max="10248" width="13.140625" style="1" customWidth="1"/>
    <col min="10249" max="10249" width="13" style="1" customWidth="1"/>
    <col min="10250" max="10250" width="6.7109375" style="1" customWidth="1"/>
    <col min="10251" max="10251" width="7.140625" style="1" customWidth="1"/>
    <col min="10252" max="10252" width="7.28515625" style="1" customWidth="1"/>
    <col min="10253" max="10496" width="9.140625" style="1"/>
    <col min="10497" max="10497" width="16.42578125" style="1" customWidth="1"/>
    <col min="10498" max="10498" width="28.28515625" style="1" customWidth="1"/>
    <col min="10499" max="10499" width="4.7109375" style="1" customWidth="1"/>
    <col min="10500" max="10500" width="8.7109375" style="1" customWidth="1"/>
    <col min="10501" max="10501" width="9" style="1" customWidth="1"/>
    <col min="10502" max="10502" width="12.7109375" style="1" customWidth="1"/>
    <col min="10503" max="10503" width="10" style="1" customWidth="1"/>
    <col min="10504" max="10504" width="13.140625" style="1" customWidth="1"/>
    <col min="10505" max="10505" width="13" style="1" customWidth="1"/>
    <col min="10506" max="10506" width="6.7109375" style="1" customWidth="1"/>
    <col min="10507" max="10507" width="7.140625" style="1" customWidth="1"/>
    <col min="10508" max="10508" width="7.28515625" style="1" customWidth="1"/>
    <col min="10509" max="10752" width="9.140625" style="1"/>
    <col min="10753" max="10753" width="16.42578125" style="1" customWidth="1"/>
    <col min="10754" max="10754" width="28.28515625" style="1" customWidth="1"/>
    <col min="10755" max="10755" width="4.7109375" style="1" customWidth="1"/>
    <col min="10756" max="10756" width="8.7109375" style="1" customWidth="1"/>
    <col min="10757" max="10757" width="9" style="1" customWidth="1"/>
    <col min="10758" max="10758" width="12.7109375" style="1" customWidth="1"/>
    <col min="10759" max="10759" width="10" style="1" customWidth="1"/>
    <col min="10760" max="10760" width="13.140625" style="1" customWidth="1"/>
    <col min="10761" max="10761" width="13" style="1" customWidth="1"/>
    <col min="10762" max="10762" width="6.7109375" style="1" customWidth="1"/>
    <col min="10763" max="10763" width="7.140625" style="1" customWidth="1"/>
    <col min="10764" max="10764" width="7.28515625" style="1" customWidth="1"/>
    <col min="10765" max="11008" width="9.140625" style="1"/>
    <col min="11009" max="11009" width="16.42578125" style="1" customWidth="1"/>
    <col min="11010" max="11010" width="28.28515625" style="1" customWidth="1"/>
    <col min="11011" max="11011" width="4.7109375" style="1" customWidth="1"/>
    <col min="11012" max="11012" width="8.7109375" style="1" customWidth="1"/>
    <col min="11013" max="11013" width="9" style="1" customWidth="1"/>
    <col min="11014" max="11014" width="12.7109375" style="1" customWidth="1"/>
    <col min="11015" max="11015" width="10" style="1" customWidth="1"/>
    <col min="11016" max="11016" width="13.140625" style="1" customWidth="1"/>
    <col min="11017" max="11017" width="13" style="1" customWidth="1"/>
    <col min="11018" max="11018" width="6.7109375" style="1" customWidth="1"/>
    <col min="11019" max="11019" width="7.140625" style="1" customWidth="1"/>
    <col min="11020" max="11020" width="7.28515625" style="1" customWidth="1"/>
    <col min="11021" max="11264" width="9.140625" style="1"/>
    <col min="11265" max="11265" width="16.42578125" style="1" customWidth="1"/>
    <col min="11266" max="11266" width="28.28515625" style="1" customWidth="1"/>
    <col min="11267" max="11267" width="4.7109375" style="1" customWidth="1"/>
    <col min="11268" max="11268" width="8.7109375" style="1" customWidth="1"/>
    <col min="11269" max="11269" width="9" style="1" customWidth="1"/>
    <col min="11270" max="11270" width="12.7109375" style="1" customWidth="1"/>
    <col min="11271" max="11271" width="10" style="1" customWidth="1"/>
    <col min="11272" max="11272" width="13.140625" style="1" customWidth="1"/>
    <col min="11273" max="11273" width="13" style="1" customWidth="1"/>
    <col min="11274" max="11274" width="6.7109375" style="1" customWidth="1"/>
    <col min="11275" max="11275" width="7.140625" style="1" customWidth="1"/>
    <col min="11276" max="11276" width="7.28515625" style="1" customWidth="1"/>
    <col min="11277" max="11520" width="9.140625" style="1"/>
    <col min="11521" max="11521" width="16.42578125" style="1" customWidth="1"/>
    <col min="11522" max="11522" width="28.28515625" style="1" customWidth="1"/>
    <col min="11523" max="11523" width="4.7109375" style="1" customWidth="1"/>
    <col min="11524" max="11524" width="8.7109375" style="1" customWidth="1"/>
    <col min="11525" max="11525" width="9" style="1" customWidth="1"/>
    <col min="11526" max="11526" width="12.7109375" style="1" customWidth="1"/>
    <col min="11527" max="11527" width="10" style="1" customWidth="1"/>
    <col min="11528" max="11528" width="13.140625" style="1" customWidth="1"/>
    <col min="11529" max="11529" width="13" style="1" customWidth="1"/>
    <col min="11530" max="11530" width="6.7109375" style="1" customWidth="1"/>
    <col min="11531" max="11531" width="7.140625" style="1" customWidth="1"/>
    <col min="11532" max="11532" width="7.28515625" style="1" customWidth="1"/>
    <col min="11533" max="11776" width="9.140625" style="1"/>
    <col min="11777" max="11777" width="16.42578125" style="1" customWidth="1"/>
    <col min="11778" max="11778" width="28.28515625" style="1" customWidth="1"/>
    <col min="11779" max="11779" width="4.7109375" style="1" customWidth="1"/>
    <col min="11780" max="11780" width="8.7109375" style="1" customWidth="1"/>
    <col min="11781" max="11781" width="9" style="1" customWidth="1"/>
    <col min="11782" max="11782" width="12.7109375" style="1" customWidth="1"/>
    <col min="11783" max="11783" width="10" style="1" customWidth="1"/>
    <col min="11784" max="11784" width="13.140625" style="1" customWidth="1"/>
    <col min="11785" max="11785" width="13" style="1" customWidth="1"/>
    <col min="11786" max="11786" width="6.7109375" style="1" customWidth="1"/>
    <col min="11787" max="11787" width="7.140625" style="1" customWidth="1"/>
    <col min="11788" max="11788" width="7.28515625" style="1" customWidth="1"/>
    <col min="11789" max="12032" width="9.140625" style="1"/>
    <col min="12033" max="12033" width="16.42578125" style="1" customWidth="1"/>
    <col min="12034" max="12034" width="28.28515625" style="1" customWidth="1"/>
    <col min="12035" max="12035" width="4.7109375" style="1" customWidth="1"/>
    <col min="12036" max="12036" width="8.7109375" style="1" customWidth="1"/>
    <col min="12037" max="12037" width="9" style="1" customWidth="1"/>
    <col min="12038" max="12038" width="12.7109375" style="1" customWidth="1"/>
    <col min="12039" max="12039" width="10" style="1" customWidth="1"/>
    <col min="12040" max="12040" width="13.140625" style="1" customWidth="1"/>
    <col min="12041" max="12041" width="13" style="1" customWidth="1"/>
    <col min="12042" max="12042" width="6.7109375" style="1" customWidth="1"/>
    <col min="12043" max="12043" width="7.140625" style="1" customWidth="1"/>
    <col min="12044" max="12044" width="7.28515625" style="1" customWidth="1"/>
    <col min="12045" max="12288" width="9.140625" style="1"/>
    <col min="12289" max="12289" width="16.42578125" style="1" customWidth="1"/>
    <col min="12290" max="12290" width="28.28515625" style="1" customWidth="1"/>
    <col min="12291" max="12291" width="4.7109375" style="1" customWidth="1"/>
    <col min="12292" max="12292" width="8.7109375" style="1" customWidth="1"/>
    <col min="12293" max="12293" width="9" style="1" customWidth="1"/>
    <col min="12294" max="12294" width="12.7109375" style="1" customWidth="1"/>
    <col min="12295" max="12295" width="10" style="1" customWidth="1"/>
    <col min="12296" max="12296" width="13.140625" style="1" customWidth="1"/>
    <col min="12297" max="12297" width="13" style="1" customWidth="1"/>
    <col min="12298" max="12298" width="6.7109375" style="1" customWidth="1"/>
    <col min="12299" max="12299" width="7.140625" style="1" customWidth="1"/>
    <col min="12300" max="12300" width="7.28515625" style="1" customWidth="1"/>
    <col min="12301" max="12544" width="9.140625" style="1"/>
    <col min="12545" max="12545" width="16.42578125" style="1" customWidth="1"/>
    <col min="12546" max="12546" width="28.28515625" style="1" customWidth="1"/>
    <col min="12547" max="12547" width="4.7109375" style="1" customWidth="1"/>
    <col min="12548" max="12548" width="8.7109375" style="1" customWidth="1"/>
    <col min="12549" max="12549" width="9" style="1" customWidth="1"/>
    <col min="12550" max="12550" width="12.7109375" style="1" customWidth="1"/>
    <col min="12551" max="12551" width="10" style="1" customWidth="1"/>
    <col min="12552" max="12552" width="13.140625" style="1" customWidth="1"/>
    <col min="12553" max="12553" width="13" style="1" customWidth="1"/>
    <col min="12554" max="12554" width="6.7109375" style="1" customWidth="1"/>
    <col min="12555" max="12555" width="7.140625" style="1" customWidth="1"/>
    <col min="12556" max="12556" width="7.28515625" style="1" customWidth="1"/>
    <col min="12557" max="12800" width="9.140625" style="1"/>
    <col min="12801" max="12801" width="16.42578125" style="1" customWidth="1"/>
    <col min="12802" max="12802" width="28.28515625" style="1" customWidth="1"/>
    <col min="12803" max="12803" width="4.7109375" style="1" customWidth="1"/>
    <col min="12804" max="12804" width="8.7109375" style="1" customWidth="1"/>
    <col min="12805" max="12805" width="9" style="1" customWidth="1"/>
    <col min="12806" max="12806" width="12.7109375" style="1" customWidth="1"/>
    <col min="12807" max="12807" width="10" style="1" customWidth="1"/>
    <col min="12808" max="12808" width="13.140625" style="1" customWidth="1"/>
    <col min="12809" max="12809" width="13" style="1" customWidth="1"/>
    <col min="12810" max="12810" width="6.7109375" style="1" customWidth="1"/>
    <col min="12811" max="12811" width="7.140625" style="1" customWidth="1"/>
    <col min="12812" max="12812" width="7.28515625" style="1" customWidth="1"/>
    <col min="12813" max="13056" width="9.140625" style="1"/>
    <col min="13057" max="13057" width="16.42578125" style="1" customWidth="1"/>
    <col min="13058" max="13058" width="28.28515625" style="1" customWidth="1"/>
    <col min="13059" max="13059" width="4.7109375" style="1" customWidth="1"/>
    <col min="13060" max="13060" width="8.7109375" style="1" customWidth="1"/>
    <col min="13061" max="13061" width="9" style="1" customWidth="1"/>
    <col min="13062" max="13062" width="12.7109375" style="1" customWidth="1"/>
    <col min="13063" max="13063" width="10" style="1" customWidth="1"/>
    <col min="13064" max="13064" width="13.140625" style="1" customWidth="1"/>
    <col min="13065" max="13065" width="13" style="1" customWidth="1"/>
    <col min="13066" max="13066" width="6.7109375" style="1" customWidth="1"/>
    <col min="13067" max="13067" width="7.140625" style="1" customWidth="1"/>
    <col min="13068" max="13068" width="7.28515625" style="1" customWidth="1"/>
    <col min="13069" max="13312" width="9.140625" style="1"/>
    <col min="13313" max="13313" width="16.42578125" style="1" customWidth="1"/>
    <col min="13314" max="13314" width="28.28515625" style="1" customWidth="1"/>
    <col min="13315" max="13315" width="4.7109375" style="1" customWidth="1"/>
    <col min="13316" max="13316" width="8.7109375" style="1" customWidth="1"/>
    <col min="13317" max="13317" width="9" style="1" customWidth="1"/>
    <col min="13318" max="13318" width="12.7109375" style="1" customWidth="1"/>
    <col min="13319" max="13319" width="10" style="1" customWidth="1"/>
    <col min="13320" max="13320" width="13.140625" style="1" customWidth="1"/>
    <col min="13321" max="13321" width="13" style="1" customWidth="1"/>
    <col min="13322" max="13322" width="6.7109375" style="1" customWidth="1"/>
    <col min="13323" max="13323" width="7.140625" style="1" customWidth="1"/>
    <col min="13324" max="13324" width="7.28515625" style="1" customWidth="1"/>
    <col min="13325" max="13568" width="9.140625" style="1"/>
    <col min="13569" max="13569" width="16.42578125" style="1" customWidth="1"/>
    <col min="13570" max="13570" width="28.28515625" style="1" customWidth="1"/>
    <col min="13571" max="13571" width="4.7109375" style="1" customWidth="1"/>
    <col min="13572" max="13572" width="8.7109375" style="1" customWidth="1"/>
    <col min="13573" max="13573" width="9" style="1" customWidth="1"/>
    <col min="13574" max="13574" width="12.7109375" style="1" customWidth="1"/>
    <col min="13575" max="13575" width="10" style="1" customWidth="1"/>
    <col min="13576" max="13576" width="13.140625" style="1" customWidth="1"/>
    <col min="13577" max="13577" width="13" style="1" customWidth="1"/>
    <col min="13578" max="13578" width="6.7109375" style="1" customWidth="1"/>
    <col min="13579" max="13579" width="7.140625" style="1" customWidth="1"/>
    <col min="13580" max="13580" width="7.28515625" style="1" customWidth="1"/>
    <col min="13581" max="13824" width="9.140625" style="1"/>
    <col min="13825" max="13825" width="16.42578125" style="1" customWidth="1"/>
    <col min="13826" max="13826" width="28.28515625" style="1" customWidth="1"/>
    <col min="13827" max="13827" width="4.7109375" style="1" customWidth="1"/>
    <col min="13828" max="13828" width="8.7109375" style="1" customWidth="1"/>
    <col min="13829" max="13829" width="9" style="1" customWidth="1"/>
    <col min="13830" max="13830" width="12.7109375" style="1" customWidth="1"/>
    <col min="13831" max="13831" width="10" style="1" customWidth="1"/>
    <col min="13832" max="13832" width="13.140625" style="1" customWidth="1"/>
    <col min="13833" max="13833" width="13" style="1" customWidth="1"/>
    <col min="13834" max="13834" width="6.7109375" style="1" customWidth="1"/>
    <col min="13835" max="13835" width="7.140625" style="1" customWidth="1"/>
    <col min="13836" max="13836" width="7.28515625" style="1" customWidth="1"/>
    <col min="13837" max="14080" width="9.140625" style="1"/>
    <col min="14081" max="14081" width="16.42578125" style="1" customWidth="1"/>
    <col min="14082" max="14082" width="28.28515625" style="1" customWidth="1"/>
    <col min="14083" max="14083" width="4.7109375" style="1" customWidth="1"/>
    <col min="14084" max="14084" width="8.7109375" style="1" customWidth="1"/>
    <col min="14085" max="14085" width="9" style="1" customWidth="1"/>
    <col min="14086" max="14086" width="12.7109375" style="1" customWidth="1"/>
    <col min="14087" max="14087" width="10" style="1" customWidth="1"/>
    <col min="14088" max="14088" width="13.140625" style="1" customWidth="1"/>
    <col min="14089" max="14089" width="13" style="1" customWidth="1"/>
    <col min="14090" max="14090" width="6.7109375" style="1" customWidth="1"/>
    <col min="14091" max="14091" width="7.140625" style="1" customWidth="1"/>
    <col min="14092" max="14092" width="7.28515625" style="1" customWidth="1"/>
    <col min="14093" max="14336" width="9.140625" style="1"/>
    <col min="14337" max="14337" width="16.42578125" style="1" customWidth="1"/>
    <col min="14338" max="14338" width="28.28515625" style="1" customWidth="1"/>
    <col min="14339" max="14339" width="4.7109375" style="1" customWidth="1"/>
    <col min="14340" max="14340" width="8.7109375" style="1" customWidth="1"/>
    <col min="14341" max="14341" width="9" style="1" customWidth="1"/>
    <col min="14342" max="14342" width="12.7109375" style="1" customWidth="1"/>
    <col min="14343" max="14343" width="10" style="1" customWidth="1"/>
    <col min="14344" max="14344" width="13.140625" style="1" customWidth="1"/>
    <col min="14345" max="14345" width="13" style="1" customWidth="1"/>
    <col min="14346" max="14346" width="6.7109375" style="1" customWidth="1"/>
    <col min="14347" max="14347" width="7.140625" style="1" customWidth="1"/>
    <col min="14348" max="14348" width="7.28515625" style="1" customWidth="1"/>
    <col min="14349" max="14592" width="9.140625" style="1"/>
    <col min="14593" max="14593" width="16.42578125" style="1" customWidth="1"/>
    <col min="14594" max="14594" width="28.28515625" style="1" customWidth="1"/>
    <col min="14595" max="14595" width="4.7109375" style="1" customWidth="1"/>
    <col min="14596" max="14596" width="8.7109375" style="1" customWidth="1"/>
    <col min="14597" max="14597" width="9" style="1" customWidth="1"/>
    <col min="14598" max="14598" width="12.7109375" style="1" customWidth="1"/>
    <col min="14599" max="14599" width="10" style="1" customWidth="1"/>
    <col min="14600" max="14600" width="13.140625" style="1" customWidth="1"/>
    <col min="14601" max="14601" width="13" style="1" customWidth="1"/>
    <col min="14602" max="14602" width="6.7109375" style="1" customWidth="1"/>
    <col min="14603" max="14603" width="7.140625" style="1" customWidth="1"/>
    <col min="14604" max="14604" width="7.28515625" style="1" customWidth="1"/>
    <col min="14605" max="14848" width="9.140625" style="1"/>
    <col min="14849" max="14849" width="16.42578125" style="1" customWidth="1"/>
    <col min="14850" max="14850" width="28.28515625" style="1" customWidth="1"/>
    <col min="14851" max="14851" width="4.7109375" style="1" customWidth="1"/>
    <col min="14852" max="14852" width="8.7109375" style="1" customWidth="1"/>
    <col min="14853" max="14853" width="9" style="1" customWidth="1"/>
    <col min="14854" max="14854" width="12.7109375" style="1" customWidth="1"/>
    <col min="14855" max="14855" width="10" style="1" customWidth="1"/>
    <col min="14856" max="14856" width="13.140625" style="1" customWidth="1"/>
    <col min="14857" max="14857" width="13" style="1" customWidth="1"/>
    <col min="14858" max="14858" width="6.7109375" style="1" customWidth="1"/>
    <col min="14859" max="14859" width="7.140625" style="1" customWidth="1"/>
    <col min="14860" max="14860" width="7.28515625" style="1" customWidth="1"/>
    <col min="14861" max="15104" width="9.140625" style="1"/>
    <col min="15105" max="15105" width="16.42578125" style="1" customWidth="1"/>
    <col min="15106" max="15106" width="28.28515625" style="1" customWidth="1"/>
    <col min="15107" max="15107" width="4.7109375" style="1" customWidth="1"/>
    <col min="15108" max="15108" width="8.7109375" style="1" customWidth="1"/>
    <col min="15109" max="15109" width="9" style="1" customWidth="1"/>
    <col min="15110" max="15110" width="12.7109375" style="1" customWidth="1"/>
    <col min="15111" max="15111" width="10" style="1" customWidth="1"/>
    <col min="15112" max="15112" width="13.140625" style="1" customWidth="1"/>
    <col min="15113" max="15113" width="13" style="1" customWidth="1"/>
    <col min="15114" max="15114" width="6.7109375" style="1" customWidth="1"/>
    <col min="15115" max="15115" width="7.140625" style="1" customWidth="1"/>
    <col min="15116" max="15116" width="7.28515625" style="1" customWidth="1"/>
    <col min="15117" max="15360" width="9.140625" style="1"/>
    <col min="15361" max="15361" width="16.42578125" style="1" customWidth="1"/>
    <col min="15362" max="15362" width="28.28515625" style="1" customWidth="1"/>
    <col min="15363" max="15363" width="4.7109375" style="1" customWidth="1"/>
    <col min="15364" max="15364" width="8.7109375" style="1" customWidth="1"/>
    <col min="15365" max="15365" width="9" style="1" customWidth="1"/>
    <col min="15366" max="15366" width="12.7109375" style="1" customWidth="1"/>
    <col min="15367" max="15367" width="10" style="1" customWidth="1"/>
    <col min="15368" max="15368" width="13.140625" style="1" customWidth="1"/>
    <col min="15369" max="15369" width="13" style="1" customWidth="1"/>
    <col min="15370" max="15370" width="6.7109375" style="1" customWidth="1"/>
    <col min="15371" max="15371" width="7.140625" style="1" customWidth="1"/>
    <col min="15372" max="15372" width="7.28515625" style="1" customWidth="1"/>
    <col min="15373" max="15616" width="9.140625" style="1"/>
    <col min="15617" max="15617" width="16.42578125" style="1" customWidth="1"/>
    <col min="15618" max="15618" width="28.28515625" style="1" customWidth="1"/>
    <col min="15619" max="15619" width="4.7109375" style="1" customWidth="1"/>
    <col min="15620" max="15620" width="8.7109375" style="1" customWidth="1"/>
    <col min="15621" max="15621" width="9" style="1" customWidth="1"/>
    <col min="15622" max="15622" width="12.7109375" style="1" customWidth="1"/>
    <col min="15623" max="15623" width="10" style="1" customWidth="1"/>
    <col min="15624" max="15624" width="13.140625" style="1" customWidth="1"/>
    <col min="15625" max="15625" width="13" style="1" customWidth="1"/>
    <col min="15626" max="15626" width="6.7109375" style="1" customWidth="1"/>
    <col min="15627" max="15627" width="7.140625" style="1" customWidth="1"/>
    <col min="15628" max="15628" width="7.28515625" style="1" customWidth="1"/>
    <col min="15629" max="15872" width="9.140625" style="1"/>
    <col min="15873" max="15873" width="16.42578125" style="1" customWidth="1"/>
    <col min="15874" max="15874" width="28.28515625" style="1" customWidth="1"/>
    <col min="15875" max="15875" width="4.7109375" style="1" customWidth="1"/>
    <col min="15876" max="15876" width="8.7109375" style="1" customWidth="1"/>
    <col min="15877" max="15877" width="9" style="1" customWidth="1"/>
    <col min="15878" max="15878" width="12.7109375" style="1" customWidth="1"/>
    <col min="15879" max="15879" width="10" style="1" customWidth="1"/>
    <col min="15880" max="15880" width="13.140625" style="1" customWidth="1"/>
    <col min="15881" max="15881" width="13" style="1" customWidth="1"/>
    <col min="15882" max="15882" width="6.7109375" style="1" customWidth="1"/>
    <col min="15883" max="15883" width="7.140625" style="1" customWidth="1"/>
    <col min="15884" max="15884" width="7.28515625" style="1" customWidth="1"/>
    <col min="15885" max="16128" width="9.140625" style="1"/>
    <col min="16129" max="16129" width="16.42578125" style="1" customWidth="1"/>
    <col min="16130" max="16130" width="28.28515625" style="1" customWidth="1"/>
    <col min="16131" max="16131" width="4.7109375" style="1" customWidth="1"/>
    <col min="16132" max="16132" width="8.7109375" style="1" customWidth="1"/>
    <col min="16133" max="16133" width="9" style="1" customWidth="1"/>
    <col min="16134" max="16134" width="12.7109375" style="1" customWidth="1"/>
    <col min="16135" max="16135" width="10" style="1" customWidth="1"/>
    <col min="16136" max="16136" width="13.140625" style="1" customWidth="1"/>
    <col min="16137" max="16137" width="13" style="1" customWidth="1"/>
    <col min="16138" max="16138" width="6.7109375" style="1" customWidth="1"/>
    <col min="16139" max="16139" width="7.140625" style="1" customWidth="1"/>
    <col min="16140" max="16140" width="7.28515625" style="1" customWidth="1"/>
    <col min="16141" max="16384" width="9.140625" style="1"/>
  </cols>
  <sheetData>
    <row r="1" spans="1:9" s="3" customFormat="1" ht="3.75" customHeight="1" x14ac:dyDescent="0.2">
      <c r="A1" s="41"/>
      <c r="B1" s="41"/>
      <c r="C1" s="41"/>
      <c r="D1" s="41"/>
      <c r="E1" s="41"/>
      <c r="F1" s="41"/>
      <c r="G1" s="42"/>
      <c r="H1" s="41"/>
      <c r="I1" s="41"/>
    </row>
    <row r="2" spans="1:9" s="3" customFormat="1" x14ac:dyDescent="0.2">
      <c r="A2" s="49"/>
      <c r="B2" s="49"/>
      <c r="C2" s="49"/>
      <c r="D2" s="49"/>
      <c r="E2" s="49"/>
      <c r="F2" s="49"/>
      <c r="G2" s="50"/>
      <c r="H2" s="49"/>
      <c r="I2" s="49"/>
    </row>
    <row r="3" spans="1:9" s="43" customFormat="1" ht="15.75" x14ac:dyDescent="0.25">
      <c r="A3" s="47" t="s">
        <v>47</v>
      </c>
      <c r="B3" s="46" t="s">
        <v>46</v>
      </c>
      <c r="G3" s="45"/>
      <c r="I3" s="44"/>
    </row>
    <row r="4" spans="1:9" s="43" customFormat="1" ht="15.75" x14ac:dyDescent="0.25">
      <c r="A4" s="47" t="s">
        <v>45</v>
      </c>
      <c r="B4" s="48" t="s">
        <v>44</v>
      </c>
      <c r="G4" s="45"/>
      <c r="I4" s="44"/>
    </row>
    <row r="5" spans="1:9" s="43" customFormat="1" ht="15.75" x14ac:dyDescent="0.25">
      <c r="A5" s="47" t="s">
        <v>43</v>
      </c>
      <c r="B5" s="46" t="s">
        <v>42</v>
      </c>
      <c r="G5" s="45"/>
      <c r="I5" s="44"/>
    </row>
    <row r="6" spans="1:9" s="3" customFormat="1" x14ac:dyDescent="0.2">
      <c r="A6" s="41"/>
      <c r="B6" s="41"/>
      <c r="C6" s="41"/>
      <c r="D6" s="41"/>
      <c r="E6" s="41"/>
      <c r="F6" s="41"/>
      <c r="G6" s="42"/>
      <c r="H6" s="41"/>
      <c r="I6" s="41"/>
    </row>
    <row r="7" spans="1:9" s="3" customFormat="1" x14ac:dyDescent="0.2">
      <c r="G7" s="4"/>
    </row>
    <row r="8" spans="1:9" ht="34.5" thickBot="1" x14ac:dyDescent="0.25">
      <c r="A8" s="40" t="s">
        <v>41</v>
      </c>
      <c r="B8" s="39" t="s">
        <v>40</v>
      </c>
      <c r="C8" s="38" t="s">
        <v>39</v>
      </c>
      <c r="D8" s="37" t="s">
        <v>38</v>
      </c>
      <c r="E8" s="37" t="s">
        <v>37</v>
      </c>
      <c r="F8" s="37" t="s">
        <v>36</v>
      </c>
      <c r="G8" s="37" t="s">
        <v>35</v>
      </c>
      <c r="H8" s="37" t="s">
        <v>34</v>
      </c>
      <c r="I8" s="36" t="s">
        <v>33</v>
      </c>
    </row>
    <row r="9" spans="1:9" ht="13.5" thickTop="1" x14ac:dyDescent="0.2">
      <c r="A9" s="29"/>
      <c r="B9" s="34"/>
      <c r="C9" s="24"/>
      <c r="D9" s="24"/>
      <c r="E9" s="24"/>
      <c r="F9" s="24"/>
      <c r="G9" s="26"/>
      <c r="H9" s="24"/>
      <c r="I9" s="24"/>
    </row>
    <row r="10" spans="1:9" x14ac:dyDescent="0.2">
      <c r="A10" s="33"/>
      <c r="B10" s="35"/>
      <c r="C10" s="32"/>
      <c r="D10" s="32"/>
      <c r="E10" s="27"/>
      <c r="F10" s="5"/>
      <c r="G10" s="31"/>
      <c r="H10" s="25"/>
      <c r="I10" s="30"/>
    </row>
    <row r="11" spans="1:9" x14ac:dyDescent="0.2">
      <c r="A11" s="33" t="s">
        <v>32</v>
      </c>
      <c r="B11" s="33" t="s">
        <v>31</v>
      </c>
      <c r="C11" s="32"/>
      <c r="D11" s="32"/>
      <c r="E11" s="27">
        <v>0</v>
      </c>
      <c r="F11" s="5">
        <f>C11*E11</f>
        <v>0</v>
      </c>
      <c r="G11" s="31"/>
      <c r="H11" s="25">
        <f>(1-(G11/100))*F11</f>
        <v>0</v>
      </c>
      <c r="I11" s="30"/>
    </row>
    <row r="12" spans="1:9" x14ac:dyDescent="0.2">
      <c r="A12" s="33" t="s">
        <v>30</v>
      </c>
      <c r="B12" s="33" t="s">
        <v>29</v>
      </c>
      <c r="C12" s="32">
        <v>2</v>
      </c>
      <c r="D12" s="32"/>
      <c r="E12" s="27">
        <v>3.71</v>
      </c>
      <c r="F12" s="5">
        <f>C12*E12</f>
        <v>7.42</v>
      </c>
      <c r="G12" s="31">
        <v>0</v>
      </c>
      <c r="H12" s="25">
        <f>(1-(G12/100))*F12</f>
        <v>7.42</v>
      </c>
      <c r="I12" s="30"/>
    </row>
    <row r="13" spans="1:9" ht="22.5" x14ac:dyDescent="0.2">
      <c r="A13" s="33" t="s">
        <v>28</v>
      </c>
      <c r="B13" s="6" t="s">
        <v>27</v>
      </c>
      <c r="C13" s="32">
        <v>2</v>
      </c>
      <c r="D13" s="32"/>
      <c r="E13" s="27">
        <v>3.71</v>
      </c>
      <c r="F13" s="5">
        <f>C13*E13</f>
        <v>7.42</v>
      </c>
      <c r="G13" s="31">
        <v>0</v>
      </c>
      <c r="H13" s="25">
        <f>(1-(G13/100))*F13</f>
        <v>7.42</v>
      </c>
      <c r="I13" s="30"/>
    </row>
    <row r="14" spans="1:9" ht="22.5" x14ac:dyDescent="0.2">
      <c r="A14" s="33" t="s">
        <v>26</v>
      </c>
      <c r="B14" s="6" t="s">
        <v>25</v>
      </c>
      <c r="C14" s="32">
        <v>2</v>
      </c>
      <c r="D14" s="32" t="s">
        <v>9</v>
      </c>
      <c r="E14" s="27">
        <v>3.71</v>
      </c>
      <c r="F14" s="5">
        <f>C14*E14</f>
        <v>7.42</v>
      </c>
      <c r="G14" s="31">
        <v>0</v>
      </c>
      <c r="H14" s="25">
        <f>(1-(G14/100))*F14</f>
        <v>7.42</v>
      </c>
      <c r="I14" s="30"/>
    </row>
    <row r="15" spans="1:9" x14ac:dyDescent="0.2">
      <c r="A15" s="29" t="s">
        <v>24</v>
      </c>
      <c r="B15" s="34" t="s">
        <v>23</v>
      </c>
      <c r="C15" s="24">
        <v>4</v>
      </c>
      <c r="D15" s="24"/>
      <c r="E15" s="24">
        <v>3.71</v>
      </c>
      <c r="F15" s="24">
        <f>C15*E15</f>
        <v>14.84</v>
      </c>
      <c r="G15" s="26">
        <v>0</v>
      </c>
      <c r="H15" s="24">
        <f>(1-(G15/100))*F15</f>
        <v>14.84</v>
      </c>
      <c r="I15" s="24"/>
    </row>
    <row r="16" spans="1:9" x14ac:dyDescent="0.2">
      <c r="A16" s="33" t="s">
        <v>22</v>
      </c>
      <c r="B16" s="6" t="s">
        <v>12</v>
      </c>
      <c r="C16" s="32"/>
      <c r="D16" s="32"/>
      <c r="E16" s="27"/>
      <c r="F16" s="5">
        <v>430289.16337704007</v>
      </c>
      <c r="G16" s="31"/>
      <c r="H16" s="25">
        <v>266779.28129376483</v>
      </c>
      <c r="I16" s="30"/>
    </row>
    <row r="17" spans="1:9" x14ac:dyDescent="0.2">
      <c r="A17" s="33" t="s">
        <v>21</v>
      </c>
      <c r="B17" s="6" t="s">
        <v>10</v>
      </c>
      <c r="C17" s="32">
        <v>8</v>
      </c>
      <c r="D17" s="32" t="s">
        <v>20</v>
      </c>
      <c r="E17" s="27">
        <v>53786.145422130008</v>
      </c>
      <c r="F17" s="5">
        <f>C17*E17</f>
        <v>430289.16337704007</v>
      </c>
      <c r="G17" s="31">
        <v>38</v>
      </c>
      <c r="H17" s="25">
        <f>F17*(1-G17%)</f>
        <v>266779.28129376483</v>
      </c>
      <c r="I17" s="30"/>
    </row>
    <row r="18" spans="1:9" x14ac:dyDescent="0.2">
      <c r="A18" s="29" t="s">
        <v>19</v>
      </c>
      <c r="B18" s="28" t="s">
        <v>6</v>
      </c>
      <c r="C18" s="24">
        <v>1</v>
      </c>
      <c r="D18" s="24" t="s">
        <v>5</v>
      </c>
      <c r="E18" s="27">
        <v>7730.93085445</v>
      </c>
      <c r="F18" s="5">
        <v>7730.93085445</v>
      </c>
      <c r="G18" s="26">
        <v>38</v>
      </c>
      <c r="H18" s="25">
        <v>4793.1771297590003</v>
      </c>
      <c r="I18" s="24"/>
    </row>
    <row r="19" spans="1:9" x14ac:dyDescent="0.2">
      <c r="A19" s="29" t="s">
        <v>18</v>
      </c>
      <c r="B19" s="28" t="s">
        <v>6</v>
      </c>
      <c r="C19" s="24">
        <v>1</v>
      </c>
      <c r="D19" s="24" t="s">
        <v>5</v>
      </c>
      <c r="E19" s="27">
        <v>125.41703807</v>
      </c>
      <c r="F19" s="5">
        <v>125.41703807</v>
      </c>
      <c r="G19" s="26">
        <v>38</v>
      </c>
      <c r="H19" s="25">
        <v>77.758563603400006</v>
      </c>
      <c r="I19" s="24"/>
    </row>
    <row r="20" spans="1:9" x14ac:dyDescent="0.2">
      <c r="A20" s="29" t="s">
        <v>17</v>
      </c>
      <c r="B20" s="28" t="s">
        <v>6</v>
      </c>
      <c r="C20" s="24">
        <v>1</v>
      </c>
      <c r="D20" s="24" t="s">
        <v>5</v>
      </c>
      <c r="E20" s="27">
        <v>63.17330956</v>
      </c>
      <c r="F20" s="5">
        <v>63.17330956</v>
      </c>
      <c r="G20" s="26">
        <v>38</v>
      </c>
      <c r="H20" s="25">
        <v>39.167451927199998</v>
      </c>
      <c r="I20" s="24"/>
    </row>
    <row r="21" spans="1:9" x14ac:dyDescent="0.2">
      <c r="A21" s="29" t="s">
        <v>16</v>
      </c>
      <c r="B21" s="28" t="s">
        <v>6</v>
      </c>
      <c r="C21" s="24">
        <v>1</v>
      </c>
      <c r="D21" s="24" t="s">
        <v>5</v>
      </c>
      <c r="E21" s="27">
        <v>369.70584489999999</v>
      </c>
      <c r="F21" s="5">
        <v>369.70584489999999</v>
      </c>
      <c r="G21" s="26">
        <v>38</v>
      </c>
      <c r="H21" s="25">
        <v>229.21762383799998</v>
      </c>
      <c r="I21" s="24"/>
    </row>
    <row r="22" spans="1:9" x14ac:dyDescent="0.2">
      <c r="A22" s="29" t="s">
        <v>15</v>
      </c>
      <c r="B22" s="28" t="s">
        <v>6</v>
      </c>
      <c r="C22" s="24">
        <v>1</v>
      </c>
      <c r="D22" s="24" t="s">
        <v>5</v>
      </c>
      <c r="E22" s="27">
        <v>136.17725709999999</v>
      </c>
      <c r="F22" s="5">
        <v>136.17725709999999</v>
      </c>
      <c r="G22" s="26">
        <v>38</v>
      </c>
      <c r="H22" s="25">
        <v>84.42989940199999</v>
      </c>
      <c r="I22" s="24"/>
    </row>
    <row r="23" spans="1:9" x14ac:dyDescent="0.2">
      <c r="A23" s="29" t="s">
        <v>14</v>
      </c>
      <c r="B23" s="28" t="s">
        <v>6</v>
      </c>
      <c r="C23" s="24">
        <v>3</v>
      </c>
      <c r="D23" s="24" t="s">
        <v>5</v>
      </c>
      <c r="E23" s="27">
        <v>15120.247039350001</v>
      </c>
      <c r="F23" s="5">
        <v>45360.741118050006</v>
      </c>
      <c r="G23" s="26">
        <v>38</v>
      </c>
      <c r="H23" s="25">
        <v>28123.659493191004</v>
      </c>
      <c r="I23" s="24"/>
    </row>
    <row r="24" spans="1:9" x14ac:dyDescent="0.2">
      <c r="A24" s="29"/>
      <c r="B24" s="34"/>
      <c r="C24" s="24"/>
      <c r="D24" s="24"/>
      <c r="E24" s="24"/>
      <c r="F24" s="24"/>
      <c r="G24" s="26"/>
      <c r="H24" s="24"/>
      <c r="I24" s="24"/>
    </row>
    <row r="25" spans="1:9" x14ac:dyDescent="0.2">
      <c r="A25" s="33" t="s">
        <v>13</v>
      </c>
      <c r="B25" s="6" t="s">
        <v>12</v>
      </c>
      <c r="C25" s="32"/>
      <c r="D25" s="32"/>
      <c r="E25" s="27"/>
      <c r="F25" s="5">
        <v>38665.898382899999</v>
      </c>
      <c r="G25" s="31"/>
      <c r="H25" s="25">
        <v>0</v>
      </c>
      <c r="I25" s="30"/>
    </row>
    <row r="26" spans="1:9" x14ac:dyDescent="0.2">
      <c r="A26" s="33" t="s">
        <v>11</v>
      </c>
      <c r="B26" s="6" t="s">
        <v>10</v>
      </c>
      <c r="C26" s="32">
        <v>1</v>
      </c>
      <c r="D26" s="32" t="s">
        <v>9</v>
      </c>
      <c r="E26" s="27">
        <v>38665.898382899999</v>
      </c>
      <c r="F26" s="5">
        <v>38665.898382899999</v>
      </c>
      <c r="G26" s="31">
        <v>10</v>
      </c>
      <c r="H26" s="25">
        <v>0</v>
      </c>
      <c r="I26" s="30"/>
    </row>
    <row r="27" spans="1:9" x14ac:dyDescent="0.2">
      <c r="A27" s="29" t="s">
        <v>8</v>
      </c>
      <c r="B27" s="28" t="s">
        <v>6</v>
      </c>
      <c r="C27" s="24">
        <v>1</v>
      </c>
      <c r="D27" s="24" t="s">
        <v>5</v>
      </c>
      <c r="E27" s="27">
        <v>7730.93085445</v>
      </c>
      <c r="F27" s="5">
        <v>7730.93085445</v>
      </c>
      <c r="G27" s="26">
        <v>10</v>
      </c>
      <c r="H27" s="25">
        <v>0</v>
      </c>
      <c r="I27" s="24"/>
    </row>
    <row r="28" spans="1:9" x14ac:dyDescent="0.2">
      <c r="A28" s="23" t="s">
        <v>7</v>
      </c>
      <c r="B28" s="22" t="s">
        <v>6</v>
      </c>
      <c r="C28" s="17">
        <v>1</v>
      </c>
      <c r="D28" s="17" t="s">
        <v>5</v>
      </c>
      <c r="E28" s="21">
        <v>125.41703807</v>
      </c>
      <c r="F28" s="20">
        <v>125.41703807</v>
      </c>
      <c r="G28" s="19">
        <v>10</v>
      </c>
      <c r="H28" s="18">
        <v>0</v>
      </c>
      <c r="I28" s="17"/>
    </row>
    <row r="29" spans="1:9" ht="13.5" thickBot="1" x14ac:dyDescent="0.25">
      <c r="A29" s="16"/>
      <c r="B29" s="15"/>
      <c r="C29" s="10"/>
      <c r="D29" s="10"/>
      <c r="E29" s="14"/>
      <c r="F29" s="13"/>
      <c r="G29" s="12"/>
      <c r="H29" s="11"/>
      <c r="I29" s="10"/>
    </row>
    <row r="30" spans="1:9" s="7" customFormat="1" x14ac:dyDescent="0.2">
      <c r="A30" s="8"/>
      <c r="B30" s="6" t="s">
        <v>4</v>
      </c>
      <c r="C30" s="8"/>
      <c r="D30" s="8"/>
      <c r="E30" s="8"/>
      <c r="F30" s="5">
        <v>333333</v>
      </c>
      <c r="G30" s="9"/>
      <c r="H30" s="8"/>
      <c r="I30" s="8"/>
    </row>
    <row r="31" spans="1:9" x14ac:dyDescent="0.2">
      <c r="A31" s="3"/>
      <c r="B31" s="6" t="s">
        <v>3</v>
      </c>
      <c r="C31" s="3"/>
      <c r="D31" s="3"/>
      <c r="E31" s="3"/>
      <c r="F31" s="5">
        <v>1111</v>
      </c>
      <c r="G31" s="4"/>
      <c r="H31" s="3"/>
      <c r="I31" s="3"/>
    </row>
    <row r="32" spans="1:9" x14ac:dyDescent="0.2">
      <c r="A32" s="3"/>
      <c r="B32" s="6" t="s">
        <v>2</v>
      </c>
      <c r="C32" s="3"/>
      <c r="D32" s="3"/>
      <c r="E32" s="3"/>
      <c r="F32" s="5">
        <v>222</v>
      </c>
      <c r="G32" s="4"/>
      <c r="H32" s="3"/>
      <c r="I32" s="3"/>
    </row>
    <row r="33" spans="1:9" x14ac:dyDescent="0.2">
      <c r="A33" s="3"/>
      <c r="B33" s="6" t="s">
        <v>1</v>
      </c>
      <c r="C33" s="3"/>
      <c r="D33" s="3"/>
      <c r="E33" s="3"/>
      <c r="F33" s="5">
        <f>F30-F31-F32</f>
        <v>332000</v>
      </c>
      <c r="G33" s="4"/>
      <c r="H33" s="3"/>
      <c r="I33" s="3"/>
    </row>
    <row r="34" spans="1:9" x14ac:dyDescent="0.2">
      <c r="A34" s="3"/>
      <c r="B34" s="3"/>
      <c r="C34" s="3"/>
      <c r="D34" s="3"/>
      <c r="E34" s="3"/>
      <c r="F34" s="5"/>
      <c r="G34" s="4"/>
      <c r="H34" s="3"/>
      <c r="I34" s="3"/>
    </row>
    <row r="35" spans="1:9" x14ac:dyDescent="0.2">
      <c r="A35" s="3"/>
      <c r="B35" s="3"/>
      <c r="C35" s="3"/>
      <c r="D35" s="3"/>
      <c r="E35" s="3"/>
      <c r="F35" s="3"/>
      <c r="G35" s="4"/>
      <c r="H35" s="3"/>
      <c r="I35" s="3"/>
    </row>
  </sheetData>
  <printOptions horizontalCentered="1"/>
  <pageMargins left="0.75" right="0.75" top="1.1499999999999999" bottom="0.65" header="0.35" footer="0.35"/>
  <pageSetup paperSize="9" scale="70" orientation="portrait" r:id="rId1"/>
  <headerFooter alignWithMargins="0">
    <oddHeader>&amp;L&amp;G</oddHeader>
    <oddFooter>&amp;CCommercial in Confidence&amp;RPage &amp;P of &amp;N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53"/>
  <sheetViews>
    <sheetView view="pageBreakPreview" zoomScaleNormal="100" workbookViewId="0">
      <selection activeCell="F19" sqref="F19"/>
    </sheetView>
  </sheetViews>
  <sheetFormatPr defaultRowHeight="12.75" x14ac:dyDescent="0.2"/>
  <cols>
    <col min="1" max="1" width="16.7109375" style="1" customWidth="1"/>
    <col min="2" max="2" width="20.140625" style="1" customWidth="1"/>
    <col min="3" max="3" width="9" style="1" customWidth="1"/>
    <col min="4" max="4" width="6" style="1" customWidth="1"/>
    <col min="5" max="5" width="13.140625" style="1" customWidth="1"/>
    <col min="6" max="6" width="11.5703125" style="1" customWidth="1"/>
    <col min="7" max="8" width="11.140625" style="1" customWidth="1"/>
    <col min="9" max="9" width="6.7109375" style="1" customWidth="1"/>
    <col min="10" max="10" width="7.140625" style="1" customWidth="1"/>
    <col min="11" max="11" width="7.28515625" style="1" customWidth="1"/>
    <col min="12" max="16384" width="9.140625" style="1"/>
  </cols>
  <sheetData>
    <row r="1" spans="1:8" s="3" customFormat="1" ht="3.75" customHeight="1" x14ac:dyDescent="0.2">
      <c r="A1" s="41"/>
      <c r="B1" s="41"/>
      <c r="C1" s="41"/>
      <c r="D1" s="41"/>
      <c r="E1" s="41"/>
      <c r="F1" s="41"/>
      <c r="G1" s="41"/>
      <c r="H1" s="49"/>
    </row>
    <row r="2" spans="1:8" s="3" customFormat="1" x14ac:dyDescent="0.2">
      <c r="A2" s="49"/>
      <c r="B2" s="49"/>
      <c r="C2" s="49"/>
      <c r="D2" s="49"/>
      <c r="E2" s="49"/>
      <c r="F2" s="49"/>
      <c r="G2" s="49"/>
      <c r="H2" s="49"/>
    </row>
    <row r="3" spans="1:8" s="49" customFormat="1" x14ac:dyDescent="0.2">
      <c r="A3" s="57" t="s">
        <v>85</v>
      </c>
      <c r="E3" s="57" t="s">
        <v>84</v>
      </c>
    </row>
    <row r="4" spans="1:8" s="49" customFormat="1" x14ac:dyDescent="0.2">
      <c r="A4" s="57" t="s">
        <v>83</v>
      </c>
      <c r="E4" s="57" t="s">
        <v>82</v>
      </c>
      <c r="F4" s="49" t="s">
        <v>51</v>
      </c>
    </row>
    <row r="5" spans="1:8" s="49" customFormat="1" x14ac:dyDescent="0.2">
      <c r="A5" s="57"/>
      <c r="E5" s="57"/>
    </row>
    <row r="6" spans="1:8" s="49" customFormat="1" x14ac:dyDescent="0.2">
      <c r="A6" s="57" t="s">
        <v>81</v>
      </c>
      <c r="E6" s="57" t="s">
        <v>81</v>
      </c>
    </row>
    <row r="7" spans="1:8" s="3" customFormat="1" x14ac:dyDescent="0.2">
      <c r="A7" s="41"/>
      <c r="B7" s="41"/>
      <c r="C7" s="41"/>
      <c r="D7" s="41"/>
      <c r="E7" s="41"/>
      <c r="F7" s="41"/>
      <c r="G7" s="41"/>
      <c r="H7" s="49"/>
    </row>
    <row r="8" spans="1:8" s="3" customFormat="1" x14ac:dyDescent="0.2">
      <c r="A8" s="49"/>
      <c r="B8" s="49"/>
      <c r="C8" s="49"/>
      <c r="D8" s="49"/>
      <c r="E8" s="49"/>
      <c r="F8" s="49"/>
      <c r="G8" s="49"/>
      <c r="H8" s="49"/>
    </row>
    <row r="9" spans="1:8" s="43" customFormat="1" ht="15.75" x14ac:dyDescent="0.25">
      <c r="A9" s="47" t="s">
        <v>47</v>
      </c>
      <c r="B9" s="46" t="s">
        <v>46</v>
      </c>
    </row>
    <row r="10" spans="1:8" s="43" customFormat="1" ht="15.75" x14ac:dyDescent="0.25">
      <c r="A10" s="47" t="s">
        <v>45</v>
      </c>
      <c r="B10" s="48" t="s">
        <v>44</v>
      </c>
    </row>
    <row r="11" spans="1:8" s="43" customFormat="1" ht="15.75" x14ac:dyDescent="0.25">
      <c r="A11" s="108" t="s">
        <v>43</v>
      </c>
      <c r="B11" s="107" t="s">
        <v>42</v>
      </c>
      <c r="C11" s="44"/>
      <c r="D11" s="44"/>
      <c r="E11" s="44"/>
      <c r="F11" s="44"/>
      <c r="G11" s="44"/>
      <c r="H11" s="44"/>
    </row>
    <row r="12" spans="1:8" s="3" customFormat="1" ht="15.75" x14ac:dyDescent="0.25">
      <c r="A12" s="106"/>
      <c r="B12" s="105"/>
      <c r="C12" s="49"/>
      <c r="D12" s="49"/>
      <c r="E12" s="49"/>
      <c r="F12" s="49"/>
      <c r="G12" s="49"/>
      <c r="H12" s="49"/>
    </row>
    <row r="13" spans="1:8" s="3" customFormat="1" x14ac:dyDescent="0.2">
      <c r="A13" s="49"/>
      <c r="B13" s="49"/>
      <c r="C13" s="49"/>
      <c r="D13" s="49"/>
      <c r="E13" s="49"/>
      <c r="F13" s="49"/>
      <c r="G13" s="49"/>
      <c r="H13" s="49"/>
    </row>
    <row r="14" spans="1:8" s="3" customFormat="1" ht="15.75" x14ac:dyDescent="0.25">
      <c r="A14" s="65" t="s">
        <v>80</v>
      </c>
      <c r="B14" s="64"/>
      <c r="C14" s="64"/>
      <c r="D14" s="64"/>
      <c r="E14" s="64"/>
      <c r="F14" s="64"/>
      <c r="G14" s="63"/>
      <c r="H14" s="64"/>
    </row>
    <row r="15" spans="1:8" s="3" customFormat="1" ht="15.75" x14ac:dyDescent="0.25">
      <c r="A15" s="104"/>
    </row>
    <row r="16" spans="1:8" s="3" customFormat="1" ht="13.5" thickBot="1" x14ac:dyDescent="0.25">
      <c r="A16" s="57" t="s">
        <v>79</v>
      </c>
      <c r="B16" s="49"/>
      <c r="C16" s="49"/>
      <c r="D16" s="49"/>
      <c r="E16" s="69" t="s">
        <v>78</v>
      </c>
      <c r="F16" s="69" t="s">
        <v>77</v>
      </c>
      <c r="G16" s="69" t="s">
        <v>76</v>
      </c>
      <c r="H16" s="69" t="s">
        <v>75</v>
      </c>
    </row>
    <row r="17" spans="1:8" s="8" customFormat="1" ht="13.5" thickTop="1" x14ac:dyDescent="0.2">
      <c r="A17" s="103" t="s">
        <v>74</v>
      </c>
      <c r="B17" s="102"/>
      <c r="C17" s="102"/>
      <c r="D17" s="102"/>
      <c r="E17" s="101">
        <v>100</v>
      </c>
      <c r="F17" s="101">
        <v>500</v>
      </c>
      <c r="G17" s="101">
        <v>120</v>
      </c>
      <c r="H17" s="100">
        <f>SUM(E17:G17)</f>
        <v>720</v>
      </c>
    </row>
    <row r="18" spans="1:8" s="57" customFormat="1" x14ac:dyDescent="0.2">
      <c r="A18" s="57" t="s">
        <v>73</v>
      </c>
      <c r="E18" s="69">
        <v>100</v>
      </c>
      <c r="F18" s="69">
        <v>500</v>
      </c>
      <c r="G18" s="69">
        <v>120</v>
      </c>
      <c r="H18" s="98">
        <f>SUM(E18:G18)</f>
        <v>720</v>
      </c>
    </row>
    <row r="19" spans="1:8" s="8" customFormat="1" x14ac:dyDescent="0.2">
      <c r="A19" s="99" t="s">
        <v>72</v>
      </c>
      <c r="B19" s="57"/>
      <c r="C19" s="57"/>
      <c r="D19" s="57"/>
      <c r="E19" s="69">
        <v>100</v>
      </c>
      <c r="F19" s="69">
        <v>500</v>
      </c>
      <c r="G19" s="69">
        <v>120</v>
      </c>
      <c r="H19" s="98">
        <f>SUM(E19:G19)</f>
        <v>720</v>
      </c>
    </row>
    <row r="20" spans="1:8" s="3" customFormat="1" ht="13.5" thickBot="1" x14ac:dyDescent="0.25">
      <c r="A20" s="97"/>
      <c r="B20" s="96"/>
      <c r="C20" s="95"/>
      <c r="D20" s="95"/>
      <c r="E20" s="94"/>
      <c r="F20" s="94"/>
      <c r="G20" s="94"/>
      <c r="H20" s="93"/>
    </row>
    <row r="21" spans="1:8" s="8" customFormat="1" ht="13.5" thickTop="1" x14ac:dyDescent="0.2">
      <c r="A21" s="92" t="s">
        <v>71</v>
      </c>
      <c r="B21" s="91"/>
      <c r="C21" s="91"/>
      <c r="D21" s="91"/>
      <c r="E21" s="90">
        <f>E18+E17+E19</f>
        <v>300</v>
      </c>
      <c r="F21" s="90">
        <f>F18+F17+F19</f>
        <v>1500</v>
      </c>
      <c r="G21" s="89">
        <f>G18+G17+G19</f>
        <v>360</v>
      </c>
      <c r="H21" s="89">
        <f>SUM(E21:G21)</f>
        <v>2160</v>
      </c>
    </row>
    <row r="22" spans="1:8" s="8" customFormat="1" x14ac:dyDescent="0.2">
      <c r="A22" s="88" t="s">
        <v>70</v>
      </c>
      <c r="B22" s="87"/>
      <c r="C22" s="87"/>
      <c r="D22" s="87"/>
      <c r="E22" s="86"/>
      <c r="F22" s="86"/>
      <c r="G22" s="85"/>
      <c r="H22" s="85"/>
    </row>
    <row r="23" spans="1:8" s="79" customFormat="1" ht="12" x14ac:dyDescent="0.2">
      <c r="A23" s="84"/>
      <c r="B23" s="82" t="s">
        <v>69</v>
      </c>
      <c r="C23" s="82"/>
      <c r="D23" s="82"/>
      <c r="E23" s="81"/>
      <c r="F23" s="81"/>
      <c r="G23" s="80"/>
      <c r="H23" s="80"/>
    </row>
    <row r="24" spans="1:8" s="79" customFormat="1" ht="12" x14ac:dyDescent="0.2">
      <c r="A24" s="84"/>
      <c r="B24" s="82" t="s">
        <v>68</v>
      </c>
      <c r="C24" s="82"/>
      <c r="D24" s="82"/>
      <c r="E24" s="81"/>
      <c r="F24" s="81"/>
      <c r="G24" s="80"/>
      <c r="H24" s="80"/>
    </row>
    <row r="25" spans="1:8" s="79" customFormat="1" ht="12" x14ac:dyDescent="0.2">
      <c r="A25" s="84"/>
      <c r="B25" s="82" t="s">
        <v>67</v>
      </c>
      <c r="C25" s="82"/>
      <c r="D25" s="82"/>
      <c r="E25" s="81"/>
      <c r="F25" s="81"/>
      <c r="G25" s="80"/>
      <c r="H25" s="80"/>
    </row>
    <row r="26" spans="1:8" s="79" customFormat="1" ht="12" x14ac:dyDescent="0.2">
      <c r="A26" s="84"/>
      <c r="B26" s="82" t="s">
        <v>66</v>
      </c>
      <c r="C26" s="82"/>
      <c r="D26" s="82"/>
      <c r="E26" s="81"/>
      <c r="F26" s="81"/>
      <c r="G26" s="80"/>
      <c r="H26" s="80"/>
    </row>
    <row r="27" spans="1:8" s="79" customFormat="1" ht="12" x14ac:dyDescent="0.2">
      <c r="A27" s="83" t="s">
        <v>65</v>
      </c>
      <c r="B27" s="82"/>
      <c r="C27" s="82"/>
      <c r="D27" s="82"/>
      <c r="E27" s="81"/>
      <c r="F27" s="81"/>
      <c r="G27" s="80"/>
      <c r="H27" s="80"/>
    </row>
    <row r="28" spans="1:8" s="79" customFormat="1" ht="12" x14ac:dyDescent="0.2">
      <c r="A28" s="83"/>
      <c r="B28" s="82" t="s">
        <v>64</v>
      </c>
      <c r="C28" s="82"/>
      <c r="D28" s="82"/>
      <c r="E28" s="81"/>
      <c r="F28" s="81"/>
      <c r="G28" s="80"/>
      <c r="H28" s="80"/>
    </row>
    <row r="29" spans="1:8" s="3" customFormat="1" ht="13.5" thickBot="1" x14ac:dyDescent="0.25">
      <c r="A29" s="78"/>
      <c r="B29" s="77"/>
      <c r="C29" s="76"/>
      <c r="D29" s="76"/>
      <c r="E29" s="75"/>
      <c r="F29" s="75"/>
      <c r="G29" s="74"/>
      <c r="H29" s="74">
        <f>SUM(E29:G29)</f>
        <v>0</v>
      </c>
    </row>
    <row r="30" spans="1:8" s="8" customFormat="1" ht="14.25" thickTop="1" thickBot="1" x14ac:dyDescent="0.25">
      <c r="A30" s="73" t="s">
        <v>63</v>
      </c>
      <c r="B30" s="72"/>
      <c r="C30" s="72"/>
      <c r="D30" s="72"/>
      <c r="E30" s="71">
        <f>E21-E22</f>
        <v>300</v>
      </c>
      <c r="F30" s="71">
        <f>F21-F22</f>
        <v>1500</v>
      </c>
      <c r="G30" s="70">
        <f>G21-G22</f>
        <v>360</v>
      </c>
      <c r="H30" s="70">
        <f>SUM(E30:G30)</f>
        <v>2160</v>
      </c>
    </row>
    <row r="31" spans="1:8" s="8" customFormat="1" ht="13.5" thickTop="1" x14ac:dyDescent="0.2">
      <c r="A31" s="57"/>
      <c r="B31" s="57"/>
      <c r="C31" s="57"/>
      <c r="D31" s="57"/>
      <c r="E31" s="69"/>
      <c r="F31" s="69"/>
      <c r="G31" s="69"/>
      <c r="H31" s="69"/>
    </row>
    <row r="32" spans="1:8" s="3" customFormat="1" x14ac:dyDescent="0.2"/>
    <row r="33" spans="1:10" s="61" customFormat="1" ht="15.75" x14ac:dyDescent="0.25">
      <c r="A33" s="65" t="s">
        <v>62</v>
      </c>
      <c r="B33" s="64"/>
      <c r="C33" s="64"/>
      <c r="D33" s="64"/>
      <c r="E33" s="64"/>
      <c r="F33" s="64"/>
      <c r="G33" s="64"/>
      <c r="H33" s="63"/>
      <c r="I33" s="62"/>
    </row>
    <row r="34" spans="1:10" s="3" customFormat="1" x14ac:dyDescent="0.2"/>
    <row r="35" spans="1:10" s="3" customFormat="1" x14ac:dyDescent="0.2">
      <c r="A35" s="68" t="s">
        <v>61</v>
      </c>
      <c r="B35" s="67"/>
      <c r="C35" s="67"/>
      <c r="D35" s="67"/>
      <c r="E35" s="67"/>
      <c r="F35" s="67"/>
      <c r="G35" s="67"/>
      <c r="H35" s="66"/>
      <c r="I35" s="49"/>
      <c r="J35" s="49"/>
    </row>
    <row r="36" spans="1:10" s="3" customFormat="1" x14ac:dyDescent="0.2">
      <c r="A36" s="56" t="s">
        <v>60</v>
      </c>
      <c r="B36" s="49"/>
      <c r="C36" s="49"/>
      <c r="D36" s="49"/>
      <c r="E36" s="49"/>
      <c r="F36" s="49"/>
      <c r="G36" s="49"/>
      <c r="H36" s="55"/>
      <c r="I36" s="49"/>
      <c r="J36" s="49"/>
    </row>
    <row r="37" spans="1:10" s="3" customFormat="1" x14ac:dyDescent="0.2">
      <c r="A37" s="56" t="s">
        <v>59</v>
      </c>
      <c r="B37" s="49"/>
      <c r="C37" s="49"/>
      <c r="D37" s="49"/>
      <c r="E37" s="49"/>
      <c r="F37" s="49"/>
      <c r="G37" s="49"/>
      <c r="H37" s="55"/>
      <c r="I37" s="49"/>
      <c r="J37" s="49"/>
    </row>
    <row r="38" spans="1:10" s="3" customFormat="1" x14ac:dyDescent="0.2">
      <c r="A38" s="56" t="s">
        <v>58</v>
      </c>
      <c r="B38" s="49"/>
      <c r="C38" s="49"/>
      <c r="D38" s="49"/>
      <c r="E38" s="49"/>
      <c r="F38" s="49"/>
      <c r="G38" s="49"/>
      <c r="H38" s="55"/>
      <c r="I38" s="49"/>
      <c r="J38" s="49"/>
    </row>
    <row r="39" spans="1:10" s="3" customFormat="1" x14ac:dyDescent="0.2">
      <c r="A39" s="56" t="s">
        <v>57</v>
      </c>
      <c r="B39" s="49"/>
      <c r="C39" s="49"/>
      <c r="D39" s="49"/>
      <c r="E39" s="49"/>
      <c r="F39" s="49"/>
      <c r="G39" s="49"/>
      <c r="H39" s="55"/>
      <c r="I39" s="49"/>
      <c r="J39" s="49"/>
    </row>
    <row r="40" spans="1:10" s="3" customFormat="1" x14ac:dyDescent="0.2">
      <c r="A40" s="56" t="s">
        <v>57</v>
      </c>
      <c r="B40" s="49"/>
      <c r="C40" s="49"/>
      <c r="D40" s="49"/>
      <c r="E40" s="49"/>
      <c r="F40" s="49"/>
      <c r="G40" s="49"/>
      <c r="H40" s="55"/>
      <c r="I40" s="49"/>
      <c r="J40" s="49"/>
    </row>
    <row r="41" spans="1:10" s="3" customFormat="1" x14ac:dyDescent="0.2">
      <c r="A41" s="54"/>
      <c r="B41" s="41"/>
      <c r="C41" s="41"/>
      <c r="D41" s="41"/>
      <c r="E41" s="41"/>
      <c r="F41" s="41"/>
      <c r="G41" s="41"/>
      <c r="H41" s="53"/>
      <c r="I41" s="49"/>
      <c r="J41" s="49"/>
    </row>
    <row r="42" spans="1:10" s="3" customFormat="1" x14ac:dyDescent="0.2"/>
    <row r="43" spans="1:10" s="61" customFormat="1" ht="15.75" x14ac:dyDescent="0.25">
      <c r="A43" s="65" t="s">
        <v>56</v>
      </c>
      <c r="B43" s="64"/>
      <c r="C43" s="64"/>
      <c r="D43" s="64"/>
      <c r="E43" s="64"/>
      <c r="F43" s="64"/>
      <c r="G43" s="64"/>
      <c r="H43" s="63"/>
      <c r="I43" s="62"/>
    </row>
    <row r="44" spans="1:10" s="3" customFormat="1" x14ac:dyDescent="0.2"/>
    <row r="45" spans="1:10" s="8" customFormat="1" x14ac:dyDescent="0.2">
      <c r="A45" s="60" t="s">
        <v>55</v>
      </c>
      <c r="B45" s="60" t="s">
        <v>54</v>
      </c>
      <c r="C45" s="60" t="s">
        <v>53</v>
      </c>
      <c r="D45" s="59"/>
      <c r="E45" s="59"/>
      <c r="F45" s="59"/>
      <c r="G45" s="59"/>
      <c r="H45" s="58"/>
      <c r="I45" s="57"/>
      <c r="J45" s="57"/>
    </row>
    <row r="46" spans="1:10" s="3" customFormat="1" x14ac:dyDescent="0.2">
      <c r="A46" s="56" t="s">
        <v>52</v>
      </c>
      <c r="B46" s="56" t="s">
        <v>49</v>
      </c>
      <c r="C46" s="56" t="s">
        <v>51</v>
      </c>
      <c r="D46" s="49"/>
      <c r="E46" s="49"/>
      <c r="F46" s="49"/>
      <c r="G46" s="49"/>
      <c r="H46" s="55"/>
      <c r="I46" s="49"/>
      <c r="J46" s="49"/>
    </row>
    <row r="47" spans="1:10" s="3" customFormat="1" x14ac:dyDescent="0.2">
      <c r="A47" s="56" t="s">
        <v>50</v>
      </c>
      <c r="B47" s="56" t="s">
        <v>49</v>
      </c>
      <c r="C47" s="56" t="s">
        <v>48</v>
      </c>
      <c r="D47" s="49"/>
      <c r="E47" s="49"/>
      <c r="F47" s="49"/>
      <c r="G47" s="49"/>
      <c r="H47" s="55"/>
      <c r="I47" s="49"/>
      <c r="J47" s="49"/>
    </row>
    <row r="48" spans="1:10" s="3" customFormat="1" x14ac:dyDescent="0.2">
      <c r="A48" s="56"/>
      <c r="B48" s="56"/>
      <c r="C48" s="56"/>
      <c r="D48" s="49"/>
      <c r="E48" s="49"/>
      <c r="F48" s="49"/>
      <c r="G48" s="49"/>
      <c r="H48" s="55"/>
      <c r="I48" s="49"/>
      <c r="J48" s="49"/>
    </row>
    <row r="49" spans="1:10" s="3" customFormat="1" x14ac:dyDescent="0.2">
      <c r="A49" s="56"/>
      <c r="B49" s="56"/>
      <c r="C49" s="56"/>
      <c r="D49" s="49"/>
      <c r="E49" s="49"/>
      <c r="F49" s="49"/>
      <c r="G49" s="49"/>
      <c r="H49" s="55"/>
      <c r="I49" s="49"/>
      <c r="J49" s="49"/>
    </row>
    <row r="50" spans="1:10" s="3" customFormat="1" x14ac:dyDescent="0.2">
      <c r="A50" s="54"/>
      <c r="B50" s="54"/>
      <c r="C50" s="54"/>
      <c r="D50" s="41"/>
      <c r="E50" s="41"/>
      <c r="F50" s="41"/>
      <c r="G50" s="41"/>
      <c r="H50" s="53"/>
      <c r="I50" s="49"/>
      <c r="J50" s="49"/>
    </row>
    <row r="51" spans="1:10" s="3" customFormat="1" x14ac:dyDescent="0.2"/>
    <row r="52" spans="1:10" s="3" customFormat="1" x14ac:dyDescent="0.2"/>
    <row r="53" spans="1:10" s="3" customFormat="1" x14ac:dyDescent="0.2"/>
  </sheetData>
  <printOptions horizontalCentered="1"/>
  <pageMargins left="0.75" right="0.75" top="1.36" bottom="0.65" header="0.35" footer="0.35"/>
  <pageSetup paperSize="9" scale="86" fitToWidth="2" orientation="portrait" r:id="rId1"/>
  <headerFooter alignWithMargins="0">
    <oddHeader>&amp;C&amp;G</oddHeader>
    <oddFooter>&amp;CCommercial in Confidence&amp;RPage &amp;P of &amp;N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Database</vt:lpstr>
      <vt:lpstr>detail boq Template</vt:lpstr>
      <vt:lpstr>Summary</vt:lpstr>
      <vt:lpstr>Summary!Print_Area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Jace</dc:creator>
  <cp:lastModifiedBy>Sim Kim Sia</cp:lastModifiedBy>
  <dcterms:created xsi:type="dcterms:W3CDTF">2012-03-23T00:13:28Z</dcterms:created>
  <dcterms:modified xsi:type="dcterms:W3CDTF">2012-04-13T03:30:49Z</dcterms:modified>
</cp:coreProperties>
</file>
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455" windowWidth="13140" windowHeight="45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2" i="2" l="1"/>
  <c r="L39" i="2"/>
  <c r="L11" i="2"/>
  <c r="L176" i="2"/>
  <c r="L114" i="2"/>
  <c r="L4" i="2"/>
  <c r="L3" i="2"/>
  <c r="K22" i="2"/>
  <c r="K39" i="2"/>
  <c r="J11" i="2" s="1"/>
  <c r="K11" i="2" s="1"/>
  <c r="K176" i="2"/>
  <c r="K114" i="2"/>
  <c r="K4" i="2"/>
  <c r="M22" i="2"/>
  <c r="M39" i="2"/>
  <c r="M11" i="2"/>
  <c r="M176" i="2"/>
  <c r="M114" i="2"/>
  <c r="M4" i="2"/>
  <c r="M3" i="2"/>
  <c r="J22" i="2"/>
  <c r="J39" i="2"/>
  <c r="J176" i="2"/>
  <c r="J114" i="2"/>
  <c r="J4" i="2"/>
  <c r="L23" i="2"/>
  <c r="L40" i="2"/>
  <c r="L12" i="2"/>
  <c r="L206" i="2"/>
  <c r="L177" i="2"/>
  <c r="L115" i="2"/>
  <c r="L61" i="2"/>
  <c r="L56" i="2"/>
  <c r="L51" i="2"/>
  <c r="L73" i="2"/>
  <c r="L5" i="2"/>
  <c r="K23" i="2"/>
  <c r="K40" i="2"/>
  <c r="K12" i="2"/>
  <c r="K206" i="2"/>
  <c r="K177" i="2"/>
  <c r="K115" i="2"/>
  <c r="K61" i="2"/>
  <c r="K56" i="2"/>
  <c r="K51" i="2"/>
  <c r="K73" i="2"/>
  <c r="K5" i="2"/>
  <c r="M23" i="2"/>
  <c r="M40" i="2"/>
  <c r="M12" i="2"/>
  <c r="M206" i="2"/>
  <c r="M177" i="2"/>
  <c r="M115" i="2"/>
  <c r="M61" i="2"/>
  <c r="M56" i="2"/>
  <c r="M51" i="2"/>
  <c r="M73" i="2"/>
  <c r="M5" i="2"/>
  <c r="J23" i="2"/>
  <c r="J40" i="2"/>
  <c r="J12" i="2"/>
  <c r="J206" i="2"/>
  <c r="J177" i="2"/>
  <c r="J115" i="2"/>
  <c r="J61" i="2"/>
  <c r="J56" i="2"/>
  <c r="J51" i="2"/>
  <c r="J73" i="2"/>
  <c r="J5" i="2"/>
  <c r="L24" i="2"/>
  <c r="L41" i="2"/>
  <c r="L33" i="2"/>
  <c r="L13" i="2"/>
  <c r="L258" i="2"/>
  <c r="L252" i="2"/>
  <c r="L246" i="2"/>
  <c r="L237" i="2"/>
  <c r="L233" i="2"/>
  <c r="L207" i="2"/>
  <c r="L178" i="2"/>
  <c r="L170" i="2"/>
  <c r="L161" i="2"/>
  <c r="L152" i="2"/>
  <c r="L143" i="2"/>
  <c r="L134" i="2"/>
  <c r="L125" i="2"/>
  <c r="L116" i="2"/>
  <c r="L62" i="2"/>
  <c r="L57" i="2"/>
  <c r="L52" i="2"/>
  <c r="L108" i="2"/>
  <c r="L74" i="2"/>
  <c r="L68" i="2"/>
  <c r="L6" i="2"/>
  <c r="K24" i="2"/>
  <c r="K41" i="2"/>
  <c r="K33" i="2"/>
  <c r="K13" i="2"/>
  <c r="K258" i="2"/>
  <c r="K252" i="2"/>
  <c r="K246" i="2"/>
  <c r="K237" i="2"/>
  <c r="K233" i="2"/>
  <c r="K207" i="2"/>
  <c r="K178" i="2"/>
  <c r="K170" i="2"/>
  <c r="K161" i="2"/>
  <c r="K152" i="2"/>
  <c r="K143" i="2"/>
  <c r="K134" i="2"/>
  <c r="K125" i="2"/>
  <c r="K116" i="2"/>
  <c r="K62" i="2"/>
  <c r="K57" i="2"/>
  <c r="K52" i="2"/>
  <c r="K108" i="2"/>
  <c r="K74" i="2"/>
  <c r="K68" i="2"/>
  <c r="K6" i="2"/>
  <c r="M24" i="2"/>
  <c r="M41" i="2"/>
  <c r="M33" i="2"/>
  <c r="M13" i="2"/>
  <c r="M258" i="2"/>
  <c r="M252" i="2"/>
  <c r="M246" i="2"/>
  <c r="M237" i="2"/>
  <c r="M233" i="2"/>
  <c r="M207" i="2"/>
  <c r="M178" i="2"/>
  <c r="M170" i="2"/>
  <c r="M161" i="2"/>
  <c r="M152" i="2"/>
  <c r="M143" i="2"/>
  <c r="M134" i="2"/>
  <c r="M125" i="2"/>
  <c r="M116" i="2"/>
  <c r="M62" i="2"/>
  <c r="M57" i="2"/>
  <c r="M52" i="2"/>
  <c r="M108" i="2"/>
  <c r="M74" i="2"/>
  <c r="M68" i="2"/>
  <c r="M6" i="2"/>
  <c r="J24" i="2"/>
  <c r="J41" i="2"/>
  <c r="J33" i="2"/>
  <c r="J13" i="2"/>
  <c r="J258" i="2"/>
  <c r="J252" i="2"/>
  <c r="J246" i="2"/>
  <c r="J237" i="2"/>
  <c r="J233" i="2"/>
  <c r="J207" i="2"/>
  <c r="J178" i="2"/>
  <c r="J170" i="2"/>
  <c r="J161" i="2"/>
  <c r="J152" i="2"/>
  <c r="J143" i="2"/>
  <c r="J134" i="2"/>
  <c r="J125" i="2"/>
  <c r="J116" i="2"/>
  <c r="J62" i="2"/>
  <c r="J57" i="2"/>
  <c r="J52" i="2"/>
  <c r="J108" i="2"/>
  <c r="J74" i="2"/>
  <c r="J68" i="2"/>
  <c r="J6" i="2"/>
  <c r="L29" i="2"/>
  <c r="L25" i="2"/>
  <c r="L42" i="2"/>
  <c r="L34" i="2"/>
  <c r="L18" i="2"/>
  <c r="L14" i="2"/>
  <c r="L259" i="2"/>
  <c r="L253" i="2"/>
  <c r="L247" i="2"/>
  <c r="L241" i="2"/>
  <c r="L238" i="2"/>
  <c r="L234" i="2"/>
  <c r="L227" i="2"/>
  <c r="L224" i="2"/>
  <c r="L190" i="2"/>
  <c r="L186" i="2"/>
  <c r="L179" i="2"/>
  <c r="L171" i="2"/>
  <c r="L162" i="2"/>
  <c r="L153" i="2"/>
  <c r="L144" i="2"/>
  <c r="L135" i="2"/>
  <c r="L126" i="2"/>
  <c r="L117" i="2"/>
  <c r="L63" i="2"/>
  <c r="L58" i="2"/>
  <c r="L53" i="2"/>
  <c r="L109" i="2"/>
  <c r="L75" i="2"/>
  <c r="L69" i="2"/>
  <c r="L7" i="2"/>
  <c r="K29" i="2"/>
  <c r="K25" i="2"/>
  <c r="K42" i="2"/>
  <c r="K34" i="2"/>
  <c r="K18" i="2"/>
  <c r="K14" i="2"/>
  <c r="K259" i="2"/>
  <c r="K253" i="2"/>
  <c r="K247" i="2"/>
  <c r="K241" i="2"/>
  <c r="K238" i="2"/>
  <c r="K234" i="2"/>
  <c r="K227" i="2"/>
  <c r="K224" i="2"/>
  <c r="K190" i="2"/>
  <c r="K186" i="2"/>
  <c r="K179" i="2"/>
  <c r="K171" i="2"/>
  <c r="K162" i="2"/>
  <c r="K153" i="2"/>
  <c r="K144" i="2"/>
  <c r="K135" i="2"/>
  <c r="K126" i="2"/>
  <c r="K117" i="2"/>
  <c r="K63" i="2"/>
  <c r="K58" i="2"/>
  <c r="K53" i="2"/>
  <c r="K109" i="2"/>
  <c r="K75" i="2"/>
  <c r="K69" i="2"/>
  <c r="K7" i="2"/>
  <c r="M29" i="2"/>
  <c r="M25" i="2"/>
  <c r="M42" i="2"/>
  <c r="M34" i="2"/>
  <c r="M18" i="2"/>
  <c r="M14" i="2"/>
  <c r="M259" i="2"/>
  <c r="M253" i="2"/>
  <c r="M247" i="2"/>
  <c r="M241" i="2"/>
  <c r="M238" i="2"/>
  <c r="M234" i="2"/>
  <c r="M227" i="2"/>
  <c r="M224" i="2"/>
  <c r="M190" i="2"/>
  <c r="M186" i="2"/>
  <c r="M179" i="2"/>
  <c r="M171" i="2"/>
  <c r="M162" i="2"/>
  <c r="M153" i="2"/>
  <c r="M144" i="2"/>
  <c r="M135" i="2"/>
  <c r="M126" i="2"/>
  <c r="M117" i="2"/>
  <c r="M63" i="2"/>
  <c r="M58" i="2"/>
  <c r="M53" i="2"/>
  <c r="M109" i="2"/>
  <c r="M75" i="2"/>
  <c r="M69" i="2"/>
  <c r="M7" i="2"/>
  <c r="J29" i="2"/>
  <c r="J25" i="2"/>
  <c r="J42" i="2"/>
  <c r="J34" i="2"/>
  <c r="J18" i="2"/>
  <c r="J14" i="2"/>
  <c r="J259" i="2"/>
  <c r="J253" i="2"/>
  <c r="J247" i="2"/>
  <c r="J241" i="2"/>
  <c r="J238" i="2"/>
  <c r="J234" i="2"/>
  <c r="J227" i="2"/>
  <c r="J224" i="2"/>
  <c r="J190" i="2"/>
  <c r="J186" i="2"/>
  <c r="J179" i="2"/>
  <c r="J171" i="2"/>
  <c r="J162" i="2"/>
  <c r="J153" i="2"/>
  <c r="J144" i="2"/>
  <c r="J135" i="2"/>
  <c r="J126" i="2"/>
  <c r="J117" i="2"/>
  <c r="J63" i="2"/>
  <c r="J58" i="2"/>
  <c r="J53" i="2"/>
  <c r="J109" i="2"/>
  <c r="J75" i="2"/>
  <c r="J69" i="2"/>
  <c r="J7" i="2"/>
  <c r="L30" i="2"/>
  <c r="L26" i="2"/>
  <c r="L43" i="2"/>
  <c r="L35" i="2"/>
  <c r="L19" i="2"/>
  <c r="L15" i="2"/>
  <c r="L260" i="2"/>
  <c r="L254" i="2"/>
  <c r="L248" i="2"/>
  <c r="L244" i="2"/>
  <c r="L242" i="2"/>
  <c r="L239" i="2"/>
  <c r="L235" i="2"/>
  <c r="L228" i="2"/>
  <c r="L225" i="2"/>
  <c r="L208" i="2"/>
  <c r="L191" i="2"/>
  <c r="L187" i="2"/>
  <c r="L180" i="2"/>
  <c r="L172" i="2"/>
  <c r="L167" i="2"/>
  <c r="L163" i="2"/>
  <c r="L158" i="2"/>
  <c r="L154" i="2"/>
  <c r="L149" i="2"/>
  <c r="L145" i="2"/>
  <c r="L140" i="2"/>
  <c r="L136" i="2"/>
  <c r="L131" i="2"/>
  <c r="L127" i="2"/>
  <c r="L122" i="2"/>
  <c r="L118" i="2"/>
  <c r="L64" i="2"/>
  <c r="L59" i="2"/>
  <c r="L54" i="2"/>
  <c r="L110" i="2"/>
  <c r="L105" i="2"/>
  <c r="L76" i="2"/>
  <c r="L70" i="2"/>
  <c r="L8" i="2"/>
  <c r="K30" i="2"/>
  <c r="K26" i="2"/>
  <c r="K43" i="2"/>
  <c r="K35" i="2"/>
  <c r="K19" i="2"/>
  <c r="K15" i="2"/>
  <c r="K260" i="2"/>
  <c r="K254" i="2"/>
  <c r="K248" i="2"/>
  <c r="K244" i="2"/>
  <c r="K242" i="2"/>
  <c r="K239" i="2"/>
  <c r="K235" i="2"/>
  <c r="K228" i="2"/>
  <c r="K225" i="2"/>
  <c r="K208" i="2"/>
  <c r="K191" i="2"/>
  <c r="K187" i="2"/>
  <c r="K180" i="2"/>
  <c r="K172" i="2"/>
  <c r="K167" i="2"/>
  <c r="K163" i="2"/>
  <c r="K158" i="2"/>
  <c r="K154" i="2"/>
  <c r="K149" i="2"/>
  <c r="K145" i="2"/>
  <c r="K140" i="2"/>
  <c r="K136" i="2"/>
  <c r="K131" i="2"/>
  <c r="K127" i="2"/>
  <c r="K122" i="2"/>
  <c r="K118" i="2"/>
  <c r="K64" i="2"/>
  <c r="K59" i="2"/>
  <c r="K54" i="2"/>
  <c r="K110" i="2"/>
  <c r="K105" i="2"/>
  <c r="K76" i="2"/>
  <c r="K70" i="2"/>
  <c r="K8" i="2"/>
  <c r="M30" i="2"/>
  <c r="M26" i="2"/>
  <c r="M43" i="2"/>
  <c r="M35" i="2"/>
  <c r="M19" i="2"/>
  <c r="M15" i="2"/>
  <c r="M260" i="2"/>
  <c r="M254" i="2"/>
  <c r="M248" i="2"/>
  <c r="M244" i="2"/>
  <c r="M242" i="2"/>
  <c r="M239" i="2"/>
  <c r="M235" i="2"/>
  <c r="M228" i="2"/>
  <c r="M225" i="2"/>
  <c r="M208" i="2"/>
  <c r="M191" i="2"/>
  <c r="M187" i="2"/>
  <c r="M180" i="2"/>
  <c r="M172" i="2"/>
  <c r="M167" i="2"/>
  <c r="M163" i="2"/>
  <c r="M158" i="2"/>
  <c r="M154" i="2"/>
  <c r="M149" i="2"/>
  <c r="M145" i="2"/>
  <c r="M140" i="2"/>
  <c r="M136" i="2"/>
  <c r="M131" i="2"/>
  <c r="M127" i="2"/>
  <c r="M122" i="2"/>
  <c r="M118" i="2"/>
  <c r="M64" i="2"/>
  <c r="M59" i="2"/>
  <c r="M54" i="2"/>
  <c r="M110" i="2"/>
  <c r="M105" i="2"/>
  <c r="M76" i="2"/>
  <c r="M70" i="2"/>
  <c r="M8" i="2"/>
  <c r="J30" i="2"/>
  <c r="J26" i="2"/>
  <c r="J43" i="2"/>
  <c r="J35" i="2"/>
  <c r="J19" i="2"/>
  <c r="J15" i="2"/>
  <c r="J260" i="2"/>
  <c r="J254" i="2"/>
  <c r="J248" i="2"/>
  <c r="J244" i="2"/>
  <c r="J242" i="2"/>
  <c r="J239" i="2"/>
  <c r="J235" i="2"/>
  <c r="J228" i="2"/>
  <c r="J225" i="2"/>
  <c r="J208" i="2"/>
  <c r="J191" i="2"/>
  <c r="J187" i="2"/>
  <c r="J180" i="2"/>
  <c r="J172" i="2"/>
  <c r="J167" i="2"/>
  <c r="J163" i="2"/>
  <c r="J158" i="2"/>
  <c r="J154" i="2"/>
  <c r="J149" i="2"/>
  <c r="J145" i="2"/>
  <c r="J140" i="2"/>
  <c r="J136" i="2"/>
  <c r="J131" i="2"/>
  <c r="J127" i="2"/>
  <c r="J122" i="2"/>
  <c r="J118" i="2"/>
  <c r="J64" i="2"/>
  <c r="J59" i="2"/>
  <c r="J54" i="2"/>
  <c r="J110" i="2"/>
  <c r="J105" i="2"/>
  <c r="J76" i="2"/>
  <c r="J70" i="2"/>
  <c r="J8" i="2"/>
  <c r="M263" i="2"/>
  <c r="K263" i="2"/>
  <c r="M262" i="2"/>
  <c r="K262" i="2"/>
  <c r="M261" i="2"/>
  <c r="K261" i="2"/>
  <c r="M257" i="2"/>
  <c r="K257" i="2"/>
  <c r="M256" i="2"/>
  <c r="K256" i="2"/>
  <c r="M255" i="2"/>
  <c r="K255" i="2"/>
  <c r="M251" i="2"/>
  <c r="K251" i="2"/>
  <c r="M250" i="2"/>
  <c r="K250" i="2"/>
  <c r="M249" i="2"/>
  <c r="K249" i="2"/>
  <c r="M245" i="2"/>
  <c r="K245" i="2"/>
  <c r="M243" i="2"/>
  <c r="K243" i="2"/>
  <c r="M240" i="2"/>
  <c r="K240" i="2"/>
  <c r="M236" i="2"/>
  <c r="K236" i="2"/>
  <c r="M232" i="2"/>
  <c r="K232" i="2"/>
  <c r="M231" i="2"/>
  <c r="K231" i="2"/>
  <c r="M230" i="2"/>
  <c r="K230" i="2"/>
  <c r="M229" i="2"/>
  <c r="K229" i="2"/>
  <c r="M226" i="2"/>
  <c r="K226" i="2"/>
  <c r="M223" i="2"/>
  <c r="K223" i="2"/>
  <c r="M222" i="2"/>
  <c r="K222" i="2"/>
  <c r="M221" i="2"/>
  <c r="K221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5" i="2"/>
  <c r="K205" i="2"/>
  <c r="M204" i="2"/>
  <c r="K204" i="2"/>
  <c r="M203" i="2"/>
  <c r="K203" i="2"/>
  <c r="M202" i="2"/>
  <c r="K202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89" i="2"/>
  <c r="K189" i="2"/>
  <c r="M188" i="2"/>
  <c r="K188" i="2"/>
  <c r="M185" i="2"/>
  <c r="K185" i="2"/>
  <c r="M184" i="2"/>
  <c r="K184" i="2"/>
  <c r="M183" i="2"/>
  <c r="K183" i="2"/>
  <c r="M182" i="2"/>
  <c r="K182" i="2"/>
  <c r="M181" i="2"/>
  <c r="K181" i="2"/>
  <c r="M175" i="2"/>
  <c r="K175" i="2"/>
  <c r="M174" i="2"/>
  <c r="K174" i="2"/>
  <c r="M173" i="2"/>
  <c r="K173" i="2"/>
  <c r="M169" i="2"/>
  <c r="K169" i="2"/>
  <c r="M168" i="2"/>
  <c r="K168" i="2"/>
  <c r="M166" i="2"/>
  <c r="K166" i="2"/>
  <c r="M165" i="2"/>
  <c r="K165" i="2"/>
  <c r="M164" i="2"/>
  <c r="K164" i="2"/>
  <c r="M160" i="2"/>
  <c r="K160" i="2"/>
  <c r="M159" i="2"/>
  <c r="K159" i="2"/>
  <c r="M157" i="2"/>
  <c r="K157" i="2"/>
  <c r="M156" i="2"/>
  <c r="K156" i="2"/>
  <c r="M155" i="2"/>
  <c r="K155" i="2"/>
  <c r="M151" i="2"/>
  <c r="K151" i="2"/>
  <c r="M150" i="2"/>
  <c r="K150" i="2"/>
  <c r="M148" i="2"/>
  <c r="K148" i="2"/>
  <c r="M147" i="2"/>
  <c r="K147" i="2"/>
  <c r="M146" i="2"/>
  <c r="K146" i="2"/>
  <c r="M142" i="2"/>
  <c r="K142" i="2"/>
  <c r="M141" i="2"/>
  <c r="K141" i="2"/>
  <c r="M139" i="2"/>
  <c r="K139" i="2"/>
  <c r="M138" i="2"/>
  <c r="K138" i="2"/>
  <c r="M137" i="2"/>
  <c r="K137" i="2"/>
  <c r="M133" i="2"/>
  <c r="K133" i="2"/>
  <c r="M132" i="2"/>
  <c r="K132" i="2"/>
  <c r="M130" i="2"/>
  <c r="K130" i="2"/>
  <c r="M129" i="2"/>
  <c r="K129" i="2"/>
  <c r="M128" i="2"/>
  <c r="K128" i="2"/>
  <c r="M124" i="2"/>
  <c r="K124" i="2"/>
  <c r="M123" i="2"/>
  <c r="K123" i="2"/>
  <c r="M121" i="2"/>
  <c r="K121" i="2"/>
  <c r="M120" i="2"/>
  <c r="K120" i="2"/>
  <c r="M119" i="2"/>
  <c r="K119" i="2"/>
  <c r="M113" i="2"/>
  <c r="K113" i="2"/>
  <c r="M112" i="2"/>
  <c r="K112" i="2"/>
  <c r="M111" i="2"/>
  <c r="K111" i="2"/>
  <c r="M107" i="2"/>
  <c r="K107" i="2"/>
  <c r="M106" i="2"/>
  <c r="K106" i="2"/>
  <c r="M104" i="2"/>
  <c r="K104" i="2"/>
  <c r="M103" i="2"/>
  <c r="K103" i="2"/>
  <c r="M102" i="2"/>
  <c r="K102" i="2"/>
  <c r="M101" i="2"/>
  <c r="K101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2" i="2"/>
  <c r="K72" i="2"/>
  <c r="M71" i="2"/>
  <c r="K71" i="2"/>
  <c r="M67" i="2"/>
  <c r="K67" i="2"/>
  <c r="M66" i="2"/>
  <c r="K66" i="2"/>
  <c r="M65" i="2"/>
  <c r="K65" i="2"/>
  <c r="M60" i="2"/>
  <c r="K60" i="2"/>
  <c r="M55" i="2"/>
  <c r="K55" i="2"/>
  <c r="M50" i="2"/>
  <c r="K50" i="2"/>
  <c r="M49" i="2"/>
  <c r="K49" i="2"/>
  <c r="M48" i="2"/>
  <c r="K48" i="2"/>
  <c r="M47" i="2"/>
  <c r="K47" i="2"/>
  <c r="M46" i="2"/>
  <c r="K46" i="2"/>
  <c r="M45" i="2"/>
  <c r="K45" i="2"/>
  <c r="M44" i="2"/>
  <c r="K44" i="2"/>
  <c r="M38" i="2"/>
  <c r="K38" i="2"/>
  <c r="M37" i="2"/>
  <c r="K37" i="2"/>
  <c r="M36" i="2"/>
  <c r="K36" i="2"/>
  <c r="M32" i="2"/>
  <c r="K32" i="2"/>
  <c r="M31" i="2"/>
  <c r="K31" i="2"/>
  <c r="M28" i="2"/>
  <c r="K28" i="2"/>
  <c r="M27" i="2"/>
  <c r="K27" i="2"/>
  <c r="M21" i="2"/>
  <c r="K21" i="2"/>
  <c r="M20" i="2"/>
  <c r="K20" i="2"/>
  <c r="M17" i="2"/>
  <c r="K17" i="2"/>
  <c r="M16" i="2"/>
  <c r="K16" i="2"/>
  <c r="M10" i="2"/>
  <c r="K10" i="2"/>
  <c r="M9" i="2"/>
  <c r="K9" i="2"/>
  <c r="G28" i="5" l="1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  <c r="J3" i="2" l="1"/>
  <c r="K3" i="2" s="1"/>
</calcChain>
</file>

<file path=xl/sharedStrings.xml><?xml version="1.0" encoding="utf-8"?>
<sst xmlns="http://schemas.openxmlformats.org/spreadsheetml/2006/main" count="2627" uniqueCount="1275">
  <si>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</si>
  <si>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</si>
  <si>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</si>
  <si>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</si>
  <si>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</si>
  <si>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</si>
  <si>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</si>
  <si>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</si>
  <si>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</si>
  <si>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</si>
  <si>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</si>
  <si>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</si>
  <si>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</si>
  <si>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</si>
  <si>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</si>
  <si>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</si>
  <si>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</si>
  <si>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</si>
  <si>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</si>
  <si>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</si>
  <si>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</si>
  <si>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</si>
  <si>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</si>
  <si>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</si>
  <si>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</si>
  <si>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</si>
  <si>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</si>
  <si>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</si>
  <si>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</si>
  <si>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</si>
  <si>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</si>
  <si>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</si>
  <si>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</si>
  <si>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</si>
  <si>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</si>
  <si>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</si>
  <si>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</si>
  <si>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</si>
  <si>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</si>
  <si>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</si>
  <si>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</si>
  <si>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</si>
  <si>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</si>
  <si>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</si>
  <si>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</si>
  <si>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</si>
  <si>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</si>
  <si>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</si>
  <si>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</si>
  <si>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</si>
  <si>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</si>
  <si>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</si>
  <si>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</si>
  <si>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</si>
  <si>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</si>
  <si>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</si>
  <si>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</si>
  <si>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</si>
  <si>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</si>
  <si>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</si>
  <si>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</si>
  <si>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</si>
  <si>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</si>
  <si>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</si>
  <si>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</si>
  <si>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</si>
  <si>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</si>
  <si>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</si>
  <si>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</si>
  <si>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</si>
  <si>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</si>
  <si>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</si>
  <si>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</si>
  <si>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</si>
  <si>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</si>
  <si>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</si>
  <si>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</si>
  <si>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</si>
  <si>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</si>
  <si>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</si>
  <si>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</si>
  <si>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Phase 1 : Immediate Expansion</t>
  </si>
  <si>
    <t>15</t>
  </si>
  <si>
    <t>1.1</t>
  </si>
  <si>
    <t>UDC HW</t>
  </si>
  <si>
    <t>16</t>
  </si>
  <si>
    <t>1.1.1</t>
  </si>
  <si>
    <t>EVO 1</t>
  </si>
  <si>
    <t>17</t>
  </si>
  <si>
    <t>1.1.1.1</t>
  </si>
  <si>
    <t>HLR BC_OLP</t>
  </si>
  <si>
    <t>18</t>
  </si>
  <si>
    <t>1.1.1.1.1</t>
  </si>
  <si>
    <t>19</t>
  </si>
  <si>
    <t>1.1.1.1.1.1</t>
  </si>
  <si>
    <t>PRODUCT PACKAGE/HLR-FE Blade HW 1.0 (FAP1302383)</t>
  </si>
  <si>
    <t>20</t>
  </si>
  <si>
    <t>1.1.1.1.1.1.1</t>
  </si>
  <si>
    <t>HLR Blade Server 1.0 Base Configuration  (incl 3 blades)</t>
  </si>
  <si>
    <t>22</t>
  </si>
  <si>
    <t>1.1.1.1.1.1.2</t>
  </si>
  <si>
    <t>Power Cable (6.0 mm2)</t>
  </si>
  <si>
    <t>23</t>
  </si>
  <si>
    <t>Phase 2 : Normal Expansion</t>
  </si>
  <si>
    <t>25</t>
  </si>
  <si>
    <t>2.1</t>
  </si>
  <si>
    <t>PS Core SW</t>
  </si>
  <si>
    <t>26</t>
  </si>
  <si>
    <t>2.1.1</t>
  </si>
  <si>
    <t>SW Upgrade</t>
  </si>
  <si>
    <t>27</t>
  </si>
  <si>
    <t>2.1.1.1</t>
  </si>
  <si>
    <t>SGSN 11A to 12A SW upgrade</t>
  </si>
  <si>
    <t>28</t>
  </si>
  <si>
    <t>2.1.1.1.1</t>
  </si>
  <si>
    <t>FY12/13 SGSN 11A to 12A upgrade</t>
  </si>
  <si>
    <t>29</t>
  </si>
  <si>
    <t>2.1.1.1.1.1</t>
  </si>
  <si>
    <t>SGSN-MME 2010B to 2011A 10 kPPS GSM or 50 kPPS WCDMA SW Upgrade License</t>
  </si>
  <si>
    <t>30</t>
  </si>
  <si>
    <t>2.1.1.1.1.2</t>
  </si>
  <si>
    <t>SGSN-MME 2010B to 2011A 5k IP Sessions SW Upgrade License</t>
  </si>
  <si>
    <t>31</t>
  </si>
  <si>
    <t>2.1.1.2</t>
  </si>
  <si>
    <t>GGSN 11A to 12A SW upgrade</t>
  </si>
  <si>
    <t>33</t>
  </si>
  <si>
    <t>2.1.1.2.1</t>
  </si>
  <si>
    <t>FY12/13 GGSN 11A to 12A upgrade</t>
  </si>
  <si>
    <t>34</t>
  </si>
  <si>
    <t>2.1.1.2.1.1</t>
  </si>
  <si>
    <t>SW Upgrade from GGSN 2010B to GGSN-MPG 2011A License for 1 k IP Session</t>
  </si>
  <si>
    <t>35</t>
  </si>
  <si>
    <t>2.1.1.2.1.2</t>
  </si>
  <si>
    <t>SW Upgrade from GGSN 2010B to GGSN-MPG 2011A License for 1 kPPS</t>
  </si>
  <si>
    <t>36</t>
  </si>
  <si>
    <t>Phase 3 : Normal Expansion</t>
  </si>
  <si>
    <t>38</t>
  </si>
  <si>
    <t>3.1</t>
  </si>
  <si>
    <t>Phase 3 Area 1</t>
  </si>
  <si>
    <t>39</t>
  </si>
  <si>
    <t>3.1.1</t>
  </si>
  <si>
    <t>40</t>
  </si>
  <si>
    <t>3.1.1.1</t>
  </si>
  <si>
    <t>SGSN 11A to 13A SW upgrade</t>
  </si>
  <si>
    <t>41</t>
  </si>
  <si>
    <t>3.1.1.1.1</t>
  </si>
  <si>
    <t>FY13/13 SGSN 11A to 13A upgrade</t>
  </si>
  <si>
    <t>42</t>
  </si>
  <si>
    <t>3.1.1.1.1.1</t>
  </si>
  <si>
    <t>SGSN-MME 3010B to 3011A 10 kPPS GSM or 50 kPPS WCDMA SW Upgrade License</t>
  </si>
  <si>
    <t>43</t>
  </si>
  <si>
    <t>3.1.1.1.1.2</t>
  </si>
  <si>
    <t>SGSN-MME 3010B to 3011A 5k IP Sessions SW Upgrade License</t>
  </si>
  <si>
    <t>44</t>
  </si>
  <si>
    <t>3.1.1.2</t>
  </si>
  <si>
    <t>GGSN 11A to 13A SW upgrade</t>
  </si>
  <si>
    <t>46</t>
  </si>
  <si>
    <t>3.1.1.2.1</t>
  </si>
  <si>
    <t>FY13/13 GGSN 11A to 13A upgrade</t>
  </si>
  <si>
    <t>47</t>
  </si>
  <si>
    <t>3.1.1.2.1.1</t>
  </si>
  <si>
    <t>SW Upgrade from GGSN 3010B to GGSN-MPG 3011A License for 1 k IP Session</t>
  </si>
  <si>
    <t>48</t>
  </si>
  <si>
    <t>3.1.1.2.1.2</t>
  </si>
  <si>
    <t>SW Upgrade from GGSN 3010B to GGSN-MPG 3011A License for 1 kPPS</t>
  </si>
  <si>
    <t>49</t>
  </si>
  <si>
    <t>2.1.4</t>
  </si>
  <si>
    <t>GGSN_Upg_11A_12A_PA1</t>
  </si>
  <si>
    <t>51</t>
  </si>
  <si>
    <t>2.1.4.1</t>
  </si>
  <si>
    <t>52</t>
  </si>
  <si>
    <t>2.1.4.1.1</t>
  </si>
  <si>
    <t>53</t>
  </si>
  <si>
    <t>2.1.4.1.1.1</t>
  </si>
  <si>
    <t>GGSN_Upg_11A_12A Project Management</t>
  </si>
  <si>
    <t>54</t>
  </si>
  <si>
    <t>2.1.4.1.1.2</t>
  </si>
  <si>
    <t>GGSN_Upg_11A_12A Implementation</t>
  </si>
  <si>
    <t>55</t>
  </si>
  <si>
    <t>2.1.4.1.1.3</t>
  </si>
  <si>
    <t>GGSN_Upg_11A_12A Risk Mitigation</t>
  </si>
  <si>
    <t>56</t>
  </si>
  <si>
    <t>2.2</t>
  </si>
  <si>
    <t>RNC HW</t>
  </si>
  <si>
    <t>58</t>
  </si>
  <si>
    <t>2.2.1</t>
  </si>
  <si>
    <t>RNC</t>
  </si>
  <si>
    <t>59</t>
  </si>
  <si>
    <t>2.2.1.1</t>
  </si>
  <si>
    <t>EVO3</t>
  </si>
  <si>
    <t>60</t>
  </si>
  <si>
    <t>2.2.1.1.1</t>
  </si>
  <si>
    <t>EVO3_for RNC8_0G_56kUsers</t>
  </si>
  <si>
    <t>61</t>
  </si>
  <si>
    <t>2.2.1.1.1.1</t>
  </si>
  <si>
    <t>PRODUCT PACKAGE/Evo Controller 8200 (FAP1302655)</t>
  </si>
  <si>
    <t>62</t>
  </si>
  <si>
    <t>2.2.1.1.1.1.1</t>
  </si>
  <si>
    <t>Ether. transport  1000Base-T 1.25 G</t>
  </si>
  <si>
    <t>64</t>
  </si>
  <si>
    <t>2.2.1.1.1.1.2</t>
  </si>
  <si>
    <t>Evo-ET, RNC port HWAC - EvoC 8200</t>
  </si>
  <si>
    <t>65</t>
  </si>
  <si>
    <t>2.2.1.1.1.1.3</t>
  </si>
  <si>
    <t>EvoC 8200 - RNC User Capacity HWAC (per 1000  users)</t>
  </si>
  <si>
    <t>66</t>
  </si>
  <si>
    <t>2.2.1.1.1.1.4</t>
  </si>
  <si>
    <t>EvoC 8200 - RNC configuration - 56 EPB1</t>
  </si>
  <si>
    <t>67</t>
  </si>
  <si>
    <t>2.2.1.1.1.1.5</t>
  </si>
  <si>
    <t>EvoC STM1 Interface (Evo-ET)</t>
  </si>
  <si>
    <t>68</t>
  </si>
  <si>
    <t>2.2.1.1.1.1.6</t>
  </si>
  <si>
    <t>HW Capacity Expansion (EPB1) - EvoC 8200</t>
  </si>
  <si>
    <t>69</t>
  </si>
  <si>
    <t>2.2.1.1.1.1.7</t>
  </si>
  <si>
    <t>Opto Interface Acc. to  10 Base LR</t>
  </si>
  <si>
    <t>70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</si>
  <si>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</si>
  <si>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</si>
  <si>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</si>
  <si>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</si>
  <si>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</si>
  <si>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</si>
  <si>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</si>
  <si>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</si>
  <si>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</si>
  <si>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</si>
  <si>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</si>
  <si>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</si>
  <si>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</si>
  <si>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</si>
  <si>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</si>
  <si>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</si>
  <si>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</si>
  <si>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</si>
  <si>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</si>
  <si>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</si>
  <si>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</si>
  <si>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</si>
  <si>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</si>
  <si>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</si>
  <si>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</si>
  <si>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</si>
  <si>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</si>
  <si>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</si>
  <si>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</si>
  <si>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</si>
  <si>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</si>
  <si>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</si>
  <si>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</si>
  <si>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</si>
  <si>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</si>
  <si>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</si>
  <si>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</si>
  <si>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</si>
  <si>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</si>
  <si>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</si>
  <si>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</si>
  <si>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</si>
  <si>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</si>
  <si>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</si>
  <si>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</si>
  <si>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</si>
  <si>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</si>
  <si>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</si>
  <si>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</si>
  <si>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</si>
  <si>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</si>
  <si>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</si>
  <si>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</si>
  <si>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</si>
  <si>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</si>
  <si>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</si>
  <si>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</si>
  <si>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</si>
  <si>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</si>
  <si>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</si>
  <si>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</si>
  <si>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</si>
  <si>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</si>
  <si>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</si>
  <si>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</si>
  <si>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</si>
  <si>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</si>
  <si>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</si>
  <si>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</si>
  <si>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</si>
  <si>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</si>
  <si>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</si>
  <si>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</si>
  <si>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</si>
  <si>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</si>
  <si>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</si>
  <si>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</si>
  <si>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</si>
  <si>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</si>
  <si>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</si>
  <si>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</si>
  <si>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</si>
  <si>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</si>
  <si>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</si>
  <si>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</si>
  <si>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</si>
  <si>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</si>
  <si>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</si>
  <si>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</si>
  <si>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</si>
  <si>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</si>
  <si>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</si>
  <si>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</si>
  <si>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</si>
  <si>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</si>
  <si>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</si>
  <si>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</si>
  <si>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</si>
  <si>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</si>
  <si>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</si>
  <si>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</si>
  <si>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</si>
  <si>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</si>
  <si>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</si>
  <si>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</si>
  <si>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</si>
  <si>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</si>
  <si>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</si>
  <si>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</si>
  <si>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</si>
  <si>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</si>
  <si>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</si>
  <si>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</si>
  <si>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</si>
  <si>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</si>
  <si>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</si>
  <si>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</si>
  <si>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</si>
  <si>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</si>
  <si>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</si>
  <si>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</si>
  <si>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</si>
  <si>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</si>
  <si>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</si>
  <si>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</si>
  <si>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</si>
  <si>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</si>
  <si>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</si>
  <si>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</si>
  <si>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</si>
  <si>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</si>
  <si>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</si>
  <si>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</si>
  <si>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</si>
  <si>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</si>
  <si>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</si>
  <si>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</si>
  <si>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</si>
  <si>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</si>
  <si>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</si>
  <si>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</si>
  <si>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</si>
  <si>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</si>
  <si>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</si>
  <si>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</si>
  <si>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</si>
  <si>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</si>
  <si>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</si>
  <si>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</si>
  <si>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</si>
  <si>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</si>
  <si>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</si>
  <si>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</si>
  <si>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</si>
  <si>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</si>
  <si>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</si>
  <si>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</si>
  <si>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</si>
  <si>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</si>
  <si>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</si>
  <si>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</si>
  <si>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</si>
  <si>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</si>
  <si>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</si>
  <si>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</si>
  <si>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</si>
  <si>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</si>
  <si>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</si>
  <si>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</si>
  <si>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</si>
  <si>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</si>
  <si>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</si>
  <si>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</si>
  <si>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</si>
  <si>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</si>
  <si>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</si>
  <si>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</si>
  <si>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</si>
  <si>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</si>
  <si>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</si>
  <si>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</si>
  <si>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</si>
  <si>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</si>
  <si>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</si>
  <si>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</si>
  <si>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</si>
  <si>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</si>
  <si>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</si>
  <si>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</si>
  <si>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</si>
  <si>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</si>
  <si>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</si>
  <si>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</si>
  <si>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</si>
  <si>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</si>
  <si>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</si>
  <si>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</si>
  <si>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</si>
  <si>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</si>
  <si>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</si>
  <si>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</si>
  <si>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</si>
  <si>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</si>
  <si>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</si>
  <si>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</si>
  <si>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</si>
  <si>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</si>
  <si>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</si>
  <si>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</si>
  <si>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</si>
  <si>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</si>
  <si>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</si>
  <si>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</si>
  <si>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</si>
  <si>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</si>
  <si>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</si>
  <si>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</si>
  <si>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</si>
  <si>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</si>
  <si>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</si>
  <si>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</si>
  <si>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</si>
  <si>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</si>
  <si>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</si>
  <si>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</si>
  <si>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</si>
  <si>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</si>
  <si>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</si>
  <si>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</si>
  <si>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</si>
  <si>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</si>
  <si>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</si>
  <si>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</si>
  <si>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</si>
  <si>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</si>
  <si>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</si>
  <si>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</si>
  <si>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</si>
  <si>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</si>
  <si>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</si>
  <si>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</si>
  <si>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</si>
  <si>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</si>
  <si>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</si>
  <si>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</si>
  <si>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</si>
  <si>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</si>
  <si>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</si>
  <si>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</si>
  <si>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</si>
  <si>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</si>
  <si>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</si>
  <si>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</si>
  <si>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</si>
  <si>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</si>
  <si>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</si>
  <si>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</si>
  <si>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</si>
  <si>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</si>
  <si>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</si>
  <si>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</si>
  <si>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</si>
  <si>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</si>
  <si>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</si>
  <si>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</si>
  <si>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</si>
  <si>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</si>
  <si>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</si>
  <si>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</si>
  <si>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</si>
  <si>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</si>
  <si>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</si>
  <si>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</si>
  <si>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</si>
  <si>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</si>
  <si>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</si>
  <si>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</si>
  <si>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</si>
  <si>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</si>
  <si>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</si>
  <si>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</si>
  <si>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</si>
  <si>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</si>
  <si>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</si>
  <si>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</si>
  <si>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</si>
  <si>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</si>
  <si>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</si>
  <si>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</si>
  <si>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</si>
  <si>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</si>
  <si>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</si>
  <si>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</si>
  <si>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</si>
  <si>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</si>
  <si>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</si>
  <si>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</si>
  <si>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</si>
  <si>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</si>
  <si>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</si>
  <si>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</si>
  <si>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</si>
  <si>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</si>
  <si>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</si>
  <si>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</si>
  <si>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</si>
  <si>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</si>
  <si>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</si>
  <si>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</si>
  <si>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</si>
  <si>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</si>
  <si>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</si>
  <si>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</si>
  <si>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</si>
  <si>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</si>
  <si>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</si>
  <si>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</si>
  <si>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</si>
  <si>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</si>
  <si>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</si>
  <si>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</si>
  <si>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</si>
  <si>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</si>
  <si>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</si>
  <si>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</si>
  <si>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</si>
  <si>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</si>
  <si>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</si>
  <si>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</si>
  <si>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</si>
  <si>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</si>
  <si>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</si>
  <si>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</si>
  <si>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</si>
  <si>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</si>
  <si>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</si>
  <si>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</si>
  <si>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</si>
  <si>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</si>
  <si>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</si>
  <si>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</si>
  <si>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</si>
  <si>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</si>
  <si>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</si>
  <si>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</si>
  <si>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</si>
  <si>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</si>
  <si>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</si>
  <si>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</si>
  <si>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</si>
  <si>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</si>
  <si>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</si>
  <si>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</si>
  <si>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</si>
  <si>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</si>
  <si>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</si>
  <si>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</si>
  <si>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</si>
  <si>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</si>
  <si>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</si>
  <si>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</si>
  <si>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</si>
  <si>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</si>
  <si>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</si>
  <si>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</si>
  <si>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</si>
  <si>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</si>
  <si>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</si>
  <si>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</si>
  <si>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</si>
  <si>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</si>
  <si>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</si>
  <si>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</si>
  <si>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</si>
  <si>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</si>
  <si>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</si>
  <si>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</si>
  <si>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GEP3-HD300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</si>
  <si>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</si>
  <si>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</si>
  <si>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</si>
  <si>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</si>
  <si>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</si>
  <si>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</si>
  <si>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</si>
  <si>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</si>
  <si>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PFM HOD</t>
  </si>
  <si>
    <t>252</t>
  </si>
  <si>
    <t>1.3.1.1.3.1.7</t>
  </si>
  <si>
    <t>PFM LOD</t>
  </si>
  <si>
    <t>253</t>
  </si>
  <si>
    <t>1.3.1.1.3.1.8</t>
  </si>
  <si>
    <t>SCXB2</t>
  </si>
  <si>
    <t>254</t>
  </si>
  <si>
    <t>1.3.1.1.3.1.9</t>
  </si>
  <si>
    <t>SFP GB-TX  RJ45 Ethernet transceiver 1000Base-T 1.25G</t>
  </si>
  <si>
    <t>255</t>
  </si>
  <si>
    <t>1.3.1.1.3.1.10</t>
  </si>
  <si>
    <t>Subrack + Backplane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</si>
  <si>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</si>
  <si>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</si>
  <si>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</si>
  <si>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</si>
  <si>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</si>
  <si>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</si>
  <si>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</si>
  <si>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</si>
  <si>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</si>
  <si>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</si>
  <si>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</si>
  <si>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</si>
  <si>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</si>
  <si>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</si>
  <si>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</si>
  <si>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</si>
  <si>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</si>
  <si>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</si>
  <si>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</si>
  <si>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</si>
  <si>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</si>
  <si>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</si>
  <si>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</si>
  <si>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</si>
  <si>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</si>
  <si>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</si>
  <si>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</si>
  <si>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</si>
  <si>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</si>
  <si>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</si>
  <si>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</si>
  <si>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</si>
  <si>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</si>
  <si>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</si>
  <si>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</si>
  <si>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</si>
  <si>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</si>
  <si>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</si>
  <si>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</si>
  <si>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</si>
  <si>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</si>
  <si>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</si>
  <si>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</si>
  <si>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</si>
  <si>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</si>
  <si>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</si>
  <si>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</si>
  <si>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</si>
  <si>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</si>
  <si>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</si>
  <si>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</si>
  <si>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</si>
  <si>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</si>
  <si>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</si>
  <si>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</si>
  <si>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</si>
  <si>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</si>
  <si>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</si>
  <si>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</si>
  <si>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</si>
  <si>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</si>
  <si>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</si>
  <si>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</si>
  <si>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</si>
  <si>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</si>
  <si>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</si>
  <si>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</si>
  <si>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</si>
  <si>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</si>
  <si>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</si>
  <si>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</si>
  <si>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</si>
  <si>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</si>
  <si>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</si>
  <si>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</si>
  <si>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</si>
  <si>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</si>
  <si>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</si>
  <si>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</si>
  <si>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</si>
  <si>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</si>
  <si>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</si>
  <si>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</si>
  <si>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288</t>
  </si>
  <si>
    <t>1.3.2.2.1.2</t>
  </si>
  <si>
    <t>289</t>
  </si>
  <si>
    <t>1.3.2.2.1.3</t>
  </si>
  <si>
    <t>290</t>
  </si>
  <si>
    <t>1.3.2.2.1.4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</si>
  <si>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</si>
  <si>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</si>
  <si>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</si>
  <si>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</si>
  <si>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</si>
  <si>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</si>
  <si>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</si>
  <si>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</si>
  <si>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</si>
  <si>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</si>
  <si>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</si>
  <si>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</si>
  <si>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</si>
  <si>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</si>
  <si>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</si>
  <si>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</si>
  <si>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</si>
  <si>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</si>
  <si>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</si>
  <si>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</si>
  <si>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</si>
  <si>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</si>
  <si>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</si>
  <si>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</si>
  <si>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</si>
  <si>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</si>
  <si>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</si>
  <si>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</si>
  <si>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</si>
  <si>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</si>
  <si>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</si>
  <si>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</si>
  <si>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</si>
  <si>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</si>
  <si>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</si>
  <si>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</si>
  <si>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</si>
  <si>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</si>
  <si>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</si>
  <si>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</si>
  <si>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</si>
  <si>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</si>
  <si>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</si>
  <si>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</si>
  <si>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</si>
  <si>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</si>
  <si>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</si>
  <si>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</si>
  <si>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</si>
  <si>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</si>
  <si>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</si>
  <si>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</si>
  <si>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</si>
  <si>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</si>
  <si>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</si>
  <si>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</si>
  <si>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</si>
  <si>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</si>
  <si>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</si>
  <si>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</si>
  <si>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</si>
  <si>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</si>
  <si>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</si>
  <si>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</si>
  <si>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</si>
  <si>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</si>
  <si>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</si>
  <si>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</si>
  <si>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</si>
  <si>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</si>
  <si>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</si>
  <si>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</si>
  <si>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</si>
  <si>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</si>
  <si>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</si>
  <si>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</si>
  <si>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</si>
  <si>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</si>
  <si>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</si>
  <si>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</si>
  <si>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</si>
  <si>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</si>
  <si>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</si>
  <si>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</si>
  <si>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</si>
  <si>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</si>
  <si>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</si>
  <si>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</si>
  <si>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</si>
  <si>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</si>
  <si>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</si>
  <si>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</si>
  <si>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</si>
  <si>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</si>
  <si>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</si>
  <si>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</si>
  <si>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</si>
  <si>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</si>
  <si>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</si>
  <si>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21</t>
  </si>
  <si>
    <t>24</t>
  </si>
  <si>
    <t>=SUM(K9,K10)</t>
  </si>
  <si>
    <t>=SUM(K71,K72)</t>
  </si>
  <si>
    <t>=SUM(K77,K78,K79,K80,K81,K82,K83,K84,K85,K86,K87,K88,K89,K90,K91,K92,K93,K94,K95,K96,K97,K98,K99,K100,K101,K102,K103,K104)</t>
  </si>
  <si>
    <t>=SUM(K106,K107)</t>
  </si>
  <si>
    <t>=SUM(K111,K112,K113)</t>
  </si>
  <si>
    <t>=SUM(K55)</t>
  </si>
  <si>
    <t>=SUM(K60)</t>
  </si>
  <si>
    <t>=SUM(K65,K66,K67)</t>
  </si>
  <si>
    <t>=SUM(K119,K120,K121)</t>
  </si>
  <si>
    <t>=SUM(K123,K124)</t>
  </si>
  <si>
    <t>=SUM(K128,K129,K130)</t>
  </si>
  <si>
    <t>=SUM(K132,K133)</t>
  </si>
  <si>
    <t>=SUM(K137,K138,K139)</t>
  </si>
  <si>
    <t>=SUM(K141,K142)</t>
  </si>
  <si>
    <t>=SUM(K146,K147,K148)</t>
  </si>
  <si>
    <t>=SUM(K150,K151)</t>
  </si>
  <si>
    <t>=SUM(K155,K156,K157)</t>
  </si>
  <si>
    <t>=SUM(K159,K160)</t>
  </si>
  <si>
    <t>=SUM(K164,K165,K166)</t>
  </si>
  <si>
    <t>=SUM(K168,K169)</t>
  </si>
  <si>
    <t>=SUM(K173,K174,K175)</t>
  </si>
  <si>
    <t>=SUM(K181,K182,K183,K184,K185)</t>
  </si>
  <si>
    <t>=SUM(K188,K189)</t>
  </si>
  <si>
    <t>=SUM(K192,K193,K194,K195,K196,K197,K198,K199,K200,K201,K202,K203,K204,K205)</t>
  </si>
  <si>
    <t>=SUM(K209,K210,K211,K212,K213,K214,K215,K216,K217,K218,K219,K220,K221,K222,K223)</t>
  </si>
  <si>
    <t>=SUM(K226)</t>
  </si>
  <si>
    <t>=SUM(K229,K230,K231,K232)</t>
  </si>
  <si>
    <t>=SUM(K236)</t>
  </si>
  <si>
    <t>=SUM(K240)</t>
  </si>
  <si>
    <t>=SUM(K243)</t>
  </si>
  <si>
    <t>=SUM(K245)</t>
  </si>
  <si>
    <t>=SUM(K249,K250,K251)</t>
  </si>
  <si>
    <t>=SUM(K255,K256,K257)</t>
  </si>
  <si>
    <t>=SUM(K261,K262,K263)</t>
  </si>
  <si>
    <t>=SUM(K16,K17)</t>
  </si>
  <si>
    <t>=SUM(K20,K21)</t>
  </si>
  <si>
    <t>=SUM(K36,K37,K38)</t>
  </si>
  <si>
    <t>=SUM(K44,K45,K46,K47,K48,K49,K50)</t>
  </si>
  <si>
    <t>=SUM(K27,K28)</t>
  </si>
  <si>
    <t>=SUM(K31,K32)</t>
  </si>
  <si>
    <t>=I8*SUM(M9,M10)</t>
  </si>
  <si>
    <t>=I70*SUM(M71,M72)</t>
  </si>
  <si>
    <t>=I76*SUM(M77,M78,M79,M80,M81,M82,M83,M84,M85,M86,M87,M88,M89,M90,M91,M92,M93,M94,M95,M96,M97,M98,M99,M100,M101,M102,M103,M104)</t>
  </si>
  <si>
    <t>=I105*SUM(M106,M107)</t>
  </si>
  <si>
    <t>=I110*SUM(M111,M112,M113)</t>
  </si>
  <si>
    <t>=I54*SUM(M55)</t>
  </si>
  <si>
    <t>=I59*SUM(M60)</t>
  </si>
  <si>
    <t>=I64*SUM(M65,M66,M67)</t>
  </si>
  <si>
    <t>=I118*SUM(M119,M120,M121)</t>
  </si>
  <si>
    <t>=I122*SUM(M123,M124)</t>
  </si>
  <si>
    <t>=I127*SUM(M128,M129,M130)</t>
  </si>
  <si>
    <t>=I131*SUM(M132,M133)</t>
  </si>
  <si>
    <t>=I136*SUM(M137,M138,M139)</t>
  </si>
  <si>
    <t>=I140*SUM(M141,M142)</t>
  </si>
  <si>
    <t>=I145*SUM(M146,M147,M148)</t>
  </si>
  <si>
    <t>=I149*SUM(M150,M151)</t>
  </si>
  <si>
    <t>=I154*SUM(M155,M156,M157)</t>
  </si>
  <si>
    <t>=I158*SUM(M159,M160)</t>
  </si>
  <si>
    <t>=I163*SUM(M164,M165,M166)</t>
  </si>
  <si>
    <t>=I167*SUM(M168,M169)</t>
  </si>
  <si>
    <t>=I172*SUM(M173,M174,M175)</t>
  </si>
  <si>
    <t>=I180*SUM(M181,M182,M183,M184,M185)</t>
  </si>
  <si>
    <t>=I187*SUM(M188,M189)</t>
  </si>
  <si>
    <t>=I191*SUM(M192,M193,M194,M195,M196,M197,M198,M199,M200,M201,M202,M203,M204,M205)</t>
  </si>
  <si>
    <t>=I208*SUM(M209,M210,M211,M212,M213,M214,M215,M216,M217,M218,M219,M220,M221,M222,M223)</t>
  </si>
  <si>
    <t>=I225*SUM(M226)</t>
  </si>
  <si>
    <t>=I228*SUM(M229,M230,M231,M232)</t>
  </si>
  <si>
    <t>=I235*SUM(M236)</t>
  </si>
  <si>
    <t>=I239*SUM(M240)</t>
  </si>
  <si>
    <t>=I242*SUM(M243)</t>
  </si>
  <si>
    <t>=I244*SUM(M245)</t>
  </si>
  <si>
    <t>=I248*SUM(M249,M250,M251)</t>
  </si>
  <si>
    <t>=I254*SUM(M255,M256,M257)</t>
  </si>
  <si>
    <t>=I260*SUM(M261,M262,M263)</t>
  </si>
  <si>
    <t>=I15*SUM(M16,M17)</t>
  </si>
  <si>
    <t>=I19*SUM(M20,M21)</t>
  </si>
  <si>
    <t>=I35*SUM(M36,M37,M38)</t>
  </si>
  <si>
    <t>=I43*SUM(M44,M45,M46,M47,M48,M49,M50)</t>
  </si>
  <si>
    <t>=I26*SUM(M27,M28)</t>
  </si>
  <si>
    <t>=I30*SUM(M31,M32)</t>
  </si>
  <si>
    <t>=I8*J8</t>
  </si>
  <si>
    <t>=I70*J70</t>
  </si>
  <si>
    <t>=I76*J76</t>
  </si>
  <si>
    <t>=I105*J105</t>
  </si>
  <si>
    <t>=I110*J110</t>
  </si>
  <si>
    <t>=I54*J54</t>
  </si>
  <si>
    <t>=I59*J59</t>
  </si>
  <si>
    <t>=I64*J64</t>
  </si>
  <si>
    <t>=I118*J118</t>
  </si>
  <si>
    <t>=I122*J122</t>
  </si>
  <si>
    <t>=I127*J127</t>
  </si>
  <si>
    <t>=I131*J131</t>
  </si>
  <si>
    <t>=I136*J136</t>
  </si>
  <si>
    <t>=I140*J140</t>
  </si>
  <si>
    <t>=I145*J145</t>
  </si>
  <si>
    <t>=I149*J149</t>
  </si>
  <si>
    <t>=I154*J154</t>
  </si>
  <si>
    <t>=I158*J158</t>
  </si>
  <si>
    <t>=I163*J163</t>
  </si>
  <si>
    <t>=I167*J167</t>
  </si>
  <si>
    <t>=I172*J172</t>
  </si>
  <si>
    <t>=I180*J180</t>
  </si>
  <si>
    <t>=I187*J187</t>
  </si>
  <si>
    <t>=I191*J191</t>
  </si>
  <si>
    <t>=I208*J208</t>
  </si>
  <si>
    <t>=I225*J225</t>
  </si>
  <si>
    <t>=I228*J228</t>
  </si>
  <si>
    <t>=I235*J235</t>
  </si>
  <si>
    <t>=I239*J239</t>
  </si>
  <si>
    <t>=I242*J242</t>
  </si>
  <si>
    <t>=I244*J244</t>
  </si>
  <si>
    <t>=I248*J248</t>
  </si>
  <si>
    <t>=I254*J254</t>
  </si>
  <si>
    <t>=I260*J260</t>
  </si>
  <si>
    <t>=I15*J15</t>
  </si>
  <si>
    <t>=I19*J19</t>
  </si>
  <si>
    <t>=I35*J35</t>
  </si>
  <si>
    <t>=I43*J43</t>
  </si>
  <si>
    <t>=I26*J26</t>
  </si>
  <si>
    <t>=I30*J30</t>
  </si>
  <si>
    <t>=100*(1-(M8/K8))</t>
  </si>
  <si>
    <t>=100*(1-(M70/K70))</t>
  </si>
  <si>
    <t>=100*(1-(M76/K76))</t>
  </si>
  <si>
    <t>=100*(1-(M105/K105))</t>
  </si>
  <si>
    <t>=100*(1-(M110/K110))</t>
  </si>
  <si>
    <t>=100*(1-(M54/K54))</t>
  </si>
  <si>
    <t>=100*(1-(M59/K59))</t>
  </si>
  <si>
    <t>=100*(1-(M64/K64))</t>
  </si>
  <si>
    <t>=100*(1-(M118/K118))</t>
  </si>
  <si>
    <t>=100*(1-(M122/K122))</t>
  </si>
  <si>
    <t>=100*(1-(M127/K127))</t>
  </si>
  <si>
    <t>=100*(1-(M131/K131))</t>
  </si>
  <si>
    <t>=100*(1-(M136/K136))</t>
  </si>
  <si>
    <t>=100*(1-(M140/K140))</t>
  </si>
  <si>
    <t>=100*(1-(M145/K145))</t>
  </si>
  <si>
    <t>=100*(1-(M149/K149))</t>
  </si>
  <si>
    <t>=100*(1-(M154/K154))</t>
  </si>
  <si>
    <t>=100*(1-(M158/K158))</t>
  </si>
  <si>
    <t>=100*(1-(M163/K163))</t>
  </si>
  <si>
    <t>=100*(1-(M167/K167))</t>
  </si>
  <si>
    <t>=100*(1-(M172/K172))</t>
  </si>
  <si>
    <t>=100*(1-(M180/K180))</t>
  </si>
  <si>
    <t>=100*(1-(M187/K187))</t>
  </si>
  <si>
    <t>=100*(1-(M191/K191))</t>
  </si>
  <si>
    <t>=100*(1-(M208/K208))</t>
  </si>
  <si>
    <t>=100*(1-(M225/K225))</t>
  </si>
  <si>
    <t>=100*(1-(M228/K228))</t>
  </si>
  <si>
    <t>=100*(1-(M235/K235))</t>
  </si>
  <si>
    <t>=100*(1-(M239/K239))</t>
  </si>
  <si>
    <t>=100*(1-(M242/K242))</t>
  </si>
  <si>
    <t>=100*(1-(M244/K244))</t>
  </si>
  <si>
    <t>=100*(1-(M248/K248))</t>
  </si>
  <si>
    <t>=100*(1-(M254/K254))</t>
  </si>
  <si>
    <t>=100*(1-(M260/K260))</t>
  </si>
  <si>
    <t>=100*(1-(M15/K15))</t>
  </si>
  <si>
    <t>=100*(1-(M19/K19))</t>
  </si>
  <si>
    <t>=100*(1-(M35/K35))</t>
  </si>
  <si>
    <t>=100*(1-(M43/K43))</t>
  </si>
  <si>
    <t>=100*(1-(M26/K26))</t>
  </si>
  <si>
    <t>=100*(1-(M30/K30))</t>
  </si>
  <si>
    <t>=SUM(K8)</t>
  </si>
  <si>
    <t>=SUM(K70)</t>
  </si>
  <si>
    <t>=SUM(K76,K105)</t>
  </si>
  <si>
    <t>=SUM(K110)</t>
  </si>
  <si>
    <t>=SUM(K54)</t>
  </si>
  <si>
    <t>=SUM(K59)</t>
  </si>
  <si>
    <t>=SUM(K64)</t>
  </si>
  <si>
    <t>=SUM(K118,K122)</t>
  </si>
  <si>
    <t>=SUM(K127,K131)</t>
  </si>
  <si>
    <t>=SUM(K136,K140)</t>
  </si>
  <si>
    <t>=SUM(K145,K149)</t>
  </si>
  <si>
    <t>=SUM(K154,K158)</t>
  </si>
  <si>
    <t>=SUM(K163,K167)</t>
  </si>
  <si>
    <t>=SUM(K172)</t>
  </si>
  <si>
    <t>=SUM(K180)</t>
  </si>
  <si>
    <t>=SUM(K187)</t>
  </si>
  <si>
    <t>=SUM(K191)</t>
  </si>
  <si>
    <t>=SUM(K208,K224)</t>
  </si>
  <si>
    <t>=SUM(K225)</t>
  </si>
  <si>
    <t>=SUM(K228)</t>
  </si>
  <si>
    <t>=SUM(K235)</t>
  </si>
  <si>
    <t>=SUM(K239)</t>
  </si>
  <si>
    <t>=SUM(K242,K244)</t>
  </si>
  <si>
    <t>=SUM(K248)</t>
  </si>
  <si>
    <t>=SUM(K254)</t>
  </si>
  <si>
    <t>=SUM(K260)</t>
  </si>
  <si>
    <t>=SUM(K15)</t>
  </si>
  <si>
    <t>=SUM(K19)</t>
  </si>
  <si>
    <t>=SUM(K35)</t>
  </si>
  <si>
    <t>=SUM(K43)</t>
  </si>
  <si>
    <t>=SUM(K26)</t>
  </si>
  <si>
    <t>=SUM(K30)</t>
  </si>
  <si>
    <t>=I7*SUM(M8)</t>
  </si>
  <si>
    <t>=I69*SUM(M70)</t>
  </si>
  <si>
    <t>=I75*SUM(M76,M105)</t>
  </si>
  <si>
    <t>=I109*SUM(M110)</t>
  </si>
  <si>
    <t>=I53*SUM(M54)</t>
  </si>
  <si>
    <t>=I58*SUM(M59)</t>
  </si>
  <si>
    <t>=I63*SUM(M64)</t>
  </si>
  <si>
    <t>=I117*SUM(M118,M122)</t>
  </si>
  <si>
    <t>=I126*SUM(M127,M131)</t>
  </si>
  <si>
    <t>=I135*SUM(M136,M140)</t>
  </si>
  <si>
    <t>=I144*SUM(M145,M149)</t>
  </si>
  <si>
    <t>=I153*SUM(M154,M158)</t>
  </si>
  <si>
    <t>=I162*SUM(M163,M167)</t>
  </si>
  <si>
    <t>=I171*SUM(M172)</t>
  </si>
  <si>
    <t>=I179*SUM(M180)</t>
  </si>
  <si>
    <t>=I186*SUM(M187)</t>
  </si>
  <si>
    <t>=I190*SUM(M191)</t>
  </si>
  <si>
    <t>=I207*SUM(M208,M224)</t>
  </si>
  <si>
    <t>=I224*SUM(M225)</t>
  </si>
  <si>
    <t>=I227*SUM(M228)</t>
  </si>
  <si>
    <t>=I234*SUM(M235)</t>
  </si>
  <si>
    <t>=I238*SUM(M239)</t>
  </si>
  <si>
    <t>=I241*SUM(M242,M244)</t>
  </si>
  <si>
    <t>=I247*SUM(M248)</t>
  </si>
  <si>
    <t>=I253*SUM(M254)</t>
  </si>
  <si>
    <t>=I259*SUM(M260)</t>
  </si>
  <si>
    <t>=I14*SUM(M15)</t>
  </si>
  <si>
    <t>=I18*SUM(M19)</t>
  </si>
  <si>
    <t>=I34*SUM(M35)</t>
  </si>
  <si>
    <t>=I42*SUM(M43)</t>
  </si>
  <si>
    <t>=I25*SUM(M26)</t>
  </si>
  <si>
    <t>=I29*SUM(M30)</t>
  </si>
  <si>
    <t>=I7*J7</t>
  </si>
  <si>
    <t>=I69*J69</t>
  </si>
  <si>
    <t>=I75*J75</t>
  </si>
  <si>
    <t>=I109*J109</t>
  </si>
  <si>
    <t>=I53*J53</t>
  </si>
  <si>
    <t>=I58*J58</t>
  </si>
  <si>
    <t>=I63*J63</t>
  </si>
  <si>
    <t>=I117*J117</t>
  </si>
  <si>
    <t>=I126*J126</t>
  </si>
  <si>
    <t>=I135*J135</t>
  </si>
  <si>
    <t>=I144*J144</t>
  </si>
  <si>
    <t>=I153*J153</t>
  </si>
  <si>
    <t>=I162*J162</t>
  </si>
  <si>
    <t>=I171*J171</t>
  </si>
  <si>
    <t>=I179*J179</t>
  </si>
  <si>
    <t>=I186*J186</t>
  </si>
  <si>
    <t>=I190*J190</t>
  </si>
  <si>
    <t>=I207*J207</t>
  </si>
  <si>
    <t>=I224*J224</t>
  </si>
  <si>
    <t>=I227*J227</t>
  </si>
  <si>
    <t>=I234*J234</t>
  </si>
  <si>
    <t>=I238*J238</t>
  </si>
  <si>
    <t>=I241*J241</t>
  </si>
  <si>
    <t>=I247*J247</t>
  </si>
  <si>
    <t>=I253*J253</t>
  </si>
  <si>
    <t>=I259*J259</t>
  </si>
  <si>
    <t>=I14*J14</t>
  </si>
  <si>
    <t>=I18*J18</t>
  </si>
  <si>
    <t>=I34*J34</t>
  </si>
  <si>
    <t>=I42*J42</t>
  </si>
  <si>
    <t>=I25*J25</t>
  </si>
  <si>
    <t>=I29*J29</t>
  </si>
  <si>
    <t>=100*(1-(M7/K7))</t>
  </si>
  <si>
    <t>=100*(1-(M69/K69))</t>
  </si>
  <si>
    <t>=100*(1-(M75/K75))</t>
  </si>
  <si>
    <t>=100*(1-(M109/K109))</t>
  </si>
  <si>
    <t>=100*(1-(M53/K53))</t>
  </si>
  <si>
    <t>=100*(1-(M58/K58))</t>
  </si>
  <si>
    <t>=100*(1-(M63/K63))</t>
  </si>
  <si>
    <t>=100*(1-(M117/K117))</t>
  </si>
  <si>
    <t>=100*(1-(M126/K126))</t>
  </si>
  <si>
    <t>=100*(1-(M135/K135))</t>
  </si>
  <si>
    <t>=100*(1-(M144/K144))</t>
  </si>
  <si>
    <t>=100*(1-(M153/K153))</t>
  </si>
  <si>
    <t>=100*(1-(M162/K162))</t>
  </si>
  <si>
    <t>=100*(1-(M171/K171))</t>
  </si>
  <si>
    <t>=100*(1-(M179/K179))</t>
  </si>
  <si>
    <t>=100*(1-(M186/K186))</t>
  </si>
  <si>
    <t>=100*(1-(M190/K190))</t>
  </si>
  <si>
    <t>=100*(1-(M207/K207))</t>
  </si>
  <si>
    <t>=100*(1-(M224/K224))</t>
  </si>
  <si>
    <t>=100*(1-(M227/K227))</t>
  </si>
  <si>
    <t>=100*(1-(M234/K234))</t>
  </si>
  <si>
    <t>=100*(1-(M238/K238))</t>
  </si>
  <si>
    <t>=100*(1-(M241/K241))</t>
  </si>
  <si>
    <t>=100*(1-(M247/K247))</t>
  </si>
  <si>
    <t>=100*(1-(M253/K253))</t>
  </si>
  <si>
    <t>=100*(1-(M259/K259))</t>
  </si>
  <si>
    <t>=100*(1-(M14/K14))</t>
  </si>
  <si>
    <t>=100*(1-(M18/K18))</t>
  </si>
  <si>
    <t>=100*(1-(M34/K34))</t>
  </si>
  <si>
    <t>=100*(1-(M42/K42))</t>
  </si>
  <si>
    <t>=100*(1-(M25/K25))</t>
  </si>
  <si>
    <t>=100*(1-(M29/K29))</t>
  </si>
  <si>
    <t>=SUM(K7)</t>
  </si>
  <si>
    <t>=SUM(K69)</t>
  </si>
  <si>
    <t>=SUM(K75)</t>
  </si>
  <si>
    <t>=SUM(K109)</t>
  </si>
  <si>
    <t>=SUM(K53)</t>
  </si>
  <si>
    <t>=SUM(K58)</t>
  </si>
  <si>
    <t>=SUM(K63)</t>
  </si>
  <si>
    <t>=SUM(K117)</t>
  </si>
  <si>
    <t>=SUM(K126)</t>
  </si>
  <si>
    <t>=SUM(K135)</t>
  </si>
  <si>
    <t>=SUM(K144)</t>
  </si>
  <si>
    <t>=SUM(K153)</t>
  </si>
  <si>
    <t>=SUM(K162)</t>
  </si>
  <si>
    <t>=SUM(K171)</t>
  </si>
  <si>
    <t>=SUM(K179,K186,K190)</t>
  </si>
  <si>
    <t>=SUM(K207,K227)</t>
  </si>
  <si>
    <t>=SUM(K234)</t>
  </si>
  <si>
    <t>=SUM(K238,K241)</t>
  </si>
  <si>
    <t>=SUM(K247)</t>
  </si>
  <si>
    <t>=SUM(K253)</t>
  </si>
  <si>
    <t>=SUM(K259)</t>
  </si>
  <si>
    <t>=SUM(K14,K18)</t>
  </si>
  <si>
    <t>=SUM(K34)</t>
  </si>
  <si>
    <t>=SUM(K42)</t>
  </si>
  <si>
    <t>=SUM(K25,K29)</t>
  </si>
  <si>
    <t>=I6*SUM(M7)</t>
  </si>
  <si>
    <t>=I68*SUM(M69)</t>
  </si>
  <si>
    <t>=I74*SUM(M75)</t>
  </si>
  <si>
    <t>=I108*SUM(M109)</t>
  </si>
  <si>
    <t>=I52*SUM(M53)</t>
  </si>
  <si>
    <t>=I57*SUM(M58)</t>
  </si>
  <si>
    <t>=I62*SUM(M63)</t>
  </si>
  <si>
    <t>=I116*SUM(M117)</t>
  </si>
  <si>
    <t>=I125*SUM(M126)</t>
  </si>
  <si>
    <t>=I134*SUM(M135)</t>
  </si>
  <si>
    <t>=I143*SUM(M144)</t>
  </si>
  <si>
    <t>=I152*SUM(M153)</t>
  </si>
  <si>
    <t>=I161*SUM(M162)</t>
  </si>
  <si>
    <t>=I170*SUM(M171)</t>
  </si>
  <si>
    <t>=I178*SUM(M179,M186,M190)</t>
  </si>
  <si>
    <t>=I206*SUM(M207,M227)</t>
  </si>
  <si>
    <t>=I233*SUM(M234)</t>
  </si>
  <si>
    <t>=I237*SUM(M238,M241)</t>
  </si>
  <si>
    <t>=I246*SUM(M247)</t>
  </si>
  <si>
    <t>=I252*SUM(M253)</t>
  </si>
  <si>
    <t>=I258*SUM(M259)</t>
  </si>
  <si>
    <t>=I13*SUM(M14,M18)</t>
  </si>
  <si>
    <t>=I33*SUM(M34)</t>
  </si>
  <si>
    <t>=I41*SUM(M42)</t>
  </si>
  <si>
    <t>=I24*SUM(M25,M29)</t>
  </si>
  <si>
    <t>=I6*J6</t>
  </si>
  <si>
    <t>=I68*J68</t>
  </si>
  <si>
    <t>=I74*J74</t>
  </si>
  <si>
    <t>=I108*J108</t>
  </si>
  <si>
    <t>=I52*J52</t>
  </si>
  <si>
    <t>=I57*J57</t>
  </si>
  <si>
    <t>=I62*J62</t>
  </si>
  <si>
    <t>=I116*J116</t>
  </si>
  <si>
    <t>=I125*J125</t>
  </si>
  <si>
    <t>=I134*J134</t>
  </si>
  <si>
    <t>=I143*J143</t>
  </si>
  <si>
    <t>=I152*J152</t>
  </si>
  <si>
    <t>=I161*J161</t>
  </si>
  <si>
    <t>=I170*J170</t>
  </si>
  <si>
    <t>=I178*J178</t>
  </si>
  <si>
    <t>=I206*J206</t>
  </si>
  <si>
    <t>=I233*J233</t>
  </si>
  <si>
    <t>=I237*J237</t>
  </si>
  <si>
    <t>=I246*J246</t>
  </si>
  <si>
    <t>=I252*J252</t>
  </si>
  <si>
    <t>=I258*J258</t>
  </si>
  <si>
    <t>=I13*J13</t>
  </si>
  <si>
    <t>=I33*J33</t>
  </si>
  <si>
    <t>=I41*J41</t>
  </si>
  <si>
    <t>=I24*J24</t>
  </si>
  <si>
    <t>=100*(1-(M6/K6))</t>
  </si>
  <si>
    <t>=100*(1-(M68/K68))</t>
  </si>
  <si>
    <t>=100*(1-(M74/K74))</t>
  </si>
  <si>
    <t>=100*(1-(M108/K108))</t>
  </si>
  <si>
    <t>=100*(1-(M52/K52))</t>
  </si>
  <si>
    <t>=100*(1-(M57/K57))</t>
  </si>
  <si>
    <t>=100*(1-(M62/K62))</t>
  </si>
  <si>
    <t>=100*(1-(M116/K116))</t>
  </si>
  <si>
    <t>=100*(1-(M125/K125))</t>
  </si>
  <si>
    <t>=100*(1-(M134/K134))</t>
  </si>
  <si>
    <t>=100*(1-(M143/K143))</t>
  </si>
  <si>
    <t>=100*(1-(M152/K152))</t>
  </si>
  <si>
    <t>=100*(1-(M161/K161))</t>
  </si>
  <si>
    <t>=100*(1-(M170/K170))</t>
  </si>
  <si>
    <t>=100*(1-(M178/K178))</t>
  </si>
  <si>
    <t>=100*(1-(M206/K206))</t>
  </si>
  <si>
    <t>=100*(1-(M233/K233))</t>
  </si>
  <si>
    <t>=100*(1-(M237/K237))</t>
  </si>
  <si>
    <t>=100*(1-(M246/K246))</t>
  </si>
  <si>
    <t>=100*(1-(M252/K252))</t>
  </si>
  <si>
    <t>=100*(1-(M258/K258))</t>
  </si>
  <si>
    <t>=100*(1-(M13/K13))</t>
  </si>
  <si>
    <t>=100*(1-(M33/K33))</t>
  </si>
  <si>
    <t>=100*(1-(M41/K41))</t>
  </si>
  <si>
    <t>=100*(1-(M24/K24))</t>
  </si>
  <si>
    <t>=SUM(K5,K51,K56,K61,K68,K73,K108)</t>
  </si>
  <si>
    <t>=SUM(K6)</t>
  </si>
  <si>
    <t>=SUM(K74)</t>
  </si>
  <si>
    <t>=SUM(K52)</t>
  </si>
  <si>
    <t>=SUM(K57)</t>
  </si>
  <si>
    <t>=SUM(K62)</t>
  </si>
  <si>
    <t>=SUM(K115,K170)</t>
  </si>
  <si>
    <t>=SUM(K116,K125,K134,K143,K152,K161)</t>
  </si>
  <si>
    <t>=SUM(K177,K206,K233,K237,K246,K252,K258)</t>
  </si>
  <si>
    <t>=SUM(K178)</t>
  </si>
  <si>
    <t>=SUM(K13,K33)</t>
  </si>
  <si>
    <t>=SUM(K41)</t>
  </si>
  <si>
    <t>=SUM(K24)</t>
  </si>
  <si>
    <t>=I4*SUM(M5,M51,M56,M61,M68,M73,M108)</t>
  </si>
  <si>
    <t>=I5*SUM(M6)</t>
  </si>
  <si>
    <t>=I73*SUM(M74)</t>
  </si>
  <si>
    <t>=I51*SUM(M52)</t>
  </si>
  <si>
    <t>=I56*SUM(M57)</t>
  </si>
  <si>
    <t>=I61*SUM(M62)</t>
  </si>
  <si>
    <t>=I114*SUM(M115,M170)</t>
  </si>
  <si>
    <t>=I115*SUM(M116,M125,M134,M143,M152,M161)</t>
  </si>
  <si>
    <t>=I176*SUM(M177,M206,M233,M237,M246,M252,M258)</t>
  </si>
  <si>
    <t>=I177*SUM(M178)</t>
  </si>
  <si>
    <t>=I12*SUM(M13,M33)</t>
  </si>
  <si>
    <t>=I40*SUM(M41)</t>
  </si>
  <si>
    <t>=I23*SUM(M24)</t>
  </si>
  <si>
    <t>=I4*J4</t>
  </si>
  <si>
    <t>=I5*J5</t>
  </si>
  <si>
    <t>=I73*J73</t>
  </si>
  <si>
    <t>=I51*J51</t>
  </si>
  <si>
    <t>=I56*J56</t>
  </si>
  <si>
    <t>=I61*J61</t>
  </si>
  <si>
    <t>=I114*J114</t>
  </si>
  <si>
    <t>=I115*J115</t>
  </si>
  <si>
    <t>=I176*J176</t>
  </si>
  <si>
    <t>=I177*J177</t>
  </si>
  <si>
    <t>=I12*J12</t>
  </si>
  <si>
    <t>=I40*J40</t>
  </si>
  <si>
    <t>=I23*J23</t>
  </si>
  <si>
    <t>=100*(1-(M4/K4))</t>
  </si>
  <si>
    <t>=100*(1-(M5/K5))</t>
  </si>
  <si>
    <t>=100*(1-(M73/K73))</t>
  </si>
  <si>
    <t>=100*(1-(M51/K51))</t>
  </si>
  <si>
    <t>=100*(1-(M56/K56))</t>
  </si>
  <si>
    <t>=100*(1-(M61/K61))</t>
  </si>
  <si>
    <t>=100*(1-(M114/K114))</t>
  </si>
  <si>
    <t>=100*(1-(M115/K115))</t>
  </si>
  <si>
    <t>=100*(1-(M176/K176))</t>
  </si>
  <si>
    <t>=100*(1-(M177/K177))</t>
  </si>
  <si>
    <t>=100*(1-(M12/K12))</t>
  </si>
  <si>
    <t>=100*(1-(M40/K40))</t>
  </si>
  <si>
    <t>=100*(1-(M23/K23))</t>
  </si>
  <si>
    <t>=SUM(K4,K114,K176)</t>
  </si>
  <si>
    <t>=SUM(K12,K39)</t>
  </si>
  <si>
    <t>=SUM(K40)</t>
  </si>
  <si>
    <t>=SUM(K23)</t>
  </si>
  <si>
    <t>=I3*SUM(M4,M114,M176)</t>
  </si>
  <si>
    <t>=I11*SUM(M12,M39)</t>
  </si>
  <si>
    <t>=I39*SUM(M40)</t>
  </si>
  <si>
    <t>=I22*SUM(M23)</t>
  </si>
  <si>
    <t>=I3*J3</t>
  </si>
  <si>
    <t>=I11*J11</t>
  </si>
  <si>
    <t>=I39*J39</t>
  </si>
  <si>
    <t>=I22*J22</t>
  </si>
  <si>
    <t>=100*(1-(M3/K3))</t>
  </si>
  <si>
    <t>=100*(1-(M11/K11))</t>
  </si>
  <si>
    <t>=100*(1-(M39/K39))</t>
  </si>
  <si>
    <t>=100*(1-(M22/K22))</t>
  </si>
  <si>
    <t>32</t>
  </si>
  <si>
    <t>37</t>
  </si>
  <si>
    <t>45</t>
  </si>
  <si>
    <t>50</t>
  </si>
  <si>
    <t>57</t>
  </si>
  <si>
    <t>63</t>
  </si>
  <si>
    <t>75</t>
  </si>
  <si>
    <t>77</t>
  </si>
  <si>
    <t>82</t>
  </si>
  <si>
    <t>84</t>
  </si>
  <si>
    <t>89</t>
  </si>
  <si>
    <t>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</si>
</sst>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773"/>
  <sheetViews>
    <sheetView tabSelected="1" topLeftCell="H1" zoomScale="70" zoomScaleNormal="70" workbookViewId="0">
      <selection activeCell="H12" sqref="H12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style="91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5" x14ac:dyDescent="0.25">
      <c r="A1" s="90" t="s">
        <v>46</v>
      </c>
      <c r="B1" s="89" t="s">
        <v>57</v>
      </c>
      <c r="C1" s="83" t="s">
        <v>47</v>
      </c>
      <c r="D1" s="83" t="s">
        <v>52</v>
      </c>
      <c r="E1" s="82" t="s">
        <v>56</v>
      </c>
      <c r="F1" s="82" t="s">
        <v>48</v>
      </c>
      <c r="G1" s="82" t="s">
        <v>49</v>
      </c>
      <c r="H1" s="82" t="s">
        <v>58</v>
      </c>
      <c r="I1" s="82" t="s">
        <v>50</v>
      </c>
      <c r="J1" s="82" t="s">
        <v>51</v>
      </c>
      <c r="K1" s="82" t="s">
        <v>53</v>
      </c>
      <c r="L1" s="82" t="s">
        <v>54</v>
      </c>
      <c r="M1" s="82" t="s">
        <v>55</v>
      </c>
      <c r="N1" s="83" t="s">
        <v>59</v>
      </c>
      <c r="O1" s="83" t="s">
        <v>69</v>
      </c>
      <c r="P1" s="83" t="s">
        <v>70</v>
      </c>
      <c r="Q1" s="83" t="s">
        <v>71</v>
      </c>
      <c r="R1" s="83" t="s">
        <v>72</v>
      </c>
      <c r="S1" s="83" t="s">
        <v>73</v>
      </c>
      <c r="T1" s="83" t="s">
        <v>74</v>
      </c>
      <c r="U1" s="83" t="s">
        <v>75</v>
      </c>
      <c r="V1" s="83" t="s">
        <v>76</v>
      </c>
      <c r="W1" s="83" t="s">
        <v>77</v>
      </c>
    </row>
    <row r="2" spans="1:25" x14ac:dyDescent="0.25">
      <c r="A2" s="90" t="s">
        <v>68</v>
      </c>
      <c r="B2" s="89">
        <v>0</v>
      </c>
      <c r="C2" s="83"/>
      <c r="D2" s="83"/>
      <c r="E2" s="82">
        <v>1</v>
      </c>
      <c r="F2" s="82">
        <v>524</v>
      </c>
      <c r="G2" s="93" t="s">
        <v>68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25" x14ac:dyDescent="0.25">
      <c r="A3" s="90" t="s">
        <v>78</v>
      </c>
      <c r="B3" s="89">
        <v>1</v>
      </c>
      <c r="C3" s="83" t="s">
        <v>68</v>
      </c>
      <c r="D3" s="83" t="s">
        <v>78</v>
      </c>
      <c r="E3" s="82">
        <v>2</v>
      </c>
      <c r="F3" s="82">
        <v>443</v>
      </c>
      <c r="G3" s="93" t="s">
        <v>68</v>
      </c>
      <c r="H3" s="82" t="s">
        <v>81</v>
      </c>
      <c r="I3" s="82">
        <v>1</v>
      </c>
      <c r="J3" s="82">
        <f>SUM(K4,K114,K176)</f>
        <v>18966861.272191562</v>
      </c>
      <c r="K3" s="82">
        <f>I3*J3</f>
        <v>18966861.272191562</v>
      </c>
      <c r="L3" s="82">
        <f>100*(1-(M3/K3))</f>
        <v>39.286514472495249</v>
      </c>
      <c r="M3" s="82">
        <f>I3*SUM(M4,M114,M176)</f>
        <v>11515442.573513927</v>
      </c>
      <c r="N3" s="83">
        <v>3</v>
      </c>
      <c r="O3" s="83" t="s">
        <v>82</v>
      </c>
      <c r="P3" s="83"/>
      <c r="Q3" s="83"/>
      <c r="R3" s="83" t="s">
        <v>1247</v>
      </c>
      <c r="S3" s="83" t="s">
        <v>1255</v>
      </c>
      <c r="T3" s="83" t="s">
        <v>1259</v>
      </c>
      <c r="U3" s="83" t="s">
        <v>1251</v>
      </c>
    </row>
    <row r="4" spans="1:25" x14ac:dyDescent="0.25">
      <c r="A4" s="83" t="s">
        <v>83</v>
      </c>
      <c r="B4" s="121">
        <v>2</v>
      </c>
      <c r="C4" s="86" t="s">
        <v>78</v>
      </c>
      <c r="D4" s="83" t="s">
        <v>78</v>
      </c>
      <c r="E4" s="88">
        <v>3</v>
      </c>
      <c r="F4" s="88">
        <v>142</v>
      </c>
      <c r="G4" s="93" t="s">
        <v>68</v>
      </c>
      <c r="H4" s="82" t="s">
        <v>84</v>
      </c>
      <c r="I4" s="82">
        <v>1</v>
      </c>
      <c r="J4" s="82">
        <f>SUM(K5,K51,K56,K61,K68,K73,K108)</f>
        <v>4605253.1860985598</v>
      </c>
      <c r="K4" s="82">
        <f>I4*J4</f>
        <v>4605253.1860985598</v>
      </c>
      <c r="L4" s="82">
        <f>100*(1-(M4/K4))</f>
        <v>52.778356635737453</v>
      </c>
      <c r="M4" s="82">
        <f>I4*SUM(M5,M51,M56,M61,M68,M73,M108)</f>
        <v>2174676.2355607999</v>
      </c>
      <c r="N4" s="91">
        <v>4</v>
      </c>
      <c r="O4" s="91" t="s">
        <v>85</v>
      </c>
      <c r="P4" s="119" t="s">
        <v>801</v>
      </c>
      <c r="Q4" s="119" t="s">
        <v>84</v>
      </c>
      <c r="R4" s="91" t="s">
        <v>1195</v>
      </c>
      <c r="S4" s="91" t="s">
        <v>1221</v>
      </c>
      <c r="T4" s="91" t="s">
        <v>1234</v>
      </c>
      <c r="U4" s="91" t="s">
        <v>1208</v>
      </c>
      <c r="W4">
        <v>15</v>
      </c>
    </row>
    <row r="5" spans="1:25" x14ac:dyDescent="0.25">
      <c r="A5" s="84" t="s">
        <v>86</v>
      </c>
      <c r="B5" s="89">
        <v>3</v>
      </c>
      <c r="C5" s="87" t="s">
        <v>83</v>
      </c>
      <c r="D5" s="83" t="s">
        <v>78</v>
      </c>
      <c r="E5" s="89">
        <v>4</v>
      </c>
      <c r="F5" s="89">
        <v>15</v>
      </c>
      <c r="G5" s="93" t="s">
        <v>68</v>
      </c>
      <c r="H5" s="82" t="s">
        <v>87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1">
        <v>5</v>
      </c>
      <c r="O5" s="91" t="s">
        <v>88</v>
      </c>
      <c r="P5" s="119" t="s">
        <v>802</v>
      </c>
      <c r="Q5" s="119" t="s">
        <v>84</v>
      </c>
      <c r="R5" s="91" t="s">
        <v>1196</v>
      </c>
      <c r="S5" s="91" t="s">
        <v>1222</v>
      </c>
      <c r="T5" s="91" t="s">
        <v>1235</v>
      </c>
      <c r="U5" s="91" t="s">
        <v>1209</v>
      </c>
    </row>
    <row r="6" spans="1:25" x14ac:dyDescent="0.25">
      <c r="A6" s="85" t="s">
        <v>89</v>
      </c>
      <c r="B6" s="89">
        <v>4</v>
      </c>
      <c r="C6" s="84" t="s">
        <v>86</v>
      </c>
      <c r="D6" s="83" t="s">
        <v>78</v>
      </c>
      <c r="E6" s="88">
        <v>5</v>
      </c>
      <c r="F6" s="88">
        <v>14</v>
      </c>
      <c r="G6" s="93" t="s">
        <v>68</v>
      </c>
      <c r="H6" s="82" t="s">
        <v>90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1">
        <v>6</v>
      </c>
      <c r="O6" s="91" t="s">
        <v>91</v>
      </c>
      <c r="P6" s="119" t="s">
        <v>803</v>
      </c>
      <c r="Q6" s="119" t="s">
        <v>84</v>
      </c>
      <c r="R6" s="91" t="s">
        <v>1095</v>
      </c>
      <c r="S6" s="91" t="s">
        <v>1145</v>
      </c>
      <c r="T6" s="91" t="s">
        <v>1170</v>
      </c>
      <c r="U6" s="91" t="s">
        <v>1120</v>
      </c>
    </row>
    <row r="7" spans="1:25" x14ac:dyDescent="0.25">
      <c r="A7" s="85" t="s">
        <v>92</v>
      </c>
      <c r="B7" s="89">
        <v>5</v>
      </c>
      <c r="C7" s="84" t="s">
        <v>89</v>
      </c>
      <c r="D7" s="83" t="s">
        <v>78</v>
      </c>
      <c r="E7" s="88">
        <v>6</v>
      </c>
      <c r="F7" s="88">
        <v>13</v>
      </c>
      <c r="G7" s="93" t="s">
        <v>68</v>
      </c>
      <c r="H7" s="82" t="s">
        <v>90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1">
        <v>7</v>
      </c>
      <c r="O7" s="91" t="s">
        <v>93</v>
      </c>
      <c r="P7" s="119" t="s">
        <v>804</v>
      </c>
      <c r="Q7" s="119" t="s">
        <v>84</v>
      </c>
      <c r="R7" s="91" t="s">
        <v>967</v>
      </c>
      <c r="S7" s="91" t="s">
        <v>1031</v>
      </c>
      <c r="T7" s="91" t="s">
        <v>1063</v>
      </c>
      <c r="U7" s="91" t="s">
        <v>999</v>
      </c>
    </row>
    <row r="8" spans="1:25" x14ac:dyDescent="0.25">
      <c r="A8" s="85" t="s">
        <v>94</v>
      </c>
      <c r="B8" s="89">
        <v>6</v>
      </c>
      <c r="C8" s="85" t="s">
        <v>92</v>
      </c>
      <c r="D8" s="83" t="s">
        <v>78</v>
      </c>
      <c r="E8" s="88">
        <v>7</v>
      </c>
      <c r="F8" s="88">
        <v>12</v>
      </c>
      <c r="G8" s="93" t="s">
        <v>68</v>
      </c>
      <c r="H8" s="82" t="s">
        <v>95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1">
        <v>8</v>
      </c>
      <c r="O8" s="91" t="s">
        <v>96</v>
      </c>
      <c r="P8" s="119" t="s">
        <v>82</v>
      </c>
      <c r="Q8" s="119" t="s">
        <v>84</v>
      </c>
      <c r="R8" s="91" t="s">
        <v>807</v>
      </c>
      <c r="S8" s="91" t="s">
        <v>887</v>
      </c>
      <c r="T8" s="91" t="s">
        <v>927</v>
      </c>
      <c r="U8" s="91" t="s">
        <v>847</v>
      </c>
    </row>
    <row r="9" spans="1:25" x14ac:dyDescent="0.25">
      <c r="A9" s="85" t="s">
        <v>97</v>
      </c>
      <c r="B9" s="89">
        <v>7</v>
      </c>
      <c r="C9" s="85" t="s">
        <v>94</v>
      </c>
      <c r="D9" s="83" t="s">
        <v>78</v>
      </c>
      <c r="E9" s="88">
        <v>8</v>
      </c>
      <c r="F9" s="88">
        <v>9</v>
      </c>
      <c r="G9" s="93" t="s">
        <v>78</v>
      </c>
      <c r="H9" s="82" t="s">
        <v>98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1">
        <v>9</v>
      </c>
      <c r="O9" s="91" t="s">
        <v>99</v>
      </c>
      <c r="P9" s="119" t="s">
        <v>85</v>
      </c>
      <c r="Q9" s="119" t="s">
        <v>84</v>
      </c>
    </row>
    <row r="10" spans="1:25" x14ac:dyDescent="0.25">
      <c r="A10" s="85" t="s">
        <v>100</v>
      </c>
      <c r="B10" s="89">
        <v>7</v>
      </c>
      <c r="C10" s="85" t="s">
        <v>94</v>
      </c>
      <c r="D10" s="83" t="s">
        <v>79</v>
      </c>
      <c r="E10" s="88">
        <v>10</v>
      </c>
      <c r="F10" s="88">
        <v>11</v>
      </c>
      <c r="G10" s="93" t="s">
        <v>78</v>
      </c>
      <c r="H10" s="82" t="s">
        <v>101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1">
        <v>10</v>
      </c>
      <c r="O10" s="91" t="s">
        <v>102</v>
      </c>
      <c r="P10" s="119" t="s">
        <v>88</v>
      </c>
      <c r="Q10" s="119" t="s">
        <v>84</v>
      </c>
    </row>
    <row r="11" spans="1:25" x14ac:dyDescent="0.25">
      <c r="A11" s="85" t="s">
        <v>79</v>
      </c>
      <c r="B11" s="89">
        <v>1</v>
      </c>
      <c r="C11" s="85" t="s">
        <v>68</v>
      </c>
      <c r="D11" s="83" t="s">
        <v>79</v>
      </c>
      <c r="E11" s="88">
        <v>444</v>
      </c>
      <c r="F11" s="88">
        <v>501</v>
      </c>
      <c r="G11" s="93" t="s">
        <v>68</v>
      </c>
      <c r="H11" s="82" t="s">
        <v>103</v>
      </c>
      <c r="I11">
        <v>1</v>
      </c>
      <c r="J11">
        <f>SUM(K12,K39)</f>
        <v>303702780.62502325</v>
      </c>
      <c r="K11">
        <f>I11*J11</f>
        <v>303702780.62502325</v>
      </c>
      <c r="L11">
        <f>100*(1-(M11/K11))</f>
        <v>27.830000000000009</v>
      </c>
      <c r="M11">
        <f>I11*SUM(M12,M39)</f>
        <v>219182296.77707925</v>
      </c>
      <c r="N11" s="91">
        <v>11</v>
      </c>
      <c r="O11" s="91" t="s">
        <v>104</v>
      </c>
      <c r="P11" s="119"/>
      <c r="Q11" s="119"/>
      <c r="R11" s="91" t="s">
        <v>1248</v>
      </c>
      <c r="S11" s="91" t="s">
        <v>1256</v>
      </c>
      <c r="T11" s="91" t="s">
        <v>1260</v>
      </c>
      <c r="U11" s="91" t="s">
        <v>1252</v>
      </c>
    </row>
    <row r="12" spans="1:25" x14ac:dyDescent="0.25">
      <c r="A12" s="85" t="s">
        <v>105</v>
      </c>
      <c r="B12" s="89">
        <v>2</v>
      </c>
      <c r="C12" s="85" t="s">
        <v>79</v>
      </c>
      <c r="D12" s="83" t="s">
        <v>78</v>
      </c>
      <c r="E12" s="88">
        <v>445</v>
      </c>
      <c r="F12" s="88">
        <v>476</v>
      </c>
      <c r="G12" s="93" t="s">
        <v>68</v>
      </c>
      <c r="H12" s="82" t="s">
        <v>106</v>
      </c>
      <c r="I12">
        <v>1</v>
      </c>
      <c r="J12">
        <f>SUM(K13,K33)</f>
        <v>2942620.6250232495</v>
      </c>
      <c r="K12">
        <f>I12*J12</f>
        <v>2942620.6250232495</v>
      </c>
      <c r="L12">
        <f>100*(1-(M12/K12))</f>
        <v>27.829999999999988</v>
      </c>
      <c r="M12">
        <f>I12*SUM(M13,M33)</f>
        <v>2123689.3050792795</v>
      </c>
      <c r="N12" s="91">
        <v>12</v>
      </c>
      <c r="O12" s="91" t="s">
        <v>107</v>
      </c>
      <c r="P12" s="119" t="s">
        <v>801</v>
      </c>
      <c r="Q12" s="119" t="s">
        <v>106</v>
      </c>
      <c r="R12" s="91" t="s">
        <v>1205</v>
      </c>
      <c r="S12" s="91" t="s">
        <v>1231</v>
      </c>
      <c r="T12" s="91" t="s">
        <v>1244</v>
      </c>
      <c r="U12" s="91" t="s">
        <v>1218</v>
      </c>
    </row>
    <row r="13" spans="1:25" x14ac:dyDescent="0.25">
      <c r="A13" s="85" t="s">
        <v>108</v>
      </c>
      <c r="B13" s="89">
        <v>3</v>
      </c>
      <c r="C13" s="85" t="s">
        <v>105</v>
      </c>
      <c r="D13" s="83" t="s">
        <v>78</v>
      </c>
      <c r="E13" s="88">
        <v>446</v>
      </c>
      <c r="F13" s="88">
        <v>463</v>
      </c>
      <c r="G13" s="93" t="s">
        <v>68</v>
      </c>
      <c r="H13" s="82" t="s">
        <v>109</v>
      </c>
      <c r="I13">
        <v>1</v>
      </c>
      <c r="J13">
        <f>SUM(K14,K18)</f>
        <v>700357.82502324996</v>
      </c>
      <c r="K13">
        <f>I13*J13</f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110</v>
      </c>
      <c r="P13" s="119" t="s">
        <v>802</v>
      </c>
      <c r="Q13" s="119" t="s">
        <v>106</v>
      </c>
      <c r="R13" s="91" t="s">
        <v>1116</v>
      </c>
      <c r="S13" s="91" t="s">
        <v>1166</v>
      </c>
      <c r="T13" s="91" t="s">
        <v>1191</v>
      </c>
      <c r="U13" s="91" t="s">
        <v>1141</v>
      </c>
    </row>
    <row r="14" spans="1:25" x14ac:dyDescent="0.25">
      <c r="A14" s="85" t="s">
        <v>111</v>
      </c>
      <c r="B14" s="89">
        <v>4</v>
      </c>
      <c r="C14" s="85" t="s">
        <v>108</v>
      </c>
      <c r="D14" s="83" t="s">
        <v>78</v>
      </c>
      <c r="E14" s="88">
        <v>447</v>
      </c>
      <c r="F14" s="88">
        <v>454</v>
      </c>
      <c r="G14" s="93" t="s">
        <v>68</v>
      </c>
      <c r="H14" s="82" t="s">
        <v>112</v>
      </c>
      <c r="I14">
        <v>1</v>
      </c>
      <c r="J14">
        <f>SUM(K15)</f>
        <v>458806.82541925</v>
      </c>
      <c r="K14">
        <f>I14*J14</f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113</v>
      </c>
      <c r="P14" s="119" t="s">
        <v>803</v>
      </c>
      <c r="Q14" s="119" t="s">
        <v>106</v>
      </c>
      <c r="R14" s="91" t="s">
        <v>993</v>
      </c>
      <c r="S14" s="91" t="s">
        <v>1057</v>
      </c>
      <c r="T14" s="91" t="s">
        <v>1089</v>
      </c>
      <c r="U14" s="91" t="s">
        <v>1025</v>
      </c>
    </row>
    <row r="15" spans="1:25" x14ac:dyDescent="0.25">
      <c r="A15" s="84" t="s">
        <v>114</v>
      </c>
      <c r="B15" s="89">
        <v>5</v>
      </c>
      <c r="C15" s="87" t="s">
        <v>111</v>
      </c>
      <c r="D15" s="83" t="s">
        <v>78</v>
      </c>
      <c r="E15" s="89">
        <v>448</v>
      </c>
      <c r="F15" s="89">
        <v>453</v>
      </c>
      <c r="G15" s="93" t="s">
        <v>68</v>
      </c>
      <c r="H15" s="82" t="s">
        <v>115</v>
      </c>
      <c r="I15">
        <v>1</v>
      </c>
      <c r="J15">
        <f>SUM(K16,K17)</f>
        <v>458806.82541925</v>
      </c>
      <c r="K15">
        <f>I15*J15</f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116</v>
      </c>
      <c r="P15" s="119" t="s">
        <v>804</v>
      </c>
      <c r="Q15" s="119" t="s">
        <v>106</v>
      </c>
      <c r="R15" s="91" t="s">
        <v>841</v>
      </c>
      <c r="S15" s="91" t="s">
        <v>921</v>
      </c>
      <c r="T15" s="91" t="s">
        <v>961</v>
      </c>
      <c r="U15" s="91" t="s">
        <v>881</v>
      </c>
    </row>
    <row r="16" spans="1:25" x14ac:dyDescent="0.25">
      <c r="A16" s="85" t="s">
        <v>117</v>
      </c>
      <c r="B16" s="89">
        <v>6</v>
      </c>
      <c r="C16" s="85" t="s">
        <v>114</v>
      </c>
      <c r="D16" s="83" t="s">
        <v>78</v>
      </c>
      <c r="E16" s="88">
        <v>449</v>
      </c>
      <c r="F16" s="88">
        <v>450</v>
      </c>
      <c r="G16" s="93" t="s">
        <v>78</v>
      </c>
      <c r="H16" s="82" t="s">
        <v>118</v>
      </c>
      <c r="I16">
        <v>57</v>
      </c>
      <c r="J16">
        <v>2410.54374125</v>
      </c>
      <c r="K16">
        <f>I16*J16</f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119</v>
      </c>
      <c r="P16" s="119" t="s">
        <v>82</v>
      </c>
      <c r="Q16" s="119" t="s">
        <v>106</v>
      </c>
    </row>
    <row r="17" spans="1:21" x14ac:dyDescent="0.25">
      <c r="A17" s="85" t="s">
        <v>120</v>
      </c>
      <c r="B17" s="89">
        <v>6</v>
      </c>
      <c r="C17" s="85" t="s">
        <v>114</v>
      </c>
      <c r="D17" s="83" t="s">
        <v>79</v>
      </c>
      <c r="E17" s="88">
        <v>451</v>
      </c>
      <c r="F17" s="88">
        <v>452</v>
      </c>
      <c r="G17" s="93" t="s">
        <v>78</v>
      </c>
      <c r="H17" s="82" t="s">
        <v>121</v>
      </c>
      <c r="I17">
        <v>400</v>
      </c>
      <c r="J17">
        <v>803.51458042000002</v>
      </c>
      <c r="K17">
        <f>I17*J17</f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122</v>
      </c>
      <c r="P17" s="119" t="s">
        <v>85</v>
      </c>
      <c r="Q17" s="119" t="s">
        <v>106</v>
      </c>
    </row>
    <row r="18" spans="1:21" x14ac:dyDescent="0.25">
      <c r="A18" s="85" t="s">
        <v>123</v>
      </c>
      <c r="B18" s="89">
        <v>4</v>
      </c>
      <c r="C18" s="85" t="s">
        <v>108</v>
      </c>
      <c r="D18" s="83" t="s">
        <v>79</v>
      </c>
      <c r="E18" s="88">
        <v>455</v>
      </c>
      <c r="F18" s="88">
        <v>462</v>
      </c>
      <c r="G18" s="93" t="s">
        <v>68</v>
      </c>
      <c r="H18" s="82" t="s">
        <v>124</v>
      </c>
      <c r="I18">
        <v>1</v>
      </c>
      <c r="J18">
        <f>SUM(K19)</f>
        <v>241550.99960400001</v>
      </c>
      <c r="K18">
        <f>I18*J18</f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125</v>
      </c>
      <c r="P18" s="119" t="s">
        <v>88</v>
      </c>
      <c r="Q18" s="119" t="s">
        <v>106</v>
      </c>
      <c r="R18" s="91" t="s">
        <v>994</v>
      </c>
      <c r="S18" s="91" t="s">
        <v>1058</v>
      </c>
      <c r="T18" s="91" t="s">
        <v>1090</v>
      </c>
      <c r="U18" s="91" t="s">
        <v>1026</v>
      </c>
    </row>
    <row r="19" spans="1:21" x14ac:dyDescent="0.25">
      <c r="A19" s="85" t="s">
        <v>126</v>
      </c>
      <c r="B19" s="89">
        <v>5</v>
      </c>
      <c r="C19" s="85" t="s">
        <v>123</v>
      </c>
      <c r="D19" s="83" t="s">
        <v>78</v>
      </c>
      <c r="E19" s="82">
        <v>456</v>
      </c>
      <c r="F19" s="82">
        <v>461</v>
      </c>
      <c r="G19" s="93" t="s">
        <v>68</v>
      </c>
      <c r="H19" s="82" t="s">
        <v>127</v>
      </c>
      <c r="I19">
        <v>1</v>
      </c>
      <c r="J19">
        <f>SUM(K20,K21)</f>
        <v>241550.99960400001</v>
      </c>
      <c r="K19">
        <f>I19*J19</f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128</v>
      </c>
      <c r="P19" s="119" t="s">
        <v>91</v>
      </c>
      <c r="Q19" s="119" t="s">
        <v>106</v>
      </c>
      <c r="R19" s="91" t="s">
        <v>842</v>
      </c>
      <c r="S19" s="91" t="s">
        <v>922</v>
      </c>
      <c r="T19" s="91" t="s">
        <v>962</v>
      </c>
      <c r="U19" s="91" t="s">
        <v>882</v>
      </c>
    </row>
    <row r="20" spans="1:21" x14ac:dyDescent="0.25">
      <c r="A20" s="90" t="s">
        <v>129</v>
      </c>
      <c r="B20" s="89">
        <v>6</v>
      </c>
      <c r="C20" s="83" t="s">
        <v>126</v>
      </c>
      <c r="D20" s="83" t="s">
        <v>78</v>
      </c>
      <c r="E20" s="82">
        <v>457</v>
      </c>
      <c r="F20" s="82">
        <v>458</v>
      </c>
      <c r="G20" s="93" t="s">
        <v>78</v>
      </c>
      <c r="H20" s="82" t="s">
        <v>130</v>
      </c>
      <c r="I20">
        <v>1800</v>
      </c>
      <c r="J20">
        <v>33.108366230000001</v>
      </c>
      <c r="K20">
        <f>I20*J20</f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131</v>
      </c>
      <c r="P20" s="119" t="s">
        <v>93</v>
      </c>
      <c r="Q20" s="119" t="s">
        <v>106</v>
      </c>
    </row>
    <row r="21" spans="1:21" x14ac:dyDescent="0.25">
      <c r="A21" s="90" t="s">
        <v>132</v>
      </c>
      <c r="B21" s="89">
        <v>6</v>
      </c>
      <c r="C21" s="83" t="s">
        <v>126</v>
      </c>
      <c r="D21" s="83" t="s">
        <v>79</v>
      </c>
      <c r="E21" s="82">
        <v>459</v>
      </c>
      <c r="F21" s="82">
        <v>460</v>
      </c>
      <c r="G21" s="93" t="s">
        <v>78</v>
      </c>
      <c r="H21" s="82" t="s">
        <v>133</v>
      </c>
      <c r="I21">
        <v>3000</v>
      </c>
      <c r="J21">
        <v>60.651980129999998</v>
      </c>
      <c r="K21">
        <f>I21*J21</f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134</v>
      </c>
      <c r="P21" s="119" t="s">
        <v>96</v>
      </c>
      <c r="Q21" s="119" t="s">
        <v>106</v>
      </c>
    </row>
    <row r="22" spans="1:21" x14ac:dyDescent="0.25">
      <c r="A22" s="90" t="s">
        <v>80</v>
      </c>
      <c r="B22" s="89">
        <v>1</v>
      </c>
      <c r="C22" s="83" t="s">
        <v>68</v>
      </c>
      <c r="D22" s="83" t="s">
        <v>80</v>
      </c>
      <c r="E22" s="82">
        <v>502</v>
      </c>
      <c r="F22" s="82">
        <v>523</v>
      </c>
      <c r="G22" s="93" t="s">
        <v>68</v>
      </c>
      <c r="H22" s="82" t="s">
        <v>135</v>
      </c>
      <c r="I22">
        <v>1</v>
      </c>
      <c r="J22">
        <f>SUM(K23)</f>
        <v>700357.82502324996</v>
      </c>
      <c r="K22">
        <f>I22*J22</f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136</v>
      </c>
      <c r="P22" s="119"/>
      <c r="Q22" s="119"/>
      <c r="R22" s="91" t="s">
        <v>1250</v>
      </c>
      <c r="S22" s="91" t="s">
        <v>1258</v>
      </c>
      <c r="T22" s="91" t="s">
        <v>1262</v>
      </c>
      <c r="U22" s="91" t="s">
        <v>1254</v>
      </c>
    </row>
    <row r="23" spans="1:21" x14ac:dyDescent="0.25">
      <c r="A23" s="83" t="s">
        <v>137</v>
      </c>
      <c r="B23" s="89">
        <v>2</v>
      </c>
      <c r="C23" s="83" t="s">
        <v>80</v>
      </c>
      <c r="D23" s="83" t="s">
        <v>78</v>
      </c>
      <c r="E23" s="82">
        <v>503</v>
      </c>
      <c r="F23" s="82">
        <v>522</v>
      </c>
      <c r="G23" s="93" t="s">
        <v>68</v>
      </c>
      <c r="H23" s="82" t="s">
        <v>138</v>
      </c>
      <c r="I23">
        <v>1</v>
      </c>
      <c r="J23">
        <f>SUM(K24)</f>
        <v>700357.82502324996</v>
      </c>
      <c r="K23">
        <f>I23*J23</f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139</v>
      </c>
      <c r="P23" s="119" t="s">
        <v>801</v>
      </c>
      <c r="Q23" s="119" t="s">
        <v>138</v>
      </c>
      <c r="R23" s="91" t="s">
        <v>1207</v>
      </c>
      <c r="S23" s="91" t="s">
        <v>1233</v>
      </c>
      <c r="T23" s="91" t="s">
        <v>1246</v>
      </c>
      <c r="U23" s="91" t="s">
        <v>1220</v>
      </c>
    </row>
    <row r="24" spans="1:21" x14ac:dyDescent="0.25">
      <c r="A24" s="91" t="s">
        <v>140</v>
      </c>
      <c r="B24" s="120">
        <v>3</v>
      </c>
      <c r="C24" s="91" t="s">
        <v>137</v>
      </c>
      <c r="D24" s="91" t="s">
        <v>78</v>
      </c>
      <c r="E24">
        <v>504</v>
      </c>
      <c r="F24">
        <v>521</v>
      </c>
      <c r="G24" s="94" t="s">
        <v>68</v>
      </c>
      <c r="H24" t="s">
        <v>109</v>
      </c>
      <c r="I24">
        <v>1</v>
      </c>
      <c r="J24">
        <f>SUM(K25,K29)</f>
        <v>700357.82502324996</v>
      </c>
      <c r="K24">
        <f>I24*J24</f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141</v>
      </c>
      <c r="P24" s="119" t="s">
        <v>802</v>
      </c>
      <c r="Q24" s="119" t="s">
        <v>138</v>
      </c>
      <c r="R24" s="91" t="s">
        <v>1119</v>
      </c>
      <c r="S24" s="91" t="s">
        <v>1169</v>
      </c>
      <c r="T24" s="91" t="s">
        <v>1194</v>
      </c>
      <c r="U24" s="91" t="s">
        <v>1144</v>
      </c>
    </row>
    <row r="25" spans="1:21" x14ac:dyDescent="0.25">
      <c r="A25" s="85" t="s">
        <v>142</v>
      </c>
      <c r="B25" s="89">
        <v>4</v>
      </c>
      <c r="C25" s="92" t="s">
        <v>140</v>
      </c>
      <c r="D25" s="83" t="s">
        <v>78</v>
      </c>
      <c r="E25" s="82">
        <v>505</v>
      </c>
      <c r="F25" s="82">
        <v>512</v>
      </c>
      <c r="G25" s="93" t="s">
        <v>68</v>
      </c>
      <c r="H25" s="82" t="s">
        <v>143</v>
      </c>
      <c r="I25">
        <v>1</v>
      </c>
      <c r="J25">
        <f>SUM(K26)</f>
        <v>458806.82541925</v>
      </c>
      <c r="K25">
        <f>I25*J25</f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144</v>
      </c>
      <c r="P25" s="119" t="s">
        <v>803</v>
      </c>
      <c r="Q25" s="119" t="s">
        <v>138</v>
      </c>
      <c r="R25" s="91" t="s">
        <v>997</v>
      </c>
      <c r="S25" s="91" t="s">
        <v>1061</v>
      </c>
      <c r="T25" s="91" t="s">
        <v>1093</v>
      </c>
      <c r="U25" s="91" t="s">
        <v>1029</v>
      </c>
    </row>
    <row r="26" spans="1:21" x14ac:dyDescent="0.25">
      <c r="A26" s="90" t="s">
        <v>145</v>
      </c>
      <c r="B26" s="89">
        <v>5</v>
      </c>
      <c r="C26" s="83" t="s">
        <v>142</v>
      </c>
      <c r="D26" s="83" t="s">
        <v>78</v>
      </c>
      <c r="E26" s="82">
        <v>506</v>
      </c>
      <c r="F26" s="82">
        <v>511</v>
      </c>
      <c r="G26" s="93" t="s">
        <v>68</v>
      </c>
      <c r="H26" s="82" t="s">
        <v>146</v>
      </c>
      <c r="I26">
        <v>1</v>
      </c>
      <c r="J26">
        <f>SUM(K27,K28)</f>
        <v>458806.82541925</v>
      </c>
      <c r="K26">
        <f>I26*J26</f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147</v>
      </c>
      <c r="P26" s="119" t="s">
        <v>804</v>
      </c>
      <c r="Q26" s="119" t="s">
        <v>138</v>
      </c>
      <c r="R26" s="91" t="s">
        <v>845</v>
      </c>
      <c r="S26" s="91" t="s">
        <v>925</v>
      </c>
      <c r="T26" s="91" t="s">
        <v>965</v>
      </c>
      <c r="U26" s="91" t="s">
        <v>885</v>
      </c>
    </row>
    <row r="27" spans="1:21" x14ac:dyDescent="0.25">
      <c r="A27" s="90" t="s">
        <v>148</v>
      </c>
      <c r="B27" s="89">
        <v>6</v>
      </c>
      <c r="C27" s="83" t="s">
        <v>145</v>
      </c>
      <c r="D27" s="83" t="s">
        <v>78</v>
      </c>
      <c r="E27" s="82">
        <v>507</v>
      </c>
      <c r="F27" s="82">
        <v>508</v>
      </c>
      <c r="G27" s="93" t="s">
        <v>78</v>
      </c>
      <c r="H27" s="82" t="s">
        <v>149</v>
      </c>
      <c r="I27">
        <v>57</v>
      </c>
      <c r="J27">
        <v>2410.54374125</v>
      </c>
      <c r="K27">
        <f>I27*J27</f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150</v>
      </c>
      <c r="P27" s="119" t="s">
        <v>82</v>
      </c>
      <c r="Q27" s="119" t="s">
        <v>138</v>
      </c>
    </row>
    <row r="28" spans="1:21" x14ac:dyDescent="0.25">
      <c r="A28" s="90" t="s">
        <v>151</v>
      </c>
      <c r="B28" s="89">
        <v>6</v>
      </c>
      <c r="C28" s="83" t="s">
        <v>145</v>
      </c>
      <c r="D28" s="83" t="s">
        <v>79</v>
      </c>
      <c r="E28" s="82">
        <v>509</v>
      </c>
      <c r="F28" s="82">
        <v>510</v>
      </c>
      <c r="G28" s="93" t="s">
        <v>78</v>
      </c>
      <c r="H28" s="82" t="s">
        <v>152</v>
      </c>
      <c r="I28">
        <v>400</v>
      </c>
      <c r="J28">
        <v>803.51458042000002</v>
      </c>
      <c r="K28">
        <f>I28*J28</f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153</v>
      </c>
      <c r="P28" s="119" t="s">
        <v>85</v>
      </c>
      <c r="Q28" s="119" t="s">
        <v>138</v>
      </c>
    </row>
    <row r="29" spans="1:21" x14ac:dyDescent="0.25">
      <c r="A29" s="91" t="s">
        <v>154</v>
      </c>
      <c r="B29" s="120">
        <v>4</v>
      </c>
      <c r="C29" s="91" t="s">
        <v>140</v>
      </c>
      <c r="D29" s="91" t="s">
        <v>79</v>
      </c>
      <c r="E29">
        <v>513</v>
      </c>
      <c r="F29">
        <v>520</v>
      </c>
      <c r="G29" s="94" t="s">
        <v>68</v>
      </c>
      <c r="H29" t="s">
        <v>155</v>
      </c>
      <c r="I29">
        <v>1</v>
      </c>
      <c r="J29">
        <f>SUM(K30)</f>
        <v>241550.99960400001</v>
      </c>
      <c r="K29">
        <f>I29*J29</f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156</v>
      </c>
      <c r="P29" s="119" t="s">
        <v>88</v>
      </c>
      <c r="Q29" s="119" t="s">
        <v>138</v>
      </c>
      <c r="R29" s="91" t="s">
        <v>998</v>
      </c>
      <c r="S29" s="91" t="s">
        <v>1062</v>
      </c>
      <c r="T29" s="91" t="s">
        <v>1094</v>
      </c>
      <c r="U29" s="91" t="s">
        <v>1030</v>
      </c>
    </row>
    <row r="30" spans="1:21" x14ac:dyDescent="0.25">
      <c r="A30" s="91" t="s">
        <v>157</v>
      </c>
      <c r="B30" s="120">
        <v>5</v>
      </c>
      <c r="C30" s="91" t="s">
        <v>154</v>
      </c>
      <c r="D30" s="91" t="s">
        <v>78</v>
      </c>
      <c r="E30">
        <v>514</v>
      </c>
      <c r="F30">
        <v>519</v>
      </c>
      <c r="G30" s="94" t="s">
        <v>68</v>
      </c>
      <c r="H30" t="s">
        <v>158</v>
      </c>
      <c r="I30">
        <v>1</v>
      </c>
      <c r="J30">
        <f>SUM(K31,K32)</f>
        <v>241550.99960400001</v>
      </c>
      <c r="K30">
        <f>I30*J30</f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159</v>
      </c>
      <c r="P30" s="119" t="s">
        <v>91</v>
      </c>
      <c r="Q30" s="119" t="s">
        <v>138</v>
      </c>
      <c r="R30" s="91" t="s">
        <v>846</v>
      </c>
      <c r="S30" s="91" t="s">
        <v>926</v>
      </c>
      <c r="T30" s="91" t="s">
        <v>966</v>
      </c>
      <c r="U30" s="91" t="s">
        <v>886</v>
      </c>
    </row>
    <row r="31" spans="1:21" x14ac:dyDescent="0.25">
      <c r="A31" s="91" t="s">
        <v>160</v>
      </c>
      <c r="B31" s="120">
        <v>6</v>
      </c>
      <c r="C31" s="91" t="s">
        <v>157</v>
      </c>
      <c r="D31" s="91" t="s">
        <v>78</v>
      </c>
      <c r="E31">
        <v>515</v>
      </c>
      <c r="F31">
        <v>516</v>
      </c>
      <c r="G31" s="94" t="s">
        <v>78</v>
      </c>
      <c r="H31" t="s">
        <v>161</v>
      </c>
      <c r="I31">
        <v>1800</v>
      </c>
      <c r="J31">
        <v>33.108366230000001</v>
      </c>
      <c r="K31">
        <f>I31*J31</f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162</v>
      </c>
      <c r="P31" s="119" t="s">
        <v>93</v>
      </c>
      <c r="Q31" s="119" t="s">
        <v>138</v>
      </c>
    </row>
    <row r="32" spans="1:21" x14ac:dyDescent="0.25">
      <c r="A32" s="91" t="s">
        <v>163</v>
      </c>
      <c r="B32" s="120">
        <v>6</v>
      </c>
      <c r="C32" s="91" t="s">
        <v>157</v>
      </c>
      <c r="D32" s="91" t="s">
        <v>79</v>
      </c>
      <c r="E32">
        <v>517</v>
      </c>
      <c r="F32">
        <v>518</v>
      </c>
      <c r="G32" s="94" t="s">
        <v>78</v>
      </c>
      <c r="H32" t="s">
        <v>164</v>
      </c>
      <c r="I32">
        <v>3000</v>
      </c>
      <c r="J32">
        <v>60.651980129999998</v>
      </c>
      <c r="K32">
        <f>I32*J32</f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165</v>
      </c>
      <c r="P32" s="119" t="s">
        <v>96</v>
      </c>
      <c r="Q32" s="119" t="s">
        <v>138</v>
      </c>
    </row>
    <row r="33" spans="1:21" x14ac:dyDescent="0.25">
      <c r="A33" s="91" t="s">
        <v>166</v>
      </c>
      <c r="B33" s="120">
        <v>3</v>
      </c>
      <c r="C33" s="91" t="s">
        <v>105</v>
      </c>
      <c r="D33" s="91" t="s">
        <v>794</v>
      </c>
      <c r="E33">
        <v>464</v>
      </c>
      <c r="F33">
        <v>475</v>
      </c>
      <c r="G33" s="94" t="s">
        <v>68</v>
      </c>
      <c r="H33" t="s">
        <v>167</v>
      </c>
      <c r="I33">
        <v>1</v>
      </c>
      <c r="J33">
        <f>SUM(K34)</f>
        <v>2242262.7999999998</v>
      </c>
      <c r="K33">
        <f>I33*J33</f>
        <v>2242262.7999999998</v>
      </c>
      <c r="L33">
        <f>100*(1-(M33/K33))</f>
        <v>27.829999999999988</v>
      </c>
      <c r="M33">
        <f>I33*SUM(M34)</f>
        <v>1618241.0627600001</v>
      </c>
      <c r="N33" s="91">
        <v>33</v>
      </c>
      <c r="O33" s="91" t="s">
        <v>168</v>
      </c>
      <c r="P33" s="119" t="s">
        <v>805</v>
      </c>
      <c r="Q33" s="119" t="s">
        <v>106</v>
      </c>
      <c r="R33" s="91" t="s">
        <v>1117</v>
      </c>
      <c r="S33" s="91" t="s">
        <v>1167</v>
      </c>
      <c r="T33" s="91" t="s">
        <v>1192</v>
      </c>
      <c r="U33" s="91" t="s">
        <v>1142</v>
      </c>
    </row>
    <row r="34" spans="1:21" x14ac:dyDescent="0.25">
      <c r="A34" s="91" t="s">
        <v>169</v>
      </c>
      <c r="B34" s="120">
        <v>4</v>
      </c>
      <c r="C34" s="91" t="s">
        <v>166</v>
      </c>
      <c r="D34" s="91" t="s">
        <v>78</v>
      </c>
      <c r="E34">
        <v>465</v>
      </c>
      <c r="F34">
        <v>474</v>
      </c>
      <c r="G34" s="94" t="s">
        <v>68</v>
      </c>
      <c r="H34" t="s">
        <v>167</v>
      </c>
      <c r="I34">
        <v>1</v>
      </c>
      <c r="J34">
        <f>SUM(K35)</f>
        <v>2242262.7999999998</v>
      </c>
      <c r="K34">
        <f>I34*J34</f>
        <v>2242262.7999999998</v>
      </c>
      <c r="L34">
        <f>100*(1-(M34/K34))</f>
        <v>27.829999999999988</v>
      </c>
      <c r="M34">
        <f>I34*SUM(M35)</f>
        <v>1618241.0627600001</v>
      </c>
      <c r="N34" s="91">
        <v>34</v>
      </c>
      <c r="O34" s="91" t="s">
        <v>170</v>
      </c>
      <c r="P34" s="119" t="s">
        <v>99</v>
      </c>
      <c r="Q34" s="119" t="s">
        <v>106</v>
      </c>
      <c r="R34" s="91" t="s">
        <v>995</v>
      </c>
      <c r="S34" s="91" t="s">
        <v>1059</v>
      </c>
      <c r="T34" s="91" t="s">
        <v>1091</v>
      </c>
      <c r="U34" s="91" t="s">
        <v>1027</v>
      </c>
    </row>
    <row r="35" spans="1:21" x14ac:dyDescent="0.25">
      <c r="A35" s="91" t="s">
        <v>171</v>
      </c>
      <c r="B35" s="120">
        <v>5</v>
      </c>
      <c r="C35" s="91" t="s">
        <v>169</v>
      </c>
      <c r="D35" s="91" t="s">
        <v>78</v>
      </c>
      <c r="E35">
        <v>466</v>
      </c>
      <c r="F35">
        <v>473</v>
      </c>
      <c r="G35" s="94" t="s">
        <v>68</v>
      </c>
      <c r="H35" t="s">
        <v>167</v>
      </c>
      <c r="I35">
        <v>2</v>
      </c>
      <c r="J35">
        <f>SUM(K36,K37,K38)</f>
        <v>1121131.3999999999</v>
      </c>
      <c r="K35">
        <f>I35*J35</f>
        <v>2242262.7999999998</v>
      </c>
      <c r="L35">
        <f>100*(1-(M35/K35))</f>
        <v>27.829999999999988</v>
      </c>
      <c r="M35">
        <f>I35*SUM(M36,M37,M38)</f>
        <v>1618241.0627600001</v>
      </c>
      <c r="N35" s="91">
        <v>35</v>
      </c>
      <c r="O35" s="91" t="s">
        <v>172</v>
      </c>
      <c r="P35" s="119" t="s">
        <v>102</v>
      </c>
      <c r="Q35" s="119" t="s">
        <v>106</v>
      </c>
      <c r="R35" s="91" t="s">
        <v>843</v>
      </c>
      <c r="S35" s="91" t="s">
        <v>923</v>
      </c>
      <c r="T35" s="91" t="s">
        <v>963</v>
      </c>
      <c r="U35" s="91" t="s">
        <v>883</v>
      </c>
    </row>
    <row r="36" spans="1:21" x14ac:dyDescent="0.25">
      <c r="A36" s="91" t="s">
        <v>173</v>
      </c>
      <c r="B36" s="120">
        <v>6</v>
      </c>
      <c r="C36" s="91" t="s">
        <v>171</v>
      </c>
      <c r="D36" s="91" t="s">
        <v>78</v>
      </c>
      <c r="E36">
        <v>467</v>
      </c>
      <c r="F36">
        <v>468</v>
      </c>
      <c r="G36" s="94" t="s">
        <v>78</v>
      </c>
      <c r="H36" t="s">
        <v>174</v>
      </c>
      <c r="I36">
        <v>1</v>
      </c>
      <c r="J36">
        <v>1052574</v>
      </c>
      <c r="K36">
        <f>I36*J36</f>
        <v>1052574</v>
      </c>
      <c r="L36">
        <v>27.83</v>
      </c>
      <c r="M36">
        <f>(1-(L36/100))*K36</f>
        <v>759642.65580000007</v>
      </c>
      <c r="N36" s="91">
        <v>36</v>
      </c>
      <c r="O36" s="91" t="s">
        <v>175</v>
      </c>
      <c r="P36" s="119" t="s">
        <v>806</v>
      </c>
      <c r="Q36" s="119" t="s">
        <v>106</v>
      </c>
    </row>
    <row r="37" spans="1:21" x14ac:dyDescent="0.25">
      <c r="A37" s="91" t="s">
        <v>176</v>
      </c>
      <c r="B37" s="120">
        <v>6</v>
      </c>
      <c r="C37" s="91" t="s">
        <v>171</v>
      </c>
      <c r="D37" s="91" t="s">
        <v>79</v>
      </c>
      <c r="E37">
        <v>469</v>
      </c>
      <c r="F37">
        <v>470</v>
      </c>
      <c r="G37" s="94" t="s">
        <v>78</v>
      </c>
      <c r="H37" t="s">
        <v>177</v>
      </c>
      <c r="I37">
        <v>1</v>
      </c>
      <c r="K37">
        <f>I37*J37</f>
        <v>0</v>
      </c>
      <c r="M37">
        <f>(1-(L37/100))*K37</f>
        <v>0</v>
      </c>
      <c r="N37" s="91">
        <v>37</v>
      </c>
      <c r="O37" s="91" t="s">
        <v>178</v>
      </c>
      <c r="P37" s="119" t="s">
        <v>104</v>
      </c>
      <c r="Q37" s="119" t="s">
        <v>106</v>
      </c>
    </row>
    <row r="38" spans="1:21" x14ac:dyDescent="0.25">
      <c r="A38" s="91" t="s">
        <v>179</v>
      </c>
      <c r="B38" s="120">
        <v>6</v>
      </c>
      <c r="C38" s="91" t="s">
        <v>171</v>
      </c>
      <c r="D38" s="91" t="s">
        <v>80</v>
      </c>
      <c r="E38">
        <v>471</v>
      </c>
      <c r="F38">
        <v>472</v>
      </c>
      <c r="G38" s="94" t="s">
        <v>78</v>
      </c>
      <c r="H38" t="s">
        <v>180</v>
      </c>
      <c r="I38">
        <v>1</v>
      </c>
      <c r="J38">
        <v>68557.399999999994</v>
      </c>
      <c r="K38">
        <f>I38*J38</f>
        <v>68557.399999999994</v>
      </c>
      <c r="L38">
        <v>27.83</v>
      </c>
      <c r="M38">
        <f>(1-(L38/100))*K38</f>
        <v>49477.87558</v>
      </c>
      <c r="N38" s="91">
        <v>38</v>
      </c>
      <c r="O38" s="91" t="s">
        <v>181</v>
      </c>
      <c r="P38" s="119" t="s">
        <v>107</v>
      </c>
      <c r="Q38" s="119" t="s">
        <v>106</v>
      </c>
    </row>
    <row r="39" spans="1:21" x14ac:dyDescent="0.25">
      <c r="A39" s="91" t="s">
        <v>182</v>
      </c>
      <c r="B39" s="120">
        <v>2</v>
      </c>
      <c r="C39" s="91" t="s">
        <v>79</v>
      </c>
      <c r="D39" s="91" t="s">
        <v>79</v>
      </c>
      <c r="E39">
        <v>477</v>
      </c>
      <c r="F39">
        <v>500</v>
      </c>
      <c r="G39" s="94" t="s">
        <v>68</v>
      </c>
      <c r="H39" t="s">
        <v>183</v>
      </c>
      <c r="I39">
        <v>1060</v>
      </c>
      <c r="J39">
        <f>SUM(K40)</f>
        <v>283736</v>
      </c>
      <c r="K39">
        <f>I39*J39</f>
        <v>300760160</v>
      </c>
      <c r="L39">
        <f>100*(1-(M39/K39))</f>
        <v>27.830000000000009</v>
      </c>
      <c r="M39">
        <f>I39*SUM(M40)</f>
        <v>217058607.47199997</v>
      </c>
      <c r="N39" s="91">
        <v>39</v>
      </c>
      <c r="O39" s="91" t="s">
        <v>184</v>
      </c>
      <c r="P39" s="119" t="s">
        <v>801</v>
      </c>
      <c r="Q39" s="119" t="s">
        <v>183</v>
      </c>
      <c r="R39" s="91" t="s">
        <v>1249</v>
      </c>
      <c r="S39" s="91" t="s">
        <v>1257</v>
      </c>
      <c r="T39" s="91" t="s">
        <v>1261</v>
      </c>
      <c r="U39" s="91" t="s">
        <v>1253</v>
      </c>
    </row>
    <row r="40" spans="1:21" x14ac:dyDescent="0.25">
      <c r="A40" s="91" t="s">
        <v>185</v>
      </c>
      <c r="B40" s="120">
        <v>3</v>
      </c>
      <c r="C40" s="91" t="s">
        <v>182</v>
      </c>
      <c r="D40" s="91" t="s">
        <v>78</v>
      </c>
      <c r="E40">
        <v>478</v>
      </c>
      <c r="F40">
        <v>499</v>
      </c>
      <c r="G40" s="94" t="s">
        <v>68</v>
      </c>
      <c r="H40" t="s">
        <v>186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204772.27119999999</v>
      </c>
      <c r="N40" s="91">
        <v>40</v>
      </c>
      <c r="O40" s="91" t="s">
        <v>187</v>
      </c>
      <c r="P40" s="119" t="s">
        <v>802</v>
      </c>
      <c r="Q40" s="119" t="s">
        <v>183</v>
      </c>
      <c r="R40" s="91" t="s">
        <v>1206</v>
      </c>
      <c r="S40" s="91" t="s">
        <v>1232</v>
      </c>
      <c r="T40" s="91" t="s">
        <v>1245</v>
      </c>
      <c r="U40" s="91" t="s">
        <v>1219</v>
      </c>
    </row>
    <row r="41" spans="1:21" x14ac:dyDescent="0.25">
      <c r="A41" s="91" t="s">
        <v>188</v>
      </c>
      <c r="B41" s="120">
        <v>4</v>
      </c>
      <c r="C41" s="91" t="s">
        <v>185</v>
      </c>
      <c r="D41" s="91" t="s">
        <v>78</v>
      </c>
      <c r="E41">
        <v>479</v>
      </c>
      <c r="F41">
        <v>498</v>
      </c>
      <c r="G41" s="94" t="s">
        <v>68</v>
      </c>
      <c r="H41" t="s">
        <v>189</v>
      </c>
      <c r="I41">
        <v>1</v>
      </c>
      <c r="J41">
        <f>SUM(K42)</f>
        <v>283736</v>
      </c>
      <c r="K41">
        <f>I41*J41</f>
        <v>283736</v>
      </c>
      <c r="L41">
        <f>100*(1-(M41/K41))</f>
        <v>27.83</v>
      </c>
      <c r="M41">
        <f>I41*SUM(M42)</f>
        <v>204772.27119999999</v>
      </c>
      <c r="N41" s="91">
        <v>41</v>
      </c>
      <c r="O41" s="91" t="s">
        <v>190</v>
      </c>
      <c r="P41" s="119" t="s">
        <v>803</v>
      </c>
      <c r="Q41" s="119" t="s">
        <v>183</v>
      </c>
      <c r="R41" s="91" t="s">
        <v>1118</v>
      </c>
      <c r="S41" s="91" t="s">
        <v>1168</v>
      </c>
      <c r="T41" s="91" t="s">
        <v>1193</v>
      </c>
      <c r="U41" s="91" t="s">
        <v>1143</v>
      </c>
    </row>
    <row r="42" spans="1:21" x14ac:dyDescent="0.25">
      <c r="A42" s="91" t="s">
        <v>191</v>
      </c>
      <c r="B42" s="120">
        <v>5</v>
      </c>
      <c r="C42" s="91" t="s">
        <v>188</v>
      </c>
      <c r="D42" s="91" t="s">
        <v>78</v>
      </c>
      <c r="E42">
        <v>480</v>
      </c>
      <c r="F42">
        <v>497</v>
      </c>
      <c r="G42" s="94" t="s">
        <v>68</v>
      </c>
      <c r="H42" t="s">
        <v>192</v>
      </c>
      <c r="I42">
        <v>1</v>
      </c>
      <c r="J42">
        <f>SUM(K43)</f>
        <v>283736</v>
      </c>
      <c r="K42">
        <f>I42*J42</f>
        <v>283736</v>
      </c>
      <c r="L42">
        <f>100*(1-(M42/K42))</f>
        <v>27.83</v>
      </c>
      <c r="M42">
        <f>I42*SUM(M43)</f>
        <v>204772.27119999999</v>
      </c>
      <c r="N42" s="91">
        <v>42</v>
      </c>
      <c r="O42" s="91" t="s">
        <v>193</v>
      </c>
      <c r="P42" s="119" t="s">
        <v>804</v>
      </c>
      <c r="Q42" s="119" t="s">
        <v>183</v>
      </c>
      <c r="R42" s="91" t="s">
        <v>996</v>
      </c>
      <c r="S42" s="91" t="s">
        <v>1060</v>
      </c>
      <c r="T42" s="91" t="s">
        <v>1092</v>
      </c>
      <c r="U42" s="91" t="s">
        <v>1028</v>
      </c>
    </row>
    <row r="43" spans="1:21" x14ac:dyDescent="0.25">
      <c r="A43" s="91" t="s">
        <v>194</v>
      </c>
      <c r="B43" s="120">
        <v>6</v>
      </c>
      <c r="C43" s="91" t="s">
        <v>191</v>
      </c>
      <c r="D43" s="91" t="s">
        <v>78</v>
      </c>
      <c r="E43">
        <v>481</v>
      </c>
      <c r="F43">
        <v>496</v>
      </c>
      <c r="G43" s="94" t="s">
        <v>68</v>
      </c>
      <c r="H43" t="s">
        <v>195</v>
      </c>
      <c r="I43">
        <v>1</v>
      </c>
      <c r="J43">
        <f>SUM(K44,K45,K46,K47,K48,K49,K50)</f>
        <v>283736</v>
      </c>
      <c r="K43">
        <f>I43*J43</f>
        <v>283736</v>
      </c>
      <c r="L43">
        <f>100*(1-(M43/K43))</f>
        <v>27.83</v>
      </c>
      <c r="M43">
        <f>I43*SUM(M44,M45,M46,M47,M48,M49,M50)</f>
        <v>204772.27119999999</v>
      </c>
      <c r="N43" s="91">
        <v>43</v>
      </c>
      <c r="O43" s="91" t="s">
        <v>196</v>
      </c>
      <c r="P43" s="119" t="s">
        <v>82</v>
      </c>
      <c r="Q43" s="119" t="s">
        <v>183</v>
      </c>
      <c r="R43" s="91" t="s">
        <v>844</v>
      </c>
      <c r="S43" s="91" t="s">
        <v>924</v>
      </c>
      <c r="T43" s="91" t="s">
        <v>964</v>
      </c>
      <c r="U43" s="91" t="s">
        <v>884</v>
      </c>
    </row>
    <row r="44" spans="1:21" x14ac:dyDescent="0.25">
      <c r="A44" s="91" t="s">
        <v>197</v>
      </c>
      <c r="B44" s="120">
        <v>7</v>
      </c>
      <c r="C44" s="91" t="s">
        <v>194</v>
      </c>
      <c r="D44" s="91" t="s">
        <v>78</v>
      </c>
      <c r="E44">
        <v>482</v>
      </c>
      <c r="F44">
        <v>483</v>
      </c>
      <c r="G44" s="94" t="s">
        <v>78</v>
      </c>
      <c r="H44" t="s">
        <v>198</v>
      </c>
      <c r="I44">
        <v>1</v>
      </c>
      <c r="J44">
        <v>141868</v>
      </c>
      <c r="K44">
        <f>I44*J44</f>
        <v>141868</v>
      </c>
      <c r="L44">
        <v>27.83</v>
      </c>
      <c r="M44">
        <f>(1-(L44/100))*K44</f>
        <v>102386.13559999999</v>
      </c>
      <c r="N44" s="91">
        <v>44</v>
      </c>
      <c r="O44" s="91" t="s">
        <v>199</v>
      </c>
      <c r="P44" s="119" t="s">
        <v>85</v>
      </c>
      <c r="Q44" s="119" t="s">
        <v>183</v>
      </c>
    </row>
    <row r="45" spans="1:21" x14ac:dyDescent="0.25">
      <c r="A45" s="91" t="s">
        <v>200</v>
      </c>
      <c r="B45" s="120">
        <v>7</v>
      </c>
      <c r="C45" s="91" t="s">
        <v>194</v>
      </c>
      <c r="D45" s="91" t="s">
        <v>79</v>
      </c>
      <c r="E45">
        <v>484</v>
      </c>
      <c r="F45">
        <v>485</v>
      </c>
      <c r="G45" s="94" t="s">
        <v>78</v>
      </c>
      <c r="H45" t="s">
        <v>201</v>
      </c>
      <c r="I45">
        <v>1</v>
      </c>
      <c r="K45">
        <f>I45*J45</f>
        <v>0</v>
      </c>
      <c r="M45">
        <f>(1-(L45/100))*K45</f>
        <v>0</v>
      </c>
      <c r="N45" s="91">
        <v>45</v>
      </c>
      <c r="O45" s="91" t="s">
        <v>202</v>
      </c>
      <c r="P45" s="119" t="s">
        <v>88</v>
      </c>
      <c r="Q45" s="119" t="s">
        <v>183</v>
      </c>
    </row>
    <row r="46" spans="1:21" x14ac:dyDescent="0.25">
      <c r="A46" s="91" t="s">
        <v>203</v>
      </c>
      <c r="B46" s="120">
        <v>7</v>
      </c>
      <c r="C46" s="91" t="s">
        <v>194</v>
      </c>
      <c r="D46" s="91" t="s">
        <v>80</v>
      </c>
      <c r="E46">
        <v>486</v>
      </c>
      <c r="F46">
        <v>487</v>
      </c>
      <c r="G46" s="94" t="s">
        <v>78</v>
      </c>
      <c r="H46" t="s">
        <v>204</v>
      </c>
      <c r="I46">
        <v>18</v>
      </c>
      <c r="J46">
        <v>5616</v>
      </c>
      <c r="K46">
        <f>I46*J46</f>
        <v>101088</v>
      </c>
      <c r="L46">
        <v>27.83</v>
      </c>
      <c r="M46">
        <f>(1-(L46/100))*K46</f>
        <v>72955.209600000002</v>
      </c>
      <c r="N46" s="91">
        <v>46</v>
      </c>
      <c r="O46" s="91" t="s">
        <v>205</v>
      </c>
      <c r="P46" s="119" t="s">
        <v>91</v>
      </c>
      <c r="Q46" s="119" t="s">
        <v>183</v>
      </c>
    </row>
    <row r="47" spans="1:21" x14ac:dyDescent="0.25">
      <c r="A47" s="91" t="s">
        <v>206</v>
      </c>
      <c r="B47" s="120">
        <v>7</v>
      </c>
      <c r="C47" s="91" t="s">
        <v>194</v>
      </c>
      <c r="D47" s="91" t="s">
        <v>794</v>
      </c>
      <c r="E47">
        <v>488</v>
      </c>
      <c r="F47">
        <v>489</v>
      </c>
      <c r="G47" s="94" t="s">
        <v>78</v>
      </c>
      <c r="H47" t="s">
        <v>207</v>
      </c>
      <c r="I47">
        <v>1</v>
      </c>
      <c r="J47">
        <v>1604</v>
      </c>
      <c r="K47">
        <f>I47*J47</f>
        <v>1604</v>
      </c>
      <c r="L47">
        <v>27.83</v>
      </c>
      <c r="M47">
        <f>(1-(L47/100))*K47</f>
        <v>1157.6068</v>
      </c>
      <c r="N47" s="91">
        <v>47</v>
      </c>
      <c r="O47" s="91" t="s">
        <v>208</v>
      </c>
      <c r="P47" s="119" t="s">
        <v>93</v>
      </c>
      <c r="Q47" s="119" t="s">
        <v>183</v>
      </c>
    </row>
    <row r="48" spans="1:21" x14ac:dyDescent="0.25">
      <c r="A48" s="91" t="s">
        <v>209</v>
      </c>
      <c r="B48" s="120">
        <v>7</v>
      </c>
      <c r="C48" s="91" t="s">
        <v>194</v>
      </c>
      <c r="D48" s="91" t="s">
        <v>795</v>
      </c>
      <c r="E48">
        <v>490</v>
      </c>
      <c r="F48">
        <v>491</v>
      </c>
      <c r="G48" s="94" t="s">
        <v>78</v>
      </c>
      <c r="H48" t="s">
        <v>210</v>
      </c>
      <c r="I48">
        <v>2</v>
      </c>
      <c r="J48">
        <v>7020</v>
      </c>
      <c r="K48">
        <f>I48*J48</f>
        <v>14040</v>
      </c>
      <c r="L48">
        <v>27.83</v>
      </c>
      <c r="M48">
        <f>(1-(L48/100))*K48</f>
        <v>10132.668</v>
      </c>
      <c r="N48" s="91">
        <v>48</v>
      </c>
      <c r="O48" s="91" t="s">
        <v>211</v>
      </c>
      <c r="P48" s="119" t="s">
        <v>96</v>
      </c>
      <c r="Q48" s="119" t="s">
        <v>183</v>
      </c>
    </row>
    <row r="49" spans="1:21" x14ac:dyDescent="0.25">
      <c r="A49" s="91" t="s">
        <v>212</v>
      </c>
      <c r="B49" s="120">
        <v>7</v>
      </c>
      <c r="C49" s="91" t="s">
        <v>194</v>
      </c>
      <c r="D49" s="91" t="s">
        <v>796</v>
      </c>
      <c r="E49">
        <v>492</v>
      </c>
      <c r="F49">
        <v>493</v>
      </c>
      <c r="G49" s="94" t="s">
        <v>78</v>
      </c>
      <c r="H49" t="s">
        <v>213</v>
      </c>
      <c r="I49">
        <v>2</v>
      </c>
      <c r="J49">
        <v>12568</v>
      </c>
      <c r="K49">
        <f>I49*J49</f>
        <v>25136</v>
      </c>
      <c r="L49">
        <v>27.83</v>
      </c>
      <c r="M49">
        <f>(1-(L49/100))*K49</f>
        <v>18140.6512</v>
      </c>
      <c r="N49" s="91">
        <v>49</v>
      </c>
      <c r="O49" s="91" t="s">
        <v>214</v>
      </c>
      <c r="P49" s="119" t="s">
        <v>805</v>
      </c>
      <c r="Q49" s="119" t="s">
        <v>183</v>
      </c>
    </row>
    <row r="50" spans="1:21" x14ac:dyDescent="0.25">
      <c r="A50" s="91" t="s">
        <v>215</v>
      </c>
      <c r="B50" s="120">
        <v>7</v>
      </c>
      <c r="C50" s="91" t="s">
        <v>194</v>
      </c>
      <c r="D50" s="91" t="s">
        <v>797</v>
      </c>
      <c r="E50">
        <v>494</v>
      </c>
      <c r="F50">
        <v>495</v>
      </c>
      <c r="G50" s="94" t="s">
        <v>78</v>
      </c>
      <c r="H50" t="s">
        <v>216</v>
      </c>
      <c r="I50">
        <v>1</v>
      </c>
      <c r="K50">
        <f>I50*J50</f>
        <v>0</v>
      </c>
      <c r="M50">
        <f>(1-(L50/100))*K50</f>
        <v>0</v>
      </c>
      <c r="N50" s="91">
        <v>50</v>
      </c>
      <c r="O50" s="91" t="s">
        <v>217</v>
      </c>
      <c r="P50" s="119" t="s">
        <v>99</v>
      </c>
      <c r="Q50" s="119" t="s">
        <v>183</v>
      </c>
    </row>
    <row r="51" spans="1:21" x14ac:dyDescent="0.25">
      <c r="A51" s="91" t="s">
        <v>218</v>
      </c>
      <c r="B51" s="120">
        <v>3</v>
      </c>
      <c r="C51" s="91" t="s">
        <v>83</v>
      </c>
      <c r="D51" s="91" t="s">
        <v>797</v>
      </c>
      <c r="E51">
        <v>16</v>
      </c>
      <c r="F51">
        <v>25</v>
      </c>
      <c r="G51" s="94" t="s">
        <v>68</v>
      </c>
      <c r="H51" t="s">
        <v>219</v>
      </c>
      <c r="I51">
        <v>1</v>
      </c>
      <c r="J51">
        <f>SUM(K52)</f>
        <v>139055.14000000001</v>
      </c>
      <c r="K51">
        <f>I51*J51</f>
        <v>139055.14000000001</v>
      </c>
      <c r="L51">
        <f>100*(1-(M51/K51))</f>
        <v>27.83</v>
      </c>
      <c r="M51">
        <f>I51*SUM(M52)</f>
        <v>100356.094538</v>
      </c>
      <c r="N51" s="91">
        <v>51</v>
      </c>
      <c r="O51" s="91" t="s">
        <v>220</v>
      </c>
      <c r="P51" s="119" t="s">
        <v>91</v>
      </c>
      <c r="Q51" s="119" t="s">
        <v>84</v>
      </c>
      <c r="R51" s="91" t="s">
        <v>1198</v>
      </c>
      <c r="S51" s="91" t="s">
        <v>1224</v>
      </c>
      <c r="T51" s="91" t="s">
        <v>1237</v>
      </c>
      <c r="U51" s="91" t="s">
        <v>1211</v>
      </c>
    </row>
    <row r="52" spans="1:21" x14ac:dyDescent="0.25">
      <c r="A52" s="91" t="s">
        <v>221</v>
      </c>
      <c r="B52" s="120">
        <v>4</v>
      </c>
      <c r="C52" s="91" t="s">
        <v>218</v>
      </c>
      <c r="D52" s="91" t="s">
        <v>78</v>
      </c>
      <c r="E52">
        <v>17</v>
      </c>
      <c r="F52">
        <v>24</v>
      </c>
      <c r="G52" s="94" t="s">
        <v>68</v>
      </c>
      <c r="H52" t="s">
        <v>222</v>
      </c>
      <c r="I52">
        <v>1</v>
      </c>
      <c r="J52">
        <f>SUM(K53)</f>
        <v>139055.14000000001</v>
      </c>
      <c r="K52">
        <f>I52*J52</f>
        <v>139055.14000000001</v>
      </c>
      <c r="L52">
        <f>100*(1-(M52/K52))</f>
        <v>27.83</v>
      </c>
      <c r="M52">
        <f>I52*SUM(M53)</f>
        <v>100356.094538</v>
      </c>
      <c r="N52" s="91">
        <v>52</v>
      </c>
      <c r="O52" s="91" t="s">
        <v>223</v>
      </c>
      <c r="P52" s="119" t="s">
        <v>93</v>
      </c>
      <c r="Q52" s="119" t="s">
        <v>84</v>
      </c>
      <c r="R52" s="91" t="s">
        <v>1099</v>
      </c>
      <c r="S52" s="91" t="s">
        <v>1149</v>
      </c>
      <c r="T52" s="91" t="s">
        <v>1174</v>
      </c>
      <c r="U52" s="91" t="s">
        <v>1124</v>
      </c>
    </row>
    <row r="53" spans="1:21" x14ac:dyDescent="0.25">
      <c r="A53" s="91" t="s">
        <v>224</v>
      </c>
      <c r="B53" s="120">
        <v>5</v>
      </c>
      <c r="C53" s="91" t="s">
        <v>221</v>
      </c>
      <c r="D53" s="91" t="s">
        <v>78</v>
      </c>
      <c r="E53">
        <v>18</v>
      </c>
      <c r="F53">
        <v>23</v>
      </c>
      <c r="G53" s="94" t="s">
        <v>68</v>
      </c>
      <c r="H53" t="s">
        <v>219</v>
      </c>
      <c r="I53">
        <v>2</v>
      </c>
      <c r="J53">
        <f>SUM(K54)</f>
        <v>69527.570000000007</v>
      </c>
      <c r="K53">
        <f>I53*J53</f>
        <v>139055.14000000001</v>
      </c>
      <c r="L53">
        <f>100*(1-(M53/K53))</f>
        <v>27.83</v>
      </c>
      <c r="M53">
        <f>I53*SUM(M54)</f>
        <v>100356.094538</v>
      </c>
      <c r="N53" s="91">
        <v>53</v>
      </c>
      <c r="O53" s="91" t="s">
        <v>225</v>
      </c>
      <c r="P53" s="119" t="s">
        <v>96</v>
      </c>
      <c r="Q53" s="119" t="s">
        <v>84</v>
      </c>
      <c r="R53" s="91" t="s">
        <v>971</v>
      </c>
      <c r="S53" s="91" t="s">
        <v>1035</v>
      </c>
      <c r="T53" s="91" t="s">
        <v>1067</v>
      </c>
      <c r="U53" s="91" t="s">
        <v>1003</v>
      </c>
    </row>
    <row r="54" spans="1:21" x14ac:dyDescent="0.25">
      <c r="A54" s="91" t="s">
        <v>226</v>
      </c>
      <c r="B54" s="120">
        <v>6</v>
      </c>
      <c r="C54" s="91" t="s">
        <v>224</v>
      </c>
      <c r="D54" s="91" t="s">
        <v>78</v>
      </c>
      <c r="E54">
        <v>19</v>
      </c>
      <c r="F54">
        <v>22</v>
      </c>
      <c r="G54" s="94" t="s">
        <v>68</v>
      </c>
      <c r="H54" t="s">
        <v>227</v>
      </c>
      <c r="I54">
        <v>1</v>
      </c>
      <c r="J54">
        <f>SUM(K55)</f>
        <v>69527.570000000007</v>
      </c>
      <c r="K54">
        <f>I54*J54</f>
        <v>69527.570000000007</v>
      </c>
      <c r="L54">
        <f>100*(1-(M54/K54))</f>
        <v>27.83</v>
      </c>
      <c r="M54">
        <f>I54*SUM(M55)</f>
        <v>50178.047269000002</v>
      </c>
      <c r="N54" s="91">
        <v>54</v>
      </c>
      <c r="O54" s="91" t="s">
        <v>228</v>
      </c>
      <c r="P54" s="119" t="s">
        <v>805</v>
      </c>
      <c r="Q54" s="119" t="s">
        <v>84</v>
      </c>
      <c r="R54" s="91" t="s">
        <v>812</v>
      </c>
      <c r="S54" s="91" t="s">
        <v>892</v>
      </c>
      <c r="T54" s="91" t="s">
        <v>932</v>
      </c>
      <c r="U54" s="91" t="s">
        <v>852</v>
      </c>
    </row>
    <row r="55" spans="1:21" x14ac:dyDescent="0.25">
      <c r="A55" s="91" t="s">
        <v>229</v>
      </c>
      <c r="B55" s="120">
        <v>7</v>
      </c>
      <c r="C55" s="91" t="s">
        <v>226</v>
      </c>
      <c r="D55" s="91" t="s">
        <v>78</v>
      </c>
      <c r="E55">
        <v>20</v>
      </c>
      <c r="F55">
        <v>21</v>
      </c>
      <c r="G55" s="94" t="s">
        <v>78</v>
      </c>
      <c r="H55" t="s">
        <v>230</v>
      </c>
      <c r="I55">
        <v>1</v>
      </c>
      <c r="J55">
        <v>69527.570000000007</v>
      </c>
      <c r="K55">
        <f>I55*J55</f>
        <v>69527.570000000007</v>
      </c>
      <c r="L55">
        <v>27.83</v>
      </c>
      <c r="M55">
        <f>(1-(L55/100))*K55</f>
        <v>50178.047269000002</v>
      </c>
      <c r="N55" s="91">
        <v>55</v>
      </c>
      <c r="O55" s="91" t="s">
        <v>231</v>
      </c>
      <c r="P55" s="119" t="s">
        <v>99</v>
      </c>
      <c r="Q55" s="119" t="s">
        <v>84</v>
      </c>
    </row>
    <row r="56" spans="1:21" x14ac:dyDescent="0.25">
      <c r="A56" s="91" t="s">
        <v>232</v>
      </c>
      <c r="B56" s="120">
        <v>3</v>
      </c>
      <c r="C56" s="91" t="s">
        <v>83</v>
      </c>
      <c r="D56" s="91" t="s">
        <v>798</v>
      </c>
      <c r="E56">
        <v>26</v>
      </c>
      <c r="F56">
        <v>35</v>
      </c>
      <c r="G56" s="94" t="s">
        <v>68</v>
      </c>
      <c r="H56" t="s">
        <v>233</v>
      </c>
      <c r="I56">
        <v>1</v>
      </c>
      <c r="J56">
        <f>SUM(K57)</f>
        <v>24067.24</v>
      </c>
      <c r="K56">
        <f>I56*J56</f>
        <v>24067.24</v>
      </c>
      <c r="L56">
        <f>100*(1-(M56/K56))</f>
        <v>100</v>
      </c>
      <c r="M56">
        <f>I56*SUM(M57)</f>
        <v>0</v>
      </c>
      <c r="N56" s="91">
        <v>56</v>
      </c>
      <c r="O56" s="91" t="s">
        <v>234</v>
      </c>
      <c r="P56" s="119" t="s">
        <v>102</v>
      </c>
      <c r="Q56" s="119" t="s">
        <v>84</v>
      </c>
      <c r="R56" s="91" t="s">
        <v>1199</v>
      </c>
      <c r="S56" s="91" t="s">
        <v>1225</v>
      </c>
      <c r="T56" s="91" t="s">
        <v>1238</v>
      </c>
      <c r="U56" s="91" t="s">
        <v>1212</v>
      </c>
    </row>
    <row r="57" spans="1:21" x14ac:dyDescent="0.25">
      <c r="A57" s="91" t="s">
        <v>235</v>
      </c>
      <c r="B57" s="120">
        <v>4</v>
      </c>
      <c r="C57" s="91" t="s">
        <v>232</v>
      </c>
      <c r="D57" s="91" t="s">
        <v>78</v>
      </c>
      <c r="E57">
        <v>27</v>
      </c>
      <c r="F57">
        <v>34</v>
      </c>
      <c r="G57" s="94" t="s">
        <v>68</v>
      </c>
      <c r="H57" t="s">
        <v>233</v>
      </c>
      <c r="I57">
        <v>1</v>
      </c>
      <c r="J57">
        <f>SUM(K58)</f>
        <v>24067.24</v>
      </c>
      <c r="K57">
        <f>I57*J57</f>
        <v>24067.24</v>
      </c>
      <c r="L57">
        <f>100*(1-(M57/K57))</f>
        <v>100</v>
      </c>
      <c r="M57">
        <f>I57*SUM(M58)</f>
        <v>0</v>
      </c>
      <c r="N57" s="91">
        <v>57</v>
      </c>
      <c r="O57" s="91" t="s">
        <v>236</v>
      </c>
      <c r="P57" s="119" t="s">
        <v>806</v>
      </c>
      <c r="Q57" s="119" t="s">
        <v>84</v>
      </c>
      <c r="R57" s="91" t="s">
        <v>1100</v>
      </c>
      <c r="S57" s="91" t="s">
        <v>1150</v>
      </c>
      <c r="T57" s="91" t="s">
        <v>1175</v>
      </c>
      <c r="U57" s="91" t="s">
        <v>1125</v>
      </c>
    </row>
    <row r="58" spans="1:21" x14ac:dyDescent="0.25">
      <c r="A58" s="91" t="s">
        <v>237</v>
      </c>
      <c r="B58" s="120">
        <v>5</v>
      </c>
      <c r="C58" s="91" t="s">
        <v>235</v>
      </c>
      <c r="D58" s="91" t="s">
        <v>78</v>
      </c>
      <c r="E58">
        <v>28</v>
      </c>
      <c r="F58">
        <v>33</v>
      </c>
      <c r="G58" s="94" t="s">
        <v>68</v>
      </c>
      <c r="H58" t="s">
        <v>233</v>
      </c>
      <c r="I58">
        <v>2</v>
      </c>
      <c r="J58">
        <f>SUM(K59)</f>
        <v>12033.62</v>
      </c>
      <c r="K58">
        <f>I58*J58</f>
        <v>24067.24</v>
      </c>
      <c r="L58">
        <f>100*(1-(M58/K58))</f>
        <v>100</v>
      </c>
      <c r="M58">
        <f>I58*SUM(M59)</f>
        <v>0</v>
      </c>
      <c r="N58" s="91">
        <v>58</v>
      </c>
      <c r="O58" s="91" t="s">
        <v>238</v>
      </c>
      <c r="P58" s="119" t="s">
        <v>104</v>
      </c>
      <c r="Q58" s="119" t="s">
        <v>84</v>
      </c>
      <c r="R58" s="91" t="s">
        <v>972</v>
      </c>
      <c r="S58" s="91" t="s">
        <v>1036</v>
      </c>
      <c r="T58" s="91" t="s">
        <v>1068</v>
      </c>
      <c r="U58" s="91" t="s">
        <v>1004</v>
      </c>
    </row>
    <row r="59" spans="1:21" x14ac:dyDescent="0.25">
      <c r="A59" s="91" t="s">
        <v>239</v>
      </c>
      <c r="B59" s="120">
        <v>6</v>
      </c>
      <c r="C59" s="91" t="s">
        <v>237</v>
      </c>
      <c r="D59" s="91" t="s">
        <v>78</v>
      </c>
      <c r="E59">
        <v>29</v>
      </c>
      <c r="F59">
        <v>32</v>
      </c>
      <c r="G59" s="94" t="s">
        <v>68</v>
      </c>
      <c r="H59" t="s">
        <v>240</v>
      </c>
      <c r="I59">
        <v>1</v>
      </c>
      <c r="J59">
        <f>SUM(K60)</f>
        <v>12033.62</v>
      </c>
      <c r="K59">
        <f>I59*J59</f>
        <v>12033.62</v>
      </c>
      <c r="L59">
        <f>100*(1-(M59/K59))</f>
        <v>100</v>
      </c>
      <c r="M59">
        <f>I59*SUM(M60)</f>
        <v>0</v>
      </c>
      <c r="N59" s="91">
        <v>59</v>
      </c>
      <c r="O59" s="91" t="s">
        <v>241</v>
      </c>
      <c r="P59" s="119" t="s">
        <v>107</v>
      </c>
      <c r="Q59" s="119" t="s">
        <v>84</v>
      </c>
      <c r="R59" s="91" t="s">
        <v>813</v>
      </c>
      <c r="S59" s="91" t="s">
        <v>893</v>
      </c>
      <c r="T59" s="91" t="s">
        <v>933</v>
      </c>
      <c r="U59" s="91" t="s">
        <v>853</v>
      </c>
    </row>
    <row r="60" spans="1:21" x14ac:dyDescent="0.25">
      <c r="A60" s="91" t="s">
        <v>242</v>
      </c>
      <c r="B60" s="120">
        <v>7</v>
      </c>
      <c r="C60" s="91" t="s">
        <v>239</v>
      </c>
      <c r="D60" s="91" t="s">
        <v>78</v>
      </c>
      <c r="E60">
        <v>30</v>
      </c>
      <c r="F60">
        <v>31</v>
      </c>
      <c r="G60" s="94" t="s">
        <v>78</v>
      </c>
      <c r="H60" t="s">
        <v>243</v>
      </c>
      <c r="I60">
        <v>1</v>
      </c>
      <c r="J60">
        <v>12033.62</v>
      </c>
      <c r="K60">
        <f>I60*J60</f>
        <v>12033.62</v>
      </c>
      <c r="L60">
        <v>100</v>
      </c>
      <c r="M60">
        <f>(1-(L60/100))*K60</f>
        <v>0</v>
      </c>
      <c r="N60" s="91">
        <v>60</v>
      </c>
      <c r="O60" s="91" t="s">
        <v>244</v>
      </c>
      <c r="P60" s="119" t="s">
        <v>110</v>
      </c>
      <c r="Q60" s="119" t="s">
        <v>84</v>
      </c>
    </row>
    <row r="61" spans="1:21" x14ac:dyDescent="0.25">
      <c r="A61" s="91" t="s">
        <v>245</v>
      </c>
      <c r="B61" s="120">
        <v>3</v>
      </c>
      <c r="C61" s="91" t="s">
        <v>83</v>
      </c>
      <c r="D61" s="91" t="s">
        <v>799</v>
      </c>
      <c r="E61">
        <v>36</v>
      </c>
      <c r="F61">
        <v>49</v>
      </c>
      <c r="G61" s="94" t="s">
        <v>68</v>
      </c>
      <c r="H61" t="s">
        <v>246</v>
      </c>
      <c r="I61">
        <v>1</v>
      </c>
      <c r="J61">
        <f>SUM(K62)</f>
        <v>638290.58400000003</v>
      </c>
      <c r="K61">
        <f>I61*J61</f>
        <v>638290.58400000003</v>
      </c>
      <c r="L61">
        <f>100*(1-(M61/K61))</f>
        <v>27.83</v>
      </c>
      <c r="M61">
        <f>I61*SUM(M62)</f>
        <v>460654.3144728</v>
      </c>
      <c r="N61" s="91">
        <v>61</v>
      </c>
      <c r="O61" s="91" t="s">
        <v>247</v>
      </c>
      <c r="P61" s="119" t="s">
        <v>113</v>
      </c>
      <c r="Q61" s="119" t="s">
        <v>84</v>
      </c>
      <c r="R61" s="91" t="s">
        <v>1200</v>
      </c>
      <c r="S61" s="91" t="s">
        <v>1226</v>
      </c>
      <c r="T61" s="91" t="s">
        <v>1239</v>
      </c>
      <c r="U61" s="91" t="s">
        <v>1213</v>
      </c>
    </row>
    <row r="62" spans="1:21" x14ac:dyDescent="0.25">
      <c r="A62" s="91" t="s">
        <v>248</v>
      </c>
      <c r="B62" s="120">
        <v>4</v>
      </c>
      <c r="C62" s="91" t="s">
        <v>245</v>
      </c>
      <c r="D62" s="91" t="s">
        <v>78</v>
      </c>
      <c r="E62">
        <v>37</v>
      </c>
      <c r="F62">
        <v>48</v>
      </c>
      <c r="G62" s="94" t="s">
        <v>68</v>
      </c>
      <c r="H62" t="s">
        <v>246</v>
      </c>
      <c r="I62">
        <v>1</v>
      </c>
      <c r="J62">
        <f>SUM(K63)</f>
        <v>638290.58400000003</v>
      </c>
      <c r="K62">
        <f>I62*J62</f>
        <v>638290.58400000003</v>
      </c>
      <c r="L62">
        <f>100*(1-(M62/K62))</f>
        <v>27.83</v>
      </c>
      <c r="M62">
        <f>I62*SUM(M63)</f>
        <v>460654.3144728</v>
      </c>
      <c r="N62" s="91">
        <v>62</v>
      </c>
      <c r="O62" s="91" t="s">
        <v>249</v>
      </c>
      <c r="P62" s="119" t="s">
        <v>116</v>
      </c>
      <c r="Q62" s="119" t="s">
        <v>84</v>
      </c>
      <c r="R62" s="91" t="s">
        <v>1101</v>
      </c>
      <c r="S62" s="91" t="s">
        <v>1151</v>
      </c>
      <c r="T62" s="91" t="s">
        <v>1176</v>
      </c>
      <c r="U62" s="91" t="s">
        <v>1126</v>
      </c>
    </row>
    <row r="63" spans="1:21" x14ac:dyDescent="0.25">
      <c r="A63" s="91" t="s">
        <v>250</v>
      </c>
      <c r="B63" s="120">
        <v>5</v>
      </c>
      <c r="C63" s="91" t="s">
        <v>248</v>
      </c>
      <c r="D63" s="91" t="s">
        <v>78</v>
      </c>
      <c r="E63">
        <v>38</v>
      </c>
      <c r="F63">
        <v>47</v>
      </c>
      <c r="G63" s="94" t="s">
        <v>68</v>
      </c>
      <c r="H63" t="s">
        <v>246</v>
      </c>
      <c r="I63">
        <v>1</v>
      </c>
      <c r="J63">
        <f>SUM(K64)</f>
        <v>638290.58400000003</v>
      </c>
      <c r="K63">
        <f>I63*J63</f>
        <v>638290.58400000003</v>
      </c>
      <c r="L63">
        <f>100*(1-(M63/K63))</f>
        <v>27.83</v>
      </c>
      <c r="M63">
        <f>I63*SUM(M64)</f>
        <v>460654.3144728</v>
      </c>
      <c r="N63" s="91">
        <v>63</v>
      </c>
      <c r="O63" s="91" t="s">
        <v>251</v>
      </c>
      <c r="P63" s="119" t="s">
        <v>119</v>
      </c>
      <c r="Q63" s="119" t="s">
        <v>84</v>
      </c>
      <c r="R63" s="91" t="s">
        <v>973</v>
      </c>
      <c r="S63" s="91" t="s">
        <v>1037</v>
      </c>
      <c r="T63" s="91" t="s">
        <v>1069</v>
      </c>
      <c r="U63" s="91" t="s">
        <v>1005</v>
      </c>
    </row>
    <row r="64" spans="1:21" x14ac:dyDescent="0.25">
      <c r="A64" s="91" t="s">
        <v>252</v>
      </c>
      <c r="B64" s="120">
        <v>6</v>
      </c>
      <c r="C64" s="91" t="s">
        <v>250</v>
      </c>
      <c r="D64" s="91" t="s">
        <v>78</v>
      </c>
      <c r="E64">
        <v>39</v>
      </c>
      <c r="F64">
        <v>46</v>
      </c>
      <c r="G64" s="94" t="s">
        <v>68</v>
      </c>
      <c r="H64" t="s">
        <v>227</v>
      </c>
      <c r="I64">
        <v>1</v>
      </c>
      <c r="J64">
        <f>SUM(K65,K66,K67)</f>
        <v>638290.58400000003</v>
      </c>
      <c r="K64">
        <f>I64*J64</f>
        <v>638290.58400000003</v>
      </c>
      <c r="L64">
        <f>100*(1-(M64/K64))</f>
        <v>27.83</v>
      </c>
      <c r="M64">
        <f>I64*SUM(M65,M66,M67)</f>
        <v>460654.3144728</v>
      </c>
      <c r="N64" s="91">
        <v>64</v>
      </c>
      <c r="O64" s="91" t="s">
        <v>253</v>
      </c>
      <c r="P64" s="119" t="s">
        <v>122</v>
      </c>
      <c r="Q64" s="119" t="s">
        <v>84</v>
      </c>
      <c r="R64" s="91" t="s">
        <v>814</v>
      </c>
      <c r="S64" s="91" t="s">
        <v>894</v>
      </c>
      <c r="T64" s="91" t="s">
        <v>934</v>
      </c>
      <c r="U64" s="91" t="s">
        <v>854</v>
      </c>
    </row>
    <row r="65" spans="1:21" x14ac:dyDescent="0.25">
      <c r="A65" s="91" t="s">
        <v>254</v>
      </c>
      <c r="B65" s="120">
        <v>7</v>
      </c>
      <c r="C65" s="91" t="s">
        <v>252</v>
      </c>
      <c r="D65" s="91" t="s">
        <v>78</v>
      </c>
      <c r="E65">
        <v>40</v>
      </c>
      <c r="F65">
        <v>41</v>
      </c>
      <c r="G65" s="94" t="s">
        <v>78</v>
      </c>
      <c r="H65" t="s">
        <v>255</v>
      </c>
      <c r="I65">
        <v>2700000</v>
      </c>
      <c r="J65">
        <v>0.05</v>
      </c>
      <c r="K65">
        <f>I65*J65</f>
        <v>135000</v>
      </c>
      <c r="L65">
        <v>27.83</v>
      </c>
      <c r="M65">
        <f>(1-(L65/100))*K65</f>
        <v>97429.5</v>
      </c>
      <c r="N65" s="91">
        <v>65</v>
      </c>
      <c r="O65" s="91" t="s">
        <v>256</v>
      </c>
      <c r="P65" s="119" t="s">
        <v>1263</v>
      </c>
      <c r="Q65" s="119" t="s">
        <v>84</v>
      </c>
    </row>
    <row r="66" spans="1:21" x14ac:dyDescent="0.25">
      <c r="A66" s="91" t="s">
        <v>257</v>
      </c>
      <c r="B66" s="120">
        <v>7</v>
      </c>
      <c r="C66" s="91" t="s">
        <v>252</v>
      </c>
      <c r="D66" s="91" t="s">
        <v>79</v>
      </c>
      <c r="E66">
        <v>42</v>
      </c>
      <c r="F66">
        <v>43</v>
      </c>
      <c r="G66" s="94" t="s">
        <v>78</v>
      </c>
      <c r="H66" t="s">
        <v>258</v>
      </c>
      <c r="I66">
        <v>5400000</v>
      </c>
      <c r="J66">
        <v>3.820196E-2</v>
      </c>
      <c r="K66">
        <f>I66*J66</f>
        <v>206290.584</v>
      </c>
      <c r="L66">
        <v>27.83</v>
      </c>
      <c r="M66">
        <f>(1-(L66/100))*K66</f>
        <v>148879.91447280001</v>
      </c>
      <c r="N66" s="91">
        <v>66</v>
      </c>
      <c r="O66" s="91" t="s">
        <v>259</v>
      </c>
      <c r="P66" s="119" t="s">
        <v>125</v>
      </c>
      <c r="Q66" s="119" t="s">
        <v>84</v>
      </c>
    </row>
    <row r="67" spans="1:21" x14ac:dyDescent="0.25">
      <c r="A67" s="91" t="s">
        <v>260</v>
      </c>
      <c r="B67" s="120">
        <v>7</v>
      </c>
      <c r="C67" s="91" t="s">
        <v>252</v>
      </c>
      <c r="D67" s="91" t="s">
        <v>80</v>
      </c>
      <c r="E67">
        <v>44</v>
      </c>
      <c r="F67">
        <v>45</v>
      </c>
      <c r="G67" s="94" t="s">
        <v>78</v>
      </c>
      <c r="H67" t="s">
        <v>261</v>
      </c>
      <c r="I67">
        <v>2700000</v>
      </c>
      <c r="J67">
        <v>0.11</v>
      </c>
      <c r="K67">
        <f>I67*J67</f>
        <v>297000</v>
      </c>
      <c r="L67">
        <v>27.83</v>
      </c>
      <c r="M67">
        <f>(1-(L67/100))*K67</f>
        <v>214344.9</v>
      </c>
      <c r="N67" s="91">
        <v>67</v>
      </c>
      <c r="O67" s="91" t="s">
        <v>262</v>
      </c>
      <c r="P67" s="119" t="s">
        <v>128</v>
      </c>
      <c r="Q67" s="119" t="s">
        <v>84</v>
      </c>
    </row>
    <row r="68" spans="1:21" x14ac:dyDescent="0.25">
      <c r="A68" s="91" t="s">
        <v>263</v>
      </c>
      <c r="B68" s="120">
        <v>3</v>
      </c>
      <c r="C68" s="91" t="s">
        <v>83</v>
      </c>
      <c r="D68" s="91" t="s">
        <v>800</v>
      </c>
      <c r="E68">
        <v>50</v>
      </c>
      <c r="F68">
        <v>59</v>
      </c>
      <c r="G68" s="94" t="s">
        <v>68</v>
      </c>
      <c r="H68" t="s">
        <v>264</v>
      </c>
      <c r="I68">
        <v>1</v>
      </c>
      <c r="J68">
        <f>SUM(K69)</f>
        <v>11191.5</v>
      </c>
      <c r="K68">
        <f>I68*J68</f>
        <v>11191.5</v>
      </c>
      <c r="L68">
        <f>100*(1-(M68/K68))</f>
        <v>27.83</v>
      </c>
      <c r="M68">
        <f>I68*SUM(M69)</f>
        <v>8076.9055499999995</v>
      </c>
      <c r="N68" s="91">
        <v>68</v>
      </c>
      <c r="O68" s="91" t="s">
        <v>265</v>
      </c>
      <c r="P68" s="119" t="s">
        <v>131</v>
      </c>
      <c r="Q68" s="119" t="s">
        <v>84</v>
      </c>
      <c r="R68" s="91" t="s">
        <v>1096</v>
      </c>
      <c r="S68" s="91" t="s">
        <v>1146</v>
      </c>
      <c r="T68" s="91" t="s">
        <v>1171</v>
      </c>
      <c r="U68" s="91" t="s">
        <v>1121</v>
      </c>
    </row>
    <row r="69" spans="1:21" x14ac:dyDescent="0.25">
      <c r="A69" s="91" t="s">
        <v>266</v>
      </c>
      <c r="B69" s="120">
        <v>4</v>
      </c>
      <c r="C69" s="91" t="s">
        <v>263</v>
      </c>
      <c r="D69" s="91" t="s">
        <v>78</v>
      </c>
      <c r="E69">
        <v>51</v>
      </c>
      <c r="F69">
        <v>58</v>
      </c>
      <c r="G69" s="94" t="s">
        <v>68</v>
      </c>
      <c r="H69" t="s">
        <v>264</v>
      </c>
      <c r="I69">
        <v>1</v>
      </c>
      <c r="J69">
        <f>SUM(K70)</f>
        <v>11191.5</v>
      </c>
      <c r="K69">
        <f>I69*J69</f>
        <v>11191.5</v>
      </c>
      <c r="L69">
        <f>100*(1-(M69/K69))</f>
        <v>27.83</v>
      </c>
      <c r="M69">
        <f>I69*SUM(M70)</f>
        <v>8076.9055499999995</v>
      </c>
      <c r="N69" s="91">
        <v>69</v>
      </c>
      <c r="O69" s="91" t="s">
        <v>267</v>
      </c>
      <c r="P69" s="119" t="s">
        <v>134</v>
      </c>
      <c r="Q69" s="119" t="s">
        <v>84</v>
      </c>
      <c r="R69" s="91" t="s">
        <v>968</v>
      </c>
      <c r="S69" s="91" t="s">
        <v>1032</v>
      </c>
      <c r="T69" s="91" t="s">
        <v>1064</v>
      </c>
      <c r="U69" s="91" t="s">
        <v>1000</v>
      </c>
    </row>
    <row r="70" spans="1:21" x14ac:dyDescent="0.25">
      <c r="A70" s="91" t="s">
        <v>268</v>
      </c>
      <c r="B70" s="120">
        <v>5</v>
      </c>
      <c r="C70" s="91" t="s">
        <v>266</v>
      </c>
      <c r="D70" s="91" t="s">
        <v>78</v>
      </c>
      <c r="E70">
        <v>52</v>
      </c>
      <c r="F70">
        <v>57</v>
      </c>
      <c r="G70" s="94" t="s">
        <v>68</v>
      </c>
      <c r="H70" t="s">
        <v>264</v>
      </c>
      <c r="I70">
        <v>1</v>
      </c>
      <c r="J70">
        <f>SUM(K71,K72)</f>
        <v>11191.5</v>
      </c>
      <c r="K70">
        <f>I70*J70</f>
        <v>11191.5</v>
      </c>
      <c r="L70">
        <f>100*(1-(M70/K70))</f>
        <v>27.83</v>
      </c>
      <c r="M70">
        <f>I70*SUM(M71,M72)</f>
        <v>8076.9055499999995</v>
      </c>
      <c r="N70" s="91">
        <v>70</v>
      </c>
      <c r="O70" s="91" t="s">
        <v>269</v>
      </c>
      <c r="P70" s="119" t="s">
        <v>1264</v>
      </c>
      <c r="Q70" s="119" t="s">
        <v>84</v>
      </c>
      <c r="R70" s="91" t="s">
        <v>808</v>
      </c>
      <c r="S70" s="91" t="s">
        <v>888</v>
      </c>
      <c r="T70" s="91" t="s">
        <v>928</v>
      </c>
      <c r="U70" s="91" t="s">
        <v>848</v>
      </c>
    </row>
    <row r="71" spans="1:21" x14ac:dyDescent="0.25">
      <c r="A71" s="91" t="s">
        <v>270</v>
      </c>
      <c r="B71" s="120">
        <v>6</v>
      </c>
      <c r="C71" s="91" t="s">
        <v>268</v>
      </c>
      <c r="D71" s="91" t="s">
        <v>78</v>
      </c>
      <c r="E71">
        <v>53</v>
      </c>
      <c r="F71">
        <v>54</v>
      </c>
      <c r="G71" s="94" t="s">
        <v>78</v>
      </c>
      <c r="H71" t="s">
        <v>271</v>
      </c>
      <c r="I71">
        <v>450</v>
      </c>
      <c r="J71">
        <v>13.8</v>
      </c>
      <c r="K71">
        <f>I71*J71</f>
        <v>6210</v>
      </c>
      <c r="L71">
        <v>27.83</v>
      </c>
      <c r="M71">
        <f>(1-(L71/100))*K71</f>
        <v>4481.7569999999996</v>
      </c>
      <c r="N71" s="91">
        <v>71</v>
      </c>
      <c r="O71" s="91" t="s">
        <v>272</v>
      </c>
      <c r="P71" s="119" t="s">
        <v>136</v>
      </c>
      <c r="Q71" s="119" t="s">
        <v>84</v>
      </c>
    </row>
    <row r="72" spans="1:21" x14ac:dyDescent="0.25">
      <c r="A72" s="91" t="s">
        <v>273</v>
      </c>
      <c r="B72" s="120">
        <v>6</v>
      </c>
      <c r="C72" s="91" t="s">
        <v>268</v>
      </c>
      <c r="D72" s="91" t="s">
        <v>79</v>
      </c>
      <c r="E72">
        <v>55</v>
      </c>
      <c r="F72">
        <v>56</v>
      </c>
      <c r="G72" s="94" t="s">
        <v>78</v>
      </c>
      <c r="H72" t="s">
        <v>274</v>
      </c>
      <c r="I72">
        <v>450</v>
      </c>
      <c r="J72">
        <v>11.07</v>
      </c>
      <c r="K72">
        <f>I72*J72</f>
        <v>4981.5</v>
      </c>
      <c r="L72">
        <v>27.83</v>
      </c>
      <c r="M72">
        <f>(1-(L72/100))*K72</f>
        <v>3595.1485499999999</v>
      </c>
      <c r="N72" s="91">
        <v>72</v>
      </c>
      <c r="O72" s="91" t="s">
        <v>275</v>
      </c>
      <c r="P72" s="119" t="s">
        <v>139</v>
      </c>
      <c r="Q72" s="119" t="s">
        <v>84</v>
      </c>
    </row>
    <row r="73" spans="1:21" x14ac:dyDescent="0.25">
      <c r="A73" s="91" t="s">
        <v>276</v>
      </c>
      <c r="B73" s="120">
        <v>3</v>
      </c>
      <c r="C73" s="91" t="s">
        <v>83</v>
      </c>
      <c r="D73" s="91" t="s">
        <v>801</v>
      </c>
      <c r="E73">
        <v>60</v>
      </c>
      <c r="F73">
        <v>129</v>
      </c>
      <c r="G73" s="94" t="s">
        <v>68</v>
      </c>
      <c r="H73" t="s">
        <v>277</v>
      </c>
      <c r="I73">
        <v>1</v>
      </c>
      <c r="J73">
        <f>SUM(K74)</f>
        <v>195858</v>
      </c>
      <c r="K73">
        <f>I73*J73</f>
        <v>195858</v>
      </c>
      <c r="L73">
        <f>100*(1-(M73/K73))</f>
        <v>27.829999999999988</v>
      </c>
      <c r="M73">
        <f>I73*SUM(M74)</f>
        <v>141350.71860000002</v>
      </c>
      <c r="N73" s="91">
        <v>73</v>
      </c>
      <c r="O73" s="91" t="s">
        <v>278</v>
      </c>
      <c r="P73" s="119" t="s">
        <v>141</v>
      </c>
      <c r="Q73" s="119" t="s">
        <v>84</v>
      </c>
      <c r="R73" s="91" t="s">
        <v>1197</v>
      </c>
      <c r="S73" s="91" t="s">
        <v>1223</v>
      </c>
      <c r="T73" s="91" t="s">
        <v>1236</v>
      </c>
      <c r="U73" s="91" t="s">
        <v>1210</v>
      </c>
    </row>
    <row r="74" spans="1:21" x14ac:dyDescent="0.25">
      <c r="A74" s="91" t="s">
        <v>279</v>
      </c>
      <c r="B74" s="120">
        <v>4</v>
      </c>
      <c r="C74" s="91" t="s">
        <v>276</v>
      </c>
      <c r="D74" s="91" t="s">
        <v>78</v>
      </c>
      <c r="E74">
        <v>61</v>
      </c>
      <c r="F74">
        <v>128</v>
      </c>
      <c r="G74" s="94" t="s">
        <v>68</v>
      </c>
      <c r="H74" t="s">
        <v>277</v>
      </c>
      <c r="I74">
        <v>1</v>
      </c>
      <c r="J74">
        <f>SUM(K75)</f>
        <v>195858</v>
      </c>
      <c r="K74">
        <f>I74*J74</f>
        <v>195858</v>
      </c>
      <c r="L74">
        <f>100*(1-(M74/K74))</f>
        <v>27.829999999999988</v>
      </c>
      <c r="M74">
        <f>I74*SUM(M75)</f>
        <v>141350.71860000002</v>
      </c>
      <c r="N74" s="91">
        <v>74</v>
      </c>
      <c r="O74" s="91" t="s">
        <v>280</v>
      </c>
      <c r="P74" s="119" t="s">
        <v>144</v>
      </c>
      <c r="Q74" s="119" t="s">
        <v>84</v>
      </c>
      <c r="R74" s="91" t="s">
        <v>1097</v>
      </c>
      <c r="S74" s="91" t="s">
        <v>1147</v>
      </c>
      <c r="T74" s="91" t="s">
        <v>1172</v>
      </c>
      <c r="U74" s="91" t="s">
        <v>1122</v>
      </c>
    </row>
    <row r="75" spans="1:21" x14ac:dyDescent="0.25">
      <c r="A75" s="91" t="s">
        <v>281</v>
      </c>
      <c r="B75" s="120">
        <v>5</v>
      </c>
      <c r="C75" s="91" t="s">
        <v>279</v>
      </c>
      <c r="D75" s="91" t="s">
        <v>78</v>
      </c>
      <c r="E75">
        <v>62</v>
      </c>
      <c r="F75">
        <v>127</v>
      </c>
      <c r="G75" s="94" t="s">
        <v>68</v>
      </c>
      <c r="H75" t="s">
        <v>277</v>
      </c>
      <c r="I75">
        <v>1</v>
      </c>
      <c r="J75">
        <f>SUM(K76,K105)</f>
        <v>195858</v>
      </c>
      <c r="K75">
        <f>I75*J75</f>
        <v>195858</v>
      </c>
      <c r="L75">
        <f>100*(1-(M75/K75))</f>
        <v>27.829999999999988</v>
      </c>
      <c r="M75">
        <f>I75*SUM(M76,M105)</f>
        <v>141350.71860000002</v>
      </c>
      <c r="N75" s="91">
        <v>75</v>
      </c>
      <c r="O75" s="91" t="s">
        <v>282</v>
      </c>
      <c r="P75" s="119" t="s">
        <v>147</v>
      </c>
      <c r="Q75" s="119" t="s">
        <v>84</v>
      </c>
      <c r="R75" s="91" t="s">
        <v>969</v>
      </c>
      <c r="S75" s="91" t="s">
        <v>1033</v>
      </c>
      <c r="T75" s="91" t="s">
        <v>1065</v>
      </c>
      <c r="U75" s="91" t="s">
        <v>1001</v>
      </c>
    </row>
    <row r="76" spans="1:21" x14ac:dyDescent="0.25">
      <c r="A76" s="91" t="s">
        <v>283</v>
      </c>
      <c r="B76" s="120">
        <v>6</v>
      </c>
      <c r="C76" s="91" t="s">
        <v>281</v>
      </c>
      <c r="D76" s="91" t="s">
        <v>78</v>
      </c>
      <c r="E76">
        <v>63</v>
      </c>
      <c r="F76">
        <v>120</v>
      </c>
      <c r="G76" s="94" t="s">
        <v>68</v>
      </c>
      <c r="H76" t="s">
        <v>284</v>
      </c>
      <c r="I76">
        <v>1</v>
      </c>
      <c r="J76">
        <f>SUM(K77,K78,K79,K80,K81,K82,K83,K84,K85,K86,K87,K88,K89,K90,K91,K92,K93,K94,K95,K96,K97,K98,K99,K100,K101,K102,K103,K104)</f>
        <v>183834</v>
      </c>
      <c r="K76">
        <f>I76*J76</f>
        <v>183834</v>
      </c>
      <c r="L76">
        <f>100*(1-(M76/K76))</f>
        <v>27.829999999999988</v>
      </c>
      <c r="M76">
        <f>I76*SUM(M77,M78,M79,M80,M81,M82,M83,M84,M85,M86,M87,M88,M89,M90,M91,M92,M93,M94,M95,M96,M97,M98,M99,M100,M101,M102,M103,M104)</f>
        <v>132672.99780000001</v>
      </c>
      <c r="N76" s="91">
        <v>76</v>
      </c>
      <c r="O76" s="91" t="s">
        <v>285</v>
      </c>
      <c r="P76" s="119" t="s">
        <v>150</v>
      </c>
      <c r="Q76" s="119" t="s">
        <v>84</v>
      </c>
      <c r="R76" s="91" t="s">
        <v>809</v>
      </c>
      <c r="S76" s="91" t="s">
        <v>889</v>
      </c>
      <c r="T76" s="91" t="s">
        <v>929</v>
      </c>
      <c r="U76" s="91" t="s">
        <v>849</v>
      </c>
    </row>
    <row r="77" spans="1:21" x14ac:dyDescent="0.25">
      <c r="A77" s="91" t="s">
        <v>286</v>
      </c>
      <c r="B77" s="120">
        <v>7</v>
      </c>
      <c r="C77" s="91" t="s">
        <v>283</v>
      </c>
      <c r="D77" s="91" t="s">
        <v>78</v>
      </c>
      <c r="E77">
        <v>64</v>
      </c>
      <c r="F77">
        <v>65</v>
      </c>
      <c r="G77" s="94" t="s">
        <v>78</v>
      </c>
      <c r="H77" t="s">
        <v>287</v>
      </c>
      <c r="I77">
        <v>300</v>
      </c>
      <c r="J77">
        <v>16.239999999999998</v>
      </c>
      <c r="K77">
        <f>I77*J77</f>
        <v>4871.9999999999991</v>
      </c>
      <c r="L77">
        <v>27.83</v>
      </c>
      <c r="M77">
        <f>(1-(L77/100))*K77</f>
        <v>3516.1223999999993</v>
      </c>
      <c r="N77" s="91">
        <v>77</v>
      </c>
      <c r="O77" s="91" t="s">
        <v>288</v>
      </c>
      <c r="P77" s="119" t="s">
        <v>153</v>
      </c>
      <c r="Q77" s="119" t="s">
        <v>84</v>
      </c>
    </row>
    <row r="78" spans="1:21" x14ac:dyDescent="0.25">
      <c r="A78" s="91" t="s">
        <v>289</v>
      </c>
      <c r="B78" s="120">
        <v>7</v>
      </c>
      <c r="C78" s="91" t="s">
        <v>283</v>
      </c>
      <c r="D78" s="91" t="s">
        <v>79</v>
      </c>
      <c r="E78">
        <v>66</v>
      </c>
      <c r="F78">
        <v>67</v>
      </c>
      <c r="G78" s="94" t="s">
        <v>78</v>
      </c>
      <c r="H78" t="s">
        <v>290</v>
      </c>
      <c r="I78">
        <v>300</v>
      </c>
      <c r="J78">
        <v>110.71</v>
      </c>
      <c r="K78">
        <f>I78*J78</f>
        <v>33213</v>
      </c>
      <c r="L78">
        <v>27.83</v>
      </c>
      <c r="M78">
        <f>(1-(L78/100))*K78</f>
        <v>23969.822100000001</v>
      </c>
      <c r="N78" s="91">
        <v>78</v>
      </c>
      <c r="O78" s="91" t="s">
        <v>291</v>
      </c>
      <c r="P78" s="119" t="s">
        <v>1265</v>
      </c>
      <c r="Q78" s="119" t="s">
        <v>84</v>
      </c>
    </row>
    <row r="79" spans="1:21" x14ac:dyDescent="0.25">
      <c r="A79" s="91" t="s">
        <v>292</v>
      </c>
      <c r="B79" s="120">
        <v>7</v>
      </c>
      <c r="C79" s="91" t="s">
        <v>283</v>
      </c>
      <c r="D79" s="91" t="s">
        <v>80</v>
      </c>
      <c r="E79">
        <v>68</v>
      </c>
      <c r="F79">
        <v>69</v>
      </c>
      <c r="G79" s="94" t="s">
        <v>78</v>
      </c>
      <c r="H79" t="s">
        <v>293</v>
      </c>
      <c r="I79">
        <v>300</v>
      </c>
      <c r="J79">
        <v>12.88</v>
      </c>
      <c r="K79">
        <f>I79*J79</f>
        <v>3864.0000000000005</v>
      </c>
      <c r="L79">
        <v>27.83</v>
      </c>
      <c r="M79">
        <f>(1-(L79/100))*K79</f>
        <v>2788.6488000000004</v>
      </c>
      <c r="N79" s="91">
        <v>79</v>
      </c>
      <c r="O79" s="91" t="s">
        <v>294</v>
      </c>
      <c r="P79" s="119" t="s">
        <v>156</v>
      </c>
      <c r="Q79" s="119" t="s">
        <v>84</v>
      </c>
    </row>
    <row r="80" spans="1:21" x14ac:dyDescent="0.25">
      <c r="A80" s="91" t="s">
        <v>295</v>
      </c>
      <c r="B80" s="120">
        <v>7</v>
      </c>
      <c r="C80" s="91" t="s">
        <v>283</v>
      </c>
      <c r="D80" s="91" t="s">
        <v>794</v>
      </c>
      <c r="E80">
        <v>70</v>
      </c>
      <c r="F80">
        <v>71</v>
      </c>
      <c r="G80" s="94" t="s">
        <v>78</v>
      </c>
      <c r="H80" t="s">
        <v>296</v>
      </c>
      <c r="I80">
        <v>450</v>
      </c>
      <c r="J80">
        <v>22.14</v>
      </c>
      <c r="K80">
        <f>I80*J80</f>
        <v>9963</v>
      </c>
      <c r="L80">
        <v>27.83</v>
      </c>
      <c r="M80">
        <f>(1-(L80/100))*K80</f>
        <v>7190.2970999999998</v>
      </c>
      <c r="N80" s="91">
        <v>80</v>
      </c>
      <c r="O80" s="91" t="s">
        <v>297</v>
      </c>
      <c r="P80" s="119" t="s">
        <v>159</v>
      </c>
      <c r="Q80" s="119" t="s">
        <v>84</v>
      </c>
    </row>
    <row r="81" spans="1:17" x14ac:dyDescent="0.25">
      <c r="A81" s="91" t="s">
        <v>298</v>
      </c>
      <c r="B81" s="120">
        <v>7</v>
      </c>
      <c r="C81" s="91" t="s">
        <v>283</v>
      </c>
      <c r="D81" s="91" t="s">
        <v>795</v>
      </c>
      <c r="E81">
        <v>72</v>
      </c>
      <c r="F81">
        <v>73</v>
      </c>
      <c r="G81" s="94" t="s">
        <v>78</v>
      </c>
      <c r="H81" t="s">
        <v>299</v>
      </c>
      <c r="I81">
        <v>300</v>
      </c>
      <c r="J81">
        <v>18.45</v>
      </c>
      <c r="K81">
        <f>I81*J81</f>
        <v>5535</v>
      </c>
      <c r="L81">
        <v>27.83</v>
      </c>
      <c r="M81">
        <f>(1-(L81/100))*K81</f>
        <v>3994.6095</v>
      </c>
      <c r="N81" s="91">
        <v>81</v>
      </c>
      <c r="O81" s="91" t="s">
        <v>300</v>
      </c>
      <c r="P81" s="119" t="s">
        <v>162</v>
      </c>
      <c r="Q81" s="119" t="s">
        <v>84</v>
      </c>
    </row>
    <row r="82" spans="1:17" x14ac:dyDescent="0.25">
      <c r="A82" s="91" t="s">
        <v>301</v>
      </c>
      <c r="B82" s="120">
        <v>7</v>
      </c>
      <c r="C82" s="91" t="s">
        <v>283</v>
      </c>
      <c r="D82" s="91" t="s">
        <v>796</v>
      </c>
      <c r="E82">
        <v>74</v>
      </c>
      <c r="F82">
        <v>75</v>
      </c>
      <c r="G82" s="94" t="s">
        <v>78</v>
      </c>
      <c r="H82" t="s">
        <v>302</v>
      </c>
      <c r="I82">
        <v>300</v>
      </c>
      <c r="J82">
        <v>8.59</v>
      </c>
      <c r="K82">
        <f>I82*J82</f>
        <v>2577</v>
      </c>
      <c r="L82">
        <v>27.83</v>
      </c>
      <c r="M82">
        <f>(1-(L82/100))*K82</f>
        <v>1859.8208999999999</v>
      </c>
      <c r="N82" s="91">
        <v>82</v>
      </c>
      <c r="O82" s="91" t="s">
        <v>303</v>
      </c>
      <c r="P82" s="119" t="s">
        <v>165</v>
      </c>
      <c r="Q82" s="119" t="s">
        <v>84</v>
      </c>
    </row>
    <row r="83" spans="1:17" x14ac:dyDescent="0.25">
      <c r="A83" s="91" t="s">
        <v>304</v>
      </c>
      <c r="B83" s="120">
        <v>7</v>
      </c>
      <c r="C83" s="91" t="s">
        <v>283</v>
      </c>
      <c r="D83" s="91" t="s">
        <v>797</v>
      </c>
      <c r="E83">
        <v>76</v>
      </c>
      <c r="F83">
        <v>77</v>
      </c>
      <c r="G83" s="94" t="s">
        <v>78</v>
      </c>
      <c r="H83" t="s">
        <v>305</v>
      </c>
      <c r="I83">
        <v>300</v>
      </c>
      <c r="J83">
        <v>11.45</v>
      </c>
      <c r="K83">
        <f>I83*J83</f>
        <v>3435</v>
      </c>
      <c r="L83">
        <v>27.83</v>
      </c>
      <c r="M83">
        <f>(1-(L83/100))*K83</f>
        <v>2479.0394999999999</v>
      </c>
      <c r="N83" s="91">
        <v>83</v>
      </c>
      <c r="O83" s="91" t="s">
        <v>306</v>
      </c>
      <c r="P83" s="119" t="s">
        <v>1266</v>
      </c>
      <c r="Q83" s="119" t="s">
        <v>84</v>
      </c>
    </row>
    <row r="84" spans="1:17" x14ac:dyDescent="0.25">
      <c r="A84" s="91" t="s">
        <v>307</v>
      </c>
      <c r="B84" s="120">
        <v>7</v>
      </c>
      <c r="C84" s="91" t="s">
        <v>283</v>
      </c>
      <c r="D84" s="91" t="s">
        <v>798</v>
      </c>
      <c r="E84">
        <v>78</v>
      </c>
      <c r="F84">
        <v>79</v>
      </c>
      <c r="G84" s="94" t="s">
        <v>78</v>
      </c>
      <c r="H84" t="s">
        <v>308</v>
      </c>
      <c r="I84">
        <v>300</v>
      </c>
      <c r="J84">
        <v>5.73</v>
      </c>
      <c r="K84">
        <f>I84*J84</f>
        <v>1719.0000000000002</v>
      </c>
      <c r="L84">
        <v>27.83</v>
      </c>
      <c r="M84">
        <f>(1-(L84/100))*K84</f>
        <v>1240.6023000000002</v>
      </c>
      <c r="N84" s="91">
        <v>84</v>
      </c>
      <c r="O84" s="91" t="s">
        <v>309</v>
      </c>
      <c r="P84" s="119" t="s">
        <v>168</v>
      </c>
      <c r="Q84" s="119" t="s">
        <v>84</v>
      </c>
    </row>
    <row r="85" spans="1:17" x14ac:dyDescent="0.25">
      <c r="A85" s="91" t="s">
        <v>310</v>
      </c>
      <c r="B85" s="120">
        <v>7</v>
      </c>
      <c r="C85" s="91" t="s">
        <v>283</v>
      </c>
      <c r="D85" s="91" t="s">
        <v>799</v>
      </c>
      <c r="E85">
        <v>80</v>
      </c>
      <c r="F85">
        <v>81</v>
      </c>
      <c r="G85" s="94" t="s">
        <v>78</v>
      </c>
      <c r="H85" t="s">
        <v>311</v>
      </c>
      <c r="I85">
        <v>300</v>
      </c>
      <c r="J85">
        <v>10.02</v>
      </c>
      <c r="K85">
        <f>I85*J85</f>
        <v>3006</v>
      </c>
      <c r="L85">
        <v>27.83</v>
      </c>
      <c r="M85">
        <f>(1-(L85/100))*K85</f>
        <v>2169.4302000000002</v>
      </c>
      <c r="N85" s="91">
        <v>85</v>
      </c>
      <c r="O85" s="91" t="s">
        <v>312</v>
      </c>
      <c r="P85" s="119" t="s">
        <v>170</v>
      </c>
      <c r="Q85" s="119" t="s">
        <v>84</v>
      </c>
    </row>
    <row r="86" spans="1:17" x14ac:dyDescent="0.25">
      <c r="A86" s="91" t="s">
        <v>313</v>
      </c>
      <c r="B86" s="120">
        <v>7</v>
      </c>
      <c r="C86" s="91" t="s">
        <v>283</v>
      </c>
      <c r="D86" s="91" t="s">
        <v>800</v>
      </c>
      <c r="E86">
        <v>82</v>
      </c>
      <c r="F86">
        <v>83</v>
      </c>
      <c r="G86" s="94" t="s">
        <v>78</v>
      </c>
      <c r="H86" t="s">
        <v>314</v>
      </c>
      <c r="I86">
        <v>300</v>
      </c>
      <c r="J86">
        <v>14.31</v>
      </c>
      <c r="K86">
        <f>I86*J86</f>
        <v>4293</v>
      </c>
      <c r="L86">
        <v>27.83</v>
      </c>
      <c r="M86">
        <f>(1-(L86/100))*K86</f>
        <v>3098.2581</v>
      </c>
      <c r="N86" s="91">
        <v>86</v>
      </c>
      <c r="O86" s="91" t="s">
        <v>315</v>
      </c>
      <c r="P86" s="119" t="s">
        <v>172</v>
      </c>
      <c r="Q86" s="119" t="s">
        <v>84</v>
      </c>
    </row>
    <row r="87" spans="1:17" x14ac:dyDescent="0.25">
      <c r="A87" s="91" t="s">
        <v>316</v>
      </c>
      <c r="B87" s="120">
        <v>7</v>
      </c>
      <c r="C87" s="91" t="s">
        <v>283</v>
      </c>
      <c r="D87" s="91" t="s">
        <v>801</v>
      </c>
      <c r="E87">
        <v>84</v>
      </c>
      <c r="F87">
        <v>85</v>
      </c>
      <c r="G87" s="94" t="s">
        <v>78</v>
      </c>
      <c r="H87" t="s">
        <v>317</v>
      </c>
      <c r="I87">
        <v>300</v>
      </c>
      <c r="J87">
        <v>8.1199999999999992</v>
      </c>
      <c r="K87">
        <f>I87*J87</f>
        <v>2435.9999999999995</v>
      </c>
      <c r="L87">
        <v>27.83</v>
      </c>
      <c r="M87">
        <f>(1-(L87/100))*K87</f>
        <v>1758.0611999999996</v>
      </c>
      <c r="N87" s="91">
        <v>87</v>
      </c>
      <c r="O87" s="91" t="s">
        <v>318</v>
      </c>
      <c r="P87" s="119" t="s">
        <v>175</v>
      </c>
      <c r="Q87" s="119" t="s">
        <v>84</v>
      </c>
    </row>
    <row r="88" spans="1:17" x14ac:dyDescent="0.25">
      <c r="A88" s="91" t="s">
        <v>319</v>
      </c>
      <c r="B88" s="120">
        <v>7</v>
      </c>
      <c r="C88" s="91" t="s">
        <v>283</v>
      </c>
      <c r="D88" s="91" t="s">
        <v>802</v>
      </c>
      <c r="E88">
        <v>86</v>
      </c>
      <c r="F88">
        <v>87</v>
      </c>
      <c r="G88" s="94" t="s">
        <v>78</v>
      </c>
      <c r="H88" t="s">
        <v>320</v>
      </c>
      <c r="I88">
        <v>300</v>
      </c>
      <c r="J88">
        <v>22.14</v>
      </c>
      <c r="K88">
        <f>I88*J88</f>
        <v>6642</v>
      </c>
      <c r="L88">
        <v>27.83</v>
      </c>
      <c r="M88">
        <f>(1-(L88/100))*K88</f>
        <v>4793.5313999999998</v>
      </c>
      <c r="N88" s="91">
        <v>88</v>
      </c>
      <c r="O88" s="91" t="s">
        <v>321</v>
      </c>
      <c r="P88" s="119" t="s">
        <v>178</v>
      </c>
      <c r="Q88" s="119" t="s">
        <v>84</v>
      </c>
    </row>
    <row r="89" spans="1:17" x14ac:dyDescent="0.25">
      <c r="A89" s="91" t="s">
        <v>322</v>
      </c>
      <c r="B89" s="120">
        <v>7</v>
      </c>
      <c r="C89" s="91" t="s">
        <v>283</v>
      </c>
      <c r="D89" s="91" t="s">
        <v>803</v>
      </c>
      <c r="E89">
        <v>88</v>
      </c>
      <c r="F89">
        <v>89</v>
      </c>
      <c r="G89" s="94" t="s">
        <v>78</v>
      </c>
      <c r="H89" t="s">
        <v>323</v>
      </c>
      <c r="I89">
        <v>300</v>
      </c>
      <c r="J89">
        <v>170.32</v>
      </c>
      <c r="K89">
        <f>I89*J89</f>
        <v>51096</v>
      </c>
      <c r="L89">
        <v>27.83</v>
      </c>
      <c r="M89">
        <f>(1-(L89/100))*K89</f>
        <v>36875.983200000002</v>
      </c>
      <c r="N89" s="91">
        <v>89</v>
      </c>
      <c r="O89" s="91" t="s">
        <v>324</v>
      </c>
      <c r="P89" s="119" t="s">
        <v>181</v>
      </c>
      <c r="Q89" s="119" t="s">
        <v>84</v>
      </c>
    </row>
    <row r="90" spans="1:17" x14ac:dyDescent="0.25">
      <c r="A90" s="91" t="s">
        <v>325</v>
      </c>
      <c r="B90" s="120">
        <v>7</v>
      </c>
      <c r="C90" s="91" t="s">
        <v>283</v>
      </c>
      <c r="D90" s="91" t="s">
        <v>804</v>
      </c>
      <c r="E90">
        <v>90</v>
      </c>
      <c r="F90">
        <v>91</v>
      </c>
      <c r="G90" s="94" t="s">
        <v>78</v>
      </c>
      <c r="H90" t="s">
        <v>326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 s="91">
        <v>90</v>
      </c>
      <c r="O90" s="91" t="s">
        <v>327</v>
      </c>
      <c r="P90" s="119" t="s">
        <v>1267</v>
      </c>
      <c r="Q90" s="119" t="s">
        <v>84</v>
      </c>
    </row>
    <row r="91" spans="1:17" x14ac:dyDescent="0.25">
      <c r="A91" s="91" t="s">
        <v>328</v>
      </c>
      <c r="B91" s="120">
        <v>7</v>
      </c>
      <c r="C91" s="91" t="s">
        <v>283</v>
      </c>
      <c r="D91" s="91" t="s">
        <v>82</v>
      </c>
      <c r="E91">
        <v>92</v>
      </c>
      <c r="F91">
        <v>93</v>
      </c>
      <c r="G91" s="94" t="s">
        <v>78</v>
      </c>
      <c r="H91" t="s">
        <v>329</v>
      </c>
      <c r="I91">
        <v>300</v>
      </c>
      <c r="J91">
        <v>11.35</v>
      </c>
      <c r="K91">
        <f>I91*J91</f>
        <v>3405</v>
      </c>
      <c r="L91">
        <v>27.83</v>
      </c>
      <c r="M91">
        <f>(1-(L91/100))*K91</f>
        <v>2457.3885</v>
      </c>
      <c r="N91" s="91">
        <v>91</v>
      </c>
      <c r="O91" s="91" t="s">
        <v>330</v>
      </c>
      <c r="P91" s="119" t="s">
        <v>184</v>
      </c>
      <c r="Q91" s="119" t="s">
        <v>84</v>
      </c>
    </row>
    <row r="92" spans="1:17" x14ac:dyDescent="0.25">
      <c r="A92" s="91" t="s">
        <v>331</v>
      </c>
      <c r="B92" s="120">
        <v>7</v>
      </c>
      <c r="C92" s="91" t="s">
        <v>283</v>
      </c>
      <c r="D92" s="91" t="s">
        <v>85</v>
      </c>
      <c r="E92">
        <v>94</v>
      </c>
      <c r="F92">
        <v>95</v>
      </c>
      <c r="G92" s="94" t="s">
        <v>78</v>
      </c>
      <c r="H92" t="s">
        <v>332</v>
      </c>
      <c r="I92">
        <v>300</v>
      </c>
      <c r="J92">
        <v>8.59</v>
      </c>
      <c r="K92">
        <f>I92*J92</f>
        <v>2577</v>
      </c>
      <c r="L92">
        <v>27.83</v>
      </c>
      <c r="M92">
        <f>(1-(L92/100))*K92</f>
        <v>1859.8208999999999</v>
      </c>
      <c r="N92" s="91">
        <v>92</v>
      </c>
      <c r="O92" s="91" t="s">
        <v>333</v>
      </c>
      <c r="P92" s="119" t="s">
        <v>187</v>
      </c>
      <c r="Q92" s="119" t="s">
        <v>84</v>
      </c>
    </row>
    <row r="93" spans="1:17" x14ac:dyDescent="0.25">
      <c r="A93" s="91" t="s">
        <v>334</v>
      </c>
      <c r="B93" s="120">
        <v>7</v>
      </c>
      <c r="C93" s="91" t="s">
        <v>283</v>
      </c>
      <c r="D93" s="91" t="s">
        <v>88</v>
      </c>
      <c r="E93">
        <v>96</v>
      </c>
      <c r="F93">
        <v>97</v>
      </c>
      <c r="G93" s="94" t="s">
        <v>78</v>
      </c>
      <c r="H93" t="s">
        <v>335</v>
      </c>
      <c r="I93">
        <v>300</v>
      </c>
      <c r="J93">
        <v>8.59</v>
      </c>
      <c r="K93">
        <f>I93*J93</f>
        <v>2577</v>
      </c>
      <c r="L93">
        <v>27.83</v>
      </c>
      <c r="M93">
        <f>(1-(L93/100))*K93</f>
        <v>1859.8208999999999</v>
      </c>
      <c r="N93" s="91">
        <v>93</v>
      </c>
      <c r="O93" s="91" t="s">
        <v>336</v>
      </c>
      <c r="P93" s="119" t="s">
        <v>190</v>
      </c>
      <c r="Q93" s="119" t="s">
        <v>84</v>
      </c>
    </row>
    <row r="94" spans="1:17" x14ac:dyDescent="0.25">
      <c r="A94" s="91" t="s">
        <v>337</v>
      </c>
      <c r="B94" s="120">
        <v>7</v>
      </c>
      <c r="C94" s="91" t="s">
        <v>283</v>
      </c>
      <c r="D94" s="91" t="s">
        <v>91</v>
      </c>
      <c r="E94">
        <v>98</v>
      </c>
      <c r="F94">
        <v>99</v>
      </c>
      <c r="G94" s="94" t="s">
        <v>78</v>
      </c>
      <c r="H94" t="s">
        <v>338</v>
      </c>
      <c r="I94">
        <v>300</v>
      </c>
      <c r="J94">
        <v>11.45</v>
      </c>
      <c r="K94">
        <f>I94*J94</f>
        <v>3435</v>
      </c>
      <c r="L94">
        <v>27.83</v>
      </c>
      <c r="M94">
        <f>(1-(L94/100))*K94</f>
        <v>2479.0394999999999</v>
      </c>
      <c r="N94" s="91">
        <v>94</v>
      </c>
      <c r="O94" s="91" t="s">
        <v>339</v>
      </c>
      <c r="P94" s="119" t="s">
        <v>193</v>
      </c>
      <c r="Q94" s="119" t="s">
        <v>84</v>
      </c>
    </row>
    <row r="95" spans="1:17" x14ac:dyDescent="0.25">
      <c r="A95" s="91" t="s">
        <v>340</v>
      </c>
      <c r="B95" s="120">
        <v>7</v>
      </c>
      <c r="C95" s="91" t="s">
        <v>283</v>
      </c>
      <c r="D95" s="91" t="s">
        <v>93</v>
      </c>
      <c r="E95">
        <v>100</v>
      </c>
      <c r="F95">
        <v>101</v>
      </c>
      <c r="G95" s="94" t="s">
        <v>78</v>
      </c>
      <c r="H95" t="s">
        <v>341</v>
      </c>
      <c r="I95">
        <v>300</v>
      </c>
      <c r="J95">
        <v>11.07</v>
      </c>
      <c r="K95">
        <f>I95*J95</f>
        <v>3321</v>
      </c>
      <c r="L95">
        <v>27.83</v>
      </c>
      <c r="M95">
        <f>(1-(L95/100))*K95</f>
        <v>2396.7656999999999</v>
      </c>
      <c r="N95" s="91">
        <v>95</v>
      </c>
      <c r="O95" s="91" t="s">
        <v>342</v>
      </c>
      <c r="P95" s="119" t="s">
        <v>196</v>
      </c>
      <c r="Q95" s="119" t="s">
        <v>84</v>
      </c>
    </row>
    <row r="96" spans="1:17" x14ac:dyDescent="0.25">
      <c r="A96" s="91" t="s">
        <v>343</v>
      </c>
      <c r="B96" s="120">
        <v>7</v>
      </c>
      <c r="C96" s="91" t="s">
        <v>283</v>
      </c>
      <c r="D96" s="91" t="s">
        <v>96</v>
      </c>
      <c r="E96">
        <v>102</v>
      </c>
      <c r="F96">
        <v>103</v>
      </c>
      <c r="G96" s="94" t="s">
        <v>78</v>
      </c>
      <c r="H96" t="s">
        <v>344</v>
      </c>
      <c r="I96">
        <v>300</v>
      </c>
      <c r="J96">
        <v>11.07</v>
      </c>
      <c r="K96">
        <f>I96*J96</f>
        <v>3321</v>
      </c>
      <c r="L96">
        <v>27.83</v>
      </c>
      <c r="M96">
        <f>(1-(L96/100))*K96</f>
        <v>2396.7656999999999</v>
      </c>
      <c r="N96" s="91">
        <v>96</v>
      </c>
      <c r="O96" s="91" t="s">
        <v>345</v>
      </c>
      <c r="P96" s="119" t="s">
        <v>1268</v>
      </c>
      <c r="Q96" s="119" t="s">
        <v>84</v>
      </c>
    </row>
    <row r="97" spans="1:21" x14ac:dyDescent="0.25">
      <c r="A97" s="91" t="s">
        <v>346</v>
      </c>
      <c r="B97" s="120">
        <v>7</v>
      </c>
      <c r="C97" s="91" t="s">
        <v>283</v>
      </c>
      <c r="D97" s="91" t="s">
        <v>805</v>
      </c>
      <c r="E97">
        <v>104</v>
      </c>
      <c r="F97">
        <v>105</v>
      </c>
      <c r="G97" s="94" t="s">
        <v>78</v>
      </c>
      <c r="H97" t="s">
        <v>347</v>
      </c>
      <c r="I97">
        <v>300</v>
      </c>
      <c r="J97">
        <v>16.239999999999998</v>
      </c>
      <c r="K97">
        <f>I97*J97</f>
        <v>4871.9999999999991</v>
      </c>
      <c r="L97">
        <v>27.83</v>
      </c>
      <c r="M97">
        <f>(1-(L97/100))*K97</f>
        <v>3516.1223999999993</v>
      </c>
      <c r="N97" s="91">
        <v>97</v>
      </c>
      <c r="O97" s="91" t="s">
        <v>348</v>
      </c>
      <c r="P97" s="119" t="s">
        <v>199</v>
      </c>
      <c r="Q97" s="119" t="s">
        <v>84</v>
      </c>
    </row>
    <row r="98" spans="1:21" x14ac:dyDescent="0.25">
      <c r="A98" s="91" t="s">
        <v>349</v>
      </c>
      <c r="B98" s="120">
        <v>7</v>
      </c>
      <c r="C98" s="91" t="s">
        <v>283</v>
      </c>
      <c r="D98" s="91" t="s">
        <v>99</v>
      </c>
      <c r="E98">
        <v>106</v>
      </c>
      <c r="F98">
        <v>107</v>
      </c>
      <c r="G98" s="94" t="s">
        <v>78</v>
      </c>
      <c r="H98" t="s">
        <v>350</v>
      </c>
      <c r="I98">
        <v>300</v>
      </c>
      <c r="J98">
        <v>8.11</v>
      </c>
      <c r="K98">
        <f>I98*J98</f>
        <v>2433</v>
      </c>
      <c r="L98">
        <v>27.83</v>
      </c>
      <c r="M98">
        <f>(1-(L98/100))*K98</f>
        <v>1755.8960999999999</v>
      </c>
      <c r="N98" s="91">
        <v>98</v>
      </c>
      <c r="O98" s="91" t="s">
        <v>351</v>
      </c>
      <c r="P98" s="119" t="s">
        <v>202</v>
      </c>
      <c r="Q98" s="119" t="s">
        <v>84</v>
      </c>
    </row>
    <row r="99" spans="1:21" x14ac:dyDescent="0.25">
      <c r="A99" s="91" t="s">
        <v>352</v>
      </c>
      <c r="B99" s="120">
        <v>7</v>
      </c>
      <c r="C99" s="91" t="s">
        <v>283</v>
      </c>
      <c r="D99" s="91" t="s">
        <v>102</v>
      </c>
      <c r="E99">
        <v>108</v>
      </c>
      <c r="F99">
        <v>109</v>
      </c>
      <c r="G99" s="94" t="s">
        <v>78</v>
      </c>
      <c r="H99" t="s">
        <v>353</v>
      </c>
      <c r="I99">
        <v>300</v>
      </c>
      <c r="J99">
        <v>18.45</v>
      </c>
      <c r="K99">
        <f>I99*J99</f>
        <v>5535</v>
      </c>
      <c r="L99">
        <v>27.83</v>
      </c>
      <c r="M99">
        <f>(1-(L99/100))*K99</f>
        <v>3994.6095</v>
      </c>
      <c r="N99" s="91">
        <v>99</v>
      </c>
      <c r="O99" s="91" t="s">
        <v>354</v>
      </c>
      <c r="P99" s="119" t="s">
        <v>205</v>
      </c>
      <c r="Q99" s="119" t="s">
        <v>84</v>
      </c>
    </row>
    <row r="100" spans="1:21" x14ac:dyDescent="0.25">
      <c r="A100" s="91" t="s">
        <v>355</v>
      </c>
      <c r="B100" s="120">
        <v>7</v>
      </c>
      <c r="C100" s="91" t="s">
        <v>283</v>
      </c>
      <c r="D100" s="91" t="s">
        <v>806</v>
      </c>
      <c r="E100">
        <v>110</v>
      </c>
      <c r="F100">
        <v>111</v>
      </c>
      <c r="G100" s="94" t="s">
        <v>78</v>
      </c>
      <c r="H100" t="s">
        <v>356</v>
      </c>
      <c r="I100">
        <v>300</v>
      </c>
      <c r="J100">
        <v>13.29</v>
      </c>
      <c r="K100">
        <f>I100*J100</f>
        <v>3986.9999999999995</v>
      </c>
      <c r="L100">
        <v>27.83</v>
      </c>
      <c r="M100">
        <f>(1-(L100/100))*K100</f>
        <v>2877.4178999999999</v>
      </c>
      <c r="N100" s="91">
        <v>100</v>
      </c>
      <c r="O100" s="91" t="s">
        <v>357</v>
      </c>
      <c r="P100" s="119" t="s">
        <v>208</v>
      </c>
      <c r="Q100" s="119" t="s">
        <v>84</v>
      </c>
    </row>
    <row r="101" spans="1:21" x14ac:dyDescent="0.25">
      <c r="A101" s="91" t="s">
        <v>358</v>
      </c>
      <c r="B101" s="120">
        <v>7</v>
      </c>
      <c r="C101" s="91" t="s">
        <v>283</v>
      </c>
      <c r="D101" s="91" t="s">
        <v>104</v>
      </c>
      <c r="E101">
        <v>112</v>
      </c>
      <c r="F101">
        <v>113</v>
      </c>
      <c r="G101" s="94" t="s">
        <v>78</v>
      </c>
      <c r="H101" t="s">
        <v>359</v>
      </c>
      <c r="I101">
        <v>300</v>
      </c>
      <c r="J101">
        <v>12.98</v>
      </c>
      <c r="K101">
        <f>I101*J101</f>
        <v>3894</v>
      </c>
      <c r="L101">
        <v>27.83</v>
      </c>
      <c r="M101">
        <f>(1-(L101/100))*K101</f>
        <v>2810.2998000000002</v>
      </c>
      <c r="N101" s="91">
        <v>101</v>
      </c>
      <c r="O101" s="91" t="s">
        <v>360</v>
      </c>
      <c r="P101" s="119" t="s">
        <v>211</v>
      </c>
      <c r="Q101" s="119" t="s">
        <v>84</v>
      </c>
    </row>
    <row r="102" spans="1:21" x14ac:dyDescent="0.25">
      <c r="A102" s="91" t="s">
        <v>361</v>
      </c>
      <c r="B102" s="120">
        <v>7</v>
      </c>
      <c r="C102" s="91" t="s">
        <v>283</v>
      </c>
      <c r="D102" s="91" t="s">
        <v>107</v>
      </c>
      <c r="E102">
        <v>114</v>
      </c>
      <c r="F102">
        <v>115</v>
      </c>
      <c r="G102" s="94" t="s">
        <v>78</v>
      </c>
      <c r="H102" t="s">
        <v>362</v>
      </c>
      <c r="I102">
        <v>300</v>
      </c>
      <c r="J102">
        <v>2.21</v>
      </c>
      <c r="K102">
        <f>I102*J102</f>
        <v>663</v>
      </c>
      <c r="L102">
        <v>27.83</v>
      </c>
      <c r="M102">
        <f>(1-(L102/100))*K102</f>
        <v>478.4871</v>
      </c>
      <c r="N102" s="91">
        <v>102</v>
      </c>
      <c r="O102" s="91" t="s">
        <v>363</v>
      </c>
      <c r="P102" s="119" t="s">
        <v>214</v>
      </c>
      <c r="Q102" s="119" t="s">
        <v>84</v>
      </c>
    </row>
    <row r="103" spans="1:21" x14ac:dyDescent="0.25">
      <c r="A103" s="91" t="s">
        <v>364</v>
      </c>
      <c r="B103" s="120">
        <v>7</v>
      </c>
      <c r="C103" s="91" t="s">
        <v>283</v>
      </c>
      <c r="D103" s="91" t="s">
        <v>110</v>
      </c>
      <c r="E103">
        <v>116</v>
      </c>
      <c r="F103">
        <v>117</v>
      </c>
      <c r="G103" s="94" t="s">
        <v>78</v>
      </c>
      <c r="H103" t="s">
        <v>365</v>
      </c>
      <c r="I103">
        <v>300</v>
      </c>
      <c r="J103">
        <v>14.31</v>
      </c>
      <c r="K103">
        <f>I103*J103</f>
        <v>4293</v>
      </c>
      <c r="L103">
        <v>27.83</v>
      </c>
      <c r="M103">
        <f>(1-(L103/100))*K103</f>
        <v>3098.2581</v>
      </c>
      <c r="N103" s="91">
        <v>103</v>
      </c>
      <c r="O103" s="91" t="s">
        <v>366</v>
      </c>
      <c r="P103" s="119" t="s">
        <v>217</v>
      </c>
      <c r="Q103" s="119" t="s">
        <v>84</v>
      </c>
    </row>
    <row r="104" spans="1:21" x14ac:dyDescent="0.25">
      <c r="A104" s="91" t="s">
        <v>367</v>
      </c>
      <c r="B104" s="120">
        <v>7</v>
      </c>
      <c r="C104" s="91" t="s">
        <v>283</v>
      </c>
      <c r="D104" s="91" t="s">
        <v>113</v>
      </c>
      <c r="E104">
        <v>118</v>
      </c>
      <c r="F104">
        <v>119</v>
      </c>
      <c r="G104" s="94" t="s">
        <v>78</v>
      </c>
      <c r="H104" t="s">
        <v>368</v>
      </c>
      <c r="I104">
        <v>300</v>
      </c>
      <c r="J104">
        <v>11.45</v>
      </c>
      <c r="K104">
        <f>I104*J104</f>
        <v>3435</v>
      </c>
      <c r="L104">
        <v>27.83</v>
      </c>
      <c r="M104">
        <f>(1-(L104/100))*K104</f>
        <v>2479.0394999999999</v>
      </c>
      <c r="N104" s="91">
        <v>104</v>
      </c>
      <c r="O104" s="91" t="s">
        <v>369</v>
      </c>
      <c r="P104" s="119" t="s">
        <v>220</v>
      </c>
      <c r="Q104" s="119" t="s">
        <v>84</v>
      </c>
    </row>
    <row r="105" spans="1:21" x14ac:dyDescent="0.25">
      <c r="A105" s="91" t="s">
        <v>370</v>
      </c>
      <c r="B105" s="120">
        <v>6</v>
      </c>
      <c r="C105" s="91" t="s">
        <v>281</v>
      </c>
      <c r="D105" s="91" t="s">
        <v>79</v>
      </c>
      <c r="E105">
        <v>121</v>
      </c>
      <c r="F105">
        <v>126</v>
      </c>
      <c r="G105" s="94" t="s">
        <v>68</v>
      </c>
      <c r="H105" t="s">
        <v>284</v>
      </c>
      <c r="I105">
        <v>1</v>
      </c>
      <c r="J105">
        <f>SUM(K106,K107)</f>
        <v>12024</v>
      </c>
      <c r="K105">
        <f>I105*J105</f>
        <v>12024</v>
      </c>
      <c r="L105">
        <f>100*(1-(M105/K105))</f>
        <v>27.830000000000009</v>
      </c>
      <c r="M105">
        <f>I105*SUM(M106,M107)</f>
        <v>8677.7207999999991</v>
      </c>
      <c r="N105" s="91">
        <v>105</v>
      </c>
      <c r="O105" s="91" t="s">
        <v>371</v>
      </c>
      <c r="P105" s="119" t="s">
        <v>223</v>
      </c>
      <c r="Q105" s="119" t="s">
        <v>84</v>
      </c>
      <c r="R105" s="91" t="s">
        <v>810</v>
      </c>
      <c r="S105" s="91" t="s">
        <v>890</v>
      </c>
      <c r="T105" s="91" t="s">
        <v>930</v>
      </c>
      <c r="U105" s="91" t="s">
        <v>850</v>
      </c>
    </row>
    <row r="106" spans="1:21" x14ac:dyDescent="0.25">
      <c r="A106" s="91" t="s">
        <v>372</v>
      </c>
      <c r="B106" s="120">
        <v>7</v>
      </c>
      <c r="C106" s="91" t="s">
        <v>370</v>
      </c>
      <c r="D106" s="91" t="s">
        <v>78</v>
      </c>
      <c r="E106">
        <v>122</v>
      </c>
      <c r="F106">
        <v>123</v>
      </c>
      <c r="G106" s="94" t="s">
        <v>78</v>
      </c>
      <c r="H106" t="s">
        <v>373</v>
      </c>
      <c r="I106">
        <v>300</v>
      </c>
      <c r="J106">
        <v>15.2</v>
      </c>
      <c r="K106">
        <f>I106*J106</f>
        <v>4560</v>
      </c>
      <c r="L106">
        <v>27.83</v>
      </c>
      <c r="M106">
        <f>(1-(L106/100))*K106</f>
        <v>3290.9520000000002</v>
      </c>
      <c r="N106" s="91">
        <v>106</v>
      </c>
      <c r="O106" s="91" t="s">
        <v>374</v>
      </c>
      <c r="P106" s="119" t="s">
        <v>225</v>
      </c>
      <c r="Q106" s="119" t="s">
        <v>84</v>
      </c>
    </row>
    <row r="107" spans="1:21" x14ac:dyDescent="0.25">
      <c r="A107" s="91" t="s">
        <v>375</v>
      </c>
      <c r="B107" s="120">
        <v>7</v>
      </c>
      <c r="C107" s="91" t="s">
        <v>370</v>
      </c>
      <c r="D107" s="91" t="s">
        <v>79</v>
      </c>
      <c r="E107">
        <v>124</v>
      </c>
      <c r="F107">
        <v>125</v>
      </c>
      <c r="G107" s="94" t="s">
        <v>78</v>
      </c>
      <c r="H107" t="s">
        <v>376</v>
      </c>
      <c r="I107">
        <v>300</v>
      </c>
      <c r="J107">
        <v>24.88</v>
      </c>
      <c r="K107">
        <f>I107*J107</f>
        <v>7464</v>
      </c>
      <c r="L107">
        <v>27.83</v>
      </c>
      <c r="M107">
        <f>(1-(L107/100))*K107</f>
        <v>5386.7687999999998</v>
      </c>
      <c r="N107" s="91">
        <v>107</v>
      </c>
      <c r="O107" s="91" t="s">
        <v>377</v>
      </c>
      <c r="P107" s="119" t="s">
        <v>228</v>
      </c>
      <c r="Q107" s="119" t="s">
        <v>84</v>
      </c>
    </row>
    <row r="108" spans="1:21" x14ac:dyDescent="0.25">
      <c r="A108" s="91" t="s">
        <v>378</v>
      </c>
      <c r="B108" s="120">
        <v>3</v>
      </c>
      <c r="C108" s="91" t="s">
        <v>83</v>
      </c>
      <c r="D108" s="91" t="s">
        <v>802</v>
      </c>
      <c r="E108">
        <v>130</v>
      </c>
      <c r="F108">
        <v>141</v>
      </c>
      <c r="G108" s="94" t="s">
        <v>68</v>
      </c>
      <c r="H108" t="s">
        <v>379</v>
      </c>
      <c r="I108">
        <v>1</v>
      </c>
      <c r="J108">
        <f>SUM(K109)</f>
        <v>1574449.68</v>
      </c>
      <c r="K108">
        <f>I108*J108</f>
        <v>1574449.68</v>
      </c>
      <c r="L108">
        <f>100*(1-(M108/K108))</f>
        <v>7.0000000000000062</v>
      </c>
      <c r="M108">
        <f>I108*SUM(M109)</f>
        <v>1464238.2023999998</v>
      </c>
      <c r="N108" s="91">
        <v>108</v>
      </c>
      <c r="O108" s="91" t="s">
        <v>380</v>
      </c>
      <c r="P108" s="119" t="s">
        <v>1269</v>
      </c>
      <c r="Q108" s="119" t="s">
        <v>84</v>
      </c>
      <c r="R108" s="91" t="s">
        <v>1098</v>
      </c>
      <c r="S108" s="91" t="s">
        <v>1148</v>
      </c>
      <c r="T108" s="91" t="s">
        <v>1173</v>
      </c>
      <c r="U108" s="91" t="s">
        <v>1123</v>
      </c>
    </row>
    <row r="109" spans="1:21" x14ac:dyDescent="0.25">
      <c r="A109" s="91" t="s">
        <v>381</v>
      </c>
      <c r="B109" s="120">
        <v>4</v>
      </c>
      <c r="C109" s="91" t="s">
        <v>378</v>
      </c>
      <c r="D109" s="91" t="s">
        <v>78</v>
      </c>
      <c r="E109">
        <v>131</v>
      </c>
      <c r="F109">
        <v>140</v>
      </c>
      <c r="G109" s="94" t="s">
        <v>68</v>
      </c>
      <c r="H109" t="s">
        <v>379</v>
      </c>
      <c r="I109">
        <v>1</v>
      </c>
      <c r="J109">
        <f>SUM(K110)</f>
        <v>1574449.68</v>
      </c>
      <c r="K109">
        <f>I109*J109</f>
        <v>1574449.68</v>
      </c>
      <c r="L109">
        <f>100*(1-(M109/K109))</f>
        <v>7.0000000000000062</v>
      </c>
      <c r="M109">
        <f>I109*SUM(M110)</f>
        <v>1464238.2023999998</v>
      </c>
      <c r="N109" s="91">
        <v>109</v>
      </c>
      <c r="O109" s="91" t="s">
        <v>382</v>
      </c>
      <c r="P109" s="119" t="s">
        <v>231</v>
      </c>
      <c r="Q109" s="119" t="s">
        <v>84</v>
      </c>
      <c r="R109" s="91" t="s">
        <v>970</v>
      </c>
      <c r="S109" s="91" t="s">
        <v>1034</v>
      </c>
      <c r="T109" s="91" t="s">
        <v>1066</v>
      </c>
      <c r="U109" s="91" t="s">
        <v>1002</v>
      </c>
    </row>
    <row r="110" spans="1:21" x14ac:dyDescent="0.25">
      <c r="A110" s="91" t="s">
        <v>383</v>
      </c>
      <c r="B110" s="120">
        <v>5</v>
      </c>
      <c r="C110" s="91" t="s">
        <v>381</v>
      </c>
      <c r="D110" s="91" t="s">
        <v>78</v>
      </c>
      <c r="E110">
        <v>132</v>
      </c>
      <c r="F110">
        <v>139</v>
      </c>
      <c r="G110" s="94" t="s">
        <v>68</v>
      </c>
      <c r="H110" t="s">
        <v>379</v>
      </c>
      <c r="I110">
        <v>1</v>
      </c>
      <c r="J110">
        <f>SUM(K111,K112,K113)</f>
        <v>1574449.68</v>
      </c>
      <c r="K110">
        <f>I110*J110</f>
        <v>1574449.68</v>
      </c>
      <c r="L110">
        <f>100*(1-(M110/K110))</f>
        <v>7.0000000000000062</v>
      </c>
      <c r="M110">
        <f>I110*SUM(M111,M112,M113)</f>
        <v>1464238.2023999998</v>
      </c>
      <c r="N110" s="91">
        <v>110</v>
      </c>
      <c r="O110" s="91" t="s">
        <v>384</v>
      </c>
      <c r="P110" s="119" t="s">
        <v>1270</v>
      </c>
      <c r="Q110" s="119" t="s">
        <v>84</v>
      </c>
      <c r="R110" s="91" t="s">
        <v>811</v>
      </c>
      <c r="S110" s="91" t="s">
        <v>891</v>
      </c>
      <c r="T110" s="91" t="s">
        <v>931</v>
      </c>
      <c r="U110" s="91" t="s">
        <v>851</v>
      </c>
    </row>
    <row r="111" spans="1:21" x14ac:dyDescent="0.25">
      <c r="A111" s="91" t="s">
        <v>385</v>
      </c>
      <c r="B111" s="120">
        <v>6</v>
      </c>
      <c r="C111" s="91" t="s">
        <v>383</v>
      </c>
      <c r="D111" s="91" t="s">
        <v>78</v>
      </c>
      <c r="E111">
        <v>133</v>
      </c>
      <c r="F111">
        <v>134</v>
      </c>
      <c r="G111" s="94" t="s">
        <v>78</v>
      </c>
      <c r="H111" t="s">
        <v>386</v>
      </c>
      <c r="I111">
        <v>1</v>
      </c>
      <c r="J111">
        <v>169901.54</v>
      </c>
      <c r="K111">
        <f>I111*J111</f>
        <v>169901.54</v>
      </c>
      <c r="L111">
        <v>7</v>
      </c>
      <c r="M111">
        <f>(1-(L111/100))*K111</f>
        <v>158008.43220000001</v>
      </c>
      <c r="N111" s="91">
        <v>111</v>
      </c>
      <c r="O111" s="91" t="s">
        <v>387</v>
      </c>
      <c r="P111" s="119" t="s">
        <v>234</v>
      </c>
      <c r="Q111" s="119" t="s">
        <v>84</v>
      </c>
    </row>
    <row r="112" spans="1:21" x14ac:dyDescent="0.25">
      <c r="A112" s="91" t="s">
        <v>388</v>
      </c>
      <c r="B112" s="120">
        <v>6</v>
      </c>
      <c r="C112" s="91" t="s">
        <v>383</v>
      </c>
      <c r="D112" s="91" t="s">
        <v>79</v>
      </c>
      <c r="E112">
        <v>135</v>
      </c>
      <c r="F112">
        <v>136</v>
      </c>
      <c r="G112" s="94" t="s">
        <v>78</v>
      </c>
      <c r="H112" t="s">
        <v>389</v>
      </c>
      <c r="I112">
        <v>1</v>
      </c>
      <c r="J112">
        <v>1367064.15</v>
      </c>
      <c r="K112">
        <f>I112*J112</f>
        <v>1367064.15</v>
      </c>
      <c r="L112">
        <v>7</v>
      </c>
      <c r="M112">
        <f>(1-(L112/100))*K112</f>
        <v>1271369.6594999998</v>
      </c>
      <c r="N112" s="91">
        <v>112</v>
      </c>
      <c r="O112" s="91" t="s">
        <v>390</v>
      </c>
      <c r="P112" s="119" t="s">
        <v>236</v>
      </c>
      <c r="Q112" s="119" t="s">
        <v>84</v>
      </c>
    </row>
    <row r="113" spans="1:21" x14ac:dyDescent="0.25">
      <c r="A113" s="91" t="s">
        <v>391</v>
      </c>
      <c r="B113" s="120">
        <v>6</v>
      </c>
      <c r="C113" s="91" t="s">
        <v>383</v>
      </c>
      <c r="D113" s="91" t="s">
        <v>80</v>
      </c>
      <c r="E113">
        <v>137</v>
      </c>
      <c r="F113">
        <v>138</v>
      </c>
      <c r="G113" s="94" t="s">
        <v>78</v>
      </c>
      <c r="H113" t="s">
        <v>392</v>
      </c>
      <c r="I113">
        <v>1</v>
      </c>
      <c r="J113">
        <v>37483.99</v>
      </c>
      <c r="K113">
        <f>I113*J113</f>
        <v>37483.99</v>
      </c>
      <c r="L113">
        <v>7</v>
      </c>
      <c r="M113">
        <f>(1-(L113/100))*K113</f>
        <v>34860.110699999997</v>
      </c>
      <c r="N113" s="91">
        <v>113</v>
      </c>
      <c r="O113" s="91" t="s">
        <v>393</v>
      </c>
      <c r="P113" s="119" t="s">
        <v>238</v>
      </c>
      <c r="Q113" s="119" t="s">
        <v>84</v>
      </c>
    </row>
    <row r="114" spans="1:21" x14ac:dyDescent="0.25">
      <c r="A114" s="91" t="s">
        <v>394</v>
      </c>
      <c r="B114" s="120">
        <v>2</v>
      </c>
      <c r="C114" s="91" t="s">
        <v>78</v>
      </c>
      <c r="D114" s="91" t="s">
        <v>79</v>
      </c>
      <c r="E114">
        <v>143</v>
      </c>
      <c r="F114">
        <v>266</v>
      </c>
      <c r="G114" s="94" t="s">
        <v>68</v>
      </c>
      <c r="H114" t="s">
        <v>395</v>
      </c>
      <c r="I114">
        <v>1</v>
      </c>
      <c r="J114">
        <f>SUM(K115,K170)</f>
        <v>847098.9567000001</v>
      </c>
      <c r="K114">
        <f>I114*J114</f>
        <v>847098.9567000001</v>
      </c>
      <c r="L114">
        <f>100*(1-(M114/K114))</f>
        <v>12.73208978709749</v>
      </c>
      <c r="M114">
        <f>I114*SUM(M115,M170)</f>
        <v>739245.55694738997</v>
      </c>
      <c r="N114" s="91">
        <v>114</v>
      </c>
      <c r="O114" s="91" t="s">
        <v>396</v>
      </c>
      <c r="P114" s="119" t="s">
        <v>801</v>
      </c>
      <c r="Q114" s="119" t="s">
        <v>395</v>
      </c>
      <c r="R114" s="91" t="s">
        <v>1201</v>
      </c>
      <c r="S114" s="91" t="s">
        <v>1227</v>
      </c>
      <c r="T114" s="91" t="s">
        <v>1240</v>
      </c>
      <c r="U114" s="91" t="s">
        <v>1214</v>
      </c>
    </row>
    <row r="115" spans="1:21" x14ac:dyDescent="0.25">
      <c r="A115" s="91" t="s">
        <v>397</v>
      </c>
      <c r="B115" s="120">
        <v>3</v>
      </c>
      <c r="C115" s="91" t="s">
        <v>394</v>
      </c>
      <c r="D115" s="91" t="s">
        <v>78</v>
      </c>
      <c r="E115">
        <v>144</v>
      </c>
      <c r="F115">
        <v>253</v>
      </c>
      <c r="G115" s="94" t="s">
        <v>68</v>
      </c>
      <c r="H115" t="s">
        <v>398</v>
      </c>
      <c r="I115">
        <v>1</v>
      </c>
      <c r="J115">
        <f>SUM(K116,K125,K134,K143,K152,K161)</f>
        <v>233108.36669999998</v>
      </c>
      <c r="K115">
        <f>I115*J115</f>
        <v>233108.36669999998</v>
      </c>
      <c r="L115">
        <f>100*(1-(M115/K115))</f>
        <v>27.83</v>
      </c>
      <c r="M115">
        <f>I115*SUM(M116,M125,M134,M143,M152,M161)</f>
        <v>168234.30824739</v>
      </c>
      <c r="N115" s="91">
        <v>115</v>
      </c>
      <c r="O115" s="91" t="s">
        <v>399</v>
      </c>
      <c r="P115" s="119" t="s">
        <v>802</v>
      </c>
      <c r="Q115" s="119" t="s">
        <v>395</v>
      </c>
      <c r="R115" s="91" t="s">
        <v>1202</v>
      </c>
      <c r="S115" s="91" t="s">
        <v>1228</v>
      </c>
      <c r="T115" s="91" t="s">
        <v>1241</v>
      </c>
      <c r="U115" s="91" t="s">
        <v>1215</v>
      </c>
    </row>
    <row r="116" spans="1:21" x14ac:dyDescent="0.25">
      <c r="A116" s="91" t="s">
        <v>400</v>
      </c>
      <c r="B116" s="120">
        <v>4</v>
      </c>
      <c r="C116" s="91" t="s">
        <v>397</v>
      </c>
      <c r="D116" s="91" t="s">
        <v>78</v>
      </c>
      <c r="E116">
        <v>145</v>
      </c>
      <c r="F116">
        <v>162</v>
      </c>
      <c r="G116" s="94" t="s">
        <v>68</v>
      </c>
      <c r="H116" t="s">
        <v>401</v>
      </c>
      <c r="I116">
        <v>1</v>
      </c>
      <c r="J116">
        <f>SUM(K117)</f>
        <v>41258.118000000002</v>
      </c>
      <c r="K116">
        <f>I116*J116</f>
        <v>41258.118000000002</v>
      </c>
      <c r="L116">
        <f>100*(1-(M116/K116))</f>
        <v>27.83</v>
      </c>
      <c r="M116">
        <f>I116*SUM(M117)</f>
        <v>29775.9837606</v>
      </c>
      <c r="N116" s="91">
        <v>116</v>
      </c>
      <c r="O116" s="91" t="s">
        <v>402</v>
      </c>
      <c r="P116" s="119" t="s">
        <v>803</v>
      </c>
      <c r="Q116" s="119" t="s">
        <v>395</v>
      </c>
      <c r="R116" s="91" t="s">
        <v>1102</v>
      </c>
      <c r="S116" s="91" t="s">
        <v>1152</v>
      </c>
      <c r="T116" s="91" t="s">
        <v>1177</v>
      </c>
      <c r="U116" s="91" t="s">
        <v>1127</v>
      </c>
    </row>
    <row r="117" spans="1:21" x14ac:dyDescent="0.25">
      <c r="A117" s="91" t="s">
        <v>403</v>
      </c>
      <c r="B117" s="120">
        <v>5</v>
      </c>
      <c r="C117" s="91" t="s">
        <v>400</v>
      </c>
      <c r="D117" s="91" t="s">
        <v>78</v>
      </c>
      <c r="E117">
        <v>146</v>
      </c>
      <c r="F117">
        <v>161</v>
      </c>
      <c r="G117" s="94" t="s">
        <v>68</v>
      </c>
      <c r="H117" t="s">
        <v>404</v>
      </c>
      <c r="I117">
        <v>1</v>
      </c>
      <c r="J117">
        <f>SUM(K118,K122)</f>
        <v>41258.118000000002</v>
      </c>
      <c r="K117">
        <f>I117*J117</f>
        <v>41258.118000000002</v>
      </c>
      <c r="L117">
        <f>100*(1-(M117/K117))</f>
        <v>27.83</v>
      </c>
      <c r="M117">
        <f>I117*SUM(M118,M122)</f>
        <v>29775.9837606</v>
      </c>
      <c r="N117" s="91">
        <v>117</v>
      </c>
      <c r="O117" s="91" t="s">
        <v>405</v>
      </c>
      <c r="P117" s="119" t="s">
        <v>804</v>
      </c>
      <c r="Q117" s="119" t="s">
        <v>395</v>
      </c>
      <c r="R117" s="91" t="s">
        <v>974</v>
      </c>
      <c r="S117" s="91" t="s">
        <v>1038</v>
      </c>
      <c r="T117" s="91" t="s">
        <v>1070</v>
      </c>
      <c r="U117" s="91" t="s">
        <v>1006</v>
      </c>
    </row>
    <row r="118" spans="1:21" x14ac:dyDescent="0.25">
      <c r="A118" s="91" t="s">
        <v>406</v>
      </c>
      <c r="B118" s="120">
        <v>6</v>
      </c>
      <c r="C118" s="91" t="s">
        <v>403</v>
      </c>
      <c r="D118" s="91" t="s">
        <v>78</v>
      </c>
      <c r="E118">
        <v>147</v>
      </c>
      <c r="F118">
        <v>154</v>
      </c>
      <c r="G118" s="94" t="s">
        <v>68</v>
      </c>
      <c r="H118" t="s">
        <v>407</v>
      </c>
      <c r="I118">
        <v>1</v>
      </c>
      <c r="J118">
        <f>SUM(K119,K120,K121)</f>
        <v>19559.40408</v>
      </c>
      <c r="K118">
        <f>I118*J118</f>
        <v>19559.40408</v>
      </c>
      <c r="L118">
        <f>100*(1-(M118/K118))</f>
        <v>27.83</v>
      </c>
      <c r="M118">
        <f>I118*SUM(M119,M120,M121)</f>
        <v>14116.021924536</v>
      </c>
      <c r="N118" s="91">
        <v>118</v>
      </c>
      <c r="O118" s="91" t="s">
        <v>408</v>
      </c>
      <c r="P118" s="119" t="s">
        <v>82</v>
      </c>
      <c r="Q118" s="119" t="s">
        <v>395</v>
      </c>
      <c r="R118" s="91" t="s">
        <v>815</v>
      </c>
      <c r="S118" s="91" t="s">
        <v>895</v>
      </c>
      <c r="T118" s="91" t="s">
        <v>935</v>
      </c>
      <c r="U118" s="91" t="s">
        <v>855</v>
      </c>
    </row>
    <row r="119" spans="1:21" x14ac:dyDescent="0.25">
      <c r="A119" s="91" t="s">
        <v>409</v>
      </c>
      <c r="B119" s="120">
        <v>7</v>
      </c>
      <c r="C119" s="91" t="s">
        <v>406</v>
      </c>
      <c r="D119" s="91" t="s">
        <v>78</v>
      </c>
      <c r="E119">
        <v>148</v>
      </c>
      <c r="F119">
        <v>149</v>
      </c>
      <c r="G119" s="94" t="s">
        <v>78</v>
      </c>
      <c r="H119" t="s">
        <v>410</v>
      </c>
      <c r="I119">
        <v>12000</v>
      </c>
      <c r="J119">
        <v>1.3243346499999999</v>
      </c>
      <c r="K119">
        <f>I119*J119</f>
        <v>15892.015799999999</v>
      </c>
      <c r="L119">
        <v>27.83</v>
      </c>
      <c r="M119">
        <f>(1-(L119/100))*K119</f>
        <v>11469.26780286</v>
      </c>
      <c r="N119" s="91">
        <v>119</v>
      </c>
      <c r="O119" s="91" t="s">
        <v>411</v>
      </c>
      <c r="P119" s="119" t="s">
        <v>85</v>
      </c>
      <c r="Q119" s="119" t="s">
        <v>395</v>
      </c>
    </row>
    <row r="120" spans="1:21" x14ac:dyDescent="0.25">
      <c r="A120" s="91" t="s">
        <v>412</v>
      </c>
      <c r="B120" s="120">
        <v>7</v>
      </c>
      <c r="C120" s="91" t="s">
        <v>406</v>
      </c>
      <c r="D120" s="91" t="s">
        <v>79</v>
      </c>
      <c r="E120">
        <v>150</v>
      </c>
      <c r="F120">
        <v>151</v>
      </c>
      <c r="G120" s="94" t="s">
        <v>78</v>
      </c>
      <c r="H120" t="s">
        <v>413</v>
      </c>
      <c r="I120">
        <v>12000</v>
      </c>
      <c r="J120">
        <v>3.820196E-2</v>
      </c>
      <c r="K120">
        <f>I120*J120</f>
        <v>458.42352</v>
      </c>
      <c r="L120">
        <v>27.83</v>
      </c>
      <c r="M120">
        <f>(1-(L120/100))*K120</f>
        <v>330.84425438400001</v>
      </c>
      <c r="N120" s="91">
        <v>120</v>
      </c>
      <c r="O120" s="91" t="s">
        <v>414</v>
      </c>
      <c r="P120" s="119" t="s">
        <v>88</v>
      </c>
      <c r="Q120" s="119" t="s">
        <v>395</v>
      </c>
    </row>
    <row r="121" spans="1:21" x14ac:dyDescent="0.25">
      <c r="A121" s="91" t="s">
        <v>415</v>
      </c>
      <c r="B121" s="120">
        <v>7</v>
      </c>
      <c r="C121" s="91" t="s">
        <v>406</v>
      </c>
      <c r="D121" s="91" t="s">
        <v>80</v>
      </c>
      <c r="E121">
        <v>152</v>
      </c>
      <c r="F121">
        <v>153</v>
      </c>
      <c r="G121" s="94" t="s">
        <v>78</v>
      </c>
      <c r="H121" t="s">
        <v>416</v>
      </c>
      <c r="I121">
        <v>12000</v>
      </c>
      <c r="J121">
        <v>0.26741373000000002</v>
      </c>
      <c r="K121">
        <f>I121*J121</f>
        <v>3208.9647600000003</v>
      </c>
      <c r="L121">
        <v>27.83</v>
      </c>
      <c r="M121">
        <f>(1-(L121/100))*K121</f>
        <v>2315.9098672920004</v>
      </c>
      <c r="N121" s="91">
        <v>121</v>
      </c>
      <c r="O121" s="91" t="s">
        <v>417</v>
      </c>
      <c r="P121" s="119" t="s">
        <v>91</v>
      </c>
      <c r="Q121" s="119" t="s">
        <v>395</v>
      </c>
    </row>
    <row r="122" spans="1:21" x14ac:dyDescent="0.25">
      <c r="A122" s="91" t="s">
        <v>418</v>
      </c>
      <c r="B122" s="120">
        <v>6</v>
      </c>
      <c r="C122" s="91" t="s">
        <v>403</v>
      </c>
      <c r="D122" s="91" t="s">
        <v>79</v>
      </c>
      <c r="E122">
        <v>155</v>
      </c>
      <c r="F122">
        <v>160</v>
      </c>
      <c r="G122" s="94" t="s">
        <v>68</v>
      </c>
      <c r="H122" t="s">
        <v>407</v>
      </c>
      <c r="I122">
        <v>1</v>
      </c>
      <c r="J122">
        <f>SUM(K123,K124)</f>
        <v>21698.713919999998</v>
      </c>
      <c r="K122">
        <f>I122*J122</f>
        <v>21698.713919999998</v>
      </c>
      <c r="L122">
        <f>100*(1-(M122/K122))</f>
        <v>27.83</v>
      </c>
      <c r="M122">
        <f>I122*SUM(M123,M124)</f>
        <v>15659.961836063998</v>
      </c>
      <c r="N122" s="91">
        <v>122</v>
      </c>
      <c r="O122" s="91" t="s">
        <v>419</v>
      </c>
      <c r="P122" s="119" t="s">
        <v>93</v>
      </c>
      <c r="Q122" s="119" t="s">
        <v>395</v>
      </c>
      <c r="R122" s="91" t="s">
        <v>816</v>
      </c>
      <c r="S122" s="91" t="s">
        <v>896</v>
      </c>
      <c r="T122" s="91" t="s">
        <v>936</v>
      </c>
      <c r="U122" s="91" t="s">
        <v>856</v>
      </c>
    </row>
    <row r="123" spans="1:21" x14ac:dyDescent="0.25">
      <c r="A123" s="91" t="s">
        <v>420</v>
      </c>
      <c r="B123" s="120">
        <v>7</v>
      </c>
      <c r="C123" s="91" t="s">
        <v>418</v>
      </c>
      <c r="D123" s="91" t="s">
        <v>78</v>
      </c>
      <c r="E123">
        <v>156</v>
      </c>
      <c r="F123">
        <v>157</v>
      </c>
      <c r="G123" s="94" t="s">
        <v>78</v>
      </c>
      <c r="H123" t="s">
        <v>421</v>
      </c>
      <c r="I123">
        <v>12000</v>
      </c>
      <c r="J123">
        <v>1.2097287699999999</v>
      </c>
      <c r="K123">
        <f>I123*J123</f>
        <v>14516.745239999998</v>
      </c>
      <c r="L123">
        <v>27.83</v>
      </c>
      <c r="M123">
        <f>(1-(L123/100))*K123</f>
        <v>10476.735039707999</v>
      </c>
      <c r="N123" s="91">
        <v>123</v>
      </c>
      <c r="O123" s="91" t="s">
        <v>422</v>
      </c>
      <c r="P123" s="119" t="s">
        <v>96</v>
      </c>
      <c r="Q123" s="119" t="s">
        <v>395</v>
      </c>
    </row>
    <row r="124" spans="1:21" x14ac:dyDescent="0.25">
      <c r="A124" s="91" t="s">
        <v>423</v>
      </c>
      <c r="B124" s="120">
        <v>7</v>
      </c>
      <c r="C124" s="91" t="s">
        <v>418</v>
      </c>
      <c r="D124" s="91" t="s">
        <v>79</v>
      </c>
      <c r="E124">
        <v>158</v>
      </c>
      <c r="F124">
        <v>159</v>
      </c>
      <c r="G124" s="94" t="s">
        <v>78</v>
      </c>
      <c r="H124" t="s">
        <v>424</v>
      </c>
      <c r="I124">
        <v>12000</v>
      </c>
      <c r="J124">
        <v>0.59849739000000002</v>
      </c>
      <c r="K124">
        <f>I124*J124</f>
        <v>7181.9686799999999</v>
      </c>
      <c r="L124">
        <v>27.83</v>
      </c>
      <c r="M124">
        <f>(1-(L124/100))*K124</f>
        <v>5183.2267963559998</v>
      </c>
      <c r="N124" s="91">
        <v>124</v>
      </c>
      <c r="O124" s="91" t="s">
        <v>425</v>
      </c>
      <c r="P124" s="119" t="s">
        <v>805</v>
      </c>
      <c r="Q124" s="119" t="s">
        <v>395</v>
      </c>
    </row>
    <row r="125" spans="1:21" x14ac:dyDescent="0.25">
      <c r="A125" s="91" t="s">
        <v>426</v>
      </c>
      <c r="B125" s="120">
        <v>4</v>
      </c>
      <c r="C125" s="91" t="s">
        <v>397</v>
      </c>
      <c r="D125" s="91" t="s">
        <v>79</v>
      </c>
      <c r="E125">
        <v>163</v>
      </c>
      <c r="F125">
        <v>180</v>
      </c>
      <c r="G125" s="94" t="s">
        <v>68</v>
      </c>
      <c r="H125" t="s">
        <v>427</v>
      </c>
      <c r="I125">
        <v>1</v>
      </c>
      <c r="J125">
        <f>SUM(K126)</f>
        <v>37132.306199999999</v>
      </c>
      <c r="K125">
        <f>I125*J125</f>
        <v>37132.306199999999</v>
      </c>
      <c r="L125">
        <f>100*(1-(M125/K125))</f>
        <v>27.83</v>
      </c>
      <c r="M125">
        <f>I125*SUM(M126)</f>
        <v>26798.385384540001</v>
      </c>
      <c r="N125" s="91">
        <v>125</v>
      </c>
      <c r="O125" s="91" t="s">
        <v>428</v>
      </c>
      <c r="P125" s="119" t="s">
        <v>99</v>
      </c>
      <c r="Q125" s="119" t="s">
        <v>395</v>
      </c>
      <c r="R125" s="91" t="s">
        <v>1103</v>
      </c>
      <c r="S125" s="91" t="s">
        <v>1153</v>
      </c>
      <c r="T125" s="91" t="s">
        <v>1178</v>
      </c>
      <c r="U125" s="91" t="s">
        <v>1128</v>
      </c>
    </row>
    <row r="126" spans="1:21" x14ac:dyDescent="0.25">
      <c r="A126" s="91" t="s">
        <v>429</v>
      </c>
      <c r="B126" s="120">
        <v>5</v>
      </c>
      <c r="C126" s="91" t="s">
        <v>426</v>
      </c>
      <c r="D126" s="91" t="s">
        <v>78</v>
      </c>
      <c r="E126">
        <v>164</v>
      </c>
      <c r="F126">
        <v>179</v>
      </c>
      <c r="G126" s="94" t="s">
        <v>68</v>
      </c>
      <c r="H126" t="s">
        <v>430</v>
      </c>
      <c r="I126">
        <v>1</v>
      </c>
      <c r="J126">
        <f>SUM(K127,K131)</f>
        <v>37132.306199999999</v>
      </c>
      <c r="K126">
        <f>I126*J126</f>
        <v>37132.306199999999</v>
      </c>
      <c r="L126">
        <f>100*(1-(M126/K126))</f>
        <v>27.83</v>
      </c>
      <c r="M126">
        <f>I126*SUM(M127,M131)</f>
        <v>26798.385384540001</v>
      </c>
      <c r="N126" s="91">
        <v>126</v>
      </c>
      <c r="O126" s="91" t="s">
        <v>431</v>
      </c>
      <c r="P126" s="119" t="s">
        <v>102</v>
      </c>
      <c r="Q126" s="119" t="s">
        <v>395</v>
      </c>
      <c r="R126" s="91" t="s">
        <v>975</v>
      </c>
      <c r="S126" s="91" t="s">
        <v>1039</v>
      </c>
      <c r="T126" s="91" t="s">
        <v>1071</v>
      </c>
      <c r="U126" s="91" t="s">
        <v>1007</v>
      </c>
    </row>
    <row r="127" spans="1:21" x14ac:dyDescent="0.25">
      <c r="A127" s="91" t="s">
        <v>432</v>
      </c>
      <c r="B127" s="120">
        <v>6</v>
      </c>
      <c r="C127" s="91" t="s">
        <v>429</v>
      </c>
      <c r="D127" s="91" t="s">
        <v>78</v>
      </c>
      <c r="E127">
        <v>165</v>
      </c>
      <c r="F127">
        <v>172</v>
      </c>
      <c r="G127" s="94" t="s">
        <v>68</v>
      </c>
      <c r="H127" t="s">
        <v>407</v>
      </c>
      <c r="I127">
        <v>1</v>
      </c>
      <c r="J127">
        <f>SUM(K128,K129,K130)</f>
        <v>17603.463672000002</v>
      </c>
      <c r="K127">
        <f>I127*J127</f>
        <v>17603.463672000002</v>
      </c>
      <c r="L127">
        <f>100*(1-(M127/K127))</f>
        <v>27.83</v>
      </c>
      <c r="M127">
        <f>I127*SUM(M128,M129,M130)</f>
        <v>12704.419732082401</v>
      </c>
      <c r="N127" s="91">
        <v>127</v>
      </c>
      <c r="O127" s="91" t="s">
        <v>433</v>
      </c>
      <c r="P127" s="119" t="s">
        <v>806</v>
      </c>
      <c r="Q127" s="119" t="s">
        <v>395</v>
      </c>
      <c r="R127" s="91" t="s">
        <v>817</v>
      </c>
      <c r="S127" s="91" t="s">
        <v>897</v>
      </c>
      <c r="T127" s="91" t="s">
        <v>937</v>
      </c>
      <c r="U127" s="91" t="s">
        <v>857</v>
      </c>
    </row>
    <row r="128" spans="1:21" x14ac:dyDescent="0.25">
      <c r="A128" s="91" t="s">
        <v>434</v>
      </c>
      <c r="B128" s="120">
        <v>7</v>
      </c>
      <c r="C128" s="91" t="s">
        <v>432</v>
      </c>
      <c r="D128" s="91" t="s">
        <v>78</v>
      </c>
      <c r="E128">
        <v>166</v>
      </c>
      <c r="F128">
        <v>167</v>
      </c>
      <c r="G128" s="94" t="s">
        <v>78</v>
      </c>
      <c r="H128" t="s">
        <v>410</v>
      </c>
      <c r="I128">
        <v>10800</v>
      </c>
      <c r="J128">
        <v>1.3243346499999999</v>
      </c>
      <c r="K128">
        <f>I128*J128</f>
        <v>14302.81422</v>
      </c>
      <c r="L128">
        <v>27.83</v>
      </c>
      <c r="M128">
        <f>(1-(L128/100))*K128</f>
        <v>10322.341022574001</v>
      </c>
      <c r="N128" s="91">
        <v>128</v>
      </c>
      <c r="O128" s="91" t="s">
        <v>435</v>
      </c>
      <c r="P128" s="119" t="s">
        <v>104</v>
      </c>
      <c r="Q128" s="119" t="s">
        <v>395</v>
      </c>
    </row>
    <row r="129" spans="1:21" x14ac:dyDescent="0.25">
      <c r="A129" s="91" t="s">
        <v>436</v>
      </c>
      <c r="B129" s="120">
        <v>7</v>
      </c>
      <c r="C129" s="91" t="s">
        <v>432</v>
      </c>
      <c r="D129" s="91" t="s">
        <v>79</v>
      </c>
      <c r="E129">
        <v>168</v>
      </c>
      <c r="F129">
        <v>169</v>
      </c>
      <c r="G129" s="94" t="s">
        <v>78</v>
      </c>
      <c r="H129" t="s">
        <v>413</v>
      </c>
      <c r="I129">
        <v>10800</v>
      </c>
      <c r="J129">
        <v>3.820196E-2</v>
      </c>
      <c r="K129">
        <f>I129*J129</f>
        <v>412.58116799999999</v>
      </c>
      <c r="L129">
        <v>27.83</v>
      </c>
      <c r="M129">
        <f>(1-(L129/100))*K129</f>
        <v>297.75982894560002</v>
      </c>
      <c r="N129" s="91">
        <v>129</v>
      </c>
      <c r="O129" s="91" t="s">
        <v>437</v>
      </c>
      <c r="P129" s="119" t="s">
        <v>107</v>
      </c>
      <c r="Q129" s="119" t="s">
        <v>395</v>
      </c>
    </row>
    <row r="130" spans="1:21" x14ac:dyDescent="0.25">
      <c r="A130" s="91" t="s">
        <v>438</v>
      </c>
      <c r="B130" s="120">
        <v>7</v>
      </c>
      <c r="C130" s="91" t="s">
        <v>432</v>
      </c>
      <c r="D130" s="91" t="s">
        <v>80</v>
      </c>
      <c r="E130">
        <v>170</v>
      </c>
      <c r="F130">
        <v>171</v>
      </c>
      <c r="G130" s="94" t="s">
        <v>78</v>
      </c>
      <c r="H130" t="s">
        <v>416</v>
      </c>
      <c r="I130">
        <v>10800</v>
      </c>
      <c r="J130">
        <v>0.26741373000000002</v>
      </c>
      <c r="K130">
        <f>I130*J130</f>
        <v>2888.0682839999999</v>
      </c>
      <c r="L130">
        <v>27.83</v>
      </c>
      <c r="M130">
        <f>(1-(L130/100))*K130</f>
        <v>2084.3188805628001</v>
      </c>
      <c r="N130" s="91">
        <v>130</v>
      </c>
      <c r="O130" s="91" t="s">
        <v>439</v>
      </c>
      <c r="P130" s="119" t="s">
        <v>110</v>
      </c>
      <c r="Q130" s="119" t="s">
        <v>395</v>
      </c>
    </row>
    <row r="131" spans="1:21" x14ac:dyDescent="0.25">
      <c r="A131" s="91" t="s">
        <v>440</v>
      </c>
      <c r="B131" s="120">
        <v>6</v>
      </c>
      <c r="C131" s="91" t="s">
        <v>429</v>
      </c>
      <c r="D131" s="91" t="s">
        <v>79</v>
      </c>
      <c r="E131">
        <v>173</v>
      </c>
      <c r="F131">
        <v>178</v>
      </c>
      <c r="G131" s="94" t="s">
        <v>68</v>
      </c>
      <c r="H131" t="s">
        <v>407</v>
      </c>
      <c r="I131">
        <v>1</v>
      </c>
      <c r="J131">
        <f>SUM(K132,K133)</f>
        <v>19528.842527999997</v>
      </c>
      <c r="K131">
        <f>I131*J131</f>
        <v>19528.842527999997</v>
      </c>
      <c r="L131">
        <f>100*(1-(M131/K131))</f>
        <v>27.83</v>
      </c>
      <c r="M131">
        <f>I131*SUM(M132,M133)</f>
        <v>14093.965652457598</v>
      </c>
      <c r="N131" s="91">
        <v>131</v>
      </c>
      <c r="O131" s="91" t="s">
        <v>441</v>
      </c>
      <c r="P131" s="119" t="s">
        <v>113</v>
      </c>
      <c r="Q131" s="119" t="s">
        <v>395</v>
      </c>
      <c r="R131" s="91" t="s">
        <v>818</v>
      </c>
      <c r="S131" s="91" t="s">
        <v>898</v>
      </c>
      <c r="T131" s="91" t="s">
        <v>938</v>
      </c>
      <c r="U131" s="91" t="s">
        <v>858</v>
      </c>
    </row>
    <row r="132" spans="1:21" x14ac:dyDescent="0.25">
      <c r="A132" s="91" t="s">
        <v>442</v>
      </c>
      <c r="B132" s="120">
        <v>7</v>
      </c>
      <c r="C132" s="91" t="s">
        <v>440</v>
      </c>
      <c r="D132" s="91" t="s">
        <v>78</v>
      </c>
      <c r="E132">
        <v>174</v>
      </c>
      <c r="F132">
        <v>175</v>
      </c>
      <c r="G132" s="94" t="s">
        <v>78</v>
      </c>
      <c r="H132" t="s">
        <v>421</v>
      </c>
      <c r="I132">
        <v>10800</v>
      </c>
      <c r="J132">
        <v>1.2097287699999999</v>
      </c>
      <c r="K132">
        <f>I132*J132</f>
        <v>13065.070715999998</v>
      </c>
      <c r="L132">
        <v>27.83</v>
      </c>
      <c r="M132">
        <f>(1-(L132/100))*K132</f>
        <v>9429.0615357371989</v>
      </c>
      <c r="N132" s="91">
        <v>132</v>
      </c>
      <c r="O132" s="91" t="s">
        <v>443</v>
      </c>
      <c r="P132" s="119" t="s">
        <v>116</v>
      </c>
      <c r="Q132" s="119" t="s">
        <v>395</v>
      </c>
    </row>
    <row r="133" spans="1:21" x14ac:dyDescent="0.25">
      <c r="A133" s="91" t="s">
        <v>444</v>
      </c>
      <c r="B133" s="120">
        <v>7</v>
      </c>
      <c r="C133" s="91" t="s">
        <v>440</v>
      </c>
      <c r="D133" s="91" t="s">
        <v>79</v>
      </c>
      <c r="E133">
        <v>176</v>
      </c>
      <c r="F133">
        <v>177</v>
      </c>
      <c r="G133" s="94" t="s">
        <v>78</v>
      </c>
      <c r="H133" t="s">
        <v>424</v>
      </c>
      <c r="I133">
        <v>10800</v>
      </c>
      <c r="J133">
        <v>0.59849739000000002</v>
      </c>
      <c r="K133">
        <f>I133*J133</f>
        <v>6463.771812</v>
      </c>
      <c r="L133">
        <v>27.83</v>
      </c>
      <c r="M133">
        <f>(1-(L133/100))*K133</f>
        <v>4664.9041167204005</v>
      </c>
      <c r="N133" s="91">
        <v>133</v>
      </c>
      <c r="O133" s="91" t="s">
        <v>445</v>
      </c>
      <c r="P133" s="119" t="s">
        <v>119</v>
      </c>
      <c r="Q133" s="119" t="s">
        <v>395</v>
      </c>
    </row>
    <row r="134" spans="1:21" x14ac:dyDescent="0.25">
      <c r="A134" s="91" t="s">
        <v>446</v>
      </c>
      <c r="B134" s="120">
        <v>4</v>
      </c>
      <c r="C134" s="91" t="s">
        <v>397</v>
      </c>
      <c r="D134" s="91" t="s">
        <v>80</v>
      </c>
      <c r="E134">
        <v>181</v>
      </c>
      <c r="F134">
        <v>198</v>
      </c>
      <c r="G134" s="94" t="s">
        <v>68</v>
      </c>
      <c r="H134" t="s">
        <v>447</v>
      </c>
      <c r="I134">
        <v>1</v>
      </c>
      <c r="J134">
        <f>SUM(K135)</f>
        <v>36788.488549999995</v>
      </c>
      <c r="K134">
        <f>I134*J134</f>
        <v>36788.488549999995</v>
      </c>
      <c r="L134">
        <f>100*(1-(M134/K134))</f>
        <v>27.829999999999988</v>
      </c>
      <c r="M134">
        <f>I134*SUM(M135)</f>
        <v>26550.252186534999</v>
      </c>
      <c r="N134" s="91">
        <v>134</v>
      </c>
      <c r="O134" s="91" t="s">
        <v>448</v>
      </c>
      <c r="P134" s="119" t="s">
        <v>122</v>
      </c>
      <c r="Q134" s="119" t="s">
        <v>395</v>
      </c>
      <c r="R134" s="91" t="s">
        <v>1104</v>
      </c>
      <c r="S134" s="91" t="s">
        <v>1154</v>
      </c>
      <c r="T134" s="91" t="s">
        <v>1179</v>
      </c>
      <c r="U134" s="91" t="s">
        <v>1129</v>
      </c>
    </row>
    <row r="135" spans="1:21" x14ac:dyDescent="0.25">
      <c r="A135" s="91" t="s">
        <v>449</v>
      </c>
      <c r="B135" s="120">
        <v>5</v>
      </c>
      <c r="C135" s="91" t="s">
        <v>446</v>
      </c>
      <c r="D135" s="91" t="s">
        <v>78</v>
      </c>
      <c r="E135">
        <v>182</v>
      </c>
      <c r="F135">
        <v>197</v>
      </c>
      <c r="G135" s="94" t="s">
        <v>68</v>
      </c>
      <c r="H135" t="s">
        <v>450</v>
      </c>
      <c r="I135">
        <v>1</v>
      </c>
      <c r="J135">
        <f>SUM(K136,K140)</f>
        <v>36788.488549999995</v>
      </c>
      <c r="K135">
        <f>I135*J135</f>
        <v>36788.488549999995</v>
      </c>
      <c r="L135">
        <f>100*(1-(M135/K135))</f>
        <v>27.829999999999988</v>
      </c>
      <c r="M135">
        <f>I135*SUM(M136,M140)</f>
        <v>26550.252186534999</v>
      </c>
      <c r="N135" s="91">
        <v>135</v>
      </c>
      <c r="O135" s="91" t="s">
        <v>451</v>
      </c>
      <c r="P135" s="119" t="s">
        <v>1263</v>
      </c>
      <c r="Q135" s="119" t="s">
        <v>395</v>
      </c>
      <c r="R135" s="91" t="s">
        <v>976</v>
      </c>
      <c r="S135" s="91" t="s">
        <v>1040</v>
      </c>
      <c r="T135" s="91" t="s">
        <v>1072</v>
      </c>
      <c r="U135" s="91" t="s">
        <v>1008</v>
      </c>
    </row>
    <row r="136" spans="1:21" x14ac:dyDescent="0.25">
      <c r="A136" s="91" t="s">
        <v>452</v>
      </c>
      <c r="B136" s="120">
        <v>6</v>
      </c>
      <c r="C136" s="91" t="s">
        <v>449</v>
      </c>
      <c r="D136" s="91" t="s">
        <v>78</v>
      </c>
      <c r="E136">
        <v>183</v>
      </c>
      <c r="F136">
        <v>190</v>
      </c>
      <c r="G136" s="94" t="s">
        <v>68</v>
      </c>
      <c r="H136" t="s">
        <v>407</v>
      </c>
      <c r="I136">
        <v>1</v>
      </c>
      <c r="J136">
        <f>SUM(K137,K138,K139)</f>
        <v>17440.468637999998</v>
      </c>
      <c r="K136">
        <f>I136*J136</f>
        <v>17440.468637999998</v>
      </c>
      <c r="L136">
        <f>100*(1-(M136/K136))</f>
        <v>27.829999999999988</v>
      </c>
      <c r="M136">
        <f>I136*SUM(M137,M138,M139)</f>
        <v>12586.7862160446</v>
      </c>
      <c r="N136" s="91">
        <v>136</v>
      </c>
      <c r="O136" s="91" t="s">
        <v>453</v>
      </c>
      <c r="P136" s="119" t="s">
        <v>125</v>
      </c>
      <c r="Q136" s="119" t="s">
        <v>395</v>
      </c>
      <c r="R136" s="91" t="s">
        <v>819</v>
      </c>
      <c r="S136" s="91" t="s">
        <v>899</v>
      </c>
      <c r="T136" s="91" t="s">
        <v>939</v>
      </c>
      <c r="U136" s="91" t="s">
        <v>859</v>
      </c>
    </row>
    <row r="137" spans="1:21" x14ac:dyDescent="0.25">
      <c r="A137" s="91" t="s">
        <v>454</v>
      </c>
      <c r="B137" s="120">
        <v>7</v>
      </c>
      <c r="C137" s="91" t="s">
        <v>452</v>
      </c>
      <c r="D137" s="91" t="s">
        <v>78</v>
      </c>
      <c r="E137">
        <v>184</v>
      </c>
      <c r="F137">
        <v>185</v>
      </c>
      <c r="G137" s="94" t="s">
        <v>78</v>
      </c>
      <c r="H137" t="s">
        <v>410</v>
      </c>
      <c r="I137">
        <v>10700</v>
      </c>
      <c r="J137">
        <v>1.3243346499999999</v>
      </c>
      <c r="K137">
        <f>I137*J137</f>
        <v>14170.380755</v>
      </c>
      <c r="L137">
        <v>27.83</v>
      </c>
      <c r="M137">
        <f>(1-(L137/100))*K137</f>
        <v>10226.7637908835</v>
      </c>
      <c r="N137" s="91">
        <v>137</v>
      </c>
      <c r="O137" s="91" t="s">
        <v>455</v>
      </c>
      <c r="P137" s="119" t="s">
        <v>128</v>
      </c>
      <c r="Q137" s="119" t="s">
        <v>395</v>
      </c>
    </row>
    <row r="138" spans="1:21" x14ac:dyDescent="0.25">
      <c r="A138" s="91" t="s">
        <v>456</v>
      </c>
      <c r="B138" s="120">
        <v>7</v>
      </c>
      <c r="C138" s="91" t="s">
        <v>452</v>
      </c>
      <c r="D138" s="91" t="s">
        <v>79</v>
      </c>
      <c r="E138">
        <v>186</v>
      </c>
      <c r="F138">
        <v>187</v>
      </c>
      <c r="G138" s="94" t="s">
        <v>78</v>
      </c>
      <c r="H138" t="s">
        <v>413</v>
      </c>
      <c r="I138">
        <v>10700</v>
      </c>
      <c r="J138">
        <v>3.820196E-2</v>
      </c>
      <c r="K138">
        <f>I138*J138</f>
        <v>408.76097199999998</v>
      </c>
      <c r="L138">
        <v>27.83</v>
      </c>
      <c r="M138">
        <f>(1-(L138/100))*K138</f>
        <v>295.00279349239997</v>
      </c>
      <c r="N138" s="91">
        <v>138</v>
      </c>
      <c r="O138" s="91" t="s">
        <v>457</v>
      </c>
      <c r="P138" s="119" t="s">
        <v>131</v>
      </c>
      <c r="Q138" s="119" t="s">
        <v>395</v>
      </c>
    </row>
    <row r="139" spans="1:21" x14ac:dyDescent="0.25">
      <c r="A139" s="91" t="s">
        <v>458</v>
      </c>
      <c r="B139" s="120">
        <v>7</v>
      </c>
      <c r="C139" s="91" t="s">
        <v>452</v>
      </c>
      <c r="D139" s="91" t="s">
        <v>80</v>
      </c>
      <c r="E139">
        <v>188</v>
      </c>
      <c r="F139">
        <v>189</v>
      </c>
      <c r="G139" s="94" t="s">
        <v>78</v>
      </c>
      <c r="H139" t="s">
        <v>416</v>
      </c>
      <c r="I139">
        <v>10700</v>
      </c>
      <c r="J139">
        <v>0.26741373000000002</v>
      </c>
      <c r="K139">
        <f>I139*J139</f>
        <v>2861.3269110000001</v>
      </c>
      <c r="L139">
        <v>27.83</v>
      </c>
      <c r="M139">
        <f>(1-(L139/100))*K139</f>
        <v>2065.0196316687002</v>
      </c>
      <c r="N139" s="91">
        <v>139</v>
      </c>
      <c r="O139" s="91" t="s">
        <v>459</v>
      </c>
      <c r="P139" s="119" t="s">
        <v>134</v>
      </c>
      <c r="Q139" s="119" t="s">
        <v>395</v>
      </c>
    </row>
    <row r="140" spans="1:21" x14ac:dyDescent="0.25">
      <c r="A140" s="91" t="s">
        <v>460</v>
      </c>
      <c r="B140" s="120">
        <v>6</v>
      </c>
      <c r="C140" s="91" t="s">
        <v>449</v>
      </c>
      <c r="D140" s="91" t="s">
        <v>79</v>
      </c>
      <c r="E140">
        <v>191</v>
      </c>
      <c r="F140">
        <v>196</v>
      </c>
      <c r="G140" s="94" t="s">
        <v>68</v>
      </c>
      <c r="H140" t="s">
        <v>407</v>
      </c>
      <c r="I140">
        <v>1</v>
      </c>
      <c r="J140">
        <f>SUM(K141,K142)</f>
        <v>19348.019912</v>
      </c>
      <c r="K140">
        <f>I140*J140</f>
        <v>19348.019912</v>
      </c>
      <c r="L140">
        <f>100*(1-(M140/K140))</f>
        <v>27.830000000000009</v>
      </c>
      <c r="M140">
        <f>I140*SUM(M141,M142)</f>
        <v>13963.465970490399</v>
      </c>
      <c r="N140" s="91">
        <v>140</v>
      </c>
      <c r="O140" s="91" t="s">
        <v>461</v>
      </c>
      <c r="P140" s="119" t="s">
        <v>1264</v>
      </c>
      <c r="Q140" s="119" t="s">
        <v>395</v>
      </c>
      <c r="R140" s="91" t="s">
        <v>820</v>
      </c>
      <c r="S140" s="91" t="s">
        <v>900</v>
      </c>
      <c r="T140" s="91" t="s">
        <v>940</v>
      </c>
      <c r="U140" s="91" t="s">
        <v>860</v>
      </c>
    </row>
    <row r="141" spans="1:21" x14ac:dyDescent="0.25">
      <c r="A141" s="91" t="s">
        <v>462</v>
      </c>
      <c r="B141" s="120">
        <v>7</v>
      </c>
      <c r="C141" s="91" t="s">
        <v>460</v>
      </c>
      <c r="D141" s="91" t="s">
        <v>78</v>
      </c>
      <c r="E141">
        <v>192</v>
      </c>
      <c r="F141">
        <v>193</v>
      </c>
      <c r="G141" s="94" t="s">
        <v>78</v>
      </c>
      <c r="H141" t="s">
        <v>421</v>
      </c>
      <c r="I141">
        <v>10700</v>
      </c>
      <c r="J141">
        <v>1.2097287699999999</v>
      </c>
      <c r="K141">
        <f>I141*J141</f>
        <v>12944.097838999998</v>
      </c>
      <c r="L141">
        <v>27.83</v>
      </c>
      <c r="M141">
        <f>(1-(L141/100))*K141</f>
        <v>9341.7554104062983</v>
      </c>
      <c r="N141" s="91">
        <v>141</v>
      </c>
      <c r="O141" s="91" t="s">
        <v>463</v>
      </c>
      <c r="P141" s="119" t="s">
        <v>136</v>
      </c>
      <c r="Q141" s="119" t="s">
        <v>395</v>
      </c>
    </row>
    <row r="142" spans="1:21" x14ac:dyDescent="0.25">
      <c r="A142" s="91" t="s">
        <v>464</v>
      </c>
      <c r="B142" s="120">
        <v>7</v>
      </c>
      <c r="C142" s="91" t="s">
        <v>460</v>
      </c>
      <c r="D142" s="91" t="s">
        <v>79</v>
      </c>
      <c r="E142">
        <v>194</v>
      </c>
      <c r="F142">
        <v>195</v>
      </c>
      <c r="G142" s="94" t="s">
        <v>78</v>
      </c>
      <c r="H142" t="s">
        <v>424</v>
      </c>
      <c r="I142">
        <v>10700</v>
      </c>
      <c r="J142">
        <v>0.59849739000000002</v>
      </c>
      <c r="K142">
        <f>I142*J142</f>
        <v>6403.9220730000006</v>
      </c>
      <c r="L142">
        <v>27.83</v>
      </c>
      <c r="M142">
        <f>(1-(L142/100))*K142</f>
        <v>4621.7105600841005</v>
      </c>
      <c r="N142" s="91">
        <v>142</v>
      </c>
      <c r="O142" s="91" t="s">
        <v>465</v>
      </c>
      <c r="P142" s="119" t="s">
        <v>139</v>
      </c>
      <c r="Q142" s="119" t="s">
        <v>395</v>
      </c>
    </row>
    <row r="143" spans="1:21" x14ac:dyDescent="0.25">
      <c r="A143" s="91" t="s">
        <v>466</v>
      </c>
      <c r="B143" s="120">
        <v>4</v>
      </c>
      <c r="C143" s="91" t="s">
        <v>397</v>
      </c>
      <c r="D143" s="91" t="s">
        <v>794</v>
      </c>
      <c r="E143">
        <v>199</v>
      </c>
      <c r="F143">
        <v>216</v>
      </c>
      <c r="G143" s="94" t="s">
        <v>68</v>
      </c>
      <c r="H143" t="s">
        <v>467</v>
      </c>
      <c r="I143">
        <v>1</v>
      </c>
      <c r="J143">
        <f>SUM(K144)</f>
        <v>33006.494399999996</v>
      </c>
      <c r="K143">
        <f>I143*J143</f>
        <v>33006.494399999996</v>
      </c>
      <c r="L143">
        <f>100*(1-(M143/K143))</f>
        <v>27.829999999999988</v>
      </c>
      <c r="M143">
        <f>I143*SUM(M144)</f>
        <v>23820.787008480002</v>
      </c>
      <c r="N143" s="91">
        <v>143</v>
      </c>
      <c r="O143" s="91" t="s">
        <v>468</v>
      </c>
      <c r="P143" s="119" t="s">
        <v>141</v>
      </c>
      <c r="Q143" s="119" t="s">
        <v>395</v>
      </c>
      <c r="R143" s="91" t="s">
        <v>1105</v>
      </c>
      <c r="S143" s="91" t="s">
        <v>1155</v>
      </c>
      <c r="T143" s="91" t="s">
        <v>1180</v>
      </c>
      <c r="U143" s="91" t="s">
        <v>1130</v>
      </c>
    </row>
    <row r="144" spans="1:21" x14ac:dyDescent="0.25">
      <c r="A144" s="91" t="s">
        <v>469</v>
      </c>
      <c r="B144" s="120">
        <v>5</v>
      </c>
      <c r="C144" s="91" t="s">
        <v>466</v>
      </c>
      <c r="D144" s="91" t="s">
        <v>78</v>
      </c>
      <c r="E144">
        <v>200</v>
      </c>
      <c r="F144">
        <v>215</v>
      </c>
      <c r="G144" s="94" t="s">
        <v>68</v>
      </c>
      <c r="H144" t="s">
        <v>470</v>
      </c>
      <c r="I144">
        <v>1</v>
      </c>
      <c r="J144">
        <f>SUM(K145,K149)</f>
        <v>33006.494399999996</v>
      </c>
      <c r="K144">
        <f>I144*J144</f>
        <v>33006.494399999996</v>
      </c>
      <c r="L144">
        <f>100*(1-(M144/K144))</f>
        <v>27.829999999999988</v>
      </c>
      <c r="M144">
        <f>I144*SUM(M145,M149)</f>
        <v>23820.787008480002</v>
      </c>
      <c r="N144" s="91">
        <v>144</v>
      </c>
      <c r="O144" s="91" t="s">
        <v>471</v>
      </c>
      <c r="P144" s="119" t="s">
        <v>144</v>
      </c>
      <c r="Q144" s="119" t="s">
        <v>395</v>
      </c>
      <c r="R144" s="91" t="s">
        <v>977</v>
      </c>
      <c r="S144" s="91" t="s">
        <v>1041</v>
      </c>
      <c r="T144" s="91" t="s">
        <v>1073</v>
      </c>
      <c r="U144" s="91" t="s">
        <v>1009</v>
      </c>
    </row>
    <row r="145" spans="1:21" x14ac:dyDescent="0.25">
      <c r="A145" s="91" t="s">
        <v>472</v>
      </c>
      <c r="B145" s="120">
        <v>6</v>
      </c>
      <c r="C145" s="91" t="s">
        <v>469</v>
      </c>
      <c r="D145" s="91" t="s">
        <v>78</v>
      </c>
      <c r="E145">
        <v>201</v>
      </c>
      <c r="F145">
        <v>208</v>
      </c>
      <c r="G145" s="94" t="s">
        <v>68</v>
      </c>
      <c r="H145" t="s">
        <v>407</v>
      </c>
      <c r="I145">
        <v>1</v>
      </c>
      <c r="J145">
        <f>SUM(K146,K147,K148)</f>
        <v>15647.523263999999</v>
      </c>
      <c r="K145">
        <f>I145*J145</f>
        <v>15647.523263999999</v>
      </c>
      <c r="L145">
        <f>100*(1-(M145/K145))</f>
        <v>27.829999999999988</v>
      </c>
      <c r="M145">
        <f>I145*SUM(M146,M147,M148)</f>
        <v>11292.817539628801</v>
      </c>
      <c r="N145" s="91">
        <v>145</v>
      </c>
      <c r="O145" s="91" t="s">
        <v>473</v>
      </c>
      <c r="P145" s="119" t="s">
        <v>147</v>
      </c>
      <c r="Q145" s="119" t="s">
        <v>395</v>
      </c>
      <c r="R145" s="91" t="s">
        <v>821</v>
      </c>
      <c r="S145" s="91" t="s">
        <v>901</v>
      </c>
      <c r="T145" s="91" t="s">
        <v>941</v>
      </c>
      <c r="U145" s="91" t="s">
        <v>861</v>
      </c>
    </row>
    <row r="146" spans="1:21" x14ac:dyDescent="0.25">
      <c r="A146" s="91" t="s">
        <v>474</v>
      </c>
      <c r="B146" s="120">
        <v>7</v>
      </c>
      <c r="C146" s="91" t="s">
        <v>472</v>
      </c>
      <c r="D146" s="91" t="s">
        <v>78</v>
      </c>
      <c r="E146">
        <v>202</v>
      </c>
      <c r="F146">
        <v>203</v>
      </c>
      <c r="G146" s="94" t="s">
        <v>78</v>
      </c>
      <c r="H146" t="s">
        <v>410</v>
      </c>
      <c r="I146">
        <v>9600</v>
      </c>
      <c r="J146">
        <v>1.3243346499999999</v>
      </c>
      <c r="K146">
        <f>I146*J146</f>
        <v>12713.612639999999</v>
      </c>
      <c r="L146">
        <v>27.83</v>
      </c>
      <c r="M146">
        <f>(1-(L146/100))*K146</f>
        <v>9175.4142422879995</v>
      </c>
      <c r="N146" s="91">
        <v>146</v>
      </c>
      <c r="O146" s="91" t="s">
        <v>475</v>
      </c>
      <c r="P146" s="119" t="s">
        <v>150</v>
      </c>
      <c r="Q146" s="119" t="s">
        <v>395</v>
      </c>
    </row>
    <row r="147" spans="1:21" x14ac:dyDescent="0.25">
      <c r="A147" s="91" t="s">
        <v>476</v>
      </c>
      <c r="B147" s="120">
        <v>7</v>
      </c>
      <c r="C147" s="91" t="s">
        <v>472</v>
      </c>
      <c r="D147" s="91" t="s">
        <v>79</v>
      </c>
      <c r="E147">
        <v>204</v>
      </c>
      <c r="F147">
        <v>205</v>
      </c>
      <c r="G147" s="94" t="s">
        <v>78</v>
      </c>
      <c r="H147" t="s">
        <v>413</v>
      </c>
      <c r="I147">
        <v>9600</v>
      </c>
      <c r="J147">
        <v>3.820196E-2</v>
      </c>
      <c r="K147">
        <f>I147*J147</f>
        <v>366.73881599999999</v>
      </c>
      <c r="L147">
        <v>27.83</v>
      </c>
      <c r="M147">
        <f>(1-(L147/100))*K147</f>
        <v>264.67540350719997</v>
      </c>
      <c r="N147" s="91">
        <v>147</v>
      </c>
      <c r="O147" s="91" t="s">
        <v>477</v>
      </c>
      <c r="P147" s="119" t="s">
        <v>153</v>
      </c>
      <c r="Q147" s="119" t="s">
        <v>395</v>
      </c>
    </row>
    <row r="148" spans="1:21" x14ac:dyDescent="0.25">
      <c r="A148" s="91" t="s">
        <v>478</v>
      </c>
      <c r="B148" s="120">
        <v>7</v>
      </c>
      <c r="C148" s="91" t="s">
        <v>472</v>
      </c>
      <c r="D148" s="91" t="s">
        <v>80</v>
      </c>
      <c r="E148">
        <v>206</v>
      </c>
      <c r="F148">
        <v>207</v>
      </c>
      <c r="G148" s="94" t="s">
        <v>78</v>
      </c>
      <c r="H148" t="s">
        <v>416</v>
      </c>
      <c r="I148">
        <v>9600</v>
      </c>
      <c r="J148">
        <v>0.26741373000000002</v>
      </c>
      <c r="K148">
        <f>I148*J148</f>
        <v>2567.1718080000001</v>
      </c>
      <c r="L148">
        <v>27.83</v>
      </c>
      <c r="M148">
        <f>(1-(L148/100))*K148</f>
        <v>1852.7278938336001</v>
      </c>
      <c r="N148" s="91">
        <v>148</v>
      </c>
      <c r="O148" s="91" t="s">
        <v>479</v>
      </c>
      <c r="P148" s="119" t="s">
        <v>1265</v>
      </c>
      <c r="Q148" s="119" t="s">
        <v>395</v>
      </c>
    </row>
    <row r="149" spans="1:21" x14ac:dyDescent="0.25">
      <c r="A149" s="91" t="s">
        <v>480</v>
      </c>
      <c r="B149" s="120">
        <v>6</v>
      </c>
      <c r="C149" s="91" t="s">
        <v>469</v>
      </c>
      <c r="D149" s="91" t="s">
        <v>79</v>
      </c>
      <c r="E149">
        <v>209</v>
      </c>
      <c r="F149">
        <v>214</v>
      </c>
      <c r="G149" s="94" t="s">
        <v>68</v>
      </c>
      <c r="H149" t="s">
        <v>407</v>
      </c>
      <c r="I149">
        <v>1</v>
      </c>
      <c r="J149">
        <f>SUM(K150,K151)</f>
        <v>17358.971136</v>
      </c>
      <c r="K149">
        <f>I149*J149</f>
        <v>17358.971136</v>
      </c>
      <c r="L149">
        <f>100*(1-(M149/K149))</f>
        <v>27.830000000000009</v>
      </c>
      <c r="M149">
        <f>I149*SUM(M150,M151)</f>
        <v>12527.969468851199</v>
      </c>
      <c r="N149" s="91">
        <v>149</v>
      </c>
      <c r="O149" s="91" t="s">
        <v>481</v>
      </c>
      <c r="P149" s="119" t="s">
        <v>156</v>
      </c>
      <c r="Q149" s="119" t="s">
        <v>395</v>
      </c>
      <c r="R149" s="91" t="s">
        <v>822</v>
      </c>
      <c r="S149" s="91" t="s">
        <v>902</v>
      </c>
      <c r="T149" s="91" t="s">
        <v>942</v>
      </c>
      <c r="U149" s="91" t="s">
        <v>862</v>
      </c>
    </row>
    <row r="150" spans="1:21" x14ac:dyDescent="0.25">
      <c r="A150" s="91" t="s">
        <v>482</v>
      </c>
      <c r="B150" s="120">
        <v>7</v>
      </c>
      <c r="C150" s="91" t="s">
        <v>480</v>
      </c>
      <c r="D150" s="91" t="s">
        <v>78</v>
      </c>
      <c r="E150">
        <v>210</v>
      </c>
      <c r="F150">
        <v>211</v>
      </c>
      <c r="G150" s="94" t="s">
        <v>78</v>
      </c>
      <c r="H150" t="s">
        <v>421</v>
      </c>
      <c r="I150">
        <v>9600</v>
      </c>
      <c r="J150">
        <v>1.2097287699999999</v>
      </c>
      <c r="K150">
        <f>I150*J150</f>
        <v>11613.396191999998</v>
      </c>
      <c r="L150">
        <v>27.83</v>
      </c>
      <c r="M150">
        <f>(1-(L150/100))*K150</f>
        <v>8381.3880317663989</v>
      </c>
      <c r="N150" s="91">
        <v>150</v>
      </c>
      <c r="O150" s="91" t="s">
        <v>483</v>
      </c>
      <c r="P150" s="119" t="s">
        <v>159</v>
      </c>
      <c r="Q150" s="119" t="s">
        <v>395</v>
      </c>
    </row>
    <row r="151" spans="1:21" x14ac:dyDescent="0.25">
      <c r="A151" s="91" t="s">
        <v>484</v>
      </c>
      <c r="B151" s="120">
        <v>7</v>
      </c>
      <c r="C151" s="91" t="s">
        <v>480</v>
      </c>
      <c r="D151" s="91" t="s">
        <v>79</v>
      </c>
      <c r="E151">
        <v>212</v>
      </c>
      <c r="F151">
        <v>213</v>
      </c>
      <c r="G151" s="94" t="s">
        <v>78</v>
      </c>
      <c r="H151" t="s">
        <v>424</v>
      </c>
      <c r="I151">
        <v>9600</v>
      </c>
      <c r="J151">
        <v>0.59849739000000002</v>
      </c>
      <c r="K151">
        <f>I151*J151</f>
        <v>5745.574944</v>
      </c>
      <c r="L151">
        <v>27.83</v>
      </c>
      <c r="M151">
        <f>(1-(L151/100))*K151</f>
        <v>4146.5814370848002</v>
      </c>
      <c r="N151" s="91">
        <v>151</v>
      </c>
      <c r="O151" s="91" t="s">
        <v>485</v>
      </c>
      <c r="P151" s="119" t="s">
        <v>162</v>
      </c>
      <c r="Q151" s="119" t="s">
        <v>395</v>
      </c>
    </row>
    <row r="152" spans="1:21" x14ac:dyDescent="0.25">
      <c r="A152" s="91" t="s">
        <v>486</v>
      </c>
      <c r="B152" s="120">
        <v>4</v>
      </c>
      <c r="C152" s="91" t="s">
        <v>397</v>
      </c>
      <c r="D152" s="91" t="s">
        <v>795</v>
      </c>
      <c r="E152">
        <v>217</v>
      </c>
      <c r="F152">
        <v>234</v>
      </c>
      <c r="G152" s="94" t="s">
        <v>68</v>
      </c>
      <c r="H152" t="s">
        <v>487</v>
      </c>
      <c r="I152">
        <v>1</v>
      </c>
      <c r="J152">
        <f>SUM(K153)</f>
        <v>31287.406149999995</v>
      </c>
      <c r="K152">
        <f>I152*J152</f>
        <v>31287.406149999995</v>
      </c>
      <c r="L152">
        <f>100*(1-(M152/K152))</f>
        <v>27.829999999999988</v>
      </c>
      <c r="M152">
        <f>I152*SUM(M153)</f>
        <v>22580.121018455</v>
      </c>
      <c r="N152" s="91">
        <v>152</v>
      </c>
      <c r="O152" s="91" t="s">
        <v>488</v>
      </c>
      <c r="P152" s="119" t="s">
        <v>165</v>
      </c>
      <c r="Q152" s="119" t="s">
        <v>395</v>
      </c>
      <c r="R152" s="91" t="s">
        <v>1106</v>
      </c>
      <c r="S152" s="91" t="s">
        <v>1156</v>
      </c>
      <c r="T152" s="91" t="s">
        <v>1181</v>
      </c>
      <c r="U152" s="91" t="s">
        <v>1131</v>
      </c>
    </row>
    <row r="153" spans="1:21" x14ac:dyDescent="0.25">
      <c r="A153" s="91" t="s">
        <v>489</v>
      </c>
      <c r="B153" s="120">
        <v>5</v>
      </c>
      <c r="C153" s="91" t="s">
        <v>486</v>
      </c>
      <c r="D153" s="91" t="s">
        <v>78</v>
      </c>
      <c r="E153">
        <v>218</v>
      </c>
      <c r="F153">
        <v>233</v>
      </c>
      <c r="G153" s="94" t="s">
        <v>68</v>
      </c>
      <c r="H153" t="s">
        <v>490</v>
      </c>
      <c r="I153">
        <v>1</v>
      </c>
      <c r="J153">
        <f>SUM(K154,K158)</f>
        <v>31287.406149999995</v>
      </c>
      <c r="K153">
        <f>I153*J153</f>
        <v>31287.406149999995</v>
      </c>
      <c r="L153">
        <f>100*(1-(M153/K153))</f>
        <v>27.829999999999988</v>
      </c>
      <c r="M153">
        <f>I153*SUM(M154,M158)</f>
        <v>22580.121018455</v>
      </c>
      <c r="N153" s="91">
        <v>153</v>
      </c>
      <c r="O153" s="91" t="s">
        <v>491</v>
      </c>
      <c r="P153" s="119" t="s">
        <v>1266</v>
      </c>
      <c r="Q153" s="119" t="s">
        <v>395</v>
      </c>
      <c r="R153" s="91" t="s">
        <v>978</v>
      </c>
      <c r="S153" s="91" t="s">
        <v>1042</v>
      </c>
      <c r="T153" s="91" t="s">
        <v>1074</v>
      </c>
      <c r="U153" s="91" t="s">
        <v>1010</v>
      </c>
    </row>
    <row r="154" spans="1:21" x14ac:dyDescent="0.25">
      <c r="A154" s="91" t="s">
        <v>492</v>
      </c>
      <c r="B154" s="120">
        <v>6</v>
      </c>
      <c r="C154" s="91" t="s">
        <v>489</v>
      </c>
      <c r="D154" s="91" t="s">
        <v>78</v>
      </c>
      <c r="E154">
        <v>219</v>
      </c>
      <c r="F154">
        <v>226</v>
      </c>
      <c r="G154" s="94" t="s">
        <v>68</v>
      </c>
      <c r="H154" t="s">
        <v>407</v>
      </c>
      <c r="I154">
        <v>1</v>
      </c>
      <c r="J154">
        <f>SUM(K155,K156,K157)</f>
        <v>14832.548093999998</v>
      </c>
      <c r="K154">
        <f>I154*J154</f>
        <v>14832.548093999998</v>
      </c>
      <c r="L154">
        <f>100*(1-(M154/K154))</f>
        <v>27.83</v>
      </c>
      <c r="M154">
        <f>I154*SUM(M155,M156,M157)</f>
        <v>10704.649959439799</v>
      </c>
      <c r="N154" s="91">
        <v>154</v>
      </c>
      <c r="O154" s="91" t="s">
        <v>493</v>
      </c>
      <c r="P154" s="119" t="s">
        <v>168</v>
      </c>
      <c r="Q154" s="119" t="s">
        <v>395</v>
      </c>
      <c r="R154" s="91" t="s">
        <v>823</v>
      </c>
      <c r="S154" s="91" t="s">
        <v>903</v>
      </c>
      <c r="T154" s="91" t="s">
        <v>943</v>
      </c>
      <c r="U154" s="91" t="s">
        <v>863</v>
      </c>
    </row>
    <row r="155" spans="1:21" x14ac:dyDescent="0.25">
      <c r="A155" s="91" t="s">
        <v>494</v>
      </c>
      <c r="B155" s="120">
        <v>7</v>
      </c>
      <c r="C155" s="91" t="s">
        <v>492</v>
      </c>
      <c r="D155" s="91" t="s">
        <v>78</v>
      </c>
      <c r="E155">
        <v>220</v>
      </c>
      <c r="F155">
        <v>221</v>
      </c>
      <c r="G155" s="94" t="s">
        <v>78</v>
      </c>
      <c r="H155" t="s">
        <v>410</v>
      </c>
      <c r="I155">
        <v>9100</v>
      </c>
      <c r="J155">
        <v>1.3243346499999999</v>
      </c>
      <c r="K155">
        <f>I155*J155</f>
        <v>12051.445314999999</v>
      </c>
      <c r="L155">
        <v>27.83</v>
      </c>
      <c r="M155">
        <f>(1-(L155/100))*K155</f>
        <v>8697.5280838354993</v>
      </c>
      <c r="N155" s="91">
        <v>155</v>
      </c>
      <c r="O155" s="91" t="s">
        <v>495</v>
      </c>
      <c r="P155" s="119" t="s">
        <v>170</v>
      </c>
      <c r="Q155" s="119" t="s">
        <v>395</v>
      </c>
    </row>
    <row r="156" spans="1:21" x14ac:dyDescent="0.25">
      <c r="A156" s="91" t="s">
        <v>496</v>
      </c>
      <c r="B156" s="120">
        <v>7</v>
      </c>
      <c r="C156" s="91" t="s">
        <v>492</v>
      </c>
      <c r="D156" s="91" t="s">
        <v>79</v>
      </c>
      <c r="E156">
        <v>222</v>
      </c>
      <c r="F156">
        <v>223</v>
      </c>
      <c r="G156" s="94" t="s">
        <v>78</v>
      </c>
      <c r="H156" t="s">
        <v>413</v>
      </c>
      <c r="I156">
        <v>9100</v>
      </c>
      <c r="J156">
        <v>3.820196E-2</v>
      </c>
      <c r="K156">
        <f>I156*J156</f>
        <v>347.63783599999999</v>
      </c>
      <c r="L156">
        <v>27.83</v>
      </c>
      <c r="M156">
        <f>(1-(L156/100))*K156</f>
        <v>250.8902262412</v>
      </c>
      <c r="N156" s="91">
        <v>156</v>
      </c>
      <c r="O156" s="91" t="s">
        <v>497</v>
      </c>
      <c r="P156" s="119" t="s">
        <v>172</v>
      </c>
      <c r="Q156" s="119" t="s">
        <v>395</v>
      </c>
    </row>
    <row r="157" spans="1:21" x14ac:dyDescent="0.25">
      <c r="A157" s="91" t="s">
        <v>498</v>
      </c>
      <c r="B157" s="120">
        <v>7</v>
      </c>
      <c r="C157" s="91" t="s">
        <v>492</v>
      </c>
      <c r="D157" s="91" t="s">
        <v>80</v>
      </c>
      <c r="E157">
        <v>224</v>
      </c>
      <c r="F157">
        <v>225</v>
      </c>
      <c r="G157" s="94" t="s">
        <v>78</v>
      </c>
      <c r="H157" t="s">
        <v>416</v>
      </c>
      <c r="I157">
        <v>9100</v>
      </c>
      <c r="J157">
        <v>0.26741373000000002</v>
      </c>
      <c r="K157">
        <f>I157*J157</f>
        <v>2433.4649429999999</v>
      </c>
      <c r="L157">
        <v>27.83</v>
      </c>
      <c r="M157">
        <f>(1-(L157/100))*K157</f>
        <v>1756.2316493630999</v>
      </c>
      <c r="N157" s="91">
        <v>157</v>
      </c>
      <c r="O157" s="91" t="s">
        <v>499</v>
      </c>
      <c r="P157" s="119" t="s">
        <v>175</v>
      </c>
      <c r="Q157" s="119" t="s">
        <v>395</v>
      </c>
    </row>
    <row r="158" spans="1:21" x14ac:dyDescent="0.25">
      <c r="A158" s="91" t="s">
        <v>500</v>
      </c>
      <c r="B158" s="120">
        <v>6</v>
      </c>
      <c r="C158" s="91" t="s">
        <v>489</v>
      </c>
      <c r="D158" s="91" t="s">
        <v>79</v>
      </c>
      <c r="E158">
        <v>227</v>
      </c>
      <c r="F158">
        <v>232</v>
      </c>
      <c r="G158" s="94" t="s">
        <v>68</v>
      </c>
      <c r="H158" t="s">
        <v>407</v>
      </c>
      <c r="I158">
        <v>1</v>
      </c>
      <c r="J158">
        <f>SUM(K159,K160)</f>
        <v>16454.858055999997</v>
      </c>
      <c r="K158">
        <f>I158*J158</f>
        <v>16454.858055999997</v>
      </c>
      <c r="L158">
        <f>100*(1-(M158/K158))</f>
        <v>27.83</v>
      </c>
      <c r="M158">
        <f>I158*SUM(M159,M160)</f>
        <v>11875.471059015199</v>
      </c>
      <c r="N158" s="91">
        <v>158</v>
      </c>
      <c r="O158" s="91" t="s">
        <v>501</v>
      </c>
      <c r="P158" s="119" t="s">
        <v>178</v>
      </c>
      <c r="Q158" s="119" t="s">
        <v>395</v>
      </c>
      <c r="R158" s="91" t="s">
        <v>824</v>
      </c>
      <c r="S158" s="91" t="s">
        <v>904</v>
      </c>
      <c r="T158" s="91" t="s">
        <v>944</v>
      </c>
      <c r="U158" s="91" t="s">
        <v>864</v>
      </c>
    </row>
    <row r="159" spans="1:21" x14ac:dyDescent="0.25">
      <c r="A159" s="91" t="s">
        <v>502</v>
      </c>
      <c r="B159" s="120">
        <v>7</v>
      </c>
      <c r="C159" s="91" t="s">
        <v>500</v>
      </c>
      <c r="D159" s="91" t="s">
        <v>78</v>
      </c>
      <c r="E159">
        <v>228</v>
      </c>
      <c r="F159">
        <v>229</v>
      </c>
      <c r="G159" s="94" t="s">
        <v>78</v>
      </c>
      <c r="H159" t="s">
        <v>421</v>
      </c>
      <c r="I159">
        <v>9100</v>
      </c>
      <c r="J159">
        <v>1.2097287699999999</v>
      </c>
      <c r="K159">
        <f>I159*J159</f>
        <v>11008.531806999999</v>
      </c>
      <c r="L159">
        <v>27.83</v>
      </c>
      <c r="M159">
        <f>(1-(L159/100))*K159</f>
        <v>7944.8574051118994</v>
      </c>
      <c r="N159" s="91">
        <v>159</v>
      </c>
      <c r="O159" s="91" t="s">
        <v>503</v>
      </c>
      <c r="P159" s="119" t="s">
        <v>181</v>
      </c>
      <c r="Q159" s="119" t="s">
        <v>395</v>
      </c>
    </row>
    <row r="160" spans="1:21" x14ac:dyDescent="0.25">
      <c r="A160" s="91" t="s">
        <v>504</v>
      </c>
      <c r="B160" s="120">
        <v>7</v>
      </c>
      <c r="C160" s="91" t="s">
        <v>500</v>
      </c>
      <c r="D160" s="91" t="s">
        <v>79</v>
      </c>
      <c r="E160">
        <v>230</v>
      </c>
      <c r="F160">
        <v>231</v>
      </c>
      <c r="G160" s="94" t="s">
        <v>78</v>
      </c>
      <c r="H160" t="s">
        <v>424</v>
      </c>
      <c r="I160">
        <v>9100</v>
      </c>
      <c r="J160">
        <v>0.59849739000000002</v>
      </c>
      <c r="K160">
        <f>I160*J160</f>
        <v>5446.3262489999997</v>
      </c>
      <c r="L160">
        <v>27.83</v>
      </c>
      <c r="M160">
        <f>(1-(L160/100))*K160</f>
        <v>3930.6136539033</v>
      </c>
      <c r="N160" s="91">
        <v>160</v>
      </c>
      <c r="O160" s="91" t="s">
        <v>505</v>
      </c>
      <c r="P160" s="119" t="s">
        <v>1267</v>
      </c>
      <c r="Q160" s="119" t="s">
        <v>395</v>
      </c>
    </row>
    <row r="161" spans="1:21" x14ac:dyDescent="0.25">
      <c r="A161" s="91" t="s">
        <v>506</v>
      </c>
      <c r="B161" s="120">
        <v>4</v>
      </c>
      <c r="C161" s="91" t="s">
        <v>397</v>
      </c>
      <c r="D161" s="91" t="s">
        <v>796</v>
      </c>
      <c r="E161">
        <v>235</v>
      </c>
      <c r="F161">
        <v>252</v>
      </c>
      <c r="G161" s="94" t="s">
        <v>68</v>
      </c>
      <c r="H161" t="s">
        <v>507</v>
      </c>
      <c r="I161">
        <v>1</v>
      </c>
      <c r="J161">
        <f>SUM(K162)</f>
        <v>53635.553399999997</v>
      </c>
      <c r="K161">
        <f>I161*J161</f>
        <v>53635.553399999997</v>
      </c>
      <c r="L161">
        <f>100*(1-(M161/K161))</f>
        <v>27.83</v>
      </c>
      <c r="M161">
        <f>I161*SUM(M162)</f>
        <v>38708.778888779998</v>
      </c>
      <c r="N161" s="91">
        <v>161</v>
      </c>
      <c r="O161" s="91" t="s">
        <v>508</v>
      </c>
      <c r="P161" s="119" t="s">
        <v>184</v>
      </c>
      <c r="Q161" s="119" t="s">
        <v>395</v>
      </c>
      <c r="R161" s="91" t="s">
        <v>1107</v>
      </c>
      <c r="S161" s="91" t="s">
        <v>1157</v>
      </c>
      <c r="T161" s="91" t="s">
        <v>1182</v>
      </c>
      <c r="U161" s="91" t="s">
        <v>1132</v>
      </c>
    </row>
    <row r="162" spans="1:21" x14ac:dyDescent="0.25">
      <c r="A162" s="91" t="s">
        <v>509</v>
      </c>
      <c r="B162" s="120">
        <v>5</v>
      </c>
      <c r="C162" s="91" t="s">
        <v>506</v>
      </c>
      <c r="D162" s="91" t="s">
        <v>78</v>
      </c>
      <c r="E162">
        <v>236</v>
      </c>
      <c r="F162">
        <v>251</v>
      </c>
      <c r="G162" s="94" t="s">
        <v>68</v>
      </c>
      <c r="H162" t="s">
        <v>510</v>
      </c>
      <c r="I162">
        <v>1</v>
      </c>
      <c r="J162">
        <f>SUM(K163,K167)</f>
        <v>53635.553399999997</v>
      </c>
      <c r="K162">
        <f>I162*J162</f>
        <v>53635.553399999997</v>
      </c>
      <c r="L162">
        <f>100*(1-(M162/K162))</f>
        <v>27.83</v>
      </c>
      <c r="M162">
        <f>I162*SUM(M163,M167)</f>
        <v>38708.778888779998</v>
      </c>
      <c r="N162" s="91">
        <v>162</v>
      </c>
      <c r="O162" s="91" t="s">
        <v>511</v>
      </c>
      <c r="P162" s="119" t="s">
        <v>187</v>
      </c>
      <c r="Q162" s="119" t="s">
        <v>395</v>
      </c>
      <c r="R162" s="91" t="s">
        <v>979</v>
      </c>
      <c r="S162" s="91" t="s">
        <v>1043</v>
      </c>
      <c r="T162" s="91" t="s">
        <v>1075</v>
      </c>
      <c r="U162" s="91" t="s">
        <v>1011</v>
      </c>
    </row>
    <row r="163" spans="1:21" x14ac:dyDescent="0.25">
      <c r="A163" s="91" t="s">
        <v>512</v>
      </c>
      <c r="B163" s="120">
        <v>6</v>
      </c>
      <c r="C163" s="91" t="s">
        <v>509</v>
      </c>
      <c r="D163" s="91" t="s">
        <v>78</v>
      </c>
      <c r="E163">
        <v>237</v>
      </c>
      <c r="F163">
        <v>244</v>
      </c>
      <c r="G163" s="94" t="s">
        <v>68</v>
      </c>
      <c r="H163" t="s">
        <v>407</v>
      </c>
      <c r="I163">
        <v>1</v>
      </c>
      <c r="J163">
        <f>SUM(K164,K165,K166)</f>
        <v>25427.225304</v>
      </c>
      <c r="K163">
        <f>I163*J163</f>
        <v>25427.225304</v>
      </c>
      <c r="L163">
        <f>100*(1-(M163/K163))</f>
        <v>27.829999999999988</v>
      </c>
      <c r="M163">
        <f>I163*SUM(M164,M165,M166)</f>
        <v>18350.828501896802</v>
      </c>
      <c r="N163" s="91">
        <v>163</v>
      </c>
      <c r="O163" s="91" t="s">
        <v>513</v>
      </c>
      <c r="P163" s="119" t="s">
        <v>190</v>
      </c>
      <c r="Q163" s="119" t="s">
        <v>395</v>
      </c>
      <c r="R163" s="91" t="s">
        <v>825</v>
      </c>
      <c r="S163" s="91" t="s">
        <v>905</v>
      </c>
      <c r="T163" s="91" t="s">
        <v>945</v>
      </c>
      <c r="U163" s="91" t="s">
        <v>865</v>
      </c>
    </row>
    <row r="164" spans="1:21" x14ac:dyDescent="0.25">
      <c r="A164" s="91" t="s">
        <v>514</v>
      </c>
      <c r="B164" s="120">
        <v>7</v>
      </c>
      <c r="C164" s="91" t="s">
        <v>512</v>
      </c>
      <c r="D164" s="91" t="s">
        <v>78</v>
      </c>
      <c r="E164">
        <v>238</v>
      </c>
      <c r="F164">
        <v>239</v>
      </c>
      <c r="G164" s="94" t="s">
        <v>78</v>
      </c>
      <c r="H164" t="s">
        <v>410</v>
      </c>
      <c r="I164">
        <v>15600</v>
      </c>
      <c r="J164">
        <v>1.3243346499999999</v>
      </c>
      <c r="K164">
        <f>I164*J164</f>
        <v>20659.62054</v>
      </c>
      <c r="L164">
        <v>27.83</v>
      </c>
      <c r="M164">
        <f>(1-(L164/100))*K164</f>
        <v>14910.048143718001</v>
      </c>
      <c r="N164" s="91">
        <v>164</v>
      </c>
      <c r="O164" s="91" t="s">
        <v>515</v>
      </c>
      <c r="P164" s="119" t="s">
        <v>193</v>
      </c>
      <c r="Q164" s="119" t="s">
        <v>395</v>
      </c>
    </row>
    <row r="165" spans="1:21" x14ac:dyDescent="0.25">
      <c r="A165" s="91" t="s">
        <v>516</v>
      </c>
      <c r="B165" s="120">
        <v>7</v>
      </c>
      <c r="C165" s="91" t="s">
        <v>512</v>
      </c>
      <c r="D165" s="91" t="s">
        <v>79</v>
      </c>
      <c r="E165">
        <v>240</v>
      </c>
      <c r="F165">
        <v>241</v>
      </c>
      <c r="G165" s="94" t="s">
        <v>78</v>
      </c>
      <c r="H165" t="s">
        <v>413</v>
      </c>
      <c r="I165">
        <v>15600</v>
      </c>
      <c r="J165">
        <v>3.820196E-2</v>
      </c>
      <c r="K165">
        <f>I165*J165</f>
        <v>595.95057599999996</v>
      </c>
      <c r="L165">
        <v>27.83</v>
      </c>
      <c r="M165">
        <f>(1-(L165/100))*K165</f>
        <v>430.09753069919998</v>
      </c>
      <c r="N165" s="91">
        <v>165</v>
      </c>
      <c r="O165" s="91" t="s">
        <v>517</v>
      </c>
      <c r="P165" s="119" t="s">
        <v>196</v>
      </c>
      <c r="Q165" s="119" t="s">
        <v>395</v>
      </c>
    </row>
    <row r="166" spans="1:21" x14ac:dyDescent="0.25">
      <c r="A166" s="91" t="s">
        <v>518</v>
      </c>
      <c r="B166" s="120">
        <v>7</v>
      </c>
      <c r="C166" s="91" t="s">
        <v>512</v>
      </c>
      <c r="D166" s="91" t="s">
        <v>80</v>
      </c>
      <c r="E166">
        <v>242</v>
      </c>
      <c r="F166">
        <v>243</v>
      </c>
      <c r="G166" s="94" t="s">
        <v>78</v>
      </c>
      <c r="H166" t="s">
        <v>416</v>
      </c>
      <c r="I166">
        <v>15600</v>
      </c>
      <c r="J166">
        <v>0.26741373000000002</v>
      </c>
      <c r="K166">
        <f>I166*J166</f>
        <v>4171.6541880000004</v>
      </c>
      <c r="L166">
        <v>27.83</v>
      </c>
      <c r="M166">
        <f>(1-(L166/100))*K166</f>
        <v>3010.6828274796003</v>
      </c>
      <c r="N166" s="91">
        <v>166</v>
      </c>
      <c r="O166" s="91" t="s">
        <v>519</v>
      </c>
      <c r="P166" s="119" t="s">
        <v>1268</v>
      </c>
      <c r="Q166" s="119" t="s">
        <v>395</v>
      </c>
    </row>
    <row r="167" spans="1:21" x14ac:dyDescent="0.25">
      <c r="A167" s="91" t="s">
        <v>520</v>
      </c>
      <c r="B167" s="120">
        <v>6</v>
      </c>
      <c r="C167" s="91" t="s">
        <v>509</v>
      </c>
      <c r="D167" s="91" t="s">
        <v>79</v>
      </c>
      <c r="E167">
        <v>245</v>
      </c>
      <c r="F167">
        <v>250</v>
      </c>
      <c r="G167" s="94" t="s">
        <v>68</v>
      </c>
      <c r="H167" t="s">
        <v>407</v>
      </c>
      <c r="I167">
        <v>1</v>
      </c>
      <c r="J167">
        <f>SUM(K168,K169)</f>
        <v>28208.328095999997</v>
      </c>
      <c r="K167">
        <f>I167*J167</f>
        <v>28208.328095999997</v>
      </c>
      <c r="L167">
        <f>100*(1-(M167/K167))</f>
        <v>27.83</v>
      </c>
      <c r="M167">
        <f>I167*SUM(M168,M169)</f>
        <v>20357.9503868832</v>
      </c>
      <c r="N167" s="91">
        <v>167</v>
      </c>
      <c r="O167" s="91" t="s">
        <v>521</v>
      </c>
      <c r="P167" s="119" t="s">
        <v>199</v>
      </c>
      <c r="Q167" s="119" t="s">
        <v>395</v>
      </c>
      <c r="R167" s="91" t="s">
        <v>826</v>
      </c>
      <c r="S167" s="91" t="s">
        <v>906</v>
      </c>
      <c r="T167" s="91" t="s">
        <v>946</v>
      </c>
      <c r="U167" s="91" t="s">
        <v>866</v>
      </c>
    </row>
    <row r="168" spans="1:21" x14ac:dyDescent="0.25">
      <c r="A168" s="91" t="s">
        <v>522</v>
      </c>
      <c r="B168" s="120">
        <v>7</v>
      </c>
      <c r="C168" s="91" t="s">
        <v>520</v>
      </c>
      <c r="D168" s="91" t="s">
        <v>78</v>
      </c>
      <c r="E168">
        <v>246</v>
      </c>
      <c r="F168">
        <v>247</v>
      </c>
      <c r="G168" s="94" t="s">
        <v>78</v>
      </c>
      <c r="H168" t="s">
        <v>421</v>
      </c>
      <c r="I168">
        <v>15600</v>
      </c>
      <c r="J168">
        <v>1.2097287699999999</v>
      </c>
      <c r="K168">
        <f>I168*J168</f>
        <v>18871.768811999998</v>
      </c>
      <c r="L168">
        <v>27.83</v>
      </c>
      <c r="M168">
        <f>(1-(L168/100))*K168</f>
        <v>13619.755551620399</v>
      </c>
      <c r="N168" s="91">
        <v>168</v>
      </c>
      <c r="O168" s="91" t="s">
        <v>523</v>
      </c>
      <c r="P168" s="119" t="s">
        <v>202</v>
      </c>
      <c r="Q168" s="119" t="s">
        <v>395</v>
      </c>
    </row>
    <row r="169" spans="1:21" x14ac:dyDescent="0.25">
      <c r="A169" s="91" t="s">
        <v>524</v>
      </c>
      <c r="B169" s="120">
        <v>7</v>
      </c>
      <c r="C169" s="91" t="s">
        <v>520</v>
      </c>
      <c r="D169" s="91" t="s">
        <v>79</v>
      </c>
      <c r="E169">
        <v>248</v>
      </c>
      <c r="F169">
        <v>249</v>
      </c>
      <c r="G169" s="94" t="s">
        <v>78</v>
      </c>
      <c r="H169" t="s">
        <v>424</v>
      </c>
      <c r="I169">
        <v>15600</v>
      </c>
      <c r="J169">
        <v>0.59849739000000002</v>
      </c>
      <c r="K169">
        <f>I169*J169</f>
        <v>9336.5592840000008</v>
      </c>
      <c r="L169">
        <v>27.83</v>
      </c>
      <c r="M169">
        <f>(1-(L169/100))*K169</f>
        <v>6738.1948352628006</v>
      </c>
      <c r="N169" s="91">
        <v>169</v>
      </c>
      <c r="O169" s="91" t="s">
        <v>525</v>
      </c>
      <c r="P169" s="119" t="s">
        <v>205</v>
      </c>
      <c r="Q169" s="119" t="s">
        <v>395</v>
      </c>
    </row>
    <row r="170" spans="1:21" x14ac:dyDescent="0.25">
      <c r="A170" s="91" t="s">
        <v>526</v>
      </c>
      <c r="B170" s="120">
        <v>3</v>
      </c>
      <c r="C170" s="91" t="s">
        <v>394</v>
      </c>
      <c r="D170" s="91" t="s">
        <v>79</v>
      </c>
      <c r="E170">
        <v>254</v>
      </c>
      <c r="F170">
        <v>265</v>
      </c>
      <c r="G170" s="94" t="s">
        <v>68</v>
      </c>
      <c r="H170" t="s">
        <v>527</v>
      </c>
      <c r="I170">
        <v>1</v>
      </c>
      <c r="J170">
        <f>SUM(K171)</f>
        <v>613990.59000000008</v>
      </c>
      <c r="K170">
        <f>I170*J170</f>
        <v>613990.59000000008</v>
      </c>
      <c r="L170">
        <f>100*(1-(M170/K170))</f>
        <v>7.0000000000000178</v>
      </c>
      <c r="M170">
        <f>I170*SUM(M171)</f>
        <v>571011.2487</v>
      </c>
      <c r="N170" s="91">
        <v>170</v>
      </c>
      <c r="O170" s="91" t="s">
        <v>528</v>
      </c>
      <c r="P170" s="119" t="s">
        <v>208</v>
      </c>
      <c r="Q170" s="119" t="s">
        <v>395</v>
      </c>
      <c r="R170" s="91" t="s">
        <v>1108</v>
      </c>
      <c r="S170" s="91" t="s">
        <v>1158</v>
      </c>
      <c r="T170" s="91" t="s">
        <v>1183</v>
      </c>
      <c r="U170" s="91" t="s">
        <v>1133</v>
      </c>
    </row>
    <row r="171" spans="1:21" x14ac:dyDescent="0.25">
      <c r="A171" s="91" t="s">
        <v>529</v>
      </c>
      <c r="B171" s="120">
        <v>4</v>
      </c>
      <c r="C171" s="91" t="s">
        <v>526</v>
      </c>
      <c r="D171" s="91" t="s">
        <v>78</v>
      </c>
      <c r="E171">
        <v>255</v>
      </c>
      <c r="F171">
        <v>264</v>
      </c>
      <c r="G171" s="94" t="s">
        <v>68</v>
      </c>
      <c r="H171" t="s">
        <v>527</v>
      </c>
      <c r="I171">
        <v>1</v>
      </c>
      <c r="J171">
        <f>SUM(K172)</f>
        <v>613990.59000000008</v>
      </c>
      <c r="K171">
        <f>I171*J171</f>
        <v>613990.59000000008</v>
      </c>
      <c r="L171">
        <f>100*(1-(M171/K171))</f>
        <v>7.0000000000000178</v>
      </c>
      <c r="M171">
        <f>I171*SUM(M172)</f>
        <v>571011.2487</v>
      </c>
      <c r="N171" s="91">
        <v>171</v>
      </c>
      <c r="O171" s="91" t="s">
        <v>530</v>
      </c>
      <c r="P171" s="119" t="s">
        <v>211</v>
      </c>
      <c r="Q171" s="119" t="s">
        <v>395</v>
      </c>
      <c r="R171" s="91" t="s">
        <v>980</v>
      </c>
      <c r="S171" s="91" t="s">
        <v>1044</v>
      </c>
      <c r="T171" s="91" t="s">
        <v>1076</v>
      </c>
      <c r="U171" s="91" t="s">
        <v>1012</v>
      </c>
    </row>
    <row r="172" spans="1:21" x14ac:dyDescent="0.25">
      <c r="A172" s="91" t="s">
        <v>531</v>
      </c>
      <c r="B172" s="120">
        <v>5</v>
      </c>
      <c r="C172" s="91" t="s">
        <v>529</v>
      </c>
      <c r="D172" s="91" t="s">
        <v>78</v>
      </c>
      <c r="E172">
        <v>256</v>
      </c>
      <c r="F172">
        <v>263</v>
      </c>
      <c r="G172" s="94" t="s">
        <v>68</v>
      </c>
      <c r="H172" t="s">
        <v>527</v>
      </c>
      <c r="I172">
        <v>1</v>
      </c>
      <c r="J172">
        <f>SUM(K173,K174,K175)</f>
        <v>613990.59000000008</v>
      </c>
      <c r="K172">
        <f>I172*J172</f>
        <v>613990.59000000008</v>
      </c>
      <c r="L172">
        <f>100*(1-(M172/K172))</f>
        <v>7.0000000000000178</v>
      </c>
      <c r="M172">
        <f>I172*SUM(M173,M174,M175)</f>
        <v>571011.2487</v>
      </c>
      <c r="N172" s="91">
        <v>172</v>
      </c>
      <c r="O172" s="91" t="s">
        <v>532</v>
      </c>
      <c r="P172" s="119" t="s">
        <v>214</v>
      </c>
      <c r="Q172" s="119" t="s">
        <v>395</v>
      </c>
      <c r="R172" s="91" t="s">
        <v>827</v>
      </c>
      <c r="S172" s="91" t="s">
        <v>907</v>
      </c>
      <c r="T172" s="91" t="s">
        <v>947</v>
      </c>
      <c r="U172" s="91" t="s">
        <v>867</v>
      </c>
    </row>
    <row r="173" spans="1:21" x14ac:dyDescent="0.25">
      <c r="A173" s="91" t="s">
        <v>533</v>
      </c>
      <c r="B173" s="120">
        <v>6</v>
      </c>
      <c r="C173" s="91" t="s">
        <v>531</v>
      </c>
      <c r="D173" s="91" t="s">
        <v>78</v>
      </c>
      <c r="E173">
        <v>257</v>
      </c>
      <c r="F173">
        <v>258</v>
      </c>
      <c r="G173" s="94" t="s">
        <v>78</v>
      </c>
      <c r="H173" t="s">
        <v>534</v>
      </c>
      <c r="I173">
        <v>1</v>
      </c>
      <c r="J173">
        <v>121969.23</v>
      </c>
      <c r="K173">
        <f>I173*J173</f>
        <v>121969.23</v>
      </c>
      <c r="L173">
        <v>7</v>
      </c>
      <c r="M173">
        <f>(1-(L173/100))*K173</f>
        <v>113431.38389999999</v>
      </c>
      <c r="N173" s="91">
        <v>173</v>
      </c>
      <c r="O173" s="91" t="s">
        <v>535</v>
      </c>
      <c r="P173" s="119" t="s">
        <v>217</v>
      </c>
      <c r="Q173" s="119" t="s">
        <v>395</v>
      </c>
    </row>
    <row r="174" spans="1:21" x14ac:dyDescent="0.25">
      <c r="A174" s="91" t="s">
        <v>536</v>
      </c>
      <c r="B174" s="120">
        <v>6</v>
      </c>
      <c r="C174" s="91" t="s">
        <v>531</v>
      </c>
      <c r="D174" s="91" t="s">
        <v>79</v>
      </c>
      <c r="E174">
        <v>259</v>
      </c>
      <c r="F174">
        <v>260</v>
      </c>
      <c r="G174" s="94" t="s">
        <v>78</v>
      </c>
      <c r="H174" t="s">
        <v>537</v>
      </c>
      <c r="I174">
        <v>1</v>
      </c>
      <c r="J174">
        <v>482610.46</v>
      </c>
      <c r="K174">
        <f>I174*J174</f>
        <v>482610.46</v>
      </c>
      <c r="L174">
        <v>7</v>
      </c>
      <c r="M174">
        <f>(1-(L174/100))*K174</f>
        <v>448827.72779999999</v>
      </c>
      <c r="N174" s="91">
        <v>174</v>
      </c>
      <c r="O174" s="91" t="s">
        <v>538</v>
      </c>
      <c r="P174" s="119" t="s">
        <v>220</v>
      </c>
      <c r="Q174" s="119" t="s">
        <v>395</v>
      </c>
    </row>
    <row r="175" spans="1:21" x14ac:dyDescent="0.25">
      <c r="A175" s="91" t="s">
        <v>539</v>
      </c>
      <c r="B175" s="120">
        <v>6</v>
      </c>
      <c r="C175" s="91" t="s">
        <v>531</v>
      </c>
      <c r="D175" s="91" t="s">
        <v>80</v>
      </c>
      <c r="E175">
        <v>261</v>
      </c>
      <c r="F175">
        <v>262</v>
      </c>
      <c r="G175" s="94" t="s">
        <v>78</v>
      </c>
      <c r="H175" t="s">
        <v>540</v>
      </c>
      <c r="I175">
        <v>1</v>
      </c>
      <c r="J175">
        <v>9410.9</v>
      </c>
      <c r="K175">
        <f>I175*J175</f>
        <v>9410.9</v>
      </c>
      <c r="L175">
        <v>7</v>
      </c>
      <c r="M175">
        <f>(1-(L175/100))*K175</f>
        <v>8752.1369999999988</v>
      </c>
      <c r="N175" s="91">
        <v>175</v>
      </c>
      <c r="O175" s="91" t="s">
        <v>541</v>
      </c>
      <c r="P175" s="119" t="s">
        <v>223</v>
      </c>
      <c r="Q175" s="119" t="s">
        <v>395</v>
      </c>
    </row>
    <row r="176" spans="1:21" x14ac:dyDescent="0.25">
      <c r="A176" s="91" t="s">
        <v>542</v>
      </c>
      <c r="B176" s="120">
        <v>2</v>
      </c>
      <c r="C176" s="91" t="s">
        <v>78</v>
      </c>
      <c r="D176" s="91" t="s">
        <v>80</v>
      </c>
      <c r="E176">
        <v>267</v>
      </c>
      <c r="F176">
        <v>442</v>
      </c>
      <c r="G176" s="94" t="s">
        <v>68</v>
      </c>
      <c r="H176" t="s">
        <v>543</v>
      </c>
      <c r="I176">
        <v>1</v>
      </c>
      <c r="J176">
        <f>SUM(K177,K206,K233,K237,K246,K252,K258)</f>
        <v>13514509.129393002</v>
      </c>
      <c r="K176">
        <f>I176*J176</f>
        <v>13514509.129393002</v>
      </c>
      <c r="L176">
        <f>100*(1-(M176/K176))</f>
        <v>36.353435417805144</v>
      </c>
      <c r="M176">
        <f>I176*SUM(M177,M206,M233,M237,M246,M252,M258)</f>
        <v>8601520.7810057364</v>
      </c>
      <c r="N176" s="91">
        <v>176</v>
      </c>
      <c r="O176" s="91" t="s">
        <v>544</v>
      </c>
      <c r="P176" s="119" t="s">
        <v>801</v>
      </c>
      <c r="Q176" s="119" t="s">
        <v>543</v>
      </c>
      <c r="R176" s="91" t="s">
        <v>1203</v>
      </c>
      <c r="S176" s="91" t="s">
        <v>1229</v>
      </c>
      <c r="T176" s="91" t="s">
        <v>1242</v>
      </c>
      <c r="U176" s="91" t="s">
        <v>1216</v>
      </c>
    </row>
    <row r="177" spans="1:21" x14ac:dyDescent="0.25">
      <c r="A177" s="91" t="s">
        <v>545</v>
      </c>
      <c r="B177" s="120">
        <v>3</v>
      </c>
      <c r="C177" s="91" t="s">
        <v>542</v>
      </c>
      <c r="D177" s="91" t="s">
        <v>78</v>
      </c>
      <c r="E177">
        <v>268</v>
      </c>
      <c r="F177">
        <v>325</v>
      </c>
      <c r="G177" s="94" t="s">
        <v>68</v>
      </c>
      <c r="H177" t="s">
        <v>546</v>
      </c>
      <c r="I177">
        <v>1</v>
      </c>
      <c r="J177">
        <f>SUM(K178)</f>
        <v>4190103.99</v>
      </c>
      <c r="K177">
        <f>I177*J177</f>
        <v>4190103.99</v>
      </c>
      <c r="L177">
        <f>100*(1-(M177/K177))</f>
        <v>31.378178409290502</v>
      </c>
      <c r="M177">
        <f>I177*SUM(M178)</f>
        <v>2875325.6844830001</v>
      </c>
      <c r="N177" s="91">
        <v>177</v>
      </c>
      <c r="O177" s="91" t="s">
        <v>547</v>
      </c>
      <c r="P177" s="119" t="s">
        <v>802</v>
      </c>
      <c r="Q177" s="119" t="s">
        <v>543</v>
      </c>
      <c r="R177" s="91" t="s">
        <v>1204</v>
      </c>
      <c r="S177" s="91" t="s">
        <v>1230</v>
      </c>
      <c r="T177" s="91" t="s">
        <v>1243</v>
      </c>
      <c r="U177" s="91" t="s">
        <v>1217</v>
      </c>
    </row>
    <row r="178" spans="1:21" x14ac:dyDescent="0.25">
      <c r="A178" s="91" t="s">
        <v>548</v>
      </c>
      <c r="B178" s="120">
        <v>4</v>
      </c>
      <c r="C178" s="91" t="s">
        <v>545</v>
      </c>
      <c r="D178" s="91" t="s">
        <v>78</v>
      </c>
      <c r="E178">
        <v>269</v>
      </c>
      <c r="F178">
        <v>324</v>
      </c>
      <c r="G178" s="94" t="s">
        <v>68</v>
      </c>
      <c r="H178" t="s">
        <v>549</v>
      </c>
      <c r="I178">
        <v>1</v>
      </c>
      <c r="J178">
        <f>SUM(K179,K186,K190)</f>
        <v>4190103.99</v>
      </c>
      <c r="K178">
        <f>I178*J178</f>
        <v>4190103.99</v>
      </c>
      <c r="L178">
        <f>100*(1-(M178/K178))</f>
        <v>31.378178409290502</v>
      </c>
      <c r="M178">
        <f>I178*SUM(M179,M186,M190)</f>
        <v>2875325.6844830001</v>
      </c>
      <c r="N178" s="91">
        <v>178</v>
      </c>
      <c r="O178" s="91" t="s">
        <v>550</v>
      </c>
      <c r="P178" s="119" t="s">
        <v>803</v>
      </c>
      <c r="Q178" s="119" t="s">
        <v>543</v>
      </c>
      <c r="R178" s="91" t="s">
        <v>1109</v>
      </c>
      <c r="S178" s="91" t="s">
        <v>1159</v>
      </c>
      <c r="T178" s="91" t="s">
        <v>1184</v>
      </c>
      <c r="U178" s="91" t="s">
        <v>1134</v>
      </c>
    </row>
    <row r="179" spans="1:21" x14ac:dyDescent="0.25">
      <c r="A179" s="91" t="s">
        <v>551</v>
      </c>
      <c r="B179" s="120">
        <v>5</v>
      </c>
      <c r="C179" s="91" t="s">
        <v>548</v>
      </c>
      <c r="D179" s="91" t="s">
        <v>78</v>
      </c>
      <c r="E179">
        <v>270</v>
      </c>
      <c r="F179">
        <v>283</v>
      </c>
      <c r="G179" s="94" t="s">
        <v>68</v>
      </c>
      <c r="H179" t="s">
        <v>552</v>
      </c>
      <c r="I179">
        <v>2</v>
      </c>
      <c r="J179">
        <f>SUM(K180)</f>
        <v>1957035</v>
      </c>
      <c r="K179">
        <f>I179*J179</f>
        <v>3914070</v>
      </c>
      <c r="L179">
        <f>100*(1-(M179/K179))</f>
        <v>27.83</v>
      </c>
      <c r="M179">
        <f>I179*SUM(M180)</f>
        <v>2824784.3190000001</v>
      </c>
      <c r="N179" s="91">
        <v>179</v>
      </c>
      <c r="O179" s="91" t="s">
        <v>553</v>
      </c>
      <c r="P179" s="119" t="s">
        <v>804</v>
      </c>
      <c r="Q179" s="119" t="s">
        <v>543</v>
      </c>
      <c r="R179" s="91" t="s">
        <v>981</v>
      </c>
      <c r="S179" s="91" t="s">
        <v>1045</v>
      </c>
      <c r="T179" s="91" t="s">
        <v>1077</v>
      </c>
      <c r="U179" s="91" t="s">
        <v>1013</v>
      </c>
    </row>
    <row r="180" spans="1:21" x14ac:dyDescent="0.25">
      <c r="A180" s="91" t="s">
        <v>554</v>
      </c>
      <c r="B180" s="120">
        <v>6</v>
      </c>
      <c r="C180" s="91" t="s">
        <v>551</v>
      </c>
      <c r="D180" s="91" t="s">
        <v>78</v>
      </c>
      <c r="E180">
        <v>271</v>
      </c>
      <c r="F180">
        <v>282</v>
      </c>
      <c r="G180" s="94" t="s">
        <v>68</v>
      </c>
      <c r="H180" t="s">
        <v>555</v>
      </c>
      <c r="I180">
        <v>1</v>
      </c>
      <c r="J180">
        <f>SUM(K181,K182,K183,K184,K185)</f>
        <v>1957035</v>
      </c>
      <c r="K180">
        <f>I180*J180</f>
        <v>1957035</v>
      </c>
      <c r="L180">
        <f>100*(1-(M180/K180))</f>
        <v>27.83</v>
      </c>
      <c r="M180">
        <f>I180*SUM(M181,M182,M183,M184,M185)</f>
        <v>1412392.1595000001</v>
      </c>
      <c r="N180" s="91">
        <v>180</v>
      </c>
      <c r="O180" s="91" t="s">
        <v>556</v>
      </c>
      <c r="P180" s="119" t="s">
        <v>82</v>
      </c>
      <c r="Q180" s="119" t="s">
        <v>543</v>
      </c>
      <c r="R180" s="91" t="s">
        <v>828</v>
      </c>
      <c r="S180" s="91" t="s">
        <v>908</v>
      </c>
      <c r="T180" s="91" t="s">
        <v>948</v>
      </c>
      <c r="U180" s="91" t="s">
        <v>868</v>
      </c>
    </row>
    <row r="181" spans="1:21" x14ac:dyDescent="0.25">
      <c r="A181" s="91" t="s">
        <v>557</v>
      </c>
      <c r="B181" s="120">
        <v>7</v>
      </c>
      <c r="C181" s="91" t="s">
        <v>554</v>
      </c>
      <c r="D181" s="91" t="s">
        <v>78</v>
      </c>
      <c r="E181">
        <v>272</v>
      </c>
      <c r="F181">
        <v>273</v>
      </c>
      <c r="G181" s="94" t="s">
        <v>78</v>
      </c>
      <c r="H181" t="s">
        <v>558</v>
      </c>
      <c r="I181">
        <v>1</v>
      </c>
      <c r="J181">
        <v>122533</v>
      </c>
      <c r="K181">
        <f>I181*J181</f>
        <v>122533</v>
      </c>
      <c r="L181">
        <v>27.83</v>
      </c>
      <c r="M181">
        <f>(1-(L181/100))*K181</f>
        <v>88432.066099999996</v>
      </c>
      <c r="N181" s="91">
        <v>181</v>
      </c>
      <c r="O181" s="91" t="s">
        <v>559</v>
      </c>
      <c r="P181" s="119" t="s">
        <v>85</v>
      </c>
      <c r="Q181" s="119" t="s">
        <v>543</v>
      </c>
    </row>
    <row r="182" spans="1:21" x14ac:dyDescent="0.25">
      <c r="A182" s="91" t="s">
        <v>560</v>
      </c>
      <c r="B182" s="120">
        <v>7</v>
      </c>
      <c r="C182" s="91" t="s">
        <v>554</v>
      </c>
      <c r="D182" s="91" t="s">
        <v>79</v>
      </c>
      <c r="E182">
        <v>274</v>
      </c>
      <c r="F182">
        <v>275</v>
      </c>
      <c r="G182" s="94" t="s">
        <v>78</v>
      </c>
      <c r="H182" t="s">
        <v>561</v>
      </c>
      <c r="I182">
        <v>24</v>
      </c>
      <c r="J182">
        <v>19677</v>
      </c>
      <c r="K182">
        <f>I182*J182</f>
        <v>472248</v>
      </c>
      <c r="L182">
        <v>27.83</v>
      </c>
      <c r="M182">
        <f>(1-(L182/100))*K182</f>
        <v>340821.38160000002</v>
      </c>
      <c r="N182" s="91">
        <v>182</v>
      </c>
      <c r="O182" s="91" t="s">
        <v>562</v>
      </c>
      <c r="P182" s="119" t="s">
        <v>88</v>
      </c>
      <c r="Q182" s="119" t="s">
        <v>543</v>
      </c>
    </row>
    <row r="183" spans="1:21" x14ac:dyDescent="0.25">
      <c r="A183" s="91" t="s">
        <v>563</v>
      </c>
      <c r="B183" s="120">
        <v>7</v>
      </c>
      <c r="C183" s="91" t="s">
        <v>554</v>
      </c>
      <c r="D183" s="91" t="s">
        <v>80</v>
      </c>
      <c r="E183">
        <v>276</v>
      </c>
      <c r="F183">
        <v>277</v>
      </c>
      <c r="G183" s="94" t="s">
        <v>78</v>
      </c>
      <c r="H183" t="s">
        <v>564</v>
      </c>
      <c r="I183">
        <v>24</v>
      </c>
      <c r="J183">
        <v>52014</v>
      </c>
      <c r="K183">
        <f>I183*J183</f>
        <v>1248336</v>
      </c>
      <c r="L183">
        <v>27.83</v>
      </c>
      <c r="M183">
        <f>(1-(L183/100))*K183</f>
        <v>900924.09120000002</v>
      </c>
      <c r="N183" s="91">
        <v>183</v>
      </c>
      <c r="O183" s="91" t="s">
        <v>565</v>
      </c>
      <c r="P183" s="119" t="s">
        <v>91</v>
      </c>
      <c r="Q183" s="119" t="s">
        <v>543</v>
      </c>
    </row>
    <row r="184" spans="1:21" x14ac:dyDescent="0.25">
      <c r="A184" s="91" t="s">
        <v>566</v>
      </c>
      <c r="B184" s="120">
        <v>7</v>
      </c>
      <c r="C184" s="91" t="s">
        <v>554</v>
      </c>
      <c r="D184" s="91" t="s">
        <v>794</v>
      </c>
      <c r="E184">
        <v>278</v>
      </c>
      <c r="F184">
        <v>279</v>
      </c>
      <c r="G184" s="94" t="s">
        <v>78</v>
      </c>
      <c r="H184" t="s">
        <v>567</v>
      </c>
      <c r="I184">
        <v>2</v>
      </c>
      <c r="J184">
        <v>15224</v>
      </c>
      <c r="K184">
        <f>I184*J184</f>
        <v>30448</v>
      </c>
      <c r="L184">
        <v>27.83</v>
      </c>
      <c r="M184">
        <f>(1-(L184/100))*K184</f>
        <v>21974.321599999999</v>
      </c>
      <c r="N184" s="91">
        <v>184</v>
      </c>
      <c r="O184" s="91" t="s">
        <v>568</v>
      </c>
      <c r="P184" s="119" t="s">
        <v>93</v>
      </c>
      <c r="Q184" s="119" t="s">
        <v>543</v>
      </c>
    </row>
    <row r="185" spans="1:21" x14ac:dyDescent="0.25">
      <c r="A185" s="91" t="s">
        <v>569</v>
      </c>
      <c r="B185" s="120">
        <v>7</v>
      </c>
      <c r="C185" s="91" t="s">
        <v>554</v>
      </c>
      <c r="D185" s="91" t="s">
        <v>795</v>
      </c>
      <c r="E185">
        <v>280</v>
      </c>
      <c r="F185">
        <v>281</v>
      </c>
      <c r="G185" s="94" t="s">
        <v>78</v>
      </c>
      <c r="H185" t="s">
        <v>570</v>
      </c>
      <c r="I185">
        <v>1</v>
      </c>
      <c r="J185">
        <v>83470</v>
      </c>
      <c r="K185">
        <f>I185*J185</f>
        <v>83470</v>
      </c>
      <c r="L185">
        <v>27.83</v>
      </c>
      <c r="M185">
        <f>(1-(L185/100))*K185</f>
        <v>60240.298999999999</v>
      </c>
      <c r="N185" s="91">
        <v>185</v>
      </c>
      <c r="O185" s="91" t="s">
        <v>571</v>
      </c>
      <c r="P185" s="119" t="s">
        <v>96</v>
      </c>
      <c r="Q185" s="119" t="s">
        <v>543</v>
      </c>
    </row>
    <row r="186" spans="1:21" x14ac:dyDescent="0.25">
      <c r="A186" s="91" t="s">
        <v>572</v>
      </c>
      <c r="B186" s="120">
        <v>5</v>
      </c>
      <c r="C186" s="91" t="s">
        <v>548</v>
      </c>
      <c r="D186" s="91" t="s">
        <v>79</v>
      </c>
      <c r="E186">
        <v>284</v>
      </c>
      <c r="F186">
        <v>291</v>
      </c>
      <c r="G186" s="94" t="s">
        <v>68</v>
      </c>
      <c r="H186" t="s">
        <v>573</v>
      </c>
      <c r="I186">
        <v>1</v>
      </c>
      <c r="J186">
        <f>SUM(K187)</f>
        <v>206003</v>
      </c>
      <c r="K186">
        <f>I186*J186</f>
        <v>206003</v>
      </c>
      <c r="L186">
        <f>100*(1-(M186/K186))</f>
        <v>100</v>
      </c>
      <c r="M186">
        <f>I186*SUM(M187)</f>
        <v>0</v>
      </c>
      <c r="N186" s="91">
        <v>186</v>
      </c>
      <c r="O186" s="91" t="s">
        <v>574</v>
      </c>
      <c r="P186" s="119" t="s">
        <v>805</v>
      </c>
      <c r="Q186" s="119" t="s">
        <v>543</v>
      </c>
      <c r="R186" s="91" t="s">
        <v>982</v>
      </c>
      <c r="S186" s="91" t="s">
        <v>1046</v>
      </c>
      <c r="T186" s="91" t="s">
        <v>1078</v>
      </c>
      <c r="U186" s="91" t="s">
        <v>1014</v>
      </c>
    </row>
    <row r="187" spans="1:21" x14ac:dyDescent="0.25">
      <c r="A187" s="91" t="s">
        <v>575</v>
      </c>
      <c r="B187" s="120">
        <v>6</v>
      </c>
      <c r="C187" s="91" t="s">
        <v>572</v>
      </c>
      <c r="D187" s="91" t="s">
        <v>78</v>
      </c>
      <c r="E187">
        <v>285</v>
      </c>
      <c r="F187">
        <v>290</v>
      </c>
      <c r="G187" s="94" t="s">
        <v>68</v>
      </c>
      <c r="H187" t="s">
        <v>576</v>
      </c>
      <c r="I187">
        <v>1</v>
      </c>
      <c r="J187">
        <f>SUM(K188,K189)</f>
        <v>206003</v>
      </c>
      <c r="K187">
        <f>I187*J187</f>
        <v>206003</v>
      </c>
      <c r="L187">
        <f>100*(1-(M187/K187))</f>
        <v>100</v>
      </c>
      <c r="M187">
        <f>I187*SUM(M188,M189)</f>
        <v>0</v>
      </c>
      <c r="N187" s="91">
        <v>187</v>
      </c>
      <c r="O187" s="91" t="s">
        <v>577</v>
      </c>
      <c r="P187" s="119" t="s">
        <v>99</v>
      </c>
      <c r="Q187" s="119" t="s">
        <v>543</v>
      </c>
      <c r="R187" s="91" t="s">
        <v>829</v>
      </c>
      <c r="S187" s="91" t="s">
        <v>909</v>
      </c>
      <c r="T187" s="91" t="s">
        <v>949</v>
      </c>
      <c r="U187" s="91" t="s">
        <v>869</v>
      </c>
    </row>
    <row r="188" spans="1:21" x14ac:dyDescent="0.25">
      <c r="A188" s="91" t="s">
        <v>578</v>
      </c>
      <c r="B188" s="120">
        <v>7</v>
      </c>
      <c r="C188" s="91" t="s">
        <v>575</v>
      </c>
      <c r="D188" s="91" t="s">
        <v>78</v>
      </c>
      <c r="E188">
        <v>286</v>
      </c>
      <c r="F188">
        <v>287</v>
      </c>
      <c r="G188" s="94" t="s">
        <v>78</v>
      </c>
      <c r="H188" t="s">
        <v>558</v>
      </c>
      <c r="I188">
        <v>1</v>
      </c>
      <c r="J188">
        <v>122533</v>
      </c>
      <c r="K188">
        <f>I188*J188</f>
        <v>122533</v>
      </c>
      <c r="L188">
        <v>100</v>
      </c>
      <c r="M188">
        <f>(1-(L188/100))*K188</f>
        <v>0</v>
      </c>
      <c r="N188" s="91">
        <v>188</v>
      </c>
      <c r="O188" s="91" t="s">
        <v>579</v>
      </c>
      <c r="P188" s="119" t="s">
        <v>102</v>
      </c>
      <c r="Q188" s="119" t="s">
        <v>543</v>
      </c>
    </row>
    <row r="189" spans="1:21" x14ac:dyDescent="0.25">
      <c r="A189" s="91" t="s">
        <v>580</v>
      </c>
      <c r="B189" s="120">
        <v>7</v>
      </c>
      <c r="C189" s="91" t="s">
        <v>575</v>
      </c>
      <c r="D189" s="91" t="s">
        <v>79</v>
      </c>
      <c r="E189">
        <v>288</v>
      </c>
      <c r="F189">
        <v>289</v>
      </c>
      <c r="G189" s="94" t="s">
        <v>78</v>
      </c>
      <c r="H189" t="s">
        <v>570</v>
      </c>
      <c r="I189">
        <v>1</v>
      </c>
      <c r="J189">
        <v>83470</v>
      </c>
      <c r="K189">
        <f>I189*J189</f>
        <v>83470</v>
      </c>
      <c r="L189">
        <v>100</v>
      </c>
      <c r="M189">
        <f>(1-(L189/100))*K189</f>
        <v>0</v>
      </c>
      <c r="N189" s="91">
        <v>189</v>
      </c>
      <c r="O189" s="91" t="s">
        <v>581</v>
      </c>
      <c r="P189" s="119" t="s">
        <v>806</v>
      </c>
      <c r="Q189" s="119" t="s">
        <v>543</v>
      </c>
    </row>
    <row r="190" spans="1:21" x14ac:dyDescent="0.25">
      <c r="A190" s="91" t="s">
        <v>582</v>
      </c>
      <c r="B190" s="120">
        <v>5</v>
      </c>
      <c r="C190" s="91" t="s">
        <v>548</v>
      </c>
      <c r="D190" s="91" t="s">
        <v>80</v>
      </c>
      <c r="E190">
        <v>292</v>
      </c>
      <c r="F190">
        <v>323</v>
      </c>
      <c r="G190" s="94" t="s">
        <v>68</v>
      </c>
      <c r="H190" t="s">
        <v>583</v>
      </c>
      <c r="I190">
        <v>1</v>
      </c>
      <c r="J190">
        <f>SUM(K191)</f>
        <v>70030.990000000005</v>
      </c>
      <c r="K190">
        <f>I190*J190</f>
        <v>70030.990000000005</v>
      </c>
      <c r="L190">
        <f>100*(1-(M190/K190))</f>
        <v>27.829999999999988</v>
      </c>
      <c r="M190">
        <f>I190*SUM(M191)</f>
        <v>50541.365483000016</v>
      </c>
      <c r="N190" s="91">
        <v>190</v>
      </c>
      <c r="O190" s="91" t="s">
        <v>584</v>
      </c>
      <c r="P190" s="119" t="s">
        <v>104</v>
      </c>
      <c r="Q190" s="119" t="s">
        <v>543</v>
      </c>
      <c r="R190" s="91" t="s">
        <v>983</v>
      </c>
      <c r="S190" s="91" t="s">
        <v>1047</v>
      </c>
      <c r="T190" s="91" t="s">
        <v>1079</v>
      </c>
      <c r="U190" s="91" t="s">
        <v>1015</v>
      </c>
    </row>
    <row r="191" spans="1:21" x14ac:dyDescent="0.25">
      <c r="A191" s="91" t="s">
        <v>585</v>
      </c>
      <c r="B191" s="120">
        <v>6</v>
      </c>
      <c r="C191" s="91" t="s">
        <v>582</v>
      </c>
      <c r="D191" s="91" t="s">
        <v>78</v>
      </c>
      <c r="E191">
        <v>293</v>
      </c>
      <c r="F191">
        <v>322</v>
      </c>
      <c r="G191" s="94" t="s">
        <v>68</v>
      </c>
      <c r="H191" t="s">
        <v>586</v>
      </c>
      <c r="I191">
        <v>1</v>
      </c>
      <c r="J191">
        <f>SUM(K192,K193,K194,K195,K196,K197,K198,K199,K200,K201,K202,K203,K204,K205)</f>
        <v>70030.990000000005</v>
      </c>
      <c r="K191">
        <f>I191*J191</f>
        <v>70030.990000000005</v>
      </c>
      <c r="L191">
        <f>100*(1-(M191/K191))</f>
        <v>27.829999999999988</v>
      </c>
      <c r="M191">
        <f>I191*SUM(M192,M193,M194,M195,M196,M197,M198,M199,M200,M201,M202,M203,M204,M205)</f>
        <v>50541.365483000016</v>
      </c>
      <c r="N191" s="91">
        <v>191</v>
      </c>
      <c r="O191" s="91" t="s">
        <v>587</v>
      </c>
      <c r="P191" s="119" t="s">
        <v>107</v>
      </c>
      <c r="Q191" s="119" t="s">
        <v>543</v>
      </c>
      <c r="R191" s="91" t="s">
        <v>830</v>
      </c>
      <c r="S191" s="91" t="s">
        <v>910</v>
      </c>
      <c r="T191" s="91" t="s">
        <v>950</v>
      </c>
      <c r="U191" s="91" t="s">
        <v>870</v>
      </c>
    </row>
    <row r="192" spans="1:21" x14ac:dyDescent="0.25">
      <c r="A192" s="91" t="s">
        <v>588</v>
      </c>
      <c r="B192" s="120">
        <v>7</v>
      </c>
      <c r="C192" s="91" t="s">
        <v>585</v>
      </c>
      <c r="D192" s="91" t="s">
        <v>78</v>
      </c>
      <c r="E192">
        <v>294</v>
      </c>
      <c r="F192">
        <v>295</v>
      </c>
      <c r="G192" s="94" t="s">
        <v>78</v>
      </c>
      <c r="H192" t="s">
        <v>589</v>
      </c>
      <c r="I192">
        <v>1</v>
      </c>
      <c r="J192">
        <v>11484</v>
      </c>
      <c r="K192">
        <f>I192*J192</f>
        <v>11484</v>
      </c>
      <c r="L192">
        <v>27.83</v>
      </c>
      <c r="M192">
        <f>(1-(L192/100))*K192</f>
        <v>8288.0028000000002</v>
      </c>
      <c r="N192" s="91">
        <v>192</v>
      </c>
      <c r="O192" s="91" t="s">
        <v>590</v>
      </c>
      <c r="P192" s="119" t="s">
        <v>110</v>
      </c>
      <c r="Q192" s="119" t="s">
        <v>543</v>
      </c>
    </row>
    <row r="193" spans="1:21" x14ac:dyDescent="0.25">
      <c r="A193" s="91" t="s">
        <v>591</v>
      </c>
      <c r="B193" s="120">
        <v>7</v>
      </c>
      <c r="C193" s="91" t="s">
        <v>585</v>
      </c>
      <c r="D193" s="91" t="s">
        <v>79</v>
      </c>
      <c r="E193">
        <v>296</v>
      </c>
      <c r="F193">
        <v>297</v>
      </c>
      <c r="G193" s="94" t="s">
        <v>78</v>
      </c>
      <c r="H193" t="s">
        <v>592</v>
      </c>
      <c r="I193">
        <v>1</v>
      </c>
      <c r="J193">
        <v>9450</v>
      </c>
      <c r="K193">
        <f>I193*J193</f>
        <v>9450</v>
      </c>
      <c r="L193">
        <v>27.83</v>
      </c>
      <c r="M193">
        <f>(1-(L193/100))*K193</f>
        <v>6820.0650000000005</v>
      </c>
      <c r="N193" s="91">
        <v>193</v>
      </c>
      <c r="O193" s="91" t="s">
        <v>593</v>
      </c>
      <c r="P193" s="119" t="s">
        <v>113</v>
      </c>
      <c r="Q193" s="119" t="s">
        <v>543</v>
      </c>
    </row>
    <row r="194" spans="1:21" x14ac:dyDescent="0.25">
      <c r="A194" s="91" t="s">
        <v>594</v>
      </c>
      <c r="B194" s="120">
        <v>7</v>
      </c>
      <c r="C194" s="91" t="s">
        <v>585</v>
      </c>
      <c r="D194" s="91" t="s">
        <v>80</v>
      </c>
      <c r="E194">
        <v>298</v>
      </c>
      <c r="F194">
        <v>299</v>
      </c>
      <c r="G194" s="94" t="s">
        <v>78</v>
      </c>
      <c r="H194" t="s">
        <v>595</v>
      </c>
      <c r="I194">
        <v>1</v>
      </c>
      <c r="J194">
        <v>15931.63</v>
      </c>
      <c r="K194">
        <f>I194*J194</f>
        <v>15931.63</v>
      </c>
      <c r="L194">
        <v>27.83</v>
      </c>
      <c r="M194">
        <f>(1-(L194/100))*K194</f>
        <v>11497.857371</v>
      </c>
      <c r="N194" s="91">
        <v>194</v>
      </c>
      <c r="O194" s="91" t="s">
        <v>596</v>
      </c>
      <c r="P194" s="119" t="s">
        <v>116</v>
      </c>
      <c r="Q194" s="119" t="s">
        <v>543</v>
      </c>
    </row>
    <row r="195" spans="1:21" x14ac:dyDescent="0.25">
      <c r="A195" s="91" t="s">
        <v>597</v>
      </c>
      <c r="B195" s="120">
        <v>7</v>
      </c>
      <c r="C195" s="91" t="s">
        <v>585</v>
      </c>
      <c r="D195" s="91" t="s">
        <v>794</v>
      </c>
      <c r="E195">
        <v>300</v>
      </c>
      <c r="F195">
        <v>301</v>
      </c>
      <c r="G195" s="94" t="s">
        <v>78</v>
      </c>
      <c r="H195" t="s">
        <v>598</v>
      </c>
      <c r="I195">
        <v>1</v>
      </c>
      <c r="J195">
        <v>5590</v>
      </c>
      <c r="K195">
        <f>I195*J195</f>
        <v>5590</v>
      </c>
      <c r="L195">
        <v>27.83</v>
      </c>
      <c r="M195">
        <f>(1-(L195/100))*K195</f>
        <v>4034.3029999999999</v>
      </c>
      <c r="N195" s="91">
        <v>195</v>
      </c>
      <c r="O195" s="91" t="s">
        <v>599</v>
      </c>
      <c r="P195" s="119" t="s">
        <v>119</v>
      </c>
      <c r="Q195" s="119" t="s">
        <v>543</v>
      </c>
    </row>
    <row r="196" spans="1:21" x14ac:dyDescent="0.25">
      <c r="A196" s="91" t="s">
        <v>600</v>
      </c>
      <c r="B196" s="120">
        <v>7</v>
      </c>
      <c r="C196" s="91" t="s">
        <v>585</v>
      </c>
      <c r="D196" s="91" t="s">
        <v>795</v>
      </c>
      <c r="E196">
        <v>302</v>
      </c>
      <c r="F196">
        <v>303</v>
      </c>
      <c r="G196" s="94" t="s">
        <v>78</v>
      </c>
      <c r="H196" t="s">
        <v>601</v>
      </c>
      <c r="I196">
        <v>1</v>
      </c>
      <c r="J196">
        <v>106.97</v>
      </c>
      <c r="K196">
        <f>I196*J196</f>
        <v>106.97</v>
      </c>
      <c r="L196">
        <v>27.83</v>
      </c>
      <c r="M196">
        <f>(1-(L196/100))*K196</f>
        <v>77.200248999999999</v>
      </c>
      <c r="N196" s="91">
        <v>196</v>
      </c>
      <c r="O196" s="91" t="s">
        <v>602</v>
      </c>
      <c r="P196" s="119" t="s">
        <v>122</v>
      </c>
      <c r="Q196" s="119" t="s">
        <v>543</v>
      </c>
    </row>
    <row r="197" spans="1:21" x14ac:dyDescent="0.25">
      <c r="A197" s="91" t="s">
        <v>603</v>
      </c>
      <c r="B197" s="120">
        <v>7</v>
      </c>
      <c r="C197" s="91" t="s">
        <v>585</v>
      </c>
      <c r="D197" s="91" t="s">
        <v>796</v>
      </c>
      <c r="E197">
        <v>304</v>
      </c>
      <c r="F197">
        <v>305</v>
      </c>
      <c r="G197" s="94" t="s">
        <v>78</v>
      </c>
      <c r="H197" t="s">
        <v>604</v>
      </c>
      <c r="I197">
        <v>1</v>
      </c>
      <c r="J197">
        <v>2728.29</v>
      </c>
      <c r="K197">
        <f>I197*J197</f>
        <v>2728.29</v>
      </c>
      <c r="L197">
        <v>27.83</v>
      </c>
      <c r="M197">
        <f>(1-(L197/100))*K197</f>
        <v>1969.006893</v>
      </c>
      <c r="N197" s="91">
        <v>197</v>
      </c>
      <c r="O197" s="91" t="s">
        <v>605</v>
      </c>
      <c r="P197" s="119" t="s">
        <v>1263</v>
      </c>
      <c r="Q197" s="119" t="s">
        <v>543</v>
      </c>
    </row>
    <row r="198" spans="1:21" x14ac:dyDescent="0.25">
      <c r="A198" s="91" t="s">
        <v>606</v>
      </c>
      <c r="B198" s="120">
        <v>7</v>
      </c>
      <c r="C198" s="91" t="s">
        <v>585</v>
      </c>
      <c r="D198" s="91" t="s">
        <v>797</v>
      </c>
      <c r="E198">
        <v>306</v>
      </c>
      <c r="F198">
        <v>307</v>
      </c>
      <c r="G198" s="94" t="s">
        <v>78</v>
      </c>
      <c r="H198" t="s">
        <v>607</v>
      </c>
      <c r="I198">
        <v>1</v>
      </c>
      <c r="J198">
        <v>3896</v>
      </c>
      <c r="K198">
        <f>I198*J198</f>
        <v>3896</v>
      </c>
      <c r="L198">
        <v>27.83</v>
      </c>
      <c r="M198">
        <f>(1-(L198/100))*K198</f>
        <v>2811.7431999999999</v>
      </c>
      <c r="N198" s="91">
        <v>198</v>
      </c>
      <c r="O198" s="91" t="s">
        <v>608</v>
      </c>
      <c r="P198" s="119" t="s">
        <v>125</v>
      </c>
      <c r="Q198" s="119" t="s">
        <v>543</v>
      </c>
    </row>
    <row r="199" spans="1:21" x14ac:dyDescent="0.25">
      <c r="A199" s="91" t="s">
        <v>609</v>
      </c>
      <c r="B199" s="120">
        <v>7</v>
      </c>
      <c r="C199" s="91" t="s">
        <v>585</v>
      </c>
      <c r="D199" s="91" t="s">
        <v>798</v>
      </c>
      <c r="E199">
        <v>308</v>
      </c>
      <c r="F199">
        <v>309</v>
      </c>
      <c r="G199" s="94" t="s">
        <v>78</v>
      </c>
      <c r="H199" t="s">
        <v>610</v>
      </c>
      <c r="I199">
        <v>1</v>
      </c>
      <c r="J199">
        <v>6810</v>
      </c>
      <c r="K199">
        <f>I199*J199</f>
        <v>6810</v>
      </c>
      <c r="L199">
        <v>27.83</v>
      </c>
      <c r="M199">
        <f>(1-(L199/100))*K199</f>
        <v>4914.777</v>
      </c>
      <c r="N199" s="91">
        <v>199</v>
      </c>
      <c r="O199" s="91" t="s">
        <v>611</v>
      </c>
      <c r="P199" s="119" t="s">
        <v>128</v>
      </c>
      <c r="Q199" s="119" t="s">
        <v>543</v>
      </c>
    </row>
    <row r="200" spans="1:21" x14ac:dyDescent="0.25">
      <c r="A200" s="91" t="s">
        <v>612</v>
      </c>
      <c r="B200" s="120">
        <v>7</v>
      </c>
      <c r="C200" s="91" t="s">
        <v>585</v>
      </c>
      <c r="D200" s="91" t="s">
        <v>799</v>
      </c>
      <c r="E200">
        <v>310</v>
      </c>
      <c r="F200">
        <v>311</v>
      </c>
      <c r="G200" s="94" t="s">
        <v>78</v>
      </c>
      <c r="H200" t="s">
        <v>613</v>
      </c>
      <c r="I200">
        <v>1</v>
      </c>
      <c r="J200">
        <v>1027.4000000000001</v>
      </c>
      <c r="K200">
        <f>I200*J200</f>
        <v>1027.4000000000001</v>
      </c>
      <c r="L200">
        <v>27.83</v>
      </c>
      <c r="M200">
        <f>(1-(L200/100))*K200</f>
        <v>741.47458000000006</v>
      </c>
      <c r="N200" s="91">
        <v>200</v>
      </c>
      <c r="O200" s="91" t="s">
        <v>614</v>
      </c>
      <c r="P200" s="119" t="s">
        <v>131</v>
      </c>
      <c r="Q200" s="119" t="s">
        <v>543</v>
      </c>
    </row>
    <row r="201" spans="1:21" x14ac:dyDescent="0.25">
      <c r="A201" s="91" t="s">
        <v>615</v>
      </c>
      <c r="B201" s="120">
        <v>7</v>
      </c>
      <c r="C201" s="91" t="s">
        <v>585</v>
      </c>
      <c r="D201" s="91" t="s">
        <v>800</v>
      </c>
      <c r="E201">
        <v>312</v>
      </c>
      <c r="F201">
        <v>313</v>
      </c>
      <c r="G201" s="94" t="s">
        <v>78</v>
      </c>
      <c r="H201" t="s">
        <v>616</v>
      </c>
      <c r="I201">
        <v>1</v>
      </c>
      <c r="J201">
        <v>3061.23</v>
      </c>
      <c r="K201">
        <f>I201*J201</f>
        <v>3061.23</v>
      </c>
      <c r="L201">
        <v>27.83</v>
      </c>
      <c r="M201">
        <f>(1-(L201/100))*K201</f>
        <v>2209.2896909999999</v>
      </c>
      <c r="N201" s="91">
        <v>201</v>
      </c>
      <c r="O201" s="91" t="s">
        <v>617</v>
      </c>
      <c r="P201" s="119" t="s">
        <v>134</v>
      </c>
      <c r="Q201" s="119" t="s">
        <v>543</v>
      </c>
    </row>
    <row r="202" spans="1:21" x14ac:dyDescent="0.25">
      <c r="A202" s="91" t="s">
        <v>618</v>
      </c>
      <c r="B202" s="120">
        <v>7</v>
      </c>
      <c r="C202" s="91" t="s">
        <v>585</v>
      </c>
      <c r="D202" s="91" t="s">
        <v>801</v>
      </c>
      <c r="E202">
        <v>314</v>
      </c>
      <c r="F202">
        <v>315</v>
      </c>
      <c r="G202" s="94" t="s">
        <v>78</v>
      </c>
      <c r="H202" t="s">
        <v>619</v>
      </c>
      <c r="I202">
        <v>1</v>
      </c>
      <c r="J202">
        <v>44.53</v>
      </c>
      <c r="K202">
        <f>I202*J202</f>
        <v>44.53</v>
      </c>
      <c r="L202">
        <v>27.83</v>
      </c>
      <c r="M202">
        <f>(1-(L202/100))*K202</f>
        <v>32.137301000000001</v>
      </c>
      <c r="N202" s="91">
        <v>202</v>
      </c>
      <c r="O202" s="91" t="s">
        <v>620</v>
      </c>
      <c r="P202" s="119" t="s">
        <v>1264</v>
      </c>
      <c r="Q202" s="119" t="s">
        <v>543</v>
      </c>
    </row>
    <row r="203" spans="1:21" x14ac:dyDescent="0.25">
      <c r="A203" s="91" t="s">
        <v>621</v>
      </c>
      <c r="B203" s="120">
        <v>7</v>
      </c>
      <c r="C203" s="91" t="s">
        <v>585</v>
      </c>
      <c r="D203" s="91" t="s">
        <v>802</v>
      </c>
      <c r="E203">
        <v>316</v>
      </c>
      <c r="F203">
        <v>317</v>
      </c>
      <c r="G203" s="94" t="s">
        <v>78</v>
      </c>
      <c r="H203" t="s">
        <v>622</v>
      </c>
      <c r="I203">
        <v>1</v>
      </c>
      <c r="J203">
        <v>575.67999999999995</v>
      </c>
      <c r="K203">
        <f>I203*J203</f>
        <v>575.67999999999995</v>
      </c>
      <c r="L203">
        <v>27.83</v>
      </c>
      <c r="M203">
        <f>(1-(L203/100))*K203</f>
        <v>415.468256</v>
      </c>
      <c r="N203" s="91">
        <v>203</v>
      </c>
      <c r="O203" s="91" t="s">
        <v>623</v>
      </c>
      <c r="P203" s="119" t="s">
        <v>136</v>
      </c>
      <c r="Q203" s="119" t="s">
        <v>543</v>
      </c>
    </row>
    <row r="204" spans="1:21" x14ac:dyDescent="0.25">
      <c r="A204" s="91" t="s">
        <v>624</v>
      </c>
      <c r="B204" s="120">
        <v>7</v>
      </c>
      <c r="C204" s="91" t="s">
        <v>585</v>
      </c>
      <c r="D204" s="91" t="s">
        <v>803</v>
      </c>
      <c r="E204">
        <v>318</v>
      </c>
      <c r="F204">
        <v>319</v>
      </c>
      <c r="G204" s="94" t="s">
        <v>78</v>
      </c>
      <c r="H204" t="s">
        <v>625</v>
      </c>
      <c r="I204">
        <v>1</v>
      </c>
      <c r="J204">
        <v>3066.17</v>
      </c>
      <c r="K204">
        <f>I204*J204</f>
        <v>3066.17</v>
      </c>
      <c r="L204">
        <v>27.83</v>
      </c>
      <c r="M204">
        <f>(1-(L204/100))*K204</f>
        <v>2212.8548890000002</v>
      </c>
      <c r="N204" s="91">
        <v>204</v>
      </c>
      <c r="O204" s="91" t="s">
        <v>626</v>
      </c>
      <c r="P204" s="119" t="s">
        <v>139</v>
      </c>
      <c r="Q204" s="119" t="s">
        <v>543</v>
      </c>
    </row>
    <row r="205" spans="1:21" x14ac:dyDescent="0.25">
      <c r="A205" s="91" t="s">
        <v>627</v>
      </c>
      <c r="B205" s="120">
        <v>7</v>
      </c>
      <c r="C205" s="91" t="s">
        <v>585</v>
      </c>
      <c r="D205" s="91" t="s">
        <v>804</v>
      </c>
      <c r="E205">
        <v>320</v>
      </c>
      <c r="F205">
        <v>321</v>
      </c>
      <c r="G205" s="94" t="s">
        <v>78</v>
      </c>
      <c r="H205" t="s">
        <v>628</v>
      </c>
      <c r="I205">
        <v>1</v>
      </c>
      <c r="J205">
        <v>6259.09</v>
      </c>
      <c r="K205">
        <f>I205*J205</f>
        <v>6259.09</v>
      </c>
      <c r="L205">
        <v>27.83</v>
      </c>
      <c r="M205">
        <f>(1-(L205/100))*K205</f>
        <v>4517.1852530000006</v>
      </c>
      <c r="N205" s="91">
        <v>205</v>
      </c>
      <c r="O205" s="91" t="s">
        <v>629</v>
      </c>
      <c r="P205" s="119" t="s">
        <v>141</v>
      </c>
      <c r="Q205" s="119" t="s">
        <v>543</v>
      </c>
    </row>
    <row r="206" spans="1:21" x14ac:dyDescent="0.25">
      <c r="A206" s="91" t="s">
        <v>630</v>
      </c>
      <c r="B206" s="120">
        <v>3</v>
      </c>
      <c r="C206" s="91" t="s">
        <v>542</v>
      </c>
      <c r="D206" s="91" t="s">
        <v>79</v>
      </c>
      <c r="E206">
        <v>326</v>
      </c>
      <c r="F206">
        <v>379</v>
      </c>
      <c r="G206" s="94" t="s">
        <v>68</v>
      </c>
      <c r="H206" t="s">
        <v>631</v>
      </c>
      <c r="I206">
        <v>1</v>
      </c>
      <c r="J206">
        <f>SUM(K207,K227)</f>
        <v>4149383.5593929999</v>
      </c>
      <c r="K206">
        <f>I206*J206</f>
        <v>4149383.5593929999</v>
      </c>
      <c r="L206">
        <f>100*(1-(M206/K206))</f>
        <v>58.745203913876011</v>
      </c>
      <c r="M206">
        <f>I206*SUM(M207,M227)</f>
        <v>1711819.7262587359</v>
      </c>
      <c r="N206" s="91">
        <v>206</v>
      </c>
      <c r="O206" s="91" t="s">
        <v>632</v>
      </c>
      <c r="P206" s="119" t="s">
        <v>144</v>
      </c>
      <c r="Q206" s="119" t="s">
        <v>543</v>
      </c>
      <c r="R206" s="91" t="s">
        <v>1110</v>
      </c>
      <c r="S206" s="91" t="s">
        <v>1160</v>
      </c>
      <c r="T206" s="91" t="s">
        <v>1185</v>
      </c>
      <c r="U206" s="91" t="s">
        <v>1135</v>
      </c>
    </row>
    <row r="207" spans="1:21" x14ac:dyDescent="0.25">
      <c r="A207" s="91" t="s">
        <v>633</v>
      </c>
      <c r="B207" s="120">
        <v>4</v>
      </c>
      <c r="C207" s="91" t="s">
        <v>630</v>
      </c>
      <c r="D207" s="91" t="s">
        <v>78</v>
      </c>
      <c r="E207">
        <v>327</v>
      </c>
      <c r="F207">
        <v>366</v>
      </c>
      <c r="G207" s="94" t="s">
        <v>68</v>
      </c>
      <c r="H207" t="s">
        <v>634</v>
      </c>
      <c r="I207">
        <v>1</v>
      </c>
      <c r="J207">
        <f>SUM(K208,K224)</f>
        <v>3725405.4618639997</v>
      </c>
      <c r="K207">
        <f>I207*J207</f>
        <v>3725405.4618639997</v>
      </c>
      <c r="L207">
        <f>100*(1-(M207/K207))</f>
        <v>62.263577812852354</v>
      </c>
      <c r="M207">
        <f>I207*SUM(M208,M224)</f>
        <v>1405834.7332720566</v>
      </c>
      <c r="N207" s="91">
        <v>207</v>
      </c>
      <c r="O207" s="91" t="s">
        <v>635</v>
      </c>
      <c r="P207" s="119" t="s">
        <v>147</v>
      </c>
      <c r="Q207" s="119" t="s">
        <v>543</v>
      </c>
      <c r="R207" s="91" t="s">
        <v>984</v>
      </c>
      <c r="S207" s="91" t="s">
        <v>1048</v>
      </c>
      <c r="T207" s="91" t="s">
        <v>1080</v>
      </c>
      <c r="U207" s="91" t="s">
        <v>1016</v>
      </c>
    </row>
    <row r="208" spans="1:21" x14ac:dyDescent="0.25">
      <c r="A208" s="91" t="s">
        <v>636</v>
      </c>
      <c r="B208" s="120">
        <v>5</v>
      </c>
      <c r="C208" s="91" t="s">
        <v>633</v>
      </c>
      <c r="D208" s="91" t="s">
        <v>78</v>
      </c>
      <c r="E208">
        <v>328</v>
      </c>
      <c r="F208">
        <v>359</v>
      </c>
      <c r="G208" s="94" t="s">
        <v>68</v>
      </c>
      <c r="H208" t="s">
        <v>637</v>
      </c>
      <c r="I208">
        <v>1</v>
      </c>
      <c r="J208">
        <f>SUM(K209,K210,K211,K212,K213,K214,K215,K216,K217,K218,K219,K220,K221,K222,K223)</f>
        <v>3721461.4618639997</v>
      </c>
      <c r="K208">
        <f>I208*J208</f>
        <v>3721461.4618639997</v>
      </c>
      <c r="L208">
        <f>100*(1-(M208/K208))</f>
        <v>62.223584801872313</v>
      </c>
      <c r="M208">
        <f>I208*SUM(M209,M210,M211,M212,M213,M214,M215,M216,M217,M218,M219,M220,M221,M222,M223)</f>
        <v>1405834.7332720566</v>
      </c>
      <c r="N208" s="91">
        <v>208</v>
      </c>
      <c r="O208" s="91" t="s">
        <v>638</v>
      </c>
      <c r="P208" s="119" t="s">
        <v>150</v>
      </c>
      <c r="Q208" s="119" t="s">
        <v>543</v>
      </c>
      <c r="R208" s="91" t="s">
        <v>831</v>
      </c>
      <c r="S208" s="91" t="s">
        <v>911</v>
      </c>
      <c r="T208" s="91" t="s">
        <v>951</v>
      </c>
      <c r="U208" s="91" t="s">
        <v>871</v>
      </c>
    </row>
    <row r="209" spans="1:21" x14ac:dyDescent="0.25">
      <c r="A209" s="91" t="s">
        <v>639</v>
      </c>
      <c r="B209" s="120">
        <v>6</v>
      </c>
      <c r="C209" s="91" t="s">
        <v>636</v>
      </c>
      <c r="D209" s="91" t="s">
        <v>78</v>
      </c>
      <c r="E209">
        <v>329</v>
      </c>
      <c r="F209">
        <v>330</v>
      </c>
      <c r="G209" s="94" t="s">
        <v>78</v>
      </c>
      <c r="H209" t="s">
        <v>640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 s="91">
        <v>209</v>
      </c>
      <c r="O209" s="91" t="s">
        <v>641</v>
      </c>
      <c r="P209" s="119" t="s">
        <v>153</v>
      </c>
      <c r="Q209" s="119" t="s">
        <v>543</v>
      </c>
    </row>
    <row r="210" spans="1:21" x14ac:dyDescent="0.25">
      <c r="A210" s="91" t="s">
        <v>642</v>
      </c>
      <c r="B210" s="120">
        <v>6</v>
      </c>
      <c r="C210" s="91" t="s">
        <v>636</v>
      </c>
      <c r="D210" s="91" t="s">
        <v>79</v>
      </c>
      <c r="E210">
        <v>331</v>
      </c>
      <c r="F210">
        <v>332</v>
      </c>
      <c r="G210" s="94" t="s">
        <v>78</v>
      </c>
      <c r="H210" t="s">
        <v>643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 s="91">
        <v>210</v>
      </c>
      <c r="O210" s="91" t="s">
        <v>644</v>
      </c>
      <c r="P210" s="119" t="s">
        <v>1265</v>
      </c>
      <c r="Q210" s="119" t="s">
        <v>543</v>
      </c>
    </row>
    <row r="211" spans="1:21" x14ac:dyDescent="0.25">
      <c r="A211" s="91" t="s">
        <v>645</v>
      </c>
      <c r="B211" s="120">
        <v>6</v>
      </c>
      <c r="C211" s="91" t="s">
        <v>636</v>
      </c>
      <c r="D211" s="91" t="s">
        <v>80</v>
      </c>
      <c r="E211">
        <v>333</v>
      </c>
      <c r="F211">
        <v>334</v>
      </c>
      <c r="G211" s="94" t="s">
        <v>78</v>
      </c>
      <c r="H211" t="s">
        <v>646</v>
      </c>
      <c r="I211">
        <v>200</v>
      </c>
      <c r="J211">
        <v>428.28218514999998</v>
      </c>
      <c r="K211">
        <f>I211*J211</f>
        <v>85656.437030000001</v>
      </c>
      <c r="L211">
        <v>56.7</v>
      </c>
      <c r="M211">
        <f>(1-(L211/100))*K211</f>
        <v>37089.237233989996</v>
      </c>
      <c r="N211" s="91">
        <v>211</v>
      </c>
      <c r="O211" s="91" t="s">
        <v>647</v>
      </c>
      <c r="P211" s="119" t="s">
        <v>156</v>
      </c>
      <c r="Q211" s="119" t="s">
        <v>543</v>
      </c>
    </row>
    <row r="212" spans="1:21" x14ac:dyDescent="0.25">
      <c r="A212" s="91" t="s">
        <v>648</v>
      </c>
      <c r="B212" s="120">
        <v>6</v>
      </c>
      <c r="C212" s="91" t="s">
        <v>636</v>
      </c>
      <c r="D212" s="91" t="s">
        <v>794</v>
      </c>
      <c r="E212">
        <v>335</v>
      </c>
      <c r="F212">
        <v>336</v>
      </c>
      <c r="G212" s="94" t="s">
        <v>78</v>
      </c>
      <c r="H212" t="s">
        <v>649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 s="91">
        <v>212</v>
      </c>
      <c r="O212" s="91" t="s">
        <v>650</v>
      </c>
      <c r="P212" s="119" t="s">
        <v>159</v>
      </c>
      <c r="Q212" s="119" t="s">
        <v>543</v>
      </c>
    </row>
    <row r="213" spans="1:21" x14ac:dyDescent="0.25">
      <c r="A213" s="91" t="s">
        <v>651</v>
      </c>
      <c r="B213" s="120">
        <v>6</v>
      </c>
      <c r="C213" s="91" t="s">
        <v>636</v>
      </c>
      <c r="D213" s="91" t="s">
        <v>795</v>
      </c>
      <c r="E213">
        <v>337</v>
      </c>
      <c r="F213">
        <v>338</v>
      </c>
      <c r="G213" s="94" t="s">
        <v>78</v>
      </c>
      <c r="H213" t="s">
        <v>652</v>
      </c>
      <c r="I213">
        <v>200</v>
      </c>
      <c r="J213">
        <v>394.37157774000002</v>
      </c>
      <c r="K213">
        <f>I213*J213</f>
        <v>78874.315547999999</v>
      </c>
      <c r="L213">
        <v>56.7</v>
      </c>
      <c r="M213">
        <f>(1-(L213/100))*K213</f>
        <v>34152.578632283992</v>
      </c>
      <c r="N213" s="91">
        <v>213</v>
      </c>
      <c r="O213" s="91" t="s">
        <v>653</v>
      </c>
      <c r="P213" s="119" t="s">
        <v>162</v>
      </c>
      <c r="Q213" s="119" t="s">
        <v>543</v>
      </c>
    </row>
    <row r="214" spans="1:21" x14ac:dyDescent="0.25">
      <c r="A214" s="91" t="s">
        <v>654</v>
      </c>
      <c r="B214" s="120">
        <v>6</v>
      </c>
      <c r="C214" s="91" t="s">
        <v>636</v>
      </c>
      <c r="D214" s="91" t="s">
        <v>796</v>
      </c>
      <c r="E214">
        <v>339</v>
      </c>
      <c r="F214">
        <v>340</v>
      </c>
      <c r="G214" s="94" t="s">
        <v>78</v>
      </c>
      <c r="H214" t="s">
        <v>655</v>
      </c>
      <c r="I214">
        <v>200</v>
      </c>
      <c r="J214">
        <v>394.37157774000002</v>
      </c>
      <c r="K214">
        <f>I214*J214</f>
        <v>78874.315547999999</v>
      </c>
      <c r="L214">
        <v>56.7</v>
      </c>
      <c r="M214">
        <f>(1-(L214/100))*K214</f>
        <v>34152.578632283992</v>
      </c>
      <c r="N214" s="91">
        <v>214</v>
      </c>
      <c r="O214" s="91" t="s">
        <v>656</v>
      </c>
      <c r="P214" s="119" t="s">
        <v>165</v>
      </c>
      <c r="Q214" s="119" t="s">
        <v>543</v>
      </c>
    </row>
    <row r="215" spans="1:21" x14ac:dyDescent="0.25">
      <c r="A215" s="91" t="s">
        <v>657</v>
      </c>
      <c r="B215" s="120">
        <v>6</v>
      </c>
      <c r="C215" s="91" t="s">
        <v>636</v>
      </c>
      <c r="D215" s="91" t="s">
        <v>797</v>
      </c>
      <c r="E215">
        <v>341</v>
      </c>
      <c r="F215">
        <v>342</v>
      </c>
      <c r="G215" s="94" t="s">
        <v>78</v>
      </c>
      <c r="H215" t="s">
        <v>658</v>
      </c>
      <c r="I215">
        <v>200</v>
      </c>
      <c r="J215">
        <v>394.37157774000002</v>
      </c>
      <c r="K215">
        <f>I215*J215</f>
        <v>78874.315547999999</v>
      </c>
      <c r="L215">
        <v>56.7</v>
      </c>
      <c r="M215">
        <f>(1-(L215/100))*K215</f>
        <v>34152.578632283992</v>
      </c>
      <c r="N215" s="91">
        <v>215</v>
      </c>
      <c r="O215" s="91" t="s">
        <v>659</v>
      </c>
      <c r="P215" s="119" t="s">
        <v>1266</v>
      </c>
      <c r="Q215" s="119" t="s">
        <v>543</v>
      </c>
    </row>
    <row r="216" spans="1:21" x14ac:dyDescent="0.25">
      <c r="A216" s="91" t="s">
        <v>660</v>
      </c>
      <c r="B216" s="120">
        <v>6</v>
      </c>
      <c r="C216" s="91" t="s">
        <v>636</v>
      </c>
      <c r="D216" s="91" t="s">
        <v>798</v>
      </c>
      <c r="E216">
        <v>343</v>
      </c>
      <c r="F216">
        <v>344</v>
      </c>
      <c r="G216" s="94" t="s">
        <v>78</v>
      </c>
      <c r="H216" t="s">
        <v>661</v>
      </c>
      <c r="I216">
        <v>200</v>
      </c>
      <c r="J216">
        <v>394.37157774000002</v>
      </c>
      <c r="K216">
        <f>I216*J216</f>
        <v>78874.315547999999</v>
      </c>
      <c r="L216">
        <v>56.7</v>
      </c>
      <c r="M216">
        <f>(1-(L216/100))*K216</f>
        <v>34152.578632283992</v>
      </c>
      <c r="N216" s="91">
        <v>216</v>
      </c>
      <c r="O216" s="91" t="s">
        <v>662</v>
      </c>
      <c r="P216" s="119" t="s">
        <v>168</v>
      </c>
      <c r="Q216" s="119" t="s">
        <v>543</v>
      </c>
    </row>
    <row r="217" spans="1:21" x14ac:dyDescent="0.25">
      <c r="A217" s="91" t="s">
        <v>663</v>
      </c>
      <c r="B217" s="120">
        <v>6</v>
      </c>
      <c r="C217" s="91" t="s">
        <v>636</v>
      </c>
      <c r="D217" s="91" t="s">
        <v>799</v>
      </c>
      <c r="E217">
        <v>345</v>
      </c>
      <c r="F217">
        <v>346</v>
      </c>
      <c r="G217" s="94" t="s">
        <v>78</v>
      </c>
      <c r="H217" t="s">
        <v>664</v>
      </c>
      <c r="I217">
        <v>10</v>
      </c>
      <c r="J217">
        <v>23662</v>
      </c>
      <c r="K217">
        <f>I217*J217</f>
        <v>236620</v>
      </c>
      <c r="L217">
        <v>56.7</v>
      </c>
      <c r="M217">
        <f>(1-(L217/100))*K217</f>
        <v>102456.45999999999</v>
      </c>
      <c r="N217" s="91">
        <v>217</v>
      </c>
      <c r="O217" s="91" t="s">
        <v>665</v>
      </c>
      <c r="P217" s="119" t="s">
        <v>170</v>
      </c>
      <c r="Q217" s="119" t="s">
        <v>543</v>
      </c>
    </row>
    <row r="218" spans="1:21" x14ac:dyDescent="0.25">
      <c r="A218" s="91" t="s">
        <v>666</v>
      </c>
      <c r="B218" s="120">
        <v>6</v>
      </c>
      <c r="C218" s="91" t="s">
        <v>636</v>
      </c>
      <c r="D218" s="91" t="s">
        <v>800</v>
      </c>
      <c r="E218">
        <v>347</v>
      </c>
      <c r="F218">
        <v>348</v>
      </c>
      <c r="G218" s="94" t="s">
        <v>78</v>
      </c>
      <c r="H218" t="s">
        <v>667</v>
      </c>
      <c r="I218">
        <v>200</v>
      </c>
      <c r="J218">
        <v>10043.295555840001</v>
      </c>
      <c r="K218">
        <f>I218*J218</f>
        <v>2008659.1111680001</v>
      </c>
      <c r="L218">
        <v>63.92</v>
      </c>
      <c r="M218">
        <f>(1-(L218/100))*K218</f>
        <v>724724.20730941452</v>
      </c>
      <c r="N218" s="91">
        <v>218</v>
      </c>
      <c r="O218" s="91" t="s">
        <v>668</v>
      </c>
      <c r="P218" s="119" t="s">
        <v>172</v>
      </c>
      <c r="Q218" s="119" t="s">
        <v>543</v>
      </c>
    </row>
    <row r="219" spans="1:21" x14ac:dyDescent="0.25">
      <c r="A219" s="91" t="s">
        <v>669</v>
      </c>
      <c r="B219" s="120">
        <v>6</v>
      </c>
      <c r="C219" s="91" t="s">
        <v>636</v>
      </c>
      <c r="D219" s="91" t="s">
        <v>801</v>
      </c>
      <c r="E219">
        <v>349</v>
      </c>
      <c r="F219">
        <v>350</v>
      </c>
      <c r="G219" s="94" t="s">
        <v>78</v>
      </c>
      <c r="H219" t="s">
        <v>670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 s="91">
        <v>219</v>
      </c>
      <c r="O219" s="91" t="s">
        <v>671</v>
      </c>
      <c r="P219" s="119" t="s">
        <v>175</v>
      </c>
      <c r="Q219" s="119" t="s">
        <v>543</v>
      </c>
    </row>
    <row r="220" spans="1:21" x14ac:dyDescent="0.25">
      <c r="A220" s="91" t="s">
        <v>672</v>
      </c>
      <c r="B220" s="120">
        <v>6</v>
      </c>
      <c r="C220" s="91" t="s">
        <v>636</v>
      </c>
      <c r="D220" s="91" t="s">
        <v>802</v>
      </c>
      <c r="E220">
        <v>351</v>
      </c>
      <c r="F220">
        <v>352</v>
      </c>
      <c r="G220" s="94" t="s">
        <v>78</v>
      </c>
      <c r="H220" t="s">
        <v>673</v>
      </c>
      <c r="I220">
        <v>200</v>
      </c>
      <c r="J220">
        <v>662.16732459000002</v>
      </c>
      <c r="K220">
        <f>I220*J220</f>
        <v>132433.46491800001</v>
      </c>
      <c r="L220">
        <v>63.92</v>
      </c>
      <c r="M220">
        <f>(1-(L220/100))*K220</f>
        <v>47781.994142414405</v>
      </c>
      <c r="N220" s="91">
        <v>220</v>
      </c>
      <c r="O220" s="91" t="s">
        <v>674</v>
      </c>
      <c r="P220" s="119" t="s">
        <v>178</v>
      </c>
      <c r="Q220" s="119" t="s">
        <v>543</v>
      </c>
    </row>
    <row r="221" spans="1:21" x14ac:dyDescent="0.25">
      <c r="A221" s="91" t="s">
        <v>675</v>
      </c>
      <c r="B221" s="120">
        <v>6</v>
      </c>
      <c r="C221" s="91" t="s">
        <v>636</v>
      </c>
      <c r="D221" s="91" t="s">
        <v>803</v>
      </c>
      <c r="E221">
        <v>353</v>
      </c>
      <c r="F221">
        <v>354</v>
      </c>
      <c r="G221" s="94" t="s">
        <v>78</v>
      </c>
      <c r="H221" t="s">
        <v>676</v>
      </c>
      <c r="I221">
        <v>200</v>
      </c>
      <c r="J221">
        <v>882.46529988999998</v>
      </c>
      <c r="K221">
        <f>I221*J221</f>
        <v>176493.059978</v>
      </c>
      <c r="L221">
        <v>63.92</v>
      </c>
      <c r="M221">
        <f>(1-(L221/100))*K221</f>
        <v>63678.696040062401</v>
      </c>
      <c r="N221" s="91">
        <v>221</v>
      </c>
      <c r="O221" s="91" t="s">
        <v>677</v>
      </c>
      <c r="P221" s="119" t="s">
        <v>181</v>
      </c>
      <c r="Q221" s="119" t="s">
        <v>543</v>
      </c>
    </row>
    <row r="222" spans="1:21" x14ac:dyDescent="0.25">
      <c r="A222" s="91" t="s">
        <v>678</v>
      </c>
      <c r="B222" s="120">
        <v>6</v>
      </c>
      <c r="C222" s="91" t="s">
        <v>636</v>
      </c>
      <c r="D222" s="91" t="s">
        <v>804</v>
      </c>
      <c r="E222">
        <v>355</v>
      </c>
      <c r="F222">
        <v>356</v>
      </c>
      <c r="G222" s="94" t="s">
        <v>78</v>
      </c>
      <c r="H222" t="s">
        <v>679</v>
      </c>
      <c r="I222">
        <v>200</v>
      </c>
      <c r="J222">
        <v>882.46529988999998</v>
      </c>
      <c r="K222">
        <f>I222*J222</f>
        <v>176493.059978</v>
      </c>
      <c r="L222">
        <v>63.92</v>
      </c>
      <c r="M222">
        <f>(1-(L222/100))*K222</f>
        <v>63678.696040062401</v>
      </c>
      <c r="N222" s="91">
        <v>222</v>
      </c>
      <c r="O222" s="91" t="s">
        <v>680</v>
      </c>
      <c r="P222" s="119" t="s">
        <v>1267</v>
      </c>
      <c r="Q222" s="119" t="s">
        <v>543</v>
      </c>
    </row>
    <row r="223" spans="1:21" x14ac:dyDescent="0.25">
      <c r="A223" s="91" t="s">
        <v>681</v>
      </c>
      <c r="B223" s="120">
        <v>6</v>
      </c>
      <c r="C223" s="91" t="s">
        <v>636</v>
      </c>
      <c r="D223" s="91" t="s">
        <v>82</v>
      </c>
      <c r="E223">
        <v>357</v>
      </c>
      <c r="F223">
        <v>358</v>
      </c>
      <c r="G223" s="94" t="s">
        <v>78</v>
      </c>
      <c r="H223" t="s">
        <v>682</v>
      </c>
      <c r="I223">
        <v>200</v>
      </c>
      <c r="J223">
        <v>882.46529988999998</v>
      </c>
      <c r="K223">
        <f>I223*J223</f>
        <v>176493.059978</v>
      </c>
      <c r="L223">
        <v>63.92</v>
      </c>
      <c r="M223">
        <f>(1-(L223/100))*K223</f>
        <v>63678.696040062401</v>
      </c>
      <c r="N223" s="91">
        <v>223</v>
      </c>
      <c r="O223" s="91" t="s">
        <v>683</v>
      </c>
      <c r="P223" s="119" t="s">
        <v>184</v>
      </c>
      <c r="Q223" s="119" t="s">
        <v>543</v>
      </c>
    </row>
    <row r="224" spans="1:21" x14ac:dyDescent="0.25">
      <c r="A224" s="91" t="s">
        <v>684</v>
      </c>
      <c r="B224" s="120">
        <v>5</v>
      </c>
      <c r="C224" s="91" t="s">
        <v>633</v>
      </c>
      <c r="D224" s="91" t="s">
        <v>79</v>
      </c>
      <c r="E224">
        <v>360</v>
      </c>
      <c r="F224">
        <v>365</v>
      </c>
      <c r="G224" s="94" t="s">
        <v>68</v>
      </c>
      <c r="H224" t="s">
        <v>685</v>
      </c>
      <c r="I224">
        <v>1</v>
      </c>
      <c r="J224">
        <f>SUM(K225)</f>
        <v>3944</v>
      </c>
      <c r="K224">
        <f>I224*J224</f>
        <v>3944</v>
      </c>
      <c r="L224">
        <f>100*(1-(M224/K224))</f>
        <v>100</v>
      </c>
      <c r="M224">
        <f>I224*SUM(M225)</f>
        <v>0</v>
      </c>
      <c r="N224" s="91">
        <v>224</v>
      </c>
      <c r="O224" s="91" t="s">
        <v>686</v>
      </c>
      <c r="P224" s="119" t="s">
        <v>187</v>
      </c>
      <c r="Q224" s="119" t="s">
        <v>543</v>
      </c>
      <c r="R224" s="91" t="s">
        <v>985</v>
      </c>
      <c r="S224" s="91" t="s">
        <v>1049</v>
      </c>
      <c r="T224" s="91" t="s">
        <v>1081</v>
      </c>
      <c r="U224" s="91" t="s">
        <v>1017</v>
      </c>
    </row>
    <row r="225" spans="1:21" x14ac:dyDescent="0.25">
      <c r="A225" s="91" t="s">
        <v>687</v>
      </c>
      <c r="B225" s="120">
        <v>6</v>
      </c>
      <c r="C225" s="91" t="s">
        <v>684</v>
      </c>
      <c r="D225" s="91" t="s">
        <v>78</v>
      </c>
      <c r="E225">
        <v>361</v>
      </c>
      <c r="F225">
        <v>364</v>
      </c>
      <c r="G225" s="94" t="s">
        <v>68</v>
      </c>
      <c r="H225" t="s">
        <v>688</v>
      </c>
      <c r="I225">
        <v>1</v>
      </c>
      <c r="J225">
        <f>SUM(K226)</f>
        <v>3944</v>
      </c>
      <c r="K225">
        <f>I225*J225</f>
        <v>3944</v>
      </c>
      <c r="L225">
        <f>100*(1-(M225/K225))</f>
        <v>100</v>
      </c>
      <c r="M225">
        <f>I225*SUM(M226)</f>
        <v>0</v>
      </c>
      <c r="N225" s="91">
        <v>225</v>
      </c>
      <c r="O225" s="91" t="s">
        <v>689</v>
      </c>
      <c r="P225" s="119" t="s">
        <v>190</v>
      </c>
      <c r="Q225" s="119" t="s">
        <v>543</v>
      </c>
      <c r="R225" s="91" t="s">
        <v>832</v>
      </c>
      <c r="S225" s="91" t="s">
        <v>912</v>
      </c>
      <c r="T225" s="91" t="s">
        <v>952</v>
      </c>
      <c r="U225" s="91" t="s">
        <v>872</v>
      </c>
    </row>
    <row r="226" spans="1:21" x14ac:dyDescent="0.25">
      <c r="A226" s="91" t="s">
        <v>690</v>
      </c>
      <c r="B226" s="120">
        <v>7</v>
      </c>
      <c r="C226" s="91" t="s">
        <v>687</v>
      </c>
      <c r="D226" s="91" t="s">
        <v>78</v>
      </c>
      <c r="E226">
        <v>362</v>
      </c>
      <c r="F226">
        <v>363</v>
      </c>
      <c r="G226" s="94" t="s">
        <v>78</v>
      </c>
      <c r="H226" t="s">
        <v>691</v>
      </c>
      <c r="I226">
        <v>1</v>
      </c>
      <c r="J226">
        <v>3944</v>
      </c>
      <c r="K226">
        <f>I226*J226</f>
        <v>3944</v>
      </c>
      <c r="L226">
        <v>100</v>
      </c>
      <c r="M226">
        <f>(1-(L226/100))*K226</f>
        <v>0</v>
      </c>
      <c r="N226" s="91">
        <v>226</v>
      </c>
      <c r="O226" s="91" t="s">
        <v>692</v>
      </c>
      <c r="P226" s="119" t="s">
        <v>193</v>
      </c>
      <c r="Q226" s="119" t="s">
        <v>543</v>
      </c>
    </row>
    <row r="227" spans="1:21" x14ac:dyDescent="0.25">
      <c r="A227" s="91" t="s">
        <v>693</v>
      </c>
      <c r="B227" s="120">
        <v>4</v>
      </c>
      <c r="C227" s="91" t="s">
        <v>630</v>
      </c>
      <c r="D227" s="91" t="s">
        <v>79</v>
      </c>
      <c r="E227">
        <v>367</v>
      </c>
      <c r="F227">
        <v>378</v>
      </c>
      <c r="G227" s="94" t="s">
        <v>68</v>
      </c>
      <c r="H227" t="s">
        <v>694</v>
      </c>
      <c r="I227">
        <v>1</v>
      </c>
      <c r="J227">
        <f>SUM(K228)</f>
        <v>423978.09752900002</v>
      </c>
      <c r="K227">
        <f>I227*J227</f>
        <v>423978.09752900002</v>
      </c>
      <c r="L227">
        <f>100*(1-(M227/K227))</f>
        <v>27.83</v>
      </c>
      <c r="M227">
        <f>I227*SUM(M228)</f>
        <v>305984.99298667931</v>
      </c>
      <c r="N227" s="91">
        <v>227</v>
      </c>
      <c r="O227" s="91" t="s">
        <v>695</v>
      </c>
      <c r="P227" s="119" t="s">
        <v>196</v>
      </c>
      <c r="Q227" s="119" t="s">
        <v>543</v>
      </c>
      <c r="R227" s="91" t="s">
        <v>986</v>
      </c>
      <c r="S227" s="91" t="s">
        <v>1050</v>
      </c>
      <c r="T227" s="91" t="s">
        <v>1082</v>
      </c>
      <c r="U227" s="91" t="s">
        <v>1018</v>
      </c>
    </row>
    <row r="228" spans="1:21" x14ac:dyDescent="0.25">
      <c r="A228" s="91" t="s">
        <v>696</v>
      </c>
      <c r="B228" s="120">
        <v>5</v>
      </c>
      <c r="C228" s="91" t="s">
        <v>693</v>
      </c>
      <c r="D228" s="91" t="s">
        <v>78</v>
      </c>
      <c r="E228">
        <v>368</v>
      </c>
      <c r="F228">
        <v>377</v>
      </c>
      <c r="G228" s="94" t="s">
        <v>68</v>
      </c>
      <c r="H228" t="s">
        <v>697</v>
      </c>
      <c r="I228">
        <v>1</v>
      </c>
      <c r="J228">
        <f>SUM(K229,K230,K231,K232)</f>
        <v>423978.09752900002</v>
      </c>
      <c r="K228">
        <f>I228*J228</f>
        <v>423978.09752900002</v>
      </c>
      <c r="L228">
        <f>100*(1-(M228/K228))</f>
        <v>27.83</v>
      </c>
      <c r="M228">
        <f>I228*SUM(M229,M230,M231,M232)</f>
        <v>305984.99298667931</v>
      </c>
      <c r="N228" s="91">
        <v>228</v>
      </c>
      <c r="O228" s="91" t="s">
        <v>698</v>
      </c>
      <c r="P228" s="119" t="s">
        <v>1268</v>
      </c>
      <c r="Q228" s="119" t="s">
        <v>543</v>
      </c>
      <c r="R228" s="91" t="s">
        <v>833</v>
      </c>
      <c r="S228" s="91" t="s">
        <v>913</v>
      </c>
      <c r="T228" s="91" t="s">
        <v>953</v>
      </c>
      <c r="U228" s="91" t="s">
        <v>873</v>
      </c>
    </row>
    <row r="229" spans="1:21" x14ac:dyDescent="0.25">
      <c r="A229" s="91" t="s">
        <v>699</v>
      </c>
      <c r="B229" s="120">
        <v>6</v>
      </c>
      <c r="C229" s="91" t="s">
        <v>696</v>
      </c>
      <c r="D229" s="91" t="s">
        <v>78</v>
      </c>
      <c r="E229">
        <v>369</v>
      </c>
      <c r="F229">
        <v>370</v>
      </c>
      <c r="G229" s="94" t="s">
        <v>78</v>
      </c>
      <c r="H229" t="s">
        <v>118</v>
      </c>
      <c r="I229">
        <v>20</v>
      </c>
      <c r="J229">
        <v>2410.54374125</v>
      </c>
      <c r="K229">
        <f>I229*J229</f>
        <v>48210.874824999999</v>
      </c>
      <c r="L229">
        <v>27.83</v>
      </c>
      <c r="M229">
        <f>(1-(L229/100))*K229</f>
        <v>34793.788361202496</v>
      </c>
      <c r="N229" s="91">
        <v>229</v>
      </c>
      <c r="O229" s="91" t="s">
        <v>700</v>
      </c>
      <c r="P229" s="119" t="s">
        <v>199</v>
      </c>
      <c r="Q229" s="119" t="s">
        <v>543</v>
      </c>
    </row>
    <row r="230" spans="1:21" x14ac:dyDescent="0.25">
      <c r="A230" s="91" t="s">
        <v>701</v>
      </c>
      <c r="B230" s="120">
        <v>6</v>
      </c>
      <c r="C230" s="91" t="s">
        <v>696</v>
      </c>
      <c r="D230" s="91" t="s">
        <v>79</v>
      </c>
      <c r="E230">
        <v>371</v>
      </c>
      <c r="F230">
        <v>372</v>
      </c>
      <c r="G230" s="94" t="s">
        <v>78</v>
      </c>
      <c r="H230" t="s">
        <v>121</v>
      </c>
      <c r="I230">
        <v>200</v>
      </c>
      <c r="J230">
        <v>803.51458042000002</v>
      </c>
      <c r="K230">
        <f>I230*J230</f>
        <v>160702.916084</v>
      </c>
      <c r="L230">
        <v>27.83</v>
      </c>
      <c r="M230">
        <f>(1-(L230/100))*K230</f>
        <v>115979.2945378228</v>
      </c>
      <c r="N230" s="91">
        <v>230</v>
      </c>
      <c r="O230" s="91" t="s">
        <v>702</v>
      </c>
      <c r="P230" s="119" t="s">
        <v>202</v>
      </c>
      <c r="Q230" s="119" t="s">
        <v>543</v>
      </c>
    </row>
    <row r="231" spans="1:21" x14ac:dyDescent="0.25">
      <c r="A231" s="91" t="s">
        <v>703</v>
      </c>
      <c r="B231" s="120">
        <v>6</v>
      </c>
      <c r="C231" s="91" t="s">
        <v>696</v>
      </c>
      <c r="D231" s="91" t="s">
        <v>80</v>
      </c>
      <c r="E231">
        <v>373</v>
      </c>
      <c r="F231">
        <v>374</v>
      </c>
      <c r="G231" s="94" t="s">
        <v>78</v>
      </c>
      <c r="H231" t="s">
        <v>130</v>
      </c>
      <c r="I231">
        <v>1000</v>
      </c>
      <c r="J231">
        <v>33.108366230000001</v>
      </c>
      <c r="K231">
        <f>I231*J231</f>
        <v>33108.36623</v>
      </c>
      <c r="L231">
        <v>27.83</v>
      </c>
      <c r="M231">
        <f>(1-(L231/100))*K231</f>
        <v>23894.307908191</v>
      </c>
      <c r="N231" s="91">
        <v>231</v>
      </c>
      <c r="O231" s="91" t="s">
        <v>704</v>
      </c>
      <c r="P231" s="119" t="s">
        <v>205</v>
      </c>
      <c r="Q231" s="119" t="s">
        <v>543</v>
      </c>
    </row>
    <row r="232" spans="1:21" x14ac:dyDescent="0.25">
      <c r="A232" s="91" t="s">
        <v>705</v>
      </c>
      <c r="B232" s="120">
        <v>6</v>
      </c>
      <c r="C232" s="91" t="s">
        <v>696</v>
      </c>
      <c r="D232" s="91" t="s">
        <v>794</v>
      </c>
      <c r="E232">
        <v>375</v>
      </c>
      <c r="F232">
        <v>376</v>
      </c>
      <c r="G232" s="94" t="s">
        <v>78</v>
      </c>
      <c r="H232" t="s">
        <v>133</v>
      </c>
      <c r="I232">
        <v>3000</v>
      </c>
      <c r="J232">
        <v>60.651980129999998</v>
      </c>
      <c r="K232">
        <f>I232*J232</f>
        <v>181955.94039</v>
      </c>
      <c r="L232">
        <v>27.83</v>
      </c>
      <c r="M232">
        <f>(1-(L232/100))*K232</f>
        <v>131317.60217946299</v>
      </c>
      <c r="N232" s="91">
        <v>232</v>
      </c>
      <c r="O232" s="91" t="s">
        <v>706</v>
      </c>
      <c r="P232" s="119" t="s">
        <v>208</v>
      </c>
      <c r="Q232" s="119" t="s">
        <v>543</v>
      </c>
    </row>
    <row r="233" spans="1:21" x14ac:dyDescent="0.25">
      <c r="A233" s="91" t="s">
        <v>707</v>
      </c>
      <c r="B233" s="120">
        <v>3</v>
      </c>
      <c r="C233" s="91" t="s">
        <v>542</v>
      </c>
      <c r="D233" s="91" t="s">
        <v>80</v>
      </c>
      <c r="E233">
        <v>380</v>
      </c>
      <c r="F233">
        <v>387</v>
      </c>
      <c r="G233" s="94" t="s">
        <v>68</v>
      </c>
      <c r="H233" t="s">
        <v>708</v>
      </c>
      <c r="I233">
        <v>1</v>
      </c>
      <c r="J233">
        <f>SUM(K234)</f>
        <v>647424</v>
      </c>
      <c r="K233">
        <f>I233*J233</f>
        <v>647424</v>
      </c>
      <c r="L233">
        <f>100*(1-(M233/K233))</f>
        <v>44.07</v>
      </c>
      <c r="M233">
        <f>I233*SUM(M234)</f>
        <v>362104.24320000003</v>
      </c>
      <c r="N233" s="91">
        <v>233</v>
      </c>
      <c r="O233" s="91" t="s">
        <v>709</v>
      </c>
      <c r="P233" s="119" t="s">
        <v>211</v>
      </c>
      <c r="Q233" s="119" t="s">
        <v>543</v>
      </c>
      <c r="R233" s="91" t="s">
        <v>1111</v>
      </c>
      <c r="S233" s="91" t="s">
        <v>1161</v>
      </c>
      <c r="T233" s="91" t="s">
        <v>1186</v>
      </c>
      <c r="U233" s="91" t="s">
        <v>1136</v>
      </c>
    </row>
    <row r="234" spans="1:21" x14ac:dyDescent="0.25">
      <c r="A234" s="91" t="s">
        <v>710</v>
      </c>
      <c r="B234" s="120">
        <v>4</v>
      </c>
      <c r="C234" s="91" t="s">
        <v>707</v>
      </c>
      <c r="D234" s="91" t="s">
        <v>78</v>
      </c>
      <c r="E234">
        <v>381</v>
      </c>
      <c r="F234">
        <v>386</v>
      </c>
      <c r="G234" s="94" t="s">
        <v>68</v>
      </c>
      <c r="H234" t="s">
        <v>708</v>
      </c>
      <c r="I234">
        <v>1</v>
      </c>
      <c r="J234">
        <f>SUM(K235)</f>
        <v>647424</v>
      </c>
      <c r="K234">
        <f>I234*J234</f>
        <v>647424</v>
      </c>
      <c r="L234">
        <f>100*(1-(M234/K234))</f>
        <v>44.07</v>
      </c>
      <c r="M234">
        <f>I234*SUM(M235)</f>
        <v>362104.24320000003</v>
      </c>
      <c r="N234" s="91">
        <v>234</v>
      </c>
      <c r="O234" s="91" t="s">
        <v>711</v>
      </c>
      <c r="P234" s="119" t="s">
        <v>214</v>
      </c>
      <c r="Q234" s="119" t="s">
        <v>543</v>
      </c>
      <c r="R234" s="91" t="s">
        <v>987</v>
      </c>
      <c r="S234" s="91" t="s">
        <v>1051</v>
      </c>
      <c r="T234" s="91" t="s">
        <v>1083</v>
      </c>
      <c r="U234" s="91" t="s">
        <v>1019</v>
      </c>
    </row>
    <row r="235" spans="1:21" x14ac:dyDescent="0.25">
      <c r="A235" s="91" t="s">
        <v>712</v>
      </c>
      <c r="B235" s="120">
        <v>5</v>
      </c>
      <c r="C235" s="91" t="s">
        <v>710</v>
      </c>
      <c r="D235" s="91" t="s">
        <v>78</v>
      </c>
      <c r="E235">
        <v>382</v>
      </c>
      <c r="F235">
        <v>385</v>
      </c>
      <c r="G235" s="94" t="s">
        <v>68</v>
      </c>
      <c r="H235" t="s">
        <v>708</v>
      </c>
      <c r="I235">
        <v>1</v>
      </c>
      <c r="J235">
        <f>SUM(K236)</f>
        <v>647424</v>
      </c>
      <c r="K235">
        <f>I235*J235</f>
        <v>647424</v>
      </c>
      <c r="L235">
        <f>100*(1-(M235/K235))</f>
        <v>44.07</v>
      </c>
      <c r="M235">
        <f>I235*SUM(M236)</f>
        <v>362104.24320000003</v>
      </c>
      <c r="N235" s="91">
        <v>235</v>
      </c>
      <c r="O235" s="91" t="s">
        <v>713</v>
      </c>
      <c r="P235" s="119" t="s">
        <v>217</v>
      </c>
      <c r="Q235" s="119" t="s">
        <v>543</v>
      </c>
      <c r="R235" s="91" t="s">
        <v>834</v>
      </c>
      <c r="S235" s="91" t="s">
        <v>914</v>
      </c>
      <c r="T235" s="91" t="s">
        <v>954</v>
      </c>
      <c r="U235" s="91" t="s">
        <v>874</v>
      </c>
    </row>
    <row r="236" spans="1:21" x14ac:dyDescent="0.25">
      <c r="A236" s="91" t="s">
        <v>714</v>
      </c>
      <c r="B236" s="120">
        <v>6</v>
      </c>
      <c r="C236" s="91" t="s">
        <v>712</v>
      </c>
      <c r="D236" s="91" t="s">
        <v>78</v>
      </c>
      <c r="E236">
        <v>383</v>
      </c>
      <c r="F236">
        <v>384</v>
      </c>
      <c r="G236" s="94" t="s">
        <v>78</v>
      </c>
      <c r="H236" t="s">
        <v>708</v>
      </c>
      <c r="I236">
        <v>4496</v>
      </c>
      <c r="J236">
        <v>144</v>
      </c>
      <c r="K236">
        <f>I236*J236</f>
        <v>647424</v>
      </c>
      <c r="L236">
        <v>44.07</v>
      </c>
      <c r="M236">
        <f>(1-(L236/100))*K236</f>
        <v>362104.24320000003</v>
      </c>
      <c r="N236" s="91">
        <v>236</v>
      </c>
      <c r="O236" s="91" t="s">
        <v>715</v>
      </c>
      <c r="P236" s="119" t="s">
        <v>220</v>
      </c>
      <c r="Q236" s="119" t="s">
        <v>543</v>
      </c>
    </row>
    <row r="237" spans="1:21" x14ac:dyDescent="0.25">
      <c r="A237" s="91" t="s">
        <v>716</v>
      </c>
      <c r="B237" s="120">
        <v>3</v>
      </c>
      <c r="C237" s="91" t="s">
        <v>542</v>
      </c>
      <c r="D237" s="91" t="s">
        <v>794</v>
      </c>
      <c r="E237">
        <v>388</v>
      </c>
      <c r="F237">
        <v>405</v>
      </c>
      <c r="G237" s="94" t="s">
        <v>68</v>
      </c>
      <c r="H237" t="s">
        <v>717</v>
      </c>
      <c r="I237">
        <v>1</v>
      </c>
      <c r="J237">
        <f>SUM(K238,K241)</f>
        <v>1207166.72</v>
      </c>
      <c r="K237">
        <f>I237*J237</f>
        <v>1207166.72</v>
      </c>
      <c r="L237">
        <f>100*(1-(M237/K237))</f>
        <v>53.256628275504482</v>
      </c>
      <c r="M237">
        <f>I237*SUM(M238,M241)</f>
        <v>564270.42726400006</v>
      </c>
      <c r="N237" s="91">
        <v>237</v>
      </c>
      <c r="O237" s="91" t="s">
        <v>718</v>
      </c>
      <c r="P237" s="119" t="s">
        <v>223</v>
      </c>
      <c r="Q237" s="119" t="s">
        <v>543</v>
      </c>
      <c r="R237" s="91" t="s">
        <v>1112</v>
      </c>
      <c r="S237" s="91" t="s">
        <v>1162</v>
      </c>
      <c r="T237" s="91" t="s">
        <v>1187</v>
      </c>
      <c r="U237" s="91" t="s">
        <v>1137</v>
      </c>
    </row>
    <row r="238" spans="1:21" x14ac:dyDescent="0.25">
      <c r="A238" s="91" t="s">
        <v>719</v>
      </c>
      <c r="B238" s="120">
        <v>4</v>
      </c>
      <c r="C238" s="91" t="s">
        <v>716</v>
      </c>
      <c r="D238" s="91" t="s">
        <v>78</v>
      </c>
      <c r="E238">
        <v>389</v>
      </c>
      <c r="F238">
        <v>394</v>
      </c>
      <c r="G238" s="94" t="s">
        <v>68</v>
      </c>
      <c r="H238" t="s">
        <v>720</v>
      </c>
      <c r="I238">
        <v>1</v>
      </c>
      <c r="J238">
        <f>SUM(K239)</f>
        <v>876720</v>
      </c>
      <c r="K238">
        <f>I238*J238</f>
        <v>876720</v>
      </c>
      <c r="L238">
        <f>100*(1-(M238/K238))</f>
        <v>44.07</v>
      </c>
      <c r="M238">
        <f>I238*SUM(M239)</f>
        <v>490349.49600000004</v>
      </c>
      <c r="N238" s="91">
        <v>238</v>
      </c>
      <c r="O238" s="91" t="s">
        <v>721</v>
      </c>
      <c r="P238" s="119" t="s">
        <v>225</v>
      </c>
      <c r="Q238" s="119" t="s">
        <v>543</v>
      </c>
      <c r="R238" s="91" t="s">
        <v>988</v>
      </c>
      <c r="S238" s="91" t="s">
        <v>1052</v>
      </c>
      <c r="T238" s="91" t="s">
        <v>1084</v>
      </c>
      <c r="U238" s="91" t="s">
        <v>1020</v>
      </c>
    </row>
    <row r="239" spans="1:21" x14ac:dyDescent="0.25">
      <c r="A239" s="91" t="s">
        <v>722</v>
      </c>
      <c r="B239" s="120">
        <v>5</v>
      </c>
      <c r="C239" s="91" t="s">
        <v>719</v>
      </c>
      <c r="D239" s="91" t="s">
        <v>78</v>
      </c>
      <c r="E239">
        <v>390</v>
      </c>
      <c r="F239">
        <v>393</v>
      </c>
      <c r="G239" s="94" t="s">
        <v>68</v>
      </c>
      <c r="H239" t="s">
        <v>723</v>
      </c>
      <c r="I239">
        <v>1</v>
      </c>
      <c r="J239">
        <f>SUM(K240)</f>
        <v>876720</v>
      </c>
      <c r="K239">
        <f>I239*J239</f>
        <v>876720</v>
      </c>
      <c r="L239">
        <f>100*(1-(M239/K239))</f>
        <v>44.07</v>
      </c>
      <c r="M239">
        <f>I239*SUM(M240)</f>
        <v>490349.49600000004</v>
      </c>
      <c r="N239" s="91">
        <v>239</v>
      </c>
      <c r="O239" s="91" t="s">
        <v>724</v>
      </c>
      <c r="P239" s="119" t="s">
        <v>228</v>
      </c>
      <c r="Q239" s="119" t="s">
        <v>543</v>
      </c>
      <c r="R239" s="91" t="s">
        <v>835</v>
      </c>
      <c r="S239" s="91" t="s">
        <v>915</v>
      </c>
      <c r="T239" s="91" t="s">
        <v>955</v>
      </c>
      <c r="U239" s="91" t="s">
        <v>875</v>
      </c>
    </row>
    <row r="240" spans="1:21" x14ac:dyDescent="0.25">
      <c r="A240" s="91" t="s">
        <v>725</v>
      </c>
      <c r="B240" s="120">
        <v>6</v>
      </c>
      <c r="C240" s="91" t="s">
        <v>722</v>
      </c>
      <c r="D240" s="91" t="s">
        <v>78</v>
      </c>
      <c r="E240">
        <v>391</v>
      </c>
      <c r="F240">
        <v>392</v>
      </c>
      <c r="G240" s="94" t="s">
        <v>78</v>
      </c>
      <c r="H240" t="s">
        <v>726</v>
      </c>
      <c r="I240">
        <v>4496</v>
      </c>
      <c r="J240">
        <v>195</v>
      </c>
      <c r="K240">
        <f>I240*J240</f>
        <v>876720</v>
      </c>
      <c r="L240">
        <v>44.07</v>
      </c>
      <c r="M240">
        <f>(1-(L240/100))*K240</f>
        <v>490349.49600000004</v>
      </c>
      <c r="N240" s="91">
        <v>240</v>
      </c>
      <c r="O240" s="91" t="s">
        <v>727</v>
      </c>
      <c r="P240" s="119" t="s">
        <v>1269</v>
      </c>
      <c r="Q240" s="119" t="s">
        <v>543</v>
      </c>
    </row>
    <row r="241" spans="1:21" x14ac:dyDescent="0.25">
      <c r="A241" s="91" t="s">
        <v>728</v>
      </c>
      <c r="B241" s="120">
        <v>4</v>
      </c>
      <c r="C241" s="91" t="s">
        <v>716</v>
      </c>
      <c r="D241" s="91" t="s">
        <v>79</v>
      </c>
      <c r="E241">
        <v>395</v>
      </c>
      <c r="F241">
        <v>404</v>
      </c>
      <c r="G241" s="94" t="s">
        <v>68</v>
      </c>
      <c r="H241" t="s">
        <v>729</v>
      </c>
      <c r="I241">
        <v>1</v>
      </c>
      <c r="J241">
        <f>SUM(K242,K244)</f>
        <v>330446.71999999997</v>
      </c>
      <c r="K241">
        <f>I241*J241</f>
        <v>330446.71999999997</v>
      </c>
      <c r="L241">
        <f>100*(1-(M241/K241))</f>
        <v>77.63</v>
      </c>
      <c r="M241">
        <f>I241*SUM(M242,M244)</f>
        <v>73920.931264000013</v>
      </c>
      <c r="N241" s="91">
        <v>241</v>
      </c>
      <c r="O241" s="91" t="s">
        <v>730</v>
      </c>
      <c r="P241" s="119" t="s">
        <v>231</v>
      </c>
      <c r="Q241" s="119" t="s">
        <v>543</v>
      </c>
      <c r="R241" s="91" t="s">
        <v>989</v>
      </c>
      <c r="S241" s="91" t="s">
        <v>1053</v>
      </c>
      <c r="T241" s="91" t="s">
        <v>1085</v>
      </c>
      <c r="U241" s="91" t="s">
        <v>1021</v>
      </c>
    </row>
    <row r="242" spans="1:21" x14ac:dyDescent="0.25">
      <c r="A242" s="91" t="s">
        <v>731</v>
      </c>
      <c r="B242" s="120">
        <v>5</v>
      </c>
      <c r="C242" s="91" t="s">
        <v>728</v>
      </c>
      <c r="D242" s="91" t="s">
        <v>78</v>
      </c>
      <c r="E242">
        <v>396</v>
      </c>
      <c r="F242">
        <v>399</v>
      </c>
      <c r="G242" s="94" t="s">
        <v>68</v>
      </c>
      <c r="H242" t="s">
        <v>732</v>
      </c>
      <c r="I242">
        <v>45690</v>
      </c>
      <c r="J242">
        <f>SUM(K243)</f>
        <v>4.13</v>
      </c>
      <c r="K242">
        <f>I242*J242</f>
        <v>188699.69999999998</v>
      </c>
      <c r="L242">
        <f>100*(1-(M242/K242))</f>
        <v>77.63</v>
      </c>
      <c r="M242">
        <f>I242*SUM(M243)</f>
        <v>42212.122890000006</v>
      </c>
      <c r="N242" s="91">
        <v>242</v>
      </c>
      <c r="O242" s="91" t="s">
        <v>733</v>
      </c>
      <c r="P242" s="119" t="s">
        <v>1270</v>
      </c>
      <c r="Q242" s="119" t="s">
        <v>543</v>
      </c>
      <c r="R242" s="91" t="s">
        <v>836</v>
      </c>
      <c r="S242" s="91" t="s">
        <v>916</v>
      </c>
      <c r="T242" s="91" t="s">
        <v>956</v>
      </c>
      <c r="U242" s="91" t="s">
        <v>876</v>
      </c>
    </row>
    <row r="243" spans="1:21" x14ac:dyDescent="0.25">
      <c r="A243" s="91" t="s">
        <v>734</v>
      </c>
      <c r="B243" s="120">
        <v>6</v>
      </c>
      <c r="C243" s="91" t="s">
        <v>731</v>
      </c>
      <c r="D243" s="91" t="s">
        <v>78</v>
      </c>
      <c r="E243">
        <v>397</v>
      </c>
      <c r="F243">
        <v>398</v>
      </c>
      <c r="G243" s="94" t="s">
        <v>78</v>
      </c>
      <c r="H243" t="s">
        <v>735</v>
      </c>
      <c r="I243">
        <v>1</v>
      </c>
      <c r="J243">
        <v>4.13</v>
      </c>
      <c r="K243">
        <f>I243*J243</f>
        <v>4.13</v>
      </c>
      <c r="L243">
        <v>77.63</v>
      </c>
      <c r="M243">
        <f>(1-(L243/100))*K243</f>
        <v>0.92388100000000006</v>
      </c>
      <c r="N243" s="91">
        <v>243</v>
      </c>
      <c r="O243" s="91" t="s">
        <v>736</v>
      </c>
      <c r="P243" s="119" t="s">
        <v>234</v>
      </c>
      <c r="Q243" s="119" t="s">
        <v>543</v>
      </c>
    </row>
    <row r="244" spans="1:21" x14ac:dyDescent="0.25">
      <c r="A244" s="91" t="s">
        <v>737</v>
      </c>
      <c r="B244" s="120">
        <v>5</v>
      </c>
      <c r="C244" s="91" t="s">
        <v>728</v>
      </c>
      <c r="D244" s="91" t="s">
        <v>79</v>
      </c>
      <c r="E244">
        <v>400</v>
      </c>
      <c r="F244">
        <v>403</v>
      </c>
      <c r="G244" s="94" t="s">
        <v>68</v>
      </c>
      <c r="H244" t="s">
        <v>738</v>
      </c>
      <c r="I244">
        <v>11422</v>
      </c>
      <c r="J244">
        <f>SUM(K245)</f>
        <v>12.41</v>
      </c>
      <c r="K244">
        <f>I244*J244</f>
        <v>141747.01999999999</v>
      </c>
      <c r="L244">
        <f>100*(1-(M244/K244))</f>
        <v>77.63</v>
      </c>
      <c r="M244">
        <f>I244*SUM(M245)</f>
        <v>31708.808374</v>
      </c>
      <c r="N244" s="91">
        <v>244</v>
      </c>
      <c r="O244" s="91" t="s">
        <v>739</v>
      </c>
      <c r="P244" s="119" t="s">
        <v>236</v>
      </c>
      <c r="Q244" s="119" t="s">
        <v>543</v>
      </c>
      <c r="R244" s="91" t="s">
        <v>837</v>
      </c>
      <c r="S244" s="91" t="s">
        <v>917</v>
      </c>
      <c r="T244" s="91" t="s">
        <v>957</v>
      </c>
      <c r="U244" s="91" t="s">
        <v>877</v>
      </c>
    </row>
    <row r="245" spans="1:21" x14ac:dyDescent="0.25">
      <c r="A245" s="91" t="s">
        <v>740</v>
      </c>
      <c r="B245" s="120">
        <v>6</v>
      </c>
      <c r="C245" s="91" t="s">
        <v>737</v>
      </c>
      <c r="D245" s="91" t="s">
        <v>78</v>
      </c>
      <c r="E245">
        <v>401</v>
      </c>
      <c r="F245">
        <v>402</v>
      </c>
      <c r="G245" s="94" t="s">
        <v>78</v>
      </c>
      <c r="H245" t="s">
        <v>741</v>
      </c>
      <c r="I245">
        <v>1</v>
      </c>
      <c r="J245">
        <v>12.41</v>
      </c>
      <c r="K245">
        <f>I245*J245</f>
        <v>12.41</v>
      </c>
      <c r="L245">
        <v>77.63</v>
      </c>
      <c r="M245">
        <f>(1-(L245/100))*K245</f>
        <v>2.7761170000000002</v>
      </c>
      <c r="N245" s="91">
        <v>245</v>
      </c>
      <c r="O245" s="91" t="s">
        <v>742</v>
      </c>
      <c r="P245" s="119" t="s">
        <v>238</v>
      </c>
      <c r="Q245" s="119" t="s">
        <v>543</v>
      </c>
    </row>
    <row r="246" spans="1:21" x14ac:dyDescent="0.25">
      <c r="A246" s="91" t="s">
        <v>743</v>
      </c>
      <c r="B246" s="120">
        <v>3</v>
      </c>
      <c r="C246" s="91" t="s">
        <v>542</v>
      </c>
      <c r="D246" s="91" t="s">
        <v>795</v>
      </c>
      <c r="E246">
        <v>406</v>
      </c>
      <c r="F246">
        <v>417</v>
      </c>
      <c r="G246" s="94" t="s">
        <v>68</v>
      </c>
      <c r="H246" t="s">
        <v>744</v>
      </c>
      <c r="I246">
        <v>1</v>
      </c>
      <c r="J246">
        <f>SUM(K247)</f>
        <v>669183.07000000007</v>
      </c>
      <c r="K246">
        <f>I246*J246</f>
        <v>669183.07000000007</v>
      </c>
      <c r="L246">
        <f>100*(1-(M246/K246))</f>
        <v>7.0000000000000178</v>
      </c>
      <c r="M246">
        <f>I246*SUM(M247)</f>
        <v>622340.25509999995</v>
      </c>
      <c r="N246" s="91">
        <v>246</v>
      </c>
      <c r="O246" s="91" t="s">
        <v>745</v>
      </c>
      <c r="P246" s="119" t="s">
        <v>241</v>
      </c>
      <c r="Q246" s="119" t="s">
        <v>543</v>
      </c>
      <c r="R246" s="91" t="s">
        <v>1113</v>
      </c>
      <c r="S246" s="91" t="s">
        <v>1163</v>
      </c>
      <c r="T246" s="91" t="s">
        <v>1188</v>
      </c>
      <c r="U246" s="91" t="s">
        <v>1138</v>
      </c>
    </row>
    <row r="247" spans="1:21" x14ac:dyDescent="0.25">
      <c r="A247" s="91" t="s">
        <v>746</v>
      </c>
      <c r="B247" s="120">
        <v>4</v>
      </c>
      <c r="C247" s="91" t="s">
        <v>743</v>
      </c>
      <c r="D247" s="91" t="s">
        <v>78</v>
      </c>
      <c r="E247">
        <v>407</v>
      </c>
      <c r="F247">
        <v>416</v>
      </c>
      <c r="G247" s="94" t="s">
        <v>68</v>
      </c>
      <c r="H247" t="s">
        <v>747</v>
      </c>
      <c r="I247">
        <v>1</v>
      </c>
      <c r="J247">
        <f>SUM(K248)</f>
        <v>669183.07000000007</v>
      </c>
      <c r="K247">
        <f>I247*J247</f>
        <v>669183.07000000007</v>
      </c>
      <c r="L247">
        <f>100*(1-(M247/K247))</f>
        <v>7.0000000000000178</v>
      </c>
      <c r="M247">
        <f>I247*SUM(M248)</f>
        <v>622340.25509999995</v>
      </c>
      <c r="N247" s="91">
        <v>247</v>
      </c>
      <c r="O247" s="91" t="s">
        <v>748</v>
      </c>
      <c r="P247" s="119" t="s">
        <v>1271</v>
      </c>
      <c r="Q247" s="119" t="s">
        <v>543</v>
      </c>
      <c r="R247" s="91" t="s">
        <v>990</v>
      </c>
      <c r="S247" s="91" t="s">
        <v>1054</v>
      </c>
      <c r="T247" s="91" t="s">
        <v>1086</v>
      </c>
      <c r="U247" s="91" t="s">
        <v>1022</v>
      </c>
    </row>
    <row r="248" spans="1:21" x14ac:dyDescent="0.25">
      <c r="A248" s="91" t="s">
        <v>749</v>
      </c>
      <c r="B248" s="120">
        <v>5</v>
      </c>
      <c r="C248" s="91" t="s">
        <v>746</v>
      </c>
      <c r="D248" s="91" t="s">
        <v>78</v>
      </c>
      <c r="E248">
        <v>408</v>
      </c>
      <c r="F248">
        <v>415</v>
      </c>
      <c r="G248" s="94" t="s">
        <v>68</v>
      </c>
      <c r="H248" t="s">
        <v>744</v>
      </c>
      <c r="I248">
        <v>1</v>
      </c>
      <c r="J248">
        <f>SUM(K249,K250,K251)</f>
        <v>669183.07000000007</v>
      </c>
      <c r="K248">
        <f>I248*J248</f>
        <v>669183.07000000007</v>
      </c>
      <c r="L248">
        <f>100*(1-(M248/K248))</f>
        <v>7.0000000000000178</v>
      </c>
      <c r="M248">
        <f>I248*SUM(M249,M250,M251)</f>
        <v>622340.25509999995</v>
      </c>
      <c r="N248" s="91">
        <v>248</v>
      </c>
      <c r="O248" s="91" t="s">
        <v>750</v>
      </c>
      <c r="P248" s="119" t="s">
        <v>244</v>
      </c>
      <c r="Q248" s="119" t="s">
        <v>543</v>
      </c>
      <c r="R248" s="91" t="s">
        <v>838</v>
      </c>
      <c r="S248" s="91" t="s">
        <v>918</v>
      </c>
      <c r="T248" s="91" t="s">
        <v>958</v>
      </c>
      <c r="U248" s="91" t="s">
        <v>878</v>
      </c>
    </row>
    <row r="249" spans="1:21" x14ac:dyDescent="0.25">
      <c r="A249" s="91" t="s">
        <v>751</v>
      </c>
      <c r="B249" s="120">
        <v>6</v>
      </c>
      <c r="C249" s="91" t="s">
        <v>749</v>
      </c>
      <c r="D249" s="91" t="s">
        <v>78</v>
      </c>
      <c r="E249">
        <v>409</v>
      </c>
      <c r="F249">
        <v>410</v>
      </c>
      <c r="G249" s="94" t="s">
        <v>78</v>
      </c>
      <c r="H249" t="s">
        <v>752</v>
      </c>
      <c r="I249">
        <v>1</v>
      </c>
      <c r="J249">
        <v>104855.38</v>
      </c>
      <c r="K249">
        <f>I249*J249</f>
        <v>104855.38</v>
      </c>
      <c r="L249">
        <v>7</v>
      </c>
      <c r="M249">
        <f>(1-(L249/100))*K249</f>
        <v>97515.503400000001</v>
      </c>
      <c r="N249" s="91">
        <v>249</v>
      </c>
      <c r="O249" s="91" t="s">
        <v>753</v>
      </c>
      <c r="P249" s="119" t="s">
        <v>1272</v>
      </c>
      <c r="Q249" s="119" t="s">
        <v>543</v>
      </c>
    </row>
    <row r="250" spans="1:21" x14ac:dyDescent="0.25">
      <c r="A250" s="91" t="s">
        <v>754</v>
      </c>
      <c r="B250" s="120">
        <v>6</v>
      </c>
      <c r="C250" s="91" t="s">
        <v>749</v>
      </c>
      <c r="D250" s="91" t="s">
        <v>79</v>
      </c>
      <c r="E250">
        <v>411</v>
      </c>
      <c r="F250">
        <v>412</v>
      </c>
      <c r="G250" s="94" t="s">
        <v>78</v>
      </c>
      <c r="H250" t="s">
        <v>755</v>
      </c>
      <c r="I250">
        <v>1</v>
      </c>
      <c r="J250">
        <v>553533.78</v>
      </c>
      <c r="K250">
        <f>I250*J250</f>
        <v>553533.78</v>
      </c>
      <c r="L250">
        <v>7</v>
      </c>
      <c r="M250">
        <f>(1-(L250/100))*K250</f>
        <v>514786.4154</v>
      </c>
      <c r="N250" s="91">
        <v>250</v>
      </c>
      <c r="O250" s="91" t="s">
        <v>756</v>
      </c>
      <c r="P250" s="119" t="s">
        <v>247</v>
      </c>
      <c r="Q250" s="119" t="s">
        <v>543</v>
      </c>
    </row>
    <row r="251" spans="1:21" x14ac:dyDescent="0.25">
      <c r="A251" s="91" t="s">
        <v>757</v>
      </c>
      <c r="B251" s="120">
        <v>6</v>
      </c>
      <c r="C251" s="91" t="s">
        <v>749</v>
      </c>
      <c r="D251" s="91" t="s">
        <v>80</v>
      </c>
      <c r="E251">
        <v>413</v>
      </c>
      <c r="F251">
        <v>414</v>
      </c>
      <c r="G251" s="94" t="s">
        <v>78</v>
      </c>
      <c r="H251" t="s">
        <v>758</v>
      </c>
      <c r="I251">
        <v>1</v>
      </c>
      <c r="J251">
        <v>10793.91</v>
      </c>
      <c r="K251">
        <f>I251*J251</f>
        <v>10793.91</v>
      </c>
      <c r="L251">
        <v>7</v>
      </c>
      <c r="M251">
        <f>(1-(L251/100))*K251</f>
        <v>10038.336299999999</v>
      </c>
      <c r="N251" s="91">
        <v>251</v>
      </c>
      <c r="O251" s="91" t="s">
        <v>759</v>
      </c>
      <c r="P251" s="119" t="s">
        <v>249</v>
      </c>
      <c r="Q251" s="119" t="s">
        <v>543</v>
      </c>
    </row>
    <row r="252" spans="1:21" x14ac:dyDescent="0.25">
      <c r="A252" s="91" t="s">
        <v>760</v>
      </c>
      <c r="B252" s="120">
        <v>3</v>
      </c>
      <c r="C252" s="91" t="s">
        <v>542</v>
      </c>
      <c r="D252" s="91" t="s">
        <v>796</v>
      </c>
      <c r="E252">
        <v>418</v>
      </c>
      <c r="F252">
        <v>429</v>
      </c>
      <c r="G252" s="94" t="s">
        <v>68</v>
      </c>
      <c r="H252" t="s">
        <v>761</v>
      </c>
      <c r="I252">
        <v>1</v>
      </c>
      <c r="J252">
        <f>SUM(K253)</f>
        <v>2137060.2399999998</v>
      </c>
      <c r="K252">
        <f>I252*J252</f>
        <v>2137060.2399999998</v>
      </c>
      <c r="L252">
        <f>100*(1-(M252/K252))</f>
        <v>6.9999999999999947</v>
      </c>
      <c r="M252">
        <f>I252*SUM(M253)</f>
        <v>1987466.0231999999</v>
      </c>
      <c r="N252" s="91">
        <v>252</v>
      </c>
      <c r="O252" s="91" t="s">
        <v>762</v>
      </c>
      <c r="P252" s="119" t="s">
        <v>251</v>
      </c>
      <c r="Q252" s="119" t="s">
        <v>543</v>
      </c>
      <c r="R252" s="91" t="s">
        <v>1114</v>
      </c>
      <c r="S252" s="91" t="s">
        <v>1164</v>
      </c>
      <c r="T252" s="91" t="s">
        <v>1189</v>
      </c>
      <c r="U252" s="91" t="s">
        <v>1139</v>
      </c>
    </row>
    <row r="253" spans="1:21" x14ac:dyDescent="0.25">
      <c r="A253" s="91" t="s">
        <v>763</v>
      </c>
      <c r="B253" s="120">
        <v>4</v>
      </c>
      <c r="C253" s="91" t="s">
        <v>760</v>
      </c>
      <c r="D253" s="91" t="s">
        <v>78</v>
      </c>
      <c r="E253">
        <v>419</v>
      </c>
      <c r="F253">
        <v>428</v>
      </c>
      <c r="G253" s="94" t="s">
        <v>68</v>
      </c>
      <c r="H253" t="s">
        <v>764</v>
      </c>
      <c r="I253">
        <v>1</v>
      </c>
      <c r="J253">
        <f>SUM(K254)</f>
        <v>2137060.2399999998</v>
      </c>
      <c r="K253">
        <f>I253*J253</f>
        <v>2137060.2399999998</v>
      </c>
      <c r="L253">
        <f>100*(1-(M253/K253))</f>
        <v>6.9999999999999947</v>
      </c>
      <c r="M253">
        <f>I253*SUM(M254)</f>
        <v>1987466.0231999999</v>
      </c>
      <c r="N253" s="91">
        <v>253</v>
      </c>
      <c r="O253" s="91" t="s">
        <v>765</v>
      </c>
      <c r="P253" s="119" t="s">
        <v>253</v>
      </c>
      <c r="Q253" s="119" t="s">
        <v>543</v>
      </c>
      <c r="R253" s="91" t="s">
        <v>991</v>
      </c>
      <c r="S253" s="91" t="s">
        <v>1055</v>
      </c>
      <c r="T253" s="91" t="s">
        <v>1087</v>
      </c>
      <c r="U253" s="91" t="s">
        <v>1023</v>
      </c>
    </row>
    <row r="254" spans="1:21" x14ac:dyDescent="0.25">
      <c r="A254" s="91" t="s">
        <v>766</v>
      </c>
      <c r="B254" s="120">
        <v>5</v>
      </c>
      <c r="C254" s="91" t="s">
        <v>763</v>
      </c>
      <c r="D254" s="91" t="s">
        <v>78</v>
      </c>
      <c r="E254">
        <v>420</v>
      </c>
      <c r="F254">
        <v>427</v>
      </c>
      <c r="G254" s="94" t="s">
        <v>68</v>
      </c>
      <c r="H254" t="s">
        <v>761</v>
      </c>
      <c r="I254">
        <v>1</v>
      </c>
      <c r="J254">
        <f>SUM(K255,K256,K257)</f>
        <v>2137060.2399999998</v>
      </c>
      <c r="K254">
        <f>I254*J254</f>
        <v>2137060.2399999998</v>
      </c>
      <c r="L254">
        <f>100*(1-(M254/K254))</f>
        <v>6.9999999999999947</v>
      </c>
      <c r="M254">
        <f>I254*SUM(M255,M256,M257)</f>
        <v>1987466.0231999999</v>
      </c>
      <c r="N254" s="91">
        <v>254</v>
      </c>
      <c r="O254" s="91" t="s">
        <v>767</v>
      </c>
      <c r="P254" s="119" t="s">
        <v>1273</v>
      </c>
      <c r="Q254" s="119" t="s">
        <v>543</v>
      </c>
      <c r="R254" s="91" t="s">
        <v>839</v>
      </c>
      <c r="S254" s="91" t="s">
        <v>919</v>
      </c>
      <c r="T254" s="91" t="s">
        <v>959</v>
      </c>
      <c r="U254" s="91" t="s">
        <v>879</v>
      </c>
    </row>
    <row r="255" spans="1:21" x14ac:dyDescent="0.25">
      <c r="A255" s="91" t="s">
        <v>768</v>
      </c>
      <c r="B255" s="120">
        <v>6</v>
      </c>
      <c r="C255" s="91" t="s">
        <v>766</v>
      </c>
      <c r="D255" s="91" t="s">
        <v>78</v>
      </c>
      <c r="E255">
        <v>421</v>
      </c>
      <c r="F255">
        <v>422</v>
      </c>
      <c r="G255" s="94" t="s">
        <v>78</v>
      </c>
      <c r="H255" t="s">
        <v>769</v>
      </c>
      <c r="I255">
        <v>1</v>
      </c>
      <c r="J255">
        <v>212215.38</v>
      </c>
      <c r="K255">
        <f>I255*J255</f>
        <v>212215.38</v>
      </c>
      <c r="L255">
        <v>7</v>
      </c>
      <c r="M255">
        <f>(1-(L255/100))*K255</f>
        <v>197360.3034</v>
      </c>
      <c r="N255" s="91">
        <v>255</v>
      </c>
      <c r="O255" s="91" t="s">
        <v>770</v>
      </c>
      <c r="P255" s="119" t="s">
        <v>256</v>
      </c>
      <c r="Q255" s="119" t="s">
        <v>543</v>
      </c>
    </row>
    <row r="256" spans="1:21" x14ac:dyDescent="0.25">
      <c r="A256" s="91" t="s">
        <v>771</v>
      </c>
      <c r="B256" s="120">
        <v>6</v>
      </c>
      <c r="C256" s="91" t="s">
        <v>766</v>
      </c>
      <c r="D256" s="91" t="s">
        <v>79</v>
      </c>
      <c r="E256">
        <v>423</v>
      </c>
      <c r="F256">
        <v>424</v>
      </c>
      <c r="G256" s="94" t="s">
        <v>78</v>
      </c>
      <c r="H256" t="s">
        <v>772</v>
      </c>
      <c r="I256">
        <v>1</v>
      </c>
      <c r="J256">
        <v>1888028.31</v>
      </c>
      <c r="K256">
        <f>I256*J256</f>
        <v>1888028.31</v>
      </c>
      <c r="L256">
        <v>7</v>
      </c>
      <c r="M256">
        <f>(1-(L256/100))*K256</f>
        <v>1755866.3282999999</v>
      </c>
      <c r="N256" s="91">
        <v>256</v>
      </c>
      <c r="O256" s="91" t="s">
        <v>773</v>
      </c>
      <c r="P256" s="119" t="s">
        <v>259</v>
      </c>
      <c r="Q256" s="119" t="s">
        <v>543</v>
      </c>
    </row>
    <row r="257" spans="1:21" x14ac:dyDescent="0.25">
      <c r="A257" s="91" t="s">
        <v>774</v>
      </c>
      <c r="B257" s="120">
        <v>6</v>
      </c>
      <c r="C257" s="91" t="s">
        <v>766</v>
      </c>
      <c r="D257" s="91" t="s">
        <v>80</v>
      </c>
      <c r="E257">
        <v>425</v>
      </c>
      <c r="F257">
        <v>426</v>
      </c>
      <c r="G257" s="94" t="s">
        <v>78</v>
      </c>
      <c r="H257" t="s">
        <v>775</v>
      </c>
      <c r="I257">
        <v>1</v>
      </c>
      <c r="J257">
        <v>36816.550000000003</v>
      </c>
      <c r="K257">
        <f>I257*J257</f>
        <v>36816.550000000003</v>
      </c>
      <c r="L257">
        <v>7</v>
      </c>
      <c r="M257">
        <f>(1-(L257/100))*K257</f>
        <v>34239.391499999998</v>
      </c>
      <c r="N257" s="91">
        <v>257</v>
      </c>
      <c r="O257" s="91" t="s">
        <v>776</v>
      </c>
      <c r="P257" s="119" t="s">
        <v>262</v>
      </c>
      <c r="Q257" s="119" t="s">
        <v>543</v>
      </c>
    </row>
    <row r="258" spans="1:21" x14ac:dyDescent="0.25">
      <c r="A258" s="91" t="s">
        <v>777</v>
      </c>
      <c r="B258" s="120">
        <v>3</v>
      </c>
      <c r="C258" s="91" t="s">
        <v>542</v>
      </c>
      <c r="D258" s="91" t="s">
        <v>797</v>
      </c>
      <c r="E258">
        <v>430</v>
      </c>
      <c r="F258">
        <v>441</v>
      </c>
      <c r="G258" s="94" t="s">
        <v>68</v>
      </c>
      <c r="H258" t="s">
        <v>778</v>
      </c>
      <c r="I258">
        <v>1</v>
      </c>
      <c r="J258">
        <f>SUM(K259)</f>
        <v>514187.55</v>
      </c>
      <c r="K258">
        <f>I258*J258</f>
        <v>514187.55</v>
      </c>
      <c r="L258">
        <f>100*(1-(M258/K258))</f>
        <v>6.9999999999999947</v>
      </c>
      <c r="M258">
        <f>I258*SUM(M259)</f>
        <v>478194.4215</v>
      </c>
      <c r="N258" s="91">
        <v>258</v>
      </c>
      <c r="O258" s="91" t="s">
        <v>779</v>
      </c>
      <c r="P258" s="119" t="s">
        <v>1274</v>
      </c>
      <c r="Q258" s="119" t="s">
        <v>543</v>
      </c>
      <c r="R258" s="91" t="s">
        <v>1115</v>
      </c>
      <c r="S258" s="91" t="s">
        <v>1165</v>
      </c>
      <c r="T258" s="91" t="s">
        <v>1190</v>
      </c>
      <c r="U258" s="91" t="s">
        <v>1140</v>
      </c>
    </row>
    <row r="259" spans="1:21" x14ac:dyDescent="0.25">
      <c r="A259" s="91" t="s">
        <v>780</v>
      </c>
      <c r="B259" s="120">
        <v>4</v>
      </c>
      <c r="C259" s="91" t="s">
        <v>777</v>
      </c>
      <c r="D259" s="91" t="s">
        <v>78</v>
      </c>
      <c r="E259">
        <v>431</v>
      </c>
      <c r="F259">
        <v>440</v>
      </c>
      <c r="G259" s="94" t="s">
        <v>68</v>
      </c>
      <c r="H259" t="s">
        <v>781</v>
      </c>
      <c r="I259">
        <v>1</v>
      </c>
      <c r="J259">
        <f>SUM(K260)</f>
        <v>514187.55</v>
      </c>
      <c r="K259">
        <f>I259*J259</f>
        <v>514187.55</v>
      </c>
      <c r="L259">
        <f>100*(1-(M259/K259))</f>
        <v>6.9999999999999947</v>
      </c>
      <c r="M259">
        <f>I259*SUM(M260)</f>
        <v>478194.4215</v>
      </c>
      <c r="N259" s="91">
        <v>259</v>
      </c>
      <c r="O259" s="91" t="s">
        <v>782</v>
      </c>
      <c r="P259" s="119" t="s">
        <v>265</v>
      </c>
      <c r="Q259" s="119" t="s">
        <v>543</v>
      </c>
      <c r="R259" s="91" t="s">
        <v>992</v>
      </c>
      <c r="S259" s="91" t="s">
        <v>1056</v>
      </c>
      <c r="T259" s="91" t="s">
        <v>1088</v>
      </c>
      <c r="U259" s="91" t="s">
        <v>1024</v>
      </c>
    </row>
    <row r="260" spans="1:21" x14ac:dyDescent="0.25">
      <c r="A260" s="91" t="s">
        <v>783</v>
      </c>
      <c r="B260" s="120">
        <v>5</v>
      </c>
      <c r="C260" s="91" t="s">
        <v>780</v>
      </c>
      <c r="D260" s="91" t="s">
        <v>78</v>
      </c>
      <c r="E260">
        <v>432</v>
      </c>
      <c r="F260">
        <v>439</v>
      </c>
      <c r="G260" s="94" t="s">
        <v>68</v>
      </c>
      <c r="H260" t="s">
        <v>778</v>
      </c>
      <c r="I260">
        <v>1</v>
      </c>
      <c r="J260">
        <f>SUM(K261,K262,K263)</f>
        <v>514187.55</v>
      </c>
      <c r="K260">
        <f>I260*J260</f>
        <v>514187.55</v>
      </c>
      <c r="L260">
        <f>100*(1-(M260/K260))</f>
        <v>6.9999999999999947</v>
      </c>
      <c r="M260">
        <f>I260*SUM(M261,M262,M263)</f>
        <v>478194.4215</v>
      </c>
      <c r="N260" s="91">
        <v>260</v>
      </c>
      <c r="O260" s="91" t="s">
        <v>784</v>
      </c>
      <c r="P260" s="119" t="s">
        <v>267</v>
      </c>
      <c r="Q260" s="119" t="s">
        <v>543</v>
      </c>
      <c r="R260" s="91" t="s">
        <v>840</v>
      </c>
      <c r="S260" s="91" t="s">
        <v>920</v>
      </c>
      <c r="T260" s="91" t="s">
        <v>960</v>
      </c>
      <c r="U260" s="91" t="s">
        <v>880</v>
      </c>
    </row>
    <row r="261" spans="1:21" x14ac:dyDescent="0.25">
      <c r="A261" s="91" t="s">
        <v>785</v>
      </c>
      <c r="B261" s="120">
        <v>6</v>
      </c>
      <c r="C261" s="91" t="s">
        <v>783</v>
      </c>
      <c r="D261" s="91" t="s">
        <v>78</v>
      </c>
      <c r="E261">
        <v>433</v>
      </c>
      <c r="F261">
        <v>434</v>
      </c>
      <c r="G261" s="94" t="s">
        <v>78</v>
      </c>
      <c r="H261" t="s">
        <v>786</v>
      </c>
      <c r="I261">
        <v>1</v>
      </c>
      <c r="J261">
        <v>57876.92</v>
      </c>
      <c r="K261">
        <f>I261*J261</f>
        <v>57876.92</v>
      </c>
      <c r="L261">
        <v>7</v>
      </c>
      <c r="M261">
        <f>(1-(L261/100))*K261</f>
        <v>53825.535599999996</v>
      </c>
      <c r="N261" s="91">
        <v>261</v>
      </c>
      <c r="O261" s="91" t="s">
        <v>787</v>
      </c>
      <c r="P261" s="119" t="s">
        <v>269</v>
      </c>
      <c r="Q261" s="119" t="s">
        <v>543</v>
      </c>
    </row>
    <row r="262" spans="1:21" x14ac:dyDescent="0.25">
      <c r="A262" s="91" t="s">
        <v>788</v>
      </c>
      <c r="B262" s="120">
        <v>6</v>
      </c>
      <c r="C262" s="91" t="s">
        <v>783</v>
      </c>
      <c r="D262" s="91" t="s">
        <v>79</v>
      </c>
      <c r="E262">
        <v>435</v>
      </c>
      <c r="F262">
        <v>436</v>
      </c>
      <c r="G262" s="94" t="s">
        <v>78</v>
      </c>
      <c r="H262" t="s">
        <v>789</v>
      </c>
      <c r="I262">
        <v>1</v>
      </c>
      <c r="J262">
        <v>447582.77</v>
      </c>
      <c r="K262">
        <f>I262*J262</f>
        <v>447582.77</v>
      </c>
      <c r="L262">
        <v>7</v>
      </c>
      <c r="M262">
        <f>(1-(L262/100))*K262</f>
        <v>416251.97609999997</v>
      </c>
      <c r="N262" s="91">
        <v>262</v>
      </c>
      <c r="O262" s="91" t="s">
        <v>790</v>
      </c>
      <c r="P262" s="119" t="s">
        <v>272</v>
      </c>
      <c r="Q262" s="119" t="s">
        <v>543</v>
      </c>
    </row>
    <row r="263" spans="1:21" x14ac:dyDescent="0.25">
      <c r="A263" s="91" t="s">
        <v>791</v>
      </c>
      <c r="B263" s="120">
        <v>6</v>
      </c>
      <c r="C263" s="91" t="s">
        <v>783</v>
      </c>
      <c r="D263" s="91" t="s">
        <v>80</v>
      </c>
      <c r="E263">
        <v>437</v>
      </c>
      <c r="F263">
        <v>438</v>
      </c>
      <c r="G263" s="94" t="s">
        <v>78</v>
      </c>
      <c r="H263" t="s">
        <v>792</v>
      </c>
      <c r="I263">
        <v>1</v>
      </c>
      <c r="J263">
        <v>8727.86</v>
      </c>
      <c r="K263">
        <f>I263*J263</f>
        <v>8727.86</v>
      </c>
      <c r="L263">
        <v>7</v>
      </c>
      <c r="M263">
        <f>(1-(L263/100))*K263</f>
        <v>8116.9098000000004</v>
      </c>
      <c r="N263" s="91">
        <v>263</v>
      </c>
      <c r="O263" s="91" t="s">
        <v>793</v>
      </c>
      <c r="P263" s="119" t="s">
        <v>275</v>
      </c>
      <c r="Q263" s="119" t="s">
        <v>543</v>
      </c>
    </row>
    <row r="264" spans="1:21" x14ac:dyDescent="0.25">
      <c r="G264" s="94"/>
      <c r="P264" s="119"/>
      <c r="Q264" s="119"/>
    </row>
    <row r="265" spans="1:21" x14ac:dyDescent="0.25">
      <c r="G265" s="94"/>
      <c r="P265" s="119"/>
      <c r="Q265" s="119"/>
    </row>
    <row r="266" spans="1:21" x14ac:dyDescent="0.25">
      <c r="G266" s="94"/>
      <c r="P266" s="119"/>
      <c r="Q266" s="119"/>
    </row>
    <row r="267" spans="1:21" x14ac:dyDescent="0.25">
      <c r="G267" s="94"/>
      <c r="P267" s="119"/>
      <c r="Q267" s="119"/>
    </row>
    <row r="268" spans="1:21" x14ac:dyDescent="0.25">
      <c r="G268" s="94"/>
      <c r="P268" s="119"/>
      <c r="Q268" s="119"/>
    </row>
    <row r="269" spans="1:21" x14ac:dyDescent="0.25">
      <c r="G269" s="94"/>
      <c r="P269" s="119"/>
      <c r="Q269" s="119"/>
    </row>
    <row r="270" spans="1:21" x14ac:dyDescent="0.25">
      <c r="G270" s="94"/>
      <c r="P270" s="119"/>
      <c r="Q270" s="119"/>
    </row>
    <row r="271" spans="1:21" x14ac:dyDescent="0.25">
      <c r="G271" s="94"/>
      <c r="P271" s="119"/>
      <c r="Q271" s="119"/>
    </row>
    <row r="272" spans="1:21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  <row r="661" spans="7:17" x14ac:dyDescent="0.25">
      <c r="G661" s="94"/>
      <c r="P661" s="119"/>
      <c r="Q661" s="119"/>
    </row>
    <row r="662" spans="7:17" x14ac:dyDescent="0.25">
      <c r="G662" s="94"/>
      <c r="P662" s="119"/>
      <c r="Q662" s="119"/>
    </row>
    <row r="663" spans="7:17" x14ac:dyDescent="0.25">
      <c r="G663" s="94"/>
      <c r="P663" s="119"/>
      <c r="Q663" s="119"/>
    </row>
    <row r="664" spans="7:17" x14ac:dyDescent="0.25">
      <c r="G664" s="94"/>
      <c r="P664" s="119"/>
      <c r="Q664" s="119"/>
    </row>
    <row r="665" spans="7:17" x14ac:dyDescent="0.25">
      <c r="G665" s="94"/>
      <c r="P665" s="119"/>
      <c r="Q665" s="119"/>
    </row>
    <row r="666" spans="7:17" x14ac:dyDescent="0.25">
      <c r="G666" s="94"/>
      <c r="P666" s="119"/>
      <c r="Q666" s="119"/>
    </row>
    <row r="667" spans="7:17" x14ac:dyDescent="0.25">
      <c r="G667" s="94"/>
      <c r="P667" s="119"/>
      <c r="Q667" s="119"/>
    </row>
    <row r="668" spans="7:17" x14ac:dyDescent="0.25">
      <c r="G668" s="94"/>
      <c r="P668" s="119"/>
      <c r="Q668" s="119"/>
    </row>
    <row r="669" spans="7:17" x14ac:dyDescent="0.25">
      <c r="G669" s="94"/>
      <c r="P669" s="119"/>
      <c r="Q669" s="119"/>
    </row>
    <row r="670" spans="7:17" x14ac:dyDescent="0.25">
      <c r="G670" s="94"/>
      <c r="P670" s="119"/>
      <c r="Q670" s="119"/>
    </row>
    <row r="671" spans="7:17" x14ac:dyDescent="0.25">
      <c r="G671" s="94"/>
      <c r="P671" s="119"/>
      <c r="Q671" s="119"/>
    </row>
    <row r="672" spans="7:17" x14ac:dyDescent="0.25">
      <c r="G672" s="94"/>
      <c r="P672" s="119"/>
      <c r="Q672" s="119"/>
    </row>
    <row r="673" spans="7:17" x14ac:dyDescent="0.25">
      <c r="G673" s="94"/>
      <c r="P673" s="119"/>
      <c r="Q673" s="119"/>
    </row>
    <row r="674" spans="7:17" x14ac:dyDescent="0.25">
      <c r="G674" s="94"/>
      <c r="P674" s="119"/>
      <c r="Q674" s="119"/>
    </row>
    <row r="675" spans="7:17" x14ac:dyDescent="0.25">
      <c r="G675" s="94"/>
      <c r="P675" s="119"/>
      <c r="Q675" s="119"/>
    </row>
    <row r="676" spans="7:17" x14ac:dyDescent="0.25">
      <c r="G676" s="94"/>
      <c r="P676" s="119"/>
      <c r="Q676" s="119"/>
    </row>
    <row r="677" spans="7:17" x14ac:dyDescent="0.25">
      <c r="G677" s="94"/>
      <c r="P677" s="119"/>
      <c r="Q677" s="119"/>
    </row>
    <row r="678" spans="7:17" x14ac:dyDescent="0.25">
      <c r="G678" s="94"/>
      <c r="P678" s="119"/>
      <c r="Q678" s="119"/>
    </row>
    <row r="679" spans="7:17" x14ac:dyDescent="0.25">
      <c r="G679" s="94"/>
      <c r="P679" s="119"/>
      <c r="Q679" s="119"/>
    </row>
    <row r="680" spans="7:17" x14ac:dyDescent="0.25">
      <c r="G680" s="94"/>
      <c r="P680" s="119"/>
      <c r="Q680" s="119"/>
    </row>
    <row r="681" spans="7:17" x14ac:dyDescent="0.25">
      <c r="G681" s="94"/>
      <c r="P681" s="119"/>
      <c r="Q681" s="119"/>
    </row>
    <row r="682" spans="7:17" x14ac:dyDescent="0.25">
      <c r="G682" s="94"/>
      <c r="P682" s="119"/>
      <c r="Q682" s="119"/>
    </row>
    <row r="683" spans="7:17" x14ac:dyDescent="0.25">
      <c r="G683" s="94"/>
      <c r="P683" s="119"/>
      <c r="Q683" s="119"/>
    </row>
    <row r="684" spans="7:17" x14ac:dyDescent="0.25">
      <c r="G684" s="94"/>
      <c r="P684" s="119"/>
      <c r="Q684" s="119"/>
    </row>
    <row r="685" spans="7:17" x14ac:dyDescent="0.25">
      <c r="G685" s="94"/>
      <c r="P685" s="119"/>
      <c r="Q685" s="119"/>
    </row>
    <row r="686" spans="7:17" x14ac:dyDescent="0.25">
      <c r="G686" s="94"/>
      <c r="P686" s="119"/>
      <c r="Q686" s="119"/>
    </row>
    <row r="687" spans="7:17" x14ac:dyDescent="0.25">
      <c r="G687" s="94"/>
      <c r="P687" s="119"/>
      <c r="Q687" s="119"/>
    </row>
    <row r="688" spans="7:17" x14ac:dyDescent="0.25">
      <c r="G688" s="94"/>
      <c r="P688" s="119"/>
      <c r="Q688" s="119"/>
    </row>
    <row r="689" spans="7:17" x14ac:dyDescent="0.25">
      <c r="G689" s="94"/>
      <c r="P689" s="119"/>
      <c r="Q689" s="119"/>
    </row>
    <row r="690" spans="7:17" x14ac:dyDescent="0.25">
      <c r="G690" s="94"/>
      <c r="P690" s="119"/>
      <c r="Q690" s="119"/>
    </row>
    <row r="691" spans="7:17" x14ac:dyDescent="0.25">
      <c r="G691" s="94"/>
      <c r="P691" s="119"/>
      <c r="Q691" s="119"/>
    </row>
    <row r="692" spans="7:17" x14ac:dyDescent="0.25">
      <c r="G692" s="94"/>
      <c r="P692" s="119"/>
      <c r="Q692" s="119"/>
    </row>
    <row r="693" spans="7:17" x14ac:dyDescent="0.25">
      <c r="G693" s="94"/>
      <c r="P693" s="119"/>
      <c r="Q693" s="119"/>
    </row>
    <row r="694" spans="7:17" x14ac:dyDescent="0.25">
      <c r="G694" s="94"/>
      <c r="P694" s="119"/>
      <c r="Q694" s="119"/>
    </row>
    <row r="695" spans="7:17" x14ac:dyDescent="0.25">
      <c r="G695" s="94"/>
      <c r="P695" s="119"/>
      <c r="Q695" s="119"/>
    </row>
    <row r="696" spans="7:17" x14ac:dyDescent="0.25">
      <c r="G696" s="94"/>
      <c r="P696" s="119"/>
      <c r="Q696" s="119"/>
    </row>
    <row r="697" spans="7:17" x14ac:dyDescent="0.25">
      <c r="G697" s="94"/>
      <c r="P697" s="119"/>
      <c r="Q697" s="119"/>
    </row>
    <row r="698" spans="7:17" x14ac:dyDescent="0.25">
      <c r="G698" s="94"/>
      <c r="P698" s="119"/>
      <c r="Q698" s="119"/>
    </row>
    <row r="699" spans="7:17" x14ac:dyDescent="0.25">
      <c r="G699" s="94"/>
      <c r="P699" s="119"/>
      <c r="Q699" s="119"/>
    </row>
    <row r="700" spans="7:17" x14ac:dyDescent="0.25">
      <c r="G700" s="94"/>
      <c r="P700" s="119"/>
      <c r="Q700" s="119"/>
    </row>
    <row r="701" spans="7:17" x14ac:dyDescent="0.25">
      <c r="G701" s="94"/>
      <c r="P701" s="119"/>
      <c r="Q701" s="119"/>
    </row>
    <row r="702" spans="7:17" x14ac:dyDescent="0.25">
      <c r="G702" s="94"/>
      <c r="P702" s="119"/>
      <c r="Q702" s="119"/>
    </row>
    <row r="703" spans="7:17" x14ac:dyDescent="0.25">
      <c r="G703" s="94"/>
      <c r="P703" s="119"/>
      <c r="Q703" s="119"/>
    </row>
    <row r="704" spans="7:17" x14ac:dyDescent="0.25">
      <c r="G704" s="94"/>
      <c r="P704" s="119"/>
      <c r="Q704" s="119"/>
    </row>
    <row r="705" spans="7:17" x14ac:dyDescent="0.25">
      <c r="G705" s="94"/>
      <c r="P705" s="119"/>
      <c r="Q705" s="119"/>
    </row>
    <row r="706" spans="7:17" x14ac:dyDescent="0.25">
      <c r="G706" s="94"/>
      <c r="P706" s="119"/>
      <c r="Q706" s="119"/>
    </row>
    <row r="707" spans="7:17" x14ac:dyDescent="0.25">
      <c r="G707" s="94"/>
      <c r="P707" s="119"/>
      <c r="Q707" s="119"/>
    </row>
    <row r="708" spans="7:17" x14ac:dyDescent="0.25">
      <c r="G708" s="94"/>
      <c r="P708" s="119"/>
      <c r="Q708" s="119"/>
    </row>
    <row r="709" spans="7:17" x14ac:dyDescent="0.25">
      <c r="G709" s="94"/>
      <c r="P709" s="119"/>
      <c r="Q709" s="119"/>
    </row>
    <row r="710" spans="7:17" x14ac:dyDescent="0.25">
      <c r="G710" s="94"/>
      <c r="P710" s="119"/>
      <c r="Q710" s="119"/>
    </row>
    <row r="711" spans="7:17" x14ac:dyDescent="0.25">
      <c r="G711" s="94"/>
      <c r="P711" s="119"/>
      <c r="Q711" s="119"/>
    </row>
    <row r="712" spans="7:17" x14ac:dyDescent="0.25">
      <c r="G712" s="94"/>
      <c r="P712" s="119"/>
      <c r="Q712" s="119"/>
    </row>
    <row r="713" spans="7:17" x14ac:dyDescent="0.25">
      <c r="G713" s="94"/>
      <c r="P713" s="119"/>
      <c r="Q713" s="119"/>
    </row>
    <row r="714" spans="7:17" x14ac:dyDescent="0.25">
      <c r="G714" s="94"/>
      <c r="P714" s="119"/>
      <c r="Q714" s="119"/>
    </row>
    <row r="715" spans="7:17" x14ac:dyDescent="0.25">
      <c r="G715" s="94"/>
      <c r="P715" s="119"/>
      <c r="Q715" s="119"/>
    </row>
    <row r="716" spans="7:17" x14ac:dyDescent="0.25">
      <c r="G716" s="94"/>
      <c r="P716" s="119"/>
      <c r="Q716" s="119"/>
    </row>
    <row r="717" spans="7:17" x14ac:dyDescent="0.25">
      <c r="G717" s="94"/>
      <c r="P717" s="119"/>
      <c r="Q717" s="119"/>
    </row>
    <row r="718" spans="7:17" x14ac:dyDescent="0.25">
      <c r="G718" s="94"/>
      <c r="P718" s="119"/>
      <c r="Q718" s="119"/>
    </row>
    <row r="719" spans="7:17" x14ac:dyDescent="0.25">
      <c r="G719" s="94"/>
      <c r="P719" s="119"/>
      <c r="Q719" s="119"/>
    </row>
    <row r="720" spans="7:17" x14ac:dyDescent="0.25">
      <c r="G720" s="94"/>
      <c r="P720" s="119"/>
      <c r="Q720" s="119"/>
    </row>
    <row r="721" spans="7:17" x14ac:dyDescent="0.25">
      <c r="G721" s="94"/>
      <c r="P721" s="119"/>
      <c r="Q721" s="119"/>
    </row>
    <row r="722" spans="7:17" x14ac:dyDescent="0.25">
      <c r="G722" s="94"/>
      <c r="P722" s="119"/>
      <c r="Q722" s="119"/>
    </row>
    <row r="723" spans="7:17" x14ac:dyDescent="0.25">
      <c r="G723" s="94"/>
      <c r="P723" s="119"/>
      <c r="Q723" s="119"/>
    </row>
    <row r="724" spans="7:17" x14ac:dyDescent="0.25">
      <c r="G724" s="94"/>
      <c r="P724" s="119"/>
      <c r="Q724" s="119"/>
    </row>
    <row r="725" spans="7:17" x14ac:dyDescent="0.25">
      <c r="G725" s="94"/>
      <c r="P725" s="119"/>
      <c r="Q725" s="119"/>
    </row>
    <row r="726" spans="7:17" x14ac:dyDescent="0.25">
      <c r="G726" s="94"/>
      <c r="P726" s="119"/>
      <c r="Q726" s="119"/>
    </row>
    <row r="727" spans="7:17" x14ac:dyDescent="0.25">
      <c r="G727" s="94"/>
      <c r="P727" s="119"/>
      <c r="Q727" s="119"/>
    </row>
    <row r="728" spans="7:17" x14ac:dyDescent="0.25">
      <c r="G728" s="94"/>
      <c r="P728" s="119"/>
      <c r="Q728" s="119"/>
    </row>
    <row r="729" spans="7:17" x14ac:dyDescent="0.25">
      <c r="G729" s="94"/>
      <c r="P729" s="119"/>
      <c r="Q729" s="119"/>
    </row>
    <row r="730" spans="7:17" x14ac:dyDescent="0.25">
      <c r="G730" s="94"/>
      <c r="P730" s="119"/>
      <c r="Q730" s="119"/>
    </row>
    <row r="731" spans="7:17" x14ac:dyDescent="0.25">
      <c r="G731" s="94"/>
      <c r="P731" s="119"/>
      <c r="Q731" s="119"/>
    </row>
    <row r="732" spans="7:17" x14ac:dyDescent="0.25">
      <c r="G732" s="94"/>
      <c r="P732" s="119"/>
      <c r="Q732" s="119"/>
    </row>
    <row r="733" spans="7:17" x14ac:dyDescent="0.25">
      <c r="G733" s="94"/>
      <c r="P733" s="119"/>
      <c r="Q733" s="119"/>
    </row>
    <row r="734" spans="7:17" x14ac:dyDescent="0.25">
      <c r="G734" s="94"/>
      <c r="P734" s="119"/>
      <c r="Q734" s="119"/>
    </row>
    <row r="735" spans="7:17" x14ac:dyDescent="0.25">
      <c r="G735" s="94"/>
      <c r="P735" s="119"/>
      <c r="Q735" s="119"/>
    </row>
    <row r="736" spans="7:17" x14ac:dyDescent="0.25">
      <c r="G736" s="94"/>
      <c r="P736" s="119"/>
      <c r="Q736" s="119"/>
    </row>
    <row r="737" spans="7:17" x14ac:dyDescent="0.25">
      <c r="G737" s="94"/>
      <c r="P737" s="119"/>
      <c r="Q737" s="119"/>
    </row>
    <row r="738" spans="7:17" x14ac:dyDescent="0.25">
      <c r="G738" s="94"/>
      <c r="P738" s="119"/>
      <c r="Q738" s="119"/>
    </row>
    <row r="739" spans="7:17" x14ac:dyDescent="0.25">
      <c r="G739" s="94"/>
      <c r="P739" s="119"/>
      <c r="Q739" s="119"/>
    </row>
    <row r="740" spans="7:17" x14ac:dyDescent="0.25">
      <c r="G740" s="94"/>
      <c r="P740" s="119"/>
      <c r="Q740" s="119"/>
    </row>
    <row r="741" spans="7:17" x14ac:dyDescent="0.25">
      <c r="G741" s="94"/>
      <c r="P741" s="119"/>
      <c r="Q741" s="119"/>
    </row>
    <row r="742" spans="7:17" x14ac:dyDescent="0.25">
      <c r="G742" s="94"/>
      <c r="P742" s="119"/>
      <c r="Q742" s="119"/>
    </row>
    <row r="743" spans="7:17" x14ac:dyDescent="0.25">
      <c r="G743" s="94"/>
      <c r="P743" s="119"/>
      <c r="Q743" s="119"/>
    </row>
    <row r="744" spans="7:17" x14ac:dyDescent="0.25">
      <c r="G744" s="94"/>
      <c r="P744" s="119"/>
      <c r="Q744" s="119"/>
    </row>
    <row r="745" spans="7:17" x14ac:dyDescent="0.25">
      <c r="G745" s="94"/>
      <c r="P745" s="119"/>
      <c r="Q745" s="119"/>
    </row>
    <row r="746" spans="7:17" x14ac:dyDescent="0.25">
      <c r="G746" s="94"/>
      <c r="P746" s="119"/>
      <c r="Q746" s="119"/>
    </row>
    <row r="747" spans="7:17" x14ac:dyDescent="0.25">
      <c r="G747" s="94"/>
      <c r="P747" s="119"/>
      <c r="Q747" s="119"/>
    </row>
    <row r="748" spans="7:17" x14ac:dyDescent="0.25">
      <c r="G748" s="94"/>
      <c r="P748" s="119"/>
      <c r="Q748" s="119"/>
    </row>
    <row r="749" spans="7:17" x14ac:dyDescent="0.25">
      <c r="G749" s="94"/>
      <c r="P749" s="119"/>
      <c r="Q749" s="119"/>
    </row>
    <row r="750" spans="7:17" x14ac:dyDescent="0.25">
      <c r="G750" s="94"/>
      <c r="P750" s="119"/>
      <c r="Q750" s="119"/>
    </row>
    <row r="751" spans="7:17" x14ac:dyDescent="0.25">
      <c r="G751" s="94"/>
      <c r="P751" s="119"/>
      <c r="Q751" s="119"/>
    </row>
    <row r="752" spans="7:17" x14ac:dyDescent="0.25">
      <c r="G752" s="94"/>
      <c r="P752" s="119"/>
      <c r="Q752" s="119"/>
    </row>
    <row r="753" spans="7:17" x14ac:dyDescent="0.25">
      <c r="G753" s="94"/>
      <c r="P753" s="119"/>
      <c r="Q753" s="119"/>
    </row>
    <row r="754" spans="7:17" x14ac:dyDescent="0.25">
      <c r="G754" s="94"/>
      <c r="P754" s="119"/>
      <c r="Q754" s="119"/>
    </row>
    <row r="755" spans="7:17" x14ac:dyDescent="0.25">
      <c r="G755" s="94"/>
      <c r="P755" s="119"/>
      <c r="Q755" s="119"/>
    </row>
    <row r="756" spans="7:17" x14ac:dyDescent="0.25">
      <c r="G756" s="94"/>
      <c r="P756" s="119"/>
      <c r="Q756" s="119"/>
    </row>
    <row r="757" spans="7:17" x14ac:dyDescent="0.25">
      <c r="G757" s="94"/>
      <c r="P757" s="119"/>
      <c r="Q757" s="119"/>
    </row>
    <row r="758" spans="7:17" x14ac:dyDescent="0.25">
      <c r="G758" s="94"/>
      <c r="P758" s="119"/>
      <c r="Q758" s="119"/>
    </row>
    <row r="759" spans="7:17" x14ac:dyDescent="0.25">
      <c r="G759" s="94"/>
      <c r="P759" s="119"/>
      <c r="Q759" s="119"/>
    </row>
    <row r="760" spans="7:17" x14ac:dyDescent="0.25">
      <c r="G760" s="94"/>
      <c r="P760" s="119"/>
      <c r="Q760" s="119"/>
    </row>
    <row r="761" spans="7:17" x14ac:dyDescent="0.25">
      <c r="G761" s="94"/>
      <c r="P761" s="119"/>
      <c r="Q761" s="119"/>
    </row>
    <row r="762" spans="7:17" x14ac:dyDescent="0.25">
      <c r="G762" s="94"/>
      <c r="P762" s="119"/>
      <c r="Q762" s="119"/>
    </row>
    <row r="763" spans="7:17" x14ac:dyDescent="0.25">
      <c r="G763" s="94"/>
      <c r="P763" s="119"/>
      <c r="Q763" s="119"/>
    </row>
    <row r="764" spans="7:17" x14ac:dyDescent="0.25">
      <c r="G764" s="94"/>
      <c r="P764" s="119"/>
      <c r="Q764" s="119"/>
    </row>
    <row r="765" spans="7:17" x14ac:dyDescent="0.25">
      <c r="G765" s="94"/>
      <c r="P765" s="119"/>
      <c r="Q765" s="119"/>
    </row>
    <row r="766" spans="7:17" x14ac:dyDescent="0.25">
      <c r="G766" s="94"/>
      <c r="P766" s="119"/>
      <c r="Q766" s="119"/>
    </row>
    <row r="767" spans="7:17" x14ac:dyDescent="0.25">
      <c r="G767" s="94"/>
      <c r="P767" s="119"/>
      <c r="Q767" s="119"/>
    </row>
    <row r="768" spans="7:17" x14ac:dyDescent="0.25">
      <c r="G768" s="94"/>
      <c r="P768" s="119"/>
      <c r="Q768" s="119"/>
    </row>
    <row r="769" spans="7:17" x14ac:dyDescent="0.25">
      <c r="G769" s="94"/>
      <c r="P769" s="119"/>
      <c r="Q769" s="119"/>
    </row>
    <row r="770" spans="7:17" x14ac:dyDescent="0.25">
      <c r="G770" s="94"/>
      <c r="P770" s="119"/>
      <c r="Q770" s="119"/>
    </row>
    <row r="771" spans="7:17" x14ac:dyDescent="0.25">
      <c r="G771" s="94"/>
      <c r="P771" s="119"/>
      <c r="Q771" s="119"/>
    </row>
    <row r="772" spans="7:17" x14ac:dyDescent="0.25">
      <c r="G772" s="94"/>
      <c r="P772" s="119"/>
      <c r="Q772" s="119"/>
    </row>
    <row r="773" spans="7:17" x14ac:dyDescent="0.25">
      <c r="G773" s="94"/>
      <c r="P773" s="119"/>
      <c r="Q773" s="119"/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14</v>
      </c>
      <c r="B3" s="23" t="s">
        <v>13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12</v>
      </c>
      <c r="B4" s="25" t="s">
        <v>11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10</v>
      </c>
      <c r="B5" s="23" t="s">
        <v>60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9</v>
      </c>
      <c r="B8" s="18" t="s">
        <v>8</v>
      </c>
      <c r="C8" s="17" t="s">
        <v>7</v>
      </c>
      <c r="D8" s="16" t="s">
        <v>6</v>
      </c>
      <c r="E8" s="104" t="s">
        <v>5</v>
      </c>
      <c r="F8" s="104" t="s">
        <v>4</v>
      </c>
      <c r="G8" s="104" t="s">
        <v>3</v>
      </c>
      <c r="H8" s="104" t="s">
        <v>2</v>
      </c>
      <c r="I8" s="15" t="s">
        <v>1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64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65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67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45</v>
      </c>
      <c r="E3" s="33" t="s">
        <v>44</v>
      </c>
    </row>
    <row r="4" spans="1:8" s="26" customFormat="1" x14ac:dyDescent="0.2">
      <c r="A4" s="33" t="s">
        <v>43</v>
      </c>
      <c r="E4" s="33" t="s">
        <v>42</v>
      </c>
      <c r="F4" s="26" t="s">
        <v>18</v>
      </c>
    </row>
    <row r="5" spans="1:8" s="26" customFormat="1" x14ac:dyDescent="0.2">
      <c r="A5" s="33"/>
      <c r="E5" s="33"/>
    </row>
    <row r="6" spans="1:8" s="26" customFormat="1" x14ac:dyDescent="0.2">
      <c r="A6" s="33" t="s">
        <v>41</v>
      </c>
      <c r="E6" s="33" t="s">
        <v>41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14</v>
      </c>
      <c r="B9" s="23" t="s">
        <v>13</v>
      </c>
    </row>
    <row r="10" spans="1:8" s="21" customFormat="1" ht="15.75" x14ac:dyDescent="0.25">
      <c r="A10" s="24" t="s">
        <v>12</v>
      </c>
      <c r="B10" s="25" t="s">
        <v>11</v>
      </c>
    </row>
    <row r="11" spans="1:8" s="21" customFormat="1" ht="15.75" x14ac:dyDescent="0.25">
      <c r="A11" s="81" t="s">
        <v>10</v>
      </c>
      <c r="B11" s="80" t="s">
        <v>60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40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39</v>
      </c>
      <c r="B16" s="26"/>
      <c r="C16" s="26"/>
      <c r="D16" s="26"/>
      <c r="E16" s="45" t="s">
        <v>61</v>
      </c>
      <c r="G16" s="95" t="s">
        <v>62</v>
      </c>
      <c r="H16" s="95" t="s">
        <v>63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38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37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36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35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34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33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32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31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30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29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28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27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26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25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24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24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23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22</v>
      </c>
      <c r="B43" s="36" t="s">
        <v>21</v>
      </c>
      <c r="C43" s="36" t="s">
        <v>20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19</v>
      </c>
      <c r="B44" s="32" t="s">
        <v>16</v>
      </c>
      <c r="C44" s="32" t="s">
        <v>18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17</v>
      </c>
      <c r="B45" s="32" t="s">
        <v>16</v>
      </c>
      <c r="C45" s="32" t="s">
        <v>15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2012-05-24T15:11:16Z</dcterms:modified>
</cp:coreProperties>
</file>
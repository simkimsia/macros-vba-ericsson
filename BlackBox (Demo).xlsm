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Database!$A$1:$G$18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K2" i="2" l="1"/>
  <c r="M2" i="2"/>
  <c r="J2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 l="1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<sst xmlns="http://schemas.openxmlformats.org/spreadsheetml/2006/main" count="466" uniqueCount="231">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</sst>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topLeftCell="A38" workbookViewId="0">
      <selection activeCell="H17" sqref="E17:H59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>
        <v>1</v>
      </c>
      <c r="J2" s="109">
        <f>SUM(K3,K16,K21,K26,K31,K45)</f>
        <v>4296.0304747999999</v>
      </c>
      <c r="K2" s="109">
        <f>I2*J2</f>
        <v>4296.0304747999999</v>
      </c>
      <c r="L2" s="109"/>
      <c r="M2" s="109">
        <f>I2*SUM(M3,M16,M21,M26,M31,M45)</f>
        <v>4296.0304747999999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I3">
        <v>1</v>
      </c>
      <c r="J3">
        <f>SUM(K4)</f>
        <v>61.415861999999997</v>
      </c>
      <c r="K3">
        <f>I3*J3</f>
        <v>61.415861999999997</v>
      </c>
      <c r="M3">
        <f>I3*SUM(M4)</f>
        <v>61.415861999999997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I4">
        <v>1</v>
      </c>
      <c r="J4">
        <f>SUM(K5)</f>
        <v>61.415861999999997</v>
      </c>
      <c r="K4">
        <f>I4*J4</f>
        <v>61.415861999999997</v>
      </c>
      <c r="M4">
        <f>I4*SUM(M5)</f>
        <v>61.415861999999997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I5">
        <v>1</v>
      </c>
      <c r="J5">
        <f>SUM(K6)</f>
        <v>61.415861999999997</v>
      </c>
      <c r="K5">
        <f>I5*J5</f>
        <v>61.415861999999997</v>
      </c>
      <c r="M5">
        <f>I5*SUM(M6)</f>
        <v>61.415861999999997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I6">
        <v>1</v>
      </c>
      <c r="J6">
        <f>SUM(K7,K8,K9,K10,K11,K12,K13,K14,K15)</f>
        <v>61.415861999999997</v>
      </c>
      <c r="K6">
        <f>I6*J6</f>
        <v>61.415861999999997</v>
      </c>
      <c r="M6">
        <f>I6*SUM(M7,M8,M9,M10,M11,M12,M13,M14,M15)</f>
        <v>61.415861999999997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 t="shared" ref="K7:K15" si="0">I7*J7</f>
        <v>7.4031723999999999</v>
      </c>
      <c r="L7">
        <v>0</v>
      </c>
      <c r="M7">
        <f t="shared" ref="M7:M15" si="1"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 t="shared" si="0"/>
        <v>7.4031723999999999</v>
      </c>
      <c r="L8">
        <v>0</v>
      </c>
      <c r="M8">
        <f t="shared" si="1"/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 t="shared" si="0"/>
        <v>3.7015861999999999</v>
      </c>
      <c r="L9">
        <v>0</v>
      </c>
      <c r="M9">
        <f t="shared" si="1"/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 t="shared" si="0"/>
        <v>11.1047586</v>
      </c>
      <c r="L10">
        <v>0</v>
      </c>
      <c r="M10">
        <f t="shared" si="1"/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 t="shared" si="0"/>
        <v>7.4031723999999999</v>
      </c>
      <c r="L11">
        <v>0</v>
      </c>
      <c r="M11">
        <f t="shared" si="1"/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 t="shared" si="0"/>
        <v>3.1</v>
      </c>
      <c r="L12">
        <v>0</v>
      </c>
      <c r="M12">
        <f t="shared" si="1"/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 t="shared" si="0"/>
        <v>2.5</v>
      </c>
      <c r="L13">
        <v>0</v>
      </c>
      <c r="M13">
        <f t="shared" si="1"/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 t="shared" si="0"/>
        <v>4.4000000000000004</v>
      </c>
      <c r="L14">
        <v>0</v>
      </c>
      <c r="M14">
        <f t="shared" si="1"/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 t="shared" si="0"/>
        <v>14.4</v>
      </c>
      <c r="L15">
        <v>0</v>
      </c>
      <c r="M15">
        <f t="shared" si="1"/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I16">
        <v>1</v>
      </c>
      <c r="J16">
        <f>SUM(K17)</f>
        <v>3.7015861999999999</v>
      </c>
      <c r="K16">
        <f>I16*J16</f>
        <v>3.7015861999999999</v>
      </c>
      <c r="M16">
        <f>I16*SUM(M17)</f>
        <v>3.7015861999999999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I17">
        <v>1</v>
      </c>
      <c r="J17">
        <f>SUM(K18)</f>
        <v>3.7015861999999999</v>
      </c>
      <c r="K17">
        <f>I17*J17</f>
        <v>3.7015861999999999</v>
      </c>
      <c r="M17">
        <f>I17*SUM(M18)</f>
        <v>3.7015861999999999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I18">
        <v>1</v>
      </c>
      <c r="J18">
        <f>SUM(K19)</f>
        <v>3.7015861999999999</v>
      </c>
      <c r="K18">
        <f>I18*J18</f>
        <v>3.7015861999999999</v>
      </c>
      <c r="M18">
        <f>I18*SUM(M19)</f>
        <v>3.7015861999999999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I19">
        <v>1</v>
      </c>
      <c r="J19">
        <f>SUM(K20)</f>
        <v>3.7015861999999999</v>
      </c>
      <c r="K19">
        <f>I19*J19</f>
        <v>3.7015861999999999</v>
      </c>
      <c r="M19">
        <f>I19*SUM(M20)</f>
        <v>3.7015861999999999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I21">
        <v>1</v>
      </c>
      <c r="J21">
        <f>SUM(K22)</f>
        <v>7.4031723999999999</v>
      </c>
      <c r="K21">
        <f>I21*J21</f>
        <v>7.4031723999999999</v>
      </c>
      <c r="M21">
        <f>I21*SUM(M22)</f>
        <v>7.4031723999999999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I22">
        <v>1</v>
      </c>
      <c r="J22">
        <f>SUM(K23)</f>
        <v>7.4031723999999999</v>
      </c>
      <c r="K22">
        <f>I22*J22</f>
        <v>7.4031723999999999</v>
      </c>
      <c r="M22">
        <f>I22*SUM(M23)</f>
        <v>7.4031723999999999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I23">
        <v>1</v>
      </c>
      <c r="J23">
        <f>SUM(K24)</f>
        <v>7.4031723999999999</v>
      </c>
      <c r="K23">
        <f>I23*J23</f>
        <v>7.4031723999999999</v>
      </c>
      <c r="M23">
        <f>I23*SUM(M24)</f>
        <v>7.4031723999999999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I24">
        <v>1</v>
      </c>
      <c r="J24">
        <f>SUM(K25)</f>
        <v>7.4031723999999999</v>
      </c>
      <c r="K24">
        <f>I24*J24</f>
        <v>7.4031723999999999</v>
      </c>
      <c r="M24">
        <f>I24*SUM(M25)</f>
        <v>7.4031723999999999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I26">
        <v>1</v>
      </c>
      <c r="J26">
        <f>SUM(K27)</f>
        <v>7.4031723999999999</v>
      </c>
      <c r="K26">
        <f>I26*J26</f>
        <v>7.4031723999999999</v>
      </c>
      <c r="M26">
        <f>I26*SUM(M27)</f>
        <v>7.4031723999999999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I27">
        <v>1</v>
      </c>
      <c r="J27">
        <f>SUM(K28)</f>
        <v>7.4031723999999999</v>
      </c>
      <c r="K27">
        <f>I27*J27</f>
        <v>7.4031723999999999</v>
      </c>
      <c r="M27">
        <f>I27*SUM(M28)</f>
        <v>7.4031723999999999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I28">
        <v>1</v>
      </c>
      <c r="J28">
        <f>SUM(K29)</f>
        <v>7.4031723999999999</v>
      </c>
      <c r="K28">
        <f>I28*J28</f>
        <v>7.4031723999999999</v>
      </c>
      <c r="M28">
        <f>I28*SUM(M29)</f>
        <v>7.4031723999999999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I29">
        <v>1</v>
      </c>
      <c r="J29">
        <f>SUM(K30)</f>
        <v>7.4031723999999999</v>
      </c>
      <c r="K29">
        <f>I29*J29</f>
        <v>7.4031723999999999</v>
      </c>
      <c r="M29">
        <f>I29*SUM(M30)</f>
        <v>7.4031723999999999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I31">
        <v>1</v>
      </c>
      <c r="J31">
        <f>SUM(K32)</f>
        <v>3364.7418557999999</v>
      </c>
      <c r="K31">
        <f>I31*J31</f>
        <v>3364.7418557999999</v>
      </c>
      <c r="M31">
        <f>I31*SUM(M32)</f>
        <v>3364.7418557999999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I32">
        <v>1</v>
      </c>
      <c r="J32">
        <f>SUM(K33)</f>
        <v>3364.7418557999999</v>
      </c>
      <c r="K32">
        <f>I32*J32</f>
        <v>3364.7418557999999</v>
      </c>
      <c r="M32">
        <f>I32*SUM(M33)</f>
        <v>3364.7418557999999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I33">
        <v>1</v>
      </c>
      <c r="J33">
        <f>SUM(K34,K35,K36,K37,K38,K39,K40,K41,K42,K43,K44)</f>
        <v>3364.7418557999999</v>
      </c>
      <c r="K33">
        <f>I33*J33</f>
        <v>3364.7418557999999</v>
      </c>
      <c r="M33">
        <f>I33*SUM(M34,M35,M36,M37,M38,M39,M40,M41,M42,M43,M44)</f>
        <v>3364.7418557999999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 t="shared" ref="K34:K44" si="2">I34*J34</f>
        <v>0</v>
      </c>
      <c r="L34">
        <v>0</v>
      </c>
      <c r="M34">
        <f t="shared" ref="M34:M44" si="3"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 t="shared" si="2"/>
        <v>0</v>
      </c>
      <c r="L35">
        <v>0</v>
      </c>
      <c r="M35">
        <f t="shared" si="3"/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 t="shared" si="2"/>
        <v>0</v>
      </c>
      <c r="L36">
        <v>0</v>
      </c>
      <c r="M36">
        <f t="shared" si="3"/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 t="shared" si="2"/>
        <v>0</v>
      </c>
      <c r="L37">
        <v>0</v>
      </c>
      <c r="M37">
        <f t="shared" si="3"/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 t="shared" si="2"/>
        <v>0</v>
      </c>
      <c r="L38">
        <v>0</v>
      </c>
      <c r="M38">
        <f t="shared" si="3"/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 t="shared" si="2"/>
        <v>0</v>
      </c>
      <c r="L39">
        <v>0</v>
      </c>
      <c r="M39">
        <f t="shared" si="3"/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 t="shared" si="2"/>
        <v>1295.5551700000001</v>
      </c>
      <c r="L40">
        <v>0</v>
      </c>
      <c r="M40">
        <f t="shared" si="3"/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 t="shared" si="2"/>
        <v>1295.5551700000001</v>
      </c>
      <c r="L41">
        <v>0</v>
      </c>
      <c r="M41">
        <f t="shared" si="3"/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 t="shared" si="2"/>
        <v>740.31723999999997</v>
      </c>
      <c r="L42">
        <v>0</v>
      </c>
      <c r="M42">
        <f t="shared" si="3"/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 t="shared" si="2"/>
        <v>3.7015861999999999</v>
      </c>
      <c r="L43">
        <v>0</v>
      </c>
      <c r="M43">
        <f t="shared" si="3"/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 t="shared" si="2"/>
        <v>29.6126896</v>
      </c>
      <c r="L44">
        <v>0</v>
      </c>
      <c r="M44">
        <f t="shared" si="3"/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I45">
        <v>1</v>
      </c>
      <c r="J45">
        <f>SUM(K46,K49,K63,K68)</f>
        <v>851.36482599999988</v>
      </c>
      <c r="K45">
        <f>I45*J45</f>
        <v>851.36482599999988</v>
      </c>
      <c r="M45">
        <f>I45*SUM(M46,M49,M63,M68)</f>
        <v>851.36482599999988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I46">
        <v>1</v>
      </c>
      <c r="J46">
        <f>SUM(K47)</f>
        <v>3.7015861999999999</v>
      </c>
      <c r="K46">
        <f>I46*J46</f>
        <v>3.7015861999999999</v>
      </c>
      <c r="M46">
        <f>I46*SUM(M47)</f>
        <v>3.7015861999999999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I47">
        <v>1</v>
      </c>
      <c r="J47">
        <f>SUM(K48)</f>
        <v>3.7015861999999999</v>
      </c>
      <c r="K47">
        <f>I47*J47</f>
        <v>3.7015861999999999</v>
      </c>
      <c r="M47">
        <f>I47*SUM(M48)</f>
        <v>3.7015861999999999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I49">
        <v>1</v>
      </c>
      <c r="J49">
        <f>SUM(K50)</f>
        <v>644.07599879999998</v>
      </c>
      <c r="K49">
        <f>I49*J49</f>
        <v>644.07599879999998</v>
      </c>
      <c r="M49">
        <f>I49*SUM(M50)</f>
        <v>644.07599879999998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I50">
        <v>1</v>
      </c>
      <c r="J50">
        <f>SUM(K51,K55,K59)</f>
        <v>644.07599879999998</v>
      </c>
      <c r="K50">
        <f>I50*J50</f>
        <v>644.07599879999998</v>
      </c>
      <c r="M50">
        <f>I50*SUM(M51,M55,M59)</f>
        <v>644.07599879999998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I51">
        <v>1</v>
      </c>
      <c r="J51">
        <f>SUM(K52,K53,K54)</f>
        <v>214.69199959999997</v>
      </c>
      <c r="K51">
        <f>I51*J51</f>
        <v>214.69199959999997</v>
      </c>
      <c r="M51">
        <f>I51*SUM(M52,M53,M54)</f>
        <v>214.69199959999997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I55">
        <v>1</v>
      </c>
      <c r="J55">
        <f>SUM(K56,K57,K58)</f>
        <v>214.69199959999997</v>
      </c>
      <c r="K55">
        <f>I55*J55</f>
        <v>214.69199959999997</v>
      </c>
      <c r="M55">
        <f>I55*SUM(M56,M57,M58)</f>
        <v>214.69199959999997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I59">
        <v>1</v>
      </c>
      <c r="J59">
        <f>SUM(K60,K61,K62)</f>
        <v>214.69199959999997</v>
      </c>
      <c r="K59">
        <f>I59*J59</f>
        <v>214.69199959999997</v>
      </c>
      <c r="M59">
        <f>I59*SUM(M60,M61,M62)</f>
        <v>214.69199959999997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I63">
        <v>1</v>
      </c>
      <c r="J63">
        <f>SUM(K64)</f>
        <v>199.8856548</v>
      </c>
      <c r="K63">
        <f>I63*J63</f>
        <v>199.8856548</v>
      </c>
      <c r="M63">
        <f>I63*SUM(M64)</f>
        <v>199.8856548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I64">
        <v>1</v>
      </c>
      <c r="J64">
        <f>SUM(K65)</f>
        <v>199.8856548</v>
      </c>
      <c r="K64">
        <f>I64*J64</f>
        <v>199.8856548</v>
      </c>
      <c r="M64">
        <f>I64*SUM(M65)</f>
        <v>199.8856548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I65">
        <v>1</v>
      </c>
      <c r="J65">
        <f>SUM(K66,K67)</f>
        <v>199.8856548</v>
      </c>
      <c r="K65">
        <f>I65*J65</f>
        <v>199.8856548</v>
      </c>
      <c r="M65">
        <f>I65*SUM(M66,M67)</f>
        <v>199.8856548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I68">
        <v>1</v>
      </c>
      <c r="J68">
        <f>SUM(K69)</f>
        <v>3.7015861999999999</v>
      </c>
      <c r="K68">
        <f>I68*J68</f>
        <v>3.7015861999999999</v>
      </c>
      <c r="M68">
        <f>I68*SUM(M69)</f>
        <v>3.7015861999999999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2012-04-12T13:27:36Z</dcterms:modified>
</cp:coreProperties>
</file>
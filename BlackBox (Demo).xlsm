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695" windowWidth="13140" windowHeight="430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5621"/>
</workbook>
</file>

<file path=xl/calcChain.xml><?xml version="1.0" encoding="utf-8"?>
<calcChain xmlns="http://schemas.openxmlformats.org/spreadsheetml/2006/main">
  <c r="L567" i="2" l="1"/>
  <c r="L499" i="2"/>
  <c r="L429" i="2"/>
  <c r="L376" i="2"/>
  <c r="L339" i="2"/>
  <c r="L270" i="2"/>
  <c r="L166" i="2"/>
  <c r="L1716" i="2"/>
  <c r="L1667" i="2"/>
  <c r="L1598" i="2"/>
  <c r="L1516" i="2"/>
  <c r="L1452" i="2"/>
  <c r="L1335" i="2"/>
  <c r="L1263" i="2"/>
  <c r="L65" i="2"/>
  <c r="L1191" i="2"/>
  <c r="L1119" i="2"/>
  <c r="L1045" i="2"/>
  <c r="L982" i="2"/>
  <c r="L927" i="2"/>
  <c r="L873" i="2"/>
  <c r="L820" i="2"/>
  <c r="L763" i="2"/>
  <c r="L706" i="2"/>
  <c r="L637" i="2"/>
  <c r="L4" i="2"/>
  <c r="L3" i="2"/>
  <c r="K567" i="2"/>
  <c r="K499" i="2"/>
  <c r="K429" i="2"/>
  <c r="K376" i="2"/>
  <c r="K339" i="2"/>
  <c r="K270" i="2"/>
  <c r="K166" i="2"/>
  <c r="K1716" i="2"/>
  <c r="K1667" i="2"/>
  <c r="K1598" i="2"/>
  <c r="K1516" i="2"/>
  <c r="K1452" i="2"/>
  <c r="K1335" i="2"/>
  <c r="K1263" i="2"/>
  <c r="K65" i="2"/>
  <c r="K1191" i="2"/>
  <c r="K1119" i="2"/>
  <c r="K1045" i="2"/>
  <c r="K982" i="2"/>
  <c r="K927" i="2"/>
  <c r="K873" i="2"/>
  <c r="K820" i="2"/>
  <c r="K763" i="2"/>
  <c r="K706" i="2"/>
  <c r="K637" i="2"/>
  <c r="K4" i="2"/>
  <c r="M567" i="2"/>
  <c r="M499" i="2"/>
  <c r="M429" i="2"/>
  <c r="M376" i="2"/>
  <c r="M339" i="2"/>
  <c r="M270" i="2"/>
  <c r="M166" i="2"/>
  <c r="M1716" i="2"/>
  <c r="M1667" i="2"/>
  <c r="M1598" i="2"/>
  <c r="M1516" i="2"/>
  <c r="M1452" i="2"/>
  <c r="M1335" i="2"/>
  <c r="M1263" i="2"/>
  <c r="M65" i="2"/>
  <c r="M1191" i="2"/>
  <c r="M1119" i="2"/>
  <c r="M1045" i="2"/>
  <c r="M982" i="2"/>
  <c r="M927" i="2"/>
  <c r="M873" i="2"/>
  <c r="M820" i="2"/>
  <c r="M763" i="2"/>
  <c r="M706" i="2"/>
  <c r="M637" i="2"/>
  <c r="M4" i="2"/>
  <c r="M3" i="2"/>
  <c r="J567" i="2"/>
  <c r="J499" i="2"/>
  <c r="J429" i="2"/>
  <c r="J376" i="2"/>
  <c r="J339" i="2"/>
  <c r="J270" i="2"/>
  <c r="J166" i="2"/>
  <c r="J1716" i="2"/>
  <c r="J1667" i="2"/>
  <c r="J1598" i="2"/>
  <c r="J1516" i="2"/>
  <c r="J1452" i="2"/>
  <c r="J1335" i="2"/>
  <c r="J1263" i="2"/>
  <c r="J65" i="2"/>
  <c r="J1191" i="2"/>
  <c r="J1119" i="2"/>
  <c r="J1045" i="2"/>
  <c r="J982" i="2"/>
  <c r="J927" i="2"/>
  <c r="J873" i="2"/>
  <c r="J820" i="2"/>
  <c r="J763" i="2"/>
  <c r="J706" i="2"/>
  <c r="J637" i="2"/>
  <c r="J4" i="2"/>
  <c r="J3" i="2"/>
  <c r="K3" i="2" s="1"/>
  <c r="L628" i="2"/>
  <c r="L544" i="2"/>
  <c r="L474" i="2"/>
  <c r="L406" i="2"/>
  <c r="L353" i="2"/>
  <c r="L310" i="2"/>
  <c r="L239" i="2"/>
  <c r="L1717" i="2"/>
  <c r="L1671" i="2"/>
  <c r="L1634" i="2"/>
  <c r="L1561" i="2"/>
  <c r="L1509" i="2"/>
  <c r="L1415" i="2"/>
  <c r="L1351" i="2"/>
  <c r="L1308" i="2"/>
  <c r="L1264" i="2"/>
  <c r="L139" i="2"/>
  <c r="L91" i="2"/>
  <c r="L66" i="2"/>
  <c r="L1236" i="2"/>
  <c r="L1192" i="2"/>
  <c r="L1164" i="2"/>
  <c r="L1120" i="2"/>
  <c r="L1092" i="2"/>
  <c r="L1046" i="2"/>
  <c r="L1022" i="2"/>
  <c r="L983" i="2"/>
  <c r="L955" i="2"/>
  <c r="L928" i="2"/>
  <c r="L907" i="2"/>
  <c r="L854" i="2"/>
  <c r="L797" i="2"/>
  <c r="L740" i="2"/>
  <c r="L682" i="2"/>
  <c r="L5" i="2"/>
  <c r="K628" i="2"/>
  <c r="K544" i="2"/>
  <c r="K474" i="2"/>
  <c r="K406" i="2"/>
  <c r="K353" i="2"/>
  <c r="K310" i="2"/>
  <c r="K239" i="2"/>
  <c r="K1717" i="2"/>
  <c r="K1671" i="2"/>
  <c r="K1634" i="2"/>
  <c r="K1561" i="2"/>
  <c r="K1509" i="2"/>
  <c r="K1415" i="2"/>
  <c r="K1351" i="2"/>
  <c r="K1308" i="2"/>
  <c r="K1264" i="2"/>
  <c r="K139" i="2"/>
  <c r="K91" i="2"/>
  <c r="K66" i="2"/>
  <c r="K1236" i="2"/>
  <c r="K1192" i="2"/>
  <c r="K1164" i="2"/>
  <c r="K1120" i="2"/>
  <c r="K1092" i="2"/>
  <c r="K1046" i="2"/>
  <c r="K1022" i="2"/>
  <c r="K983" i="2"/>
  <c r="K955" i="2"/>
  <c r="K928" i="2"/>
  <c r="K907" i="2"/>
  <c r="K854" i="2"/>
  <c r="K797" i="2"/>
  <c r="K740" i="2"/>
  <c r="K682" i="2"/>
  <c r="K5" i="2"/>
  <c r="M628" i="2"/>
  <c r="M544" i="2"/>
  <c r="M474" i="2"/>
  <c r="M406" i="2"/>
  <c r="M353" i="2"/>
  <c r="M310" i="2"/>
  <c r="M239" i="2"/>
  <c r="M1717" i="2"/>
  <c r="M1671" i="2"/>
  <c r="M1634" i="2"/>
  <c r="M1561" i="2"/>
  <c r="M1509" i="2"/>
  <c r="M1415" i="2"/>
  <c r="M1351" i="2"/>
  <c r="M1308" i="2"/>
  <c r="M1264" i="2"/>
  <c r="M139" i="2"/>
  <c r="M91" i="2"/>
  <c r="M66" i="2"/>
  <c r="M1236" i="2"/>
  <c r="M1192" i="2"/>
  <c r="M1164" i="2"/>
  <c r="M1120" i="2"/>
  <c r="M1092" i="2"/>
  <c r="M1046" i="2"/>
  <c r="M1022" i="2"/>
  <c r="M983" i="2"/>
  <c r="M955" i="2"/>
  <c r="M928" i="2"/>
  <c r="M907" i="2"/>
  <c r="M854" i="2"/>
  <c r="M797" i="2"/>
  <c r="M740" i="2"/>
  <c r="M682" i="2"/>
  <c r="M5" i="2"/>
  <c r="J628" i="2"/>
  <c r="J544" i="2"/>
  <c r="J474" i="2"/>
  <c r="J406" i="2"/>
  <c r="J353" i="2"/>
  <c r="J310" i="2"/>
  <c r="J239" i="2"/>
  <c r="J1717" i="2"/>
  <c r="J1671" i="2"/>
  <c r="J1634" i="2"/>
  <c r="J1561" i="2"/>
  <c r="J1509" i="2"/>
  <c r="J1415" i="2"/>
  <c r="J1351" i="2"/>
  <c r="J1308" i="2"/>
  <c r="J1264" i="2"/>
  <c r="J139" i="2"/>
  <c r="J91" i="2"/>
  <c r="J66" i="2"/>
  <c r="J1236" i="2"/>
  <c r="J1192" i="2"/>
  <c r="J1164" i="2"/>
  <c r="J1120" i="2"/>
  <c r="J1092" i="2"/>
  <c r="J1046" i="2"/>
  <c r="J1022" i="2"/>
  <c r="J983" i="2"/>
  <c r="J955" i="2"/>
  <c r="J928" i="2"/>
  <c r="J907" i="2"/>
  <c r="J854" i="2"/>
  <c r="J797" i="2"/>
  <c r="J740" i="2"/>
  <c r="J682" i="2"/>
  <c r="J5" i="2"/>
  <c r="L629" i="2"/>
  <c r="L625" i="2"/>
  <c r="L622" i="2"/>
  <c r="L612" i="2"/>
  <c r="L568" i="2"/>
  <c r="L564" i="2"/>
  <c r="L561" i="2"/>
  <c r="L551" i="2"/>
  <c r="L545" i="2"/>
  <c r="L500" i="2"/>
  <c r="L496" i="2"/>
  <c r="L493" i="2"/>
  <c r="L483" i="2"/>
  <c r="L475" i="2"/>
  <c r="L430" i="2"/>
  <c r="L426" i="2"/>
  <c r="L423" i="2"/>
  <c r="L413" i="2"/>
  <c r="L407" i="2"/>
  <c r="L377" i="2"/>
  <c r="L373" i="2"/>
  <c r="L370" i="2"/>
  <c r="L360" i="2"/>
  <c r="L354" i="2"/>
  <c r="L340" i="2"/>
  <c r="L336" i="2"/>
  <c r="L333" i="2"/>
  <c r="L330" i="2"/>
  <c r="L327" i="2"/>
  <c r="L317" i="2"/>
  <c r="L311" i="2"/>
  <c r="L300" i="2"/>
  <c r="L271" i="2"/>
  <c r="L264" i="2"/>
  <c r="L261" i="2"/>
  <c r="L258" i="2"/>
  <c r="L248" i="2"/>
  <c r="L240" i="2"/>
  <c r="L232" i="2"/>
  <c r="L222" i="2"/>
  <c r="L194" i="2"/>
  <c r="L267" i="2"/>
  <c r="L167" i="2"/>
  <c r="L1788" i="2"/>
  <c r="L1785" i="2"/>
  <c r="L1778" i="2"/>
  <c r="L1755" i="2"/>
  <c r="L1747" i="2"/>
  <c r="L1738" i="2"/>
  <c r="L1735" i="2"/>
  <c r="L1718" i="2"/>
  <c r="L1713" i="2"/>
  <c r="L1710" i="2"/>
  <c r="L1698" i="2"/>
  <c r="L1686" i="2"/>
  <c r="L1668" i="2"/>
  <c r="L1657" i="2"/>
  <c r="L1645" i="2"/>
  <c r="L1642" i="2"/>
  <c r="L1639" i="2"/>
  <c r="L1635" i="2"/>
  <c r="L1599" i="2"/>
  <c r="L1588" i="2"/>
  <c r="L1576" i="2"/>
  <c r="L1573" i="2"/>
  <c r="L1570" i="2"/>
  <c r="L1562" i="2"/>
  <c r="L1517" i="2"/>
  <c r="L1510" i="2"/>
  <c r="L1497" i="2"/>
  <c r="L1453" i="2"/>
  <c r="L1427" i="2"/>
  <c r="L1424" i="2"/>
  <c r="L1416" i="2"/>
  <c r="L1392" i="2"/>
  <c r="L1385" i="2"/>
  <c r="L1377" i="2"/>
  <c r="L1372" i="2"/>
  <c r="L1369" i="2"/>
  <c r="L1352" i="2"/>
  <c r="L1442" i="2"/>
  <c r="L1430" i="2"/>
  <c r="L1336" i="2"/>
  <c r="L1332" i="2"/>
  <c r="L1329" i="2"/>
  <c r="L1319" i="2"/>
  <c r="L1309" i="2"/>
  <c r="L1296" i="2"/>
  <c r="L160" i="2"/>
  <c r="L150" i="2"/>
  <c r="L140" i="2"/>
  <c r="L136" i="2"/>
  <c r="L124" i="2"/>
  <c r="L121" i="2"/>
  <c r="L118" i="2"/>
  <c r="L106" i="2"/>
  <c r="L163" i="2"/>
  <c r="L87" i="2"/>
  <c r="L1260" i="2"/>
  <c r="L1257" i="2"/>
  <c r="L1247" i="2"/>
  <c r="L1237" i="2"/>
  <c r="L1224" i="2"/>
  <c r="L1188" i="2"/>
  <c r="L1185" i="2"/>
  <c r="L1175" i="2"/>
  <c r="L1165" i="2"/>
  <c r="L1152" i="2"/>
  <c r="L1116" i="2"/>
  <c r="L1113" i="2"/>
  <c r="L1103" i="2"/>
  <c r="L1093" i="2"/>
  <c r="L1080" i="2"/>
  <c r="L1033" i="2"/>
  <c r="L1023" i="2"/>
  <c r="L1018" i="2"/>
  <c r="L979" i="2"/>
  <c r="L976" i="2"/>
  <c r="L966" i="2"/>
  <c r="L956" i="2"/>
  <c r="L951" i="2"/>
  <c r="L915" i="2"/>
  <c r="L908" i="2"/>
  <c r="L874" i="2"/>
  <c r="L861" i="2"/>
  <c r="L855" i="2"/>
  <c r="L821" i="2"/>
  <c r="L817" i="2"/>
  <c r="L814" i="2"/>
  <c r="L804" i="2"/>
  <c r="L798" i="2"/>
  <c r="L764" i="2"/>
  <c r="L760" i="2"/>
  <c r="L757" i="2"/>
  <c r="L747" i="2"/>
  <c r="L741" i="2"/>
  <c r="L707" i="2"/>
  <c r="L703" i="2"/>
  <c r="L700" i="2"/>
  <c r="L690" i="2"/>
  <c r="L683" i="2"/>
  <c r="L638" i="2"/>
  <c r="L55" i="2"/>
  <c r="L52" i="2"/>
  <c r="L49" i="2"/>
  <c r="L46" i="2"/>
  <c r="L43" i="2"/>
  <c r="L31" i="2"/>
  <c r="L19" i="2"/>
  <c r="K629" i="2"/>
  <c r="K625" i="2"/>
  <c r="K622" i="2"/>
  <c r="K612" i="2"/>
  <c r="K568" i="2"/>
  <c r="K564" i="2"/>
  <c r="K561" i="2"/>
  <c r="K551" i="2"/>
  <c r="K545" i="2"/>
  <c r="K500" i="2"/>
  <c r="K496" i="2"/>
  <c r="K493" i="2"/>
  <c r="K483" i="2"/>
  <c r="K475" i="2"/>
  <c r="K430" i="2"/>
  <c r="K426" i="2"/>
  <c r="K423" i="2"/>
  <c r="K413" i="2"/>
  <c r="K407" i="2"/>
  <c r="K377" i="2"/>
  <c r="K373" i="2"/>
  <c r="K370" i="2"/>
  <c r="K360" i="2"/>
  <c r="K354" i="2"/>
  <c r="K340" i="2"/>
  <c r="K336" i="2"/>
  <c r="K333" i="2"/>
  <c r="K330" i="2"/>
  <c r="K327" i="2"/>
  <c r="K317" i="2"/>
  <c r="K311" i="2"/>
  <c r="K300" i="2"/>
  <c r="K271" i="2"/>
  <c r="K264" i="2"/>
  <c r="K261" i="2"/>
  <c r="K258" i="2"/>
  <c r="K248" i="2"/>
  <c r="K240" i="2"/>
  <c r="K232" i="2"/>
  <c r="K222" i="2"/>
  <c r="K194" i="2"/>
  <c r="K267" i="2"/>
  <c r="K167" i="2"/>
  <c r="K1788" i="2"/>
  <c r="K1785" i="2"/>
  <c r="K1778" i="2"/>
  <c r="K1755" i="2"/>
  <c r="K1747" i="2"/>
  <c r="K1738" i="2"/>
  <c r="K1735" i="2"/>
  <c r="K1718" i="2"/>
  <c r="K1713" i="2"/>
  <c r="K1710" i="2"/>
  <c r="K1698" i="2"/>
  <c r="K1686" i="2"/>
  <c r="K1668" i="2"/>
  <c r="K1657" i="2"/>
  <c r="K1645" i="2"/>
  <c r="K1642" i="2"/>
  <c r="K1639" i="2"/>
  <c r="K1635" i="2"/>
  <c r="K1599" i="2"/>
  <c r="K1588" i="2"/>
  <c r="K1576" i="2"/>
  <c r="K1573" i="2"/>
  <c r="K1570" i="2"/>
  <c r="K1562" i="2"/>
  <c r="K1517" i="2"/>
  <c r="K1510" i="2"/>
  <c r="K1497" i="2"/>
  <c r="K1453" i="2"/>
  <c r="K1427" i="2"/>
  <c r="K1424" i="2"/>
  <c r="K1416" i="2"/>
  <c r="K1392" i="2"/>
  <c r="K1385" i="2"/>
  <c r="K1377" i="2"/>
  <c r="K1372" i="2"/>
  <c r="K1369" i="2"/>
  <c r="K1352" i="2"/>
  <c r="K1442" i="2"/>
  <c r="K1430" i="2"/>
  <c r="K1336" i="2"/>
  <c r="K1332" i="2"/>
  <c r="K1329" i="2"/>
  <c r="K1319" i="2"/>
  <c r="K1309" i="2"/>
  <c r="K1296" i="2"/>
  <c r="K160" i="2"/>
  <c r="K150" i="2"/>
  <c r="K140" i="2"/>
  <c r="K136" i="2"/>
  <c r="K124" i="2"/>
  <c r="K121" i="2"/>
  <c r="K118" i="2"/>
  <c r="K106" i="2"/>
  <c r="K163" i="2"/>
  <c r="K87" i="2"/>
  <c r="K1260" i="2"/>
  <c r="K1257" i="2"/>
  <c r="K1247" i="2"/>
  <c r="K1237" i="2"/>
  <c r="K1224" i="2"/>
  <c r="K1188" i="2"/>
  <c r="K1185" i="2"/>
  <c r="K1175" i="2"/>
  <c r="K1165" i="2"/>
  <c r="K1152" i="2"/>
  <c r="K1116" i="2"/>
  <c r="K1113" i="2"/>
  <c r="K1103" i="2"/>
  <c r="K1093" i="2"/>
  <c r="K1080" i="2"/>
  <c r="K1033" i="2"/>
  <c r="K1023" i="2"/>
  <c r="K1018" i="2"/>
  <c r="K979" i="2"/>
  <c r="K976" i="2"/>
  <c r="K966" i="2"/>
  <c r="K956" i="2"/>
  <c r="K951" i="2"/>
  <c r="K915" i="2"/>
  <c r="K908" i="2"/>
  <c r="K874" i="2"/>
  <c r="K861" i="2"/>
  <c r="K855" i="2"/>
  <c r="K821" i="2"/>
  <c r="K817" i="2"/>
  <c r="K814" i="2"/>
  <c r="K804" i="2"/>
  <c r="K798" i="2"/>
  <c r="K764" i="2"/>
  <c r="K760" i="2"/>
  <c r="K757" i="2"/>
  <c r="K747" i="2"/>
  <c r="K741" i="2"/>
  <c r="K707" i="2"/>
  <c r="K703" i="2"/>
  <c r="K700" i="2"/>
  <c r="K690" i="2"/>
  <c r="K683" i="2"/>
  <c r="K638" i="2"/>
  <c r="K55" i="2"/>
  <c r="K52" i="2"/>
  <c r="K49" i="2"/>
  <c r="K46" i="2"/>
  <c r="K43" i="2"/>
  <c r="K31" i="2"/>
  <c r="K19" i="2"/>
  <c r="M629" i="2"/>
  <c r="M625" i="2"/>
  <c r="M622" i="2"/>
  <c r="M612" i="2"/>
  <c r="M568" i="2"/>
  <c r="M564" i="2"/>
  <c r="M561" i="2"/>
  <c r="M551" i="2"/>
  <c r="M545" i="2"/>
  <c r="M500" i="2"/>
  <c r="M496" i="2"/>
  <c r="M493" i="2"/>
  <c r="M483" i="2"/>
  <c r="M475" i="2"/>
  <c r="M430" i="2"/>
  <c r="M426" i="2"/>
  <c r="M423" i="2"/>
  <c r="M413" i="2"/>
  <c r="M407" i="2"/>
  <c r="M377" i="2"/>
  <c r="M373" i="2"/>
  <c r="M370" i="2"/>
  <c r="M360" i="2"/>
  <c r="M354" i="2"/>
  <c r="M340" i="2"/>
  <c r="M336" i="2"/>
  <c r="M333" i="2"/>
  <c r="M330" i="2"/>
  <c r="M327" i="2"/>
  <c r="M317" i="2"/>
  <c r="M311" i="2"/>
  <c r="M300" i="2"/>
  <c r="M271" i="2"/>
  <c r="M264" i="2"/>
  <c r="M261" i="2"/>
  <c r="M258" i="2"/>
  <c r="M248" i="2"/>
  <c r="M240" i="2"/>
  <c r="M232" i="2"/>
  <c r="M222" i="2"/>
  <c r="M194" i="2"/>
  <c r="M267" i="2"/>
  <c r="M167" i="2"/>
  <c r="M1788" i="2"/>
  <c r="M1785" i="2"/>
  <c r="M1778" i="2"/>
  <c r="M1755" i="2"/>
  <c r="M1747" i="2"/>
  <c r="M1738" i="2"/>
  <c r="M1735" i="2"/>
  <c r="M1718" i="2"/>
  <c r="M1713" i="2"/>
  <c r="M1710" i="2"/>
  <c r="M1698" i="2"/>
  <c r="M1686" i="2"/>
  <c r="M1668" i="2"/>
  <c r="M1657" i="2"/>
  <c r="M1645" i="2"/>
  <c r="M1642" i="2"/>
  <c r="M1639" i="2"/>
  <c r="M1635" i="2"/>
  <c r="M1599" i="2"/>
  <c r="M1588" i="2"/>
  <c r="M1576" i="2"/>
  <c r="M1573" i="2"/>
  <c r="M1570" i="2"/>
  <c r="M1562" i="2"/>
  <c r="M1517" i="2"/>
  <c r="M1510" i="2"/>
  <c r="M1497" i="2"/>
  <c r="M1453" i="2"/>
  <c r="M1427" i="2"/>
  <c r="M1424" i="2"/>
  <c r="M1416" i="2"/>
  <c r="M1392" i="2"/>
  <c r="M1385" i="2"/>
  <c r="M1377" i="2"/>
  <c r="M1372" i="2"/>
  <c r="M1369" i="2"/>
  <c r="M1352" i="2"/>
  <c r="M1442" i="2"/>
  <c r="M1430" i="2"/>
  <c r="M1336" i="2"/>
  <c r="M1332" i="2"/>
  <c r="M1329" i="2"/>
  <c r="M1319" i="2"/>
  <c r="M1309" i="2"/>
  <c r="M1296" i="2"/>
  <c r="M160" i="2"/>
  <c r="M150" i="2"/>
  <c r="M140" i="2"/>
  <c r="M136" i="2"/>
  <c r="M124" i="2"/>
  <c r="M121" i="2"/>
  <c r="M118" i="2"/>
  <c r="M106" i="2"/>
  <c r="M163" i="2"/>
  <c r="M87" i="2"/>
  <c r="M1260" i="2"/>
  <c r="M1257" i="2"/>
  <c r="M1247" i="2"/>
  <c r="M1237" i="2"/>
  <c r="M1224" i="2"/>
  <c r="M1188" i="2"/>
  <c r="M1185" i="2"/>
  <c r="M1175" i="2"/>
  <c r="M1165" i="2"/>
  <c r="M1152" i="2"/>
  <c r="M1116" i="2"/>
  <c r="M1113" i="2"/>
  <c r="M1103" i="2"/>
  <c r="M1093" i="2"/>
  <c r="M1080" i="2"/>
  <c r="M1033" i="2"/>
  <c r="M1023" i="2"/>
  <c r="M1018" i="2"/>
  <c r="M979" i="2"/>
  <c r="M976" i="2"/>
  <c r="M966" i="2"/>
  <c r="M956" i="2"/>
  <c r="M951" i="2"/>
  <c r="M915" i="2"/>
  <c r="M908" i="2"/>
  <c r="M874" i="2"/>
  <c r="M861" i="2"/>
  <c r="M855" i="2"/>
  <c r="M821" i="2"/>
  <c r="M817" i="2"/>
  <c r="M814" i="2"/>
  <c r="M804" i="2"/>
  <c r="M798" i="2"/>
  <c r="M764" i="2"/>
  <c r="M760" i="2"/>
  <c r="M757" i="2"/>
  <c r="M747" i="2"/>
  <c r="M741" i="2"/>
  <c r="M707" i="2"/>
  <c r="M703" i="2"/>
  <c r="M700" i="2"/>
  <c r="M690" i="2"/>
  <c r="M683" i="2"/>
  <c r="M638" i="2"/>
  <c r="M55" i="2"/>
  <c r="M52" i="2"/>
  <c r="M49" i="2"/>
  <c r="M46" i="2"/>
  <c r="M43" i="2"/>
  <c r="M31" i="2"/>
  <c r="M19" i="2"/>
  <c r="J629" i="2"/>
  <c r="J625" i="2"/>
  <c r="J622" i="2"/>
  <c r="J612" i="2"/>
  <c r="J568" i="2"/>
  <c r="J564" i="2"/>
  <c r="J561" i="2"/>
  <c r="J551" i="2"/>
  <c r="J545" i="2"/>
  <c r="J500" i="2"/>
  <c r="J496" i="2"/>
  <c r="J493" i="2"/>
  <c r="J483" i="2"/>
  <c r="J475" i="2"/>
  <c r="J430" i="2"/>
  <c r="J426" i="2"/>
  <c r="J423" i="2"/>
  <c r="J413" i="2"/>
  <c r="J407" i="2"/>
  <c r="J377" i="2"/>
  <c r="J373" i="2"/>
  <c r="J370" i="2"/>
  <c r="J360" i="2"/>
  <c r="J354" i="2"/>
  <c r="J340" i="2"/>
  <c r="J336" i="2"/>
  <c r="J333" i="2"/>
  <c r="J330" i="2"/>
  <c r="J327" i="2"/>
  <c r="J317" i="2"/>
  <c r="J311" i="2"/>
  <c r="J300" i="2"/>
  <c r="J271" i="2"/>
  <c r="J264" i="2"/>
  <c r="J261" i="2"/>
  <c r="J258" i="2"/>
  <c r="J248" i="2"/>
  <c r="J240" i="2"/>
  <c r="J232" i="2"/>
  <c r="J222" i="2"/>
  <c r="J194" i="2"/>
  <c r="J267" i="2"/>
  <c r="J167" i="2"/>
  <c r="J1788" i="2"/>
  <c r="J1785" i="2"/>
  <c r="J1778" i="2"/>
  <c r="J1755" i="2"/>
  <c r="J1747" i="2"/>
  <c r="J1738" i="2"/>
  <c r="J1735" i="2"/>
  <c r="J1718" i="2"/>
  <c r="J1713" i="2"/>
  <c r="J1710" i="2"/>
  <c r="J1698" i="2"/>
  <c r="J1686" i="2"/>
  <c r="J1668" i="2"/>
  <c r="J1657" i="2"/>
  <c r="J1645" i="2"/>
  <c r="J1642" i="2"/>
  <c r="J1639" i="2"/>
  <c r="J1635" i="2"/>
  <c r="J1599" i="2"/>
  <c r="J1588" i="2"/>
  <c r="J1576" i="2"/>
  <c r="J1573" i="2"/>
  <c r="J1570" i="2"/>
  <c r="J1562" i="2"/>
  <c r="J1517" i="2"/>
  <c r="J1510" i="2"/>
  <c r="J1497" i="2"/>
  <c r="J1453" i="2"/>
  <c r="J1427" i="2"/>
  <c r="J1424" i="2"/>
  <c r="J1416" i="2"/>
  <c r="J1392" i="2"/>
  <c r="J1385" i="2"/>
  <c r="J1377" i="2"/>
  <c r="J1372" i="2"/>
  <c r="J1369" i="2"/>
  <c r="J1352" i="2"/>
  <c r="J1442" i="2"/>
  <c r="J1430" i="2"/>
  <c r="J1336" i="2"/>
  <c r="J1332" i="2"/>
  <c r="J1329" i="2"/>
  <c r="J1319" i="2"/>
  <c r="J1309" i="2"/>
  <c r="J1296" i="2"/>
  <c r="J160" i="2"/>
  <c r="J150" i="2"/>
  <c r="J140" i="2"/>
  <c r="J136" i="2"/>
  <c r="J124" i="2"/>
  <c r="J121" i="2"/>
  <c r="J118" i="2"/>
  <c r="J106" i="2"/>
  <c r="J163" i="2"/>
  <c r="J87" i="2"/>
  <c r="J1260" i="2"/>
  <c r="J1257" i="2"/>
  <c r="J1247" i="2"/>
  <c r="J1237" i="2"/>
  <c r="J1224" i="2"/>
  <c r="J1188" i="2"/>
  <c r="J1185" i="2"/>
  <c r="J1175" i="2"/>
  <c r="J1165" i="2"/>
  <c r="J1152" i="2"/>
  <c r="J1116" i="2"/>
  <c r="J1113" i="2"/>
  <c r="J1103" i="2"/>
  <c r="J1093" i="2"/>
  <c r="J1080" i="2"/>
  <c r="J1033" i="2"/>
  <c r="J1023" i="2"/>
  <c r="J1018" i="2"/>
  <c r="J979" i="2"/>
  <c r="J976" i="2"/>
  <c r="J966" i="2"/>
  <c r="J956" i="2"/>
  <c r="J951" i="2"/>
  <c r="J915" i="2"/>
  <c r="J908" i="2"/>
  <c r="J874" i="2"/>
  <c r="J861" i="2"/>
  <c r="J855" i="2"/>
  <c r="J821" i="2"/>
  <c r="J817" i="2"/>
  <c r="J814" i="2"/>
  <c r="J804" i="2"/>
  <c r="J798" i="2"/>
  <c r="J764" i="2"/>
  <c r="J760" i="2"/>
  <c r="J757" i="2"/>
  <c r="J747" i="2"/>
  <c r="J741" i="2"/>
  <c r="J707" i="2"/>
  <c r="J703" i="2"/>
  <c r="J700" i="2"/>
  <c r="J690" i="2"/>
  <c r="J683" i="2"/>
  <c r="J638" i="2"/>
  <c r="J55" i="2"/>
  <c r="J52" i="2"/>
  <c r="J49" i="2"/>
  <c r="J46" i="2"/>
  <c r="J43" i="2"/>
  <c r="J31" i="2"/>
  <c r="J19" i="2"/>
  <c r="L630" i="2"/>
  <c r="L626" i="2"/>
  <c r="L623" i="2"/>
  <c r="L620" i="2"/>
  <c r="L618" i="2"/>
  <c r="L616" i="2"/>
  <c r="L613" i="2"/>
  <c r="L585" i="2"/>
  <c r="L583" i="2"/>
  <c r="L581" i="2"/>
  <c r="L579" i="2"/>
  <c r="L577" i="2"/>
  <c r="L575" i="2"/>
  <c r="L573" i="2"/>
  <c r="L571" i="2"/>
  <c r="L610" i="2"/>
  <c r="L608" i="2"/>
  <c r="L591" i="2"/>
  <c r="L589" i="2"/>
  <c r="L587" i="2"/>
  <c r="L569" i="2"/>
  <c r="L565" i="2"/>
  <c r="L562" i="2"/>
  <c r="L559" i="2"/>
  <c r="L557" i="2"/>
  <c r="L555" i="2"/>
  <c r="L552" i="2"/>
  <c r="L546" i="2"/>
  <c r="L517" i="2"/>
  <c r="L515" i="2"/>
  <c r="L513" i="2"/>
  <c r="L511" i="2"/>
  <c r="L509" i="2"/>
  <c r="L507" i="2"/>
  <c r="L505" i="2"/>
  <c r="L503" i="2"/>
  <c r="L542" i="2"/>
  <c r="L540" i="2"/>
  <c r="L523" i="2"/>
  <c r="L521" i="2"/>
  <c r="L519" i="2"/>
  <c r="L501" i="2"/>
  <c r="L497" i="2"/>
  <c r="L494" i="2"/>
  <c r="L491" i="2"/>
  <c r="L489" i="2"/>
  <c r="L487" i="2"/>
  <c r="L484" i="2"/>
  <c r="L476" i="2"/>
  <c r="L447" i="2"/>
  <c r="L445" i="2"/>
  <c r="L443" i="2"/>
  <c r="L441" i="2"/>
  <c r="L439" i="2"/>
  <c r="L437" i="2"/>
  <c r="L435" i="2"/>
  <c r="L433" i="2"/>
  <c r="L472" i="2"/>
  <c r="L470" i="2"/>
  <c r="L453" i="2"/>
  <c r="L451" i="2"/>
  <c r="L449" i="2"/>
  <c r="L431" i="2"/>
  <c r="L427" i="2"/>
  <c r="L424" i="2"/>
  <c r="L421" i="2"/>
  <c r="L419" i="2"/>
  <c r="L417" i="2"/>
  <c r="L414" i="2"/>
  <c r="L408" i="2"/>
  <c r="L394" i="2"/>
  <c r="L392" i="2"/>
  <c r="L390" i="2"/>
  <c r="L388" i="2"/>
  <c r="L386" i="2"/>
  <c r="L384" i="2"/>
  <c r="L382" i="2"/>
  <c r="L380" i="2"/>
  <c r="L404" i="2"/>
  <c r="L402" i="2"/>
  <c r="L400" i="2"/>
  <c r="L398" i="2"/>
  <c r="L396" i="2"/>
  <c r="L378" i="2"/>
  <c r="L374" i="2"/>
  <c r="L371" i="2"/>
  <c r="L368" i="2"/>
  <c r="L366" i="2"/>
  <c r="L364" i="2"/>
  <c r="L361" i="2"/>
  <c r="L355" i="2"/>
  <c r="L351" i="2"/>
  <c r="L349" i="2"/>
  <c r="L347" i="2"/>
  <c r="L345" i="2"/>
  <c r="L343" i="2"/>
  <c r="L341" i="2"/>
  <c r="L337" i="2"/>
  <c r="L334" i="2"/>
  <c r="L331" i="2"/>
  <c r="L328" i="2"/>
  <c r="L325" i="2"/>
  <c r="L323" i="2"/>
  <c r="L321" i="2"/>
  <c r="L318" i="2"/>
  <c r="L312" i="2"/>
  <c r="L303" i="2"/>
  <c r="L301" i="2"/>
  <c r="L288" i="2"/>
  <c r="L286" i="2"/>
  <c r="L284" i="2"/>
  <c r="L282" i="2"/>
  <c r="L280" i="2"/>
  <c r="L278" i="2"/>
  <c r="L276" i="2"/>
  <c r="L274" i="2"/>
  <c r="L298" i="2"/>
  <c r="L296" i="2"/>
  <c r="L294" i="2"/>
  <c r="L292" i="2"/>
  <c r="L290" i="2"/>
  <c r="L272" i="2"/>
  <c r="L265" i="2"/>
  <c r="L262" i="2"/>
  <c r="L259" i="2"/>
  <c r="L256" i="2"/>
  <c r="L254" i="2"/>
  <c r="L252" i="2"/>
  <c r="L249" i="2"/>
  <c r="L241" i="2"/>
  <c r="L237" i="2"/>
  <c r="L233" i="2"/>
  <c r="L225" i="2"/>
  <c r="L223" i="2"/>
  <c r="L199" i="2"/>
  <c r="L197" i="2"/>
  <c r="L195" i="2"/>
  <c r="L268" i="2"/>
  <c r="L184" i="2"/>
  <c r="L182" i="2"/>
  <c r="L180" i="2"/>
  <c r="L178" i="2"/>
  <c r="L176" i="2"/>
  <c r="L174" i="2"/>
  <c r="L172" i="2"/>
  <c r="L170" i="2"/>
  <c r="L192" i="2"/>
  <c r="L190" i="2"/>
  <c r="L188" i="2"/>
  <c r="L186" i="2"/>
  <c r="L168" i="2"/>
  <c r="L1789" i="2"/>
  <c r="L1786" i="2"/>
  <c r="L1781" i="2"/>
  <c r="L1779" i="2"/>
  <c r="L1760" i="2"/>
  <c r="L1758" i="2"/>
  <c r="L1756" i="2"/>
  <c r="L1750" i="2"/>
  <c r="L1748" i="2"/>
  <c r="L1745" i="2"/>
  <c r="L1743" i="2"/>
  <c r="L1741" i="2"/>
  <c r="L1739" i="2"/>
  <c r="L1736" i="2"/>
  <c r="L1723" i="2"/>
  <c r="L1719" i="2"/>
  <c r="L1714" i="2"/>
  <c r="L1711" i="2"/>
  <c r="L1701" i="2"/>
  <c r="L1699" i="2"/>
  <c r="L1687" i="2"/>
  <c r="L1676" i="2"/>
  <c r="L1674" i="2"/>
  <c r="L1672" i="2"/>
  <c r="L1669" i="2"/>
  <c r="L1665" i="2"/>
  <c r="L1663" i="2"/>
  <c r="L1661" i="2"/>
  <c r="L1658" i="2"/>
  <c r="L1655" i="2"/>
  <c r="L1653" i="2"/>
  <c r="L1651" i="2"/>
  <c r="L1649" i="2"/>
  <c r="L1646" i="2"/>
  <c r="L1643" i="2"/>
  <c r="L1640" i="2"/>
  <c r="L1636" i="2"/>
  <c r="L1616" i="2"/>
  <c r="L1614" i="2"/>
  <c r="L1612" i="2"/>
  <c r="L1610" i="2"/>
  <c r="L1608" i="2"/>
  <c r="L1606" i="2"/>
  <c r="L1604" i="2"/>
  <c r="L1602" i="2"/>
  <c r="L1632" i="2"/>
  <c r="L1630" i="2"/>
  <c r="L1628" i="2"/>
  <c r="L1626" i="2"/>
  <c r="L1624" i="2"/>
  <c r="L1622" i="2"/>
  <c r="L1620" i="2"/>
  <c r="L1618" i="2"/>
  <c r="L1600" i="2"/>
  <c r="L1596" i="2"/>
  <c r="L1594" i="2"/>
  <c r="L1592" i="2"/>
  <c r="L1589" i="2"/>
  <c r="L1586" i="2"/>
  <c r="L1584" i="2"/>
  <c r="L1582" i="2"/>
  <c r="L1580" i="2"/>
  <c r="L1577" i="2"/>
  <c r="L1574" i="2"/>
  <c r="L1571" i="2"/>
  <c r="L1563" i="2"/>
  <c r="L1534" i="2"/>
  <c r="L1532" i="2"/>
  <c r="L1530" i="2"/>
  <c r="L1528" i="2"/>
  <c r="L1526" i="2"/>
  <c r="L1524" i="2"/>
  <c r="L1522" i="2"/>
  <c r="L1520" i="2"/>
  <c r="L1559" i="2"/>
  <c r="L1557" i="2"/>
  <c r="L1540" i="2"/>
  <c r="L1538" i="2"/>
  <c r="L1536" i="2"/>
  <c r="L1518" i="2"/>
  <c r="L1511" i="2"/>
  <c r="L1507" i="2"/>
  <c r="L1505" i="2"/>
  <c r="L1503" i="2"/>
  <c r="L1501" i="2"/>
  <c r="L1498" i="2"/>
  <c r="L1470" i="2"/>
  <c r="L1468" i="2"/>
  <c r="L1466" i="2"/>
  <c r="L1464" i="2"/>
  <c r="L1462" i="2"/>
  <c r="L1460" i="2"/>
  <c r="L1458" i="2"/>
  <c r="L1456" i="2"/>
  <c r="L1495" i="2"/>
  <c r="L1493" i="2"/>
  <c r="L1476" i="2"/>
  <c r="L1474" i="2"/>
  <c r="L1472" i="2"/>
  <c r="L1454" i="2"/>
  <c r="L1428" i="2"/>
  <c r="L1425" i="2"/>
  <c r="L1417" i="2"/>
  <c r="L1397" i="2"/>
  <c r="L1395" i="2"/>
  <c r="L1393" i="2"/>
  <c r="L1388" i="2"/>
  <c r="L1386" i="2"/>
  <c r="L1380" i="2"/>
  <c r="L1378" i="2"/>
  <c r="L1375" i="2"/>
  <c r="L1373" i="2"/>
  <c r="L1370" i="2"/>
  <c r="L1357" i="2"/>
  <c r="L1353" i="2"/>
  <c r="L1450" i="2"/>
  <c r="L1448" i="2"/>
  <c r="L1446" i="2"/>
  <c r="L1443" i="2"/>
  <c r="L1440" i="2"/>
  <c r="L1438" i="2"/>
  <c r="L1436" i="2"/>
  <c r="L1434" i="2"/>
  <c r="L1431" i="2"/>
  <c r="L1349" i="2"/>
  <c r="L1347" i="2"/>
  <c r="L1345" i="2"/>
  <c r="L1343" i="2"/>
  <c r="L1341" i="2"/>
  <c r="L1339" i="2"/>
  <c r="L1337" i="2"/>
  <c r="L1333" i="2"/>
  <c r="L1330" i="2"/>
  <c r="L1327" i="2"/>
  <c r="L1325" i="2"/>
  <c r="L1323" i="2"/>
  <c r="L1320" i="2"/>
  <c r="L1315" i="2"/>
  <c r="L1310" i="2"/>
  <c r="L1284" i="2"/>
  <c r="L1282" i="2"/>
  <c r="L1277" i="2"/>
  <c r="L1275" i="2"/>
  <c r="L1273" i="2"/>
  <c r="L1271" i="2"/>
  <c r="L1269" i="2"/>
  <c r="L1267" i="2"/>
  <c r="L1306" i="2"/>
  <c r="L1302" i="2"/>
  <c r="L1294" i="2"/>
  <c r="L1292" i="2"/>
  <c r="L1290" i="2"/>
  <c r="L1288" i="2"/>
  <c r="L1286" i="2"/>
  <c r="L1265" i="2"/>
  <c r="L161" i="2"/>
  <c r="L158" i="2"/>
  <c r="L156" i="2"/>
  <c r="L154" i="2"/>
  <c r="L151" i="2"/>
  <c r="L146" i="2"/>
  <c r="L141" i="2"/>
  <c r="L137" i="2"/>
  <c r="L127" i="2"/>
  <c r="L125" i="2"/>
  <c r="L122" i="2"/>
  <c r="L119" i="2"/>
  <c r="L107" i="2"/>
  <c r="L96" i="2"/>
  <c r="L94" i="2"/>
  <c r="L92" i="2"/>
  <c r="L164" i="2"/>
  <c r="L83" i="2"/>
  <c r="L81" i="2"/>
  <c r="L79" i="2"/>
  <c r="L77" i="2"/>
  <c r="L75" i="2"/>
  <c r="L73" i="2"/>
  <c r="L71" i="2"/>
  <c r="L69" i="2"/>
  <c r="L88" i="2"/>
  <c r="L85" i="2"/>
  <c r="L67" i="2"/>
  <c r="L1261" i="2"/>
  <c r="L1258" i="2"/>
  <c r="L1255" i="2"/>
  <c r="L1253" i="2"/>
  <c r="L1251" i="2"/>
  <c r="L1248" i="2"/>
  <c r="L1243" i="2"/>
  <c r="L1238" i="2"/>
  <c r="L1212" i="2"/>
  <c r="L1210" i="2"/>
  <c r="L1205" i="2"/>
  <c r="L1203" i="2"/>
  <c r="L1201" i="2"/>
  <c r="L1199" i="2"/>
  <c r="L1197" i="2"/>
  <c r="L1195" i="2"/>
  <c r="L1234" i="2"/>
  <c r="L1230" i="2"/>
  <c r="L1222" i="2"/>
  <c r="L1220" i="2"/>
  <c r="L1218" i="2"/>
  <c r="L1216" i="2"/>
  <c r="L1214" i="2"/>
  <c r="L1193" i="2"/>
  <c r="L1189" i="2"/>
  <c r="L1186" i="2"/>
  <c r="L1183" i="2"/>
  <c r="L1181" i="2"/>
  <c r="L1179" i="2"/>
  <c r="L1176" i="2"/>
  <c r="L1171" i="2"/>
  <c r="L1166" i="2"/>
  <c r="L1140" i="2"/>
  <c r="L1138" i="2"/>
  <c r="L1133" i="2"/>
  <c r="L1131" i="2"/>
  <c r="L1129" i="2"/>
  <c r="L1127" i="2"/>
  <c r="L1125" i="2"/>
  <c r="L1123" i="2"/>
  <c r="L1162" i="2"/>
  <c r="L1158" i="2"/>
  <c r="L1150" i="2"/>
  <c r="L1148" i="2"/>
  <c r="L1146" i="2"/>
  <c r="L1144" i="2"/>
  <c r="L1142" i="2"/>
  <c r="L1121" i="2"/>
  <c r="L1117" i="2"/>
  <c r="L1114" i="2"/>
  <c r="L1111" i="2"/>
  <c r="L1109" i="2"/>
  <c r="L1107" i="2"/>
  <c r="L1104" i="2"/>
  <c r="L1099" i="2"/>
  <c r="L1094" i="2"/>
  <c r="L1066" i="2"/>
  <c r="L1064" i="2"/>
  <c r="L1059" i="2"/>
  <c r="L1057" i="2"/>
  <c r="L1055" i="2"/>
  <c r="L1053" i="2"/>
  <c r="L1051" i="2"/>
  <c r="L1049" i="2"/>
  <c r="L1090" i="2"/>
  <c r="L1086" i="2"/>
  <c r="L1078" i="2"/>
  <c r="L1076" i="2"/>
  <c r="L1074" i="2"/>
  <c r="L1072" i="2"/>
  <c r="L1070" i="2"/>
  <c r="L1068" i="2"/>
  <c r="L1047" i="2"/>
  <c r="L1043" i="2"/>
  <c r="L1041" i="2"/>
  <c r="L1039" i="2"/>
  <c r="L1037" i="2"/>
  <c r="L1034" i="2"/>
  <c r="L1029" i="2"/>
  <c r="L1024" i="2"/>
  <c r="L1000" i="2"/>
  <c r="L998" i="2"/>
  <c r="L996" i="2"/>
  <c r="L994" i="2"/>
  <c r="L992" i="2"/>
  <c r="L990" i="2"/>
  <c r="L988" i="2"/>
  <c r="L986" i="2"/>
  <c r="L1019" i="2"/>
  <c r="L1016" i="2"/>
  <c r="L1014" i="2"/>
  <c r="L1012" i="2"/>
  <c r="L1010" i="2"/>
  <c r="L1008" i="2"/>
  <c r="L1006" i="2"/>
  <c r="L1004" i="2"/>
  <c r="L1002" i="2"/>
  <c r="L984" i="2"/>
  <c r="L980" i="2"/>
  <c r="L977" i="2"/>
  <c r="L974" i="2"/>
  <c r="L972" i="2"/>
  <c r="L970" i="2"/>
  <c r="L967" i="2"/>
  <c r="L962" i="2"/>
  <c r="L957" i="2"/>
  <c r="L945" i="2"/>
  <c r="L943" i="2"/>
  <c r="L941" i="2"/>
  <c r="L939" i="2"/>
  <c r="L937" i="2"/>
  <c r="L935" i="2"/>
  <c r="L933" i="2"/>
  <c r="L931" i="2"/>
  <c r="L952" i="2"/>
  <c r="L949" i="2"/>
  <c r="L947" i="2"/>
  <c r="L929" i="2"/>
  <c r="L925" i="2"/>
  <c r="L923" i="2"/>
  <c r="L921" i="2"/>
  <c r="L919" i="2"/>
  <c r="L916" i="2"/>
  <c r="L909" i="2"/>
  <c r="L892" i="2"/>
  <c r="L890" i="2"/>
  <c r="L887" i="2"/>
  <c r="L885" i="2"/>
  <c r="L883" i="2"/>
  <c r="L881" i="2"/>
  <c r="L879" i="2"/>
  <c r="L877" i="2"/>
  <c r="L905" i="2"/>
  <c r="L903" i="2"/>
  <c r="L896" i="2"/>
  <c r="L894" i="2"/>
  <c r="L875" i="2"/>
  <c r="L871" i="2"/>
  <c r="L869" i="2"/>
  <c r="L867" i="2"/>
  <c r="L865" i="2"/>
  <c r="L862" i="2"/>
  <c r="L856" i="2"/>
  <c r="L839" i="2"/>
  <c r="L837" i="2"/>
  <c r="L834" i="2"/>
  <c r="L832" i="2"/>
  <c r="L830" i="2"/>
  <c r="L828" i="2"/>
  <c r="L826" i="2"/>
  <c r="L824" i="2"/>
  <c r="L852" i="2"/>
  <c r="L850" i="2"/>
  <c r="L843" i="2"/>
  <c r="L841" i="2"/>
  <c r="L822" i="2"/>
  <c r="L818" i="2"/>
  <c r="L815" i="2"/>
  <c r="L812" i="2"/>
  <c r="L810" i="2"/>
  <c r="L808" i="2"/>
  <c r="L805" i="2"/>
  <c r="L799" i="2"/>
  <c r="L782" i="2"/>
  <c r="L780" i="2"/>
  <c r="L777" i="2"/>
  <c r="L775" i="2"/>
  <c r="L773" i="2"/>
  <c r="L771" i="2"/>
  <c r="L769" i="2"/>
  <c r="L767" i="2"/>
  <c r="L795" i="2"/>
  <c r="L793" i="2"/>
  <c r="L786" i="2"/>
  <c r="L784" i="2"/>
  <c r="L765" i="2"/>
  <c r="L761" i="2"/>
  <c r="L758" i="2"/>
  <c r="L755" i="2"/>
  <c r="L753" i="2"/>
  <c r="L751" i="2"/>
  <c r="L748" i="2"/>
  <c r="L742" i="2"/>
  <c r="L725" i="2"/>
  <c r="L723" i="2"/>
  <c r="L720" i="2"/>
  <c r="L718" i="2"/>
  <c r="L716" i="2"/>
  <c r="L714" i="2"/>
  <c r="L712" i="2"/>
  <c r="L710" i="2"/>
  <c r="L738" i="2"/>
  <c r="L736" i="2"/>
  <c r="L729" i="2"/>
  <c r="L727" i="2"/>
  <c r="L708" i="2"/>
  <c r="L704" i="2"/>
  <c r="L701" i="2"/>
  <c r="L698" i="2"/>
  <c r="L696" i="2"/>
  <c r="L694" i="2"/>
  <c r="L691" i="2"/>
  <c r="L684" i="2"/>
  <c r="L655" i="2"/>
  <c r="L653" i="2"/>
  <c r="L651" i="2"/>
  <c r="L649" i="2"/>
  <c r="L647" i="2"/>
  <c r="L645" i="2"/>
  <c r="L643" i="2"/>
  <c r="L641" i="2"/>
  <c r="L680" i="2"/>
  <c r="L678" i="2"/>
  <c r="L661" i="2"/>
  <c r="L659" i="2"/>
  <c r="L657" i="2"/>
  <c r="L639" i="2"/>
  <c r="L63" i="2"/>
  <c r="L61" i="2"/>
  <c r="L59" i="2"/>
  <c r="L56" i="2"/>
  <c r="L53" i="2"/>
  <c r="L50" i="2"/>
  <c r="L47" i="2"/>
  <c r="L44" i="2"/>
  <c r="L34" i="2"/>
  <c r="L32" i="2"/>
  <c r="L20" i="2"/>
  <c r="L10" i="2"/>
  <c r="L8" i="2"/>
  <c r="L6" i="2"/>
  <c r="K630" i="2"/>
  <c r="K626" i="2"/>
  <c r="K623" i="2"/>
  <c r="K620" i="2"/>
  <c r="K618" i="2"/>
  <c r="K616" i="2"/>
  <c r="K613" i="2"/>
  <c r="K585" i="2"/>
  <c r="K583" i="2"/>
  <c r="K581" i="2"/>
  <c r="K579" i="2"/>
  <c r="K577" i="2"/>
  <c r="K575" i="2"/>
  <c r="K573" i="2"/>
  <c r="K571" i="2"/>
  <c r="K610" i="2"/>
  <c r="K608" i="2"/>
  <c r="K591" i="2"/>
  <c r="K589" i="2"/>
  <c r="K587" i="2"/>
  <c r="K569" i="2"/>
  <c r="K565" i="2"/>
  <c r="K562" i="2"/>
  <c r="K559" i="2"/>
  <c r="K557" i="2"/>
  <c r="K555" i="2"/>
  <c r="K552" i="2"/>
  <c r="K546" i="2"/>
  <c r="K517" i="2"/>
  <c r="K515" i="2"/>
  <c r="K513" i="2"/>
  <c r="K511" i="2"/>
  <c r="K509" i="2"/>
  <c r="K507" i="2"/>
  <c r="K505" i="2"/>
  <c r="K503" i="2"/>
  <c r="K542" i="2"/>
  <c r="K540" i="2"/>
  <c r="K523" i="2"/>
  <c r="K521" i="2"/>
  <c r="K519" i="2"/>
  <c r="K501" i="2"/>
  <c r="K497" i="2"/>
  <c r="K494" i="2"/>
  <c r="K491" i="2"/>
  <c r="K489" i="2"/>
  <c r="K487" i="2"/>
  <c r="K484" i="2"/>
  <c r="K476" i="2"/>
  <c r="K447" i="2"/>
  <c r="K445" i="2"/>
  <c r="K443" i="2"/>
  <c r="K441" i="2"/>
  <c r="K439" i="2"/>
  <c r="K437" i="2"/>
  <c r="K435" i="2"/>
  <c r="K433" i="2"/>
  <c r="K472" i="2"/>
  <c r="K470" i="2"/>
  <c r="K453" i="2"/>
  <c r="K451" i="2"/>
  <c r="K449" i="2"/>
  <c r="K431" i="2"/>
  <c r="K427" i="2"/>
  <c r="K424" i="2"/>
  <c r="K421" i="2"/>
  <c r="K419" i="2"/>
  <c r="K417" i="2"/>
  <c r="K414" i="2"/>
  <c r="K408" i="2"/>
  <c r="K394" i="2"/>
  <c r="K392" i="2"/>
  <c r="K390" i="2"/>
  <c r="K388" i="2"/>
  <c r="K386" i="2"/>
  <c r="K384" i="2"/>
  <c r="K382" i="2"/>
  <c r="K380" i="2"/>
  <c r="K404" i="2"/>
  <c r="K402" i="2"/>
  <c r="K400" i="2"/>
  <c r="K398" i="2"/>
  <c r="K396" i="2"/>
  <c r="K378" i="2"/>
  <c r="K374" i="2"/>
  <c r="K371" i="2"/>
  <c r="K368" i="2"/>
  <c r="K366" i="2"/>
  <c r="K364" i="2"/>
  <c r="K361" i="2"/>
  <c r="K355" i="2"/>
  <c r="K351" i="2"/>
  <c r="K349" i="2"/>
  <c r="K347" i="2"/>
  <c r="K345" i="2"/>
  <c r="K343" i="2"/>
  <c r="K341" i="2"/>
  <c r="K337" i="2"/>
  <c r="K334" i="2"/>
  <c r="K331" i="2"/>
  <c r="K328" i="2"/>
  <c r="K325" i="2"/>
  <c r="K323" i="2"/>
  <c r="K321" i="2"/>
  <c r="K318" i="2"/>
  <c r="K312" i="2"/>
  <c r="K303" i="2"/>
  <c r="K301" i="2"/>
  <c r="K288" i="2"/>
  <c r="K286" i="2"/>
  <c r="K284" i="2"/>
  <c r="K282" i="2"/>
  <c r="K280" i="2"/>
  <c r="K278" i="2"/>
  <c r="K276" i="2"/>
  <c r="K274" i="2"/>
  <c r="K298" i="2"/>
  <c r="K296" i="2"/>
  <c r="K294" i="2"/>
  <c r="K292" i="2"/>
  <c r="K290" i="2"/>
  <c r="K272" i="2"/>
  <c r="K265" i="2"/>
  <c r="K262" i="2"/>
  <c r="K259" i="2"/>
  <c r="K256" i="2"/>
  <c r="K254" i="2"/>
  <c r="K252" i="2"/>
  <c r="K249" i="2"/>
  <c r="K241" i="2"/>
  <c r="K237" i="2"/>
  <c r="K233" i="2"/>
  <c r="K225" i="2"/>
  <c r="K223" i="2"/>
  <c r="K199" i="2"/>
  <c r="K197" i="2"/>
  <c r="K195" i="2"/>
  <c r="K268" i="2"/>
  <c r="K184" i="2"/>
  <c r="K182" i="2"/>
  <c r="K180" i="2"/>
  <c r="K178" i="2"/>
  <c r="K176" i="2"/>
  <c r="K174" i="2"/>
  <c r="K172" i="2"/>
  <c r="K170" i="2"/>
  <c r="K192" i="2"/>
  <c r="K190" i="2"/>
  <c r="K188" i="2"/>
  <c r="K186" i="2"/>
  <c r="K168" i="2"/>
  <c r="K1789" i="2"/>
  <c r="K1786" i="2"/>
  <c r="K1781" i="2"/>
  <c r="K1779" i="2"/>
  <c r="K1760" i="2"/>
  <c r="K1758" i="2"/>
  <c r="K1756" i="2"/>
  <c r="K1750" i="2"/>
  <c r="K1748" i="2"/>
  <c r="K1745" i="2"/>
  <c r="K1743" i="2"/>
  <c r="K1741" i="2"/>
  <c r="K1739" i="2"/>
  <c r="K1736" i="2"/>
  <c r="K1723" i="2"/>
  <c r="K1719" i="2"/>
  <c r="K1714" i="2"/>
  <c r="K1711" i="2"/>
  <c r="K1701" i="2"/>
  <c r="K1699" i="2"/>
  <c r="K1687" i="2"/>
  <c r="K1676" i="2"/>
  <c r="K1674" i="2"/>
  <c r="K1672" i="2"/>
  <c r="K1669" i="2"/>
  <c r="K1665" i="2"/>
  <c r="K1663" i="2"/>
  <c r="K1661" i="2"/>
  <c r="K1658" i="2"/>
  <c r="K1655" i="2"/>
  <c r="K1653" i="2"/>
  <c r="K1651" i="2"/>
  <c r="K1649" i="2"/>
  <c r="K1646" i="2"/>
  <c r="K1643" i="2"/>
  <c r="K1640" i="2"/>
  <c r="K1636" i="2"/>
  <c r="K1616" i="2"/>
  <c r="K1614" i="2"/>
  <c r="K1612" i="2"/>
  <c r="K1610" i="2"/>
  <c r="K1608" i="2"/>
  <c r="K1606" i="2"/>
  <c r="K1604" i="2"/>
  <c r="K1602" i="2"/>
  <c r="K1632" i="2"/>
  <c r="K1630" i="2"/>
  <c r="K1628" i="2"/>
  <c r="K1626" i="2"/>
  <c r="K1624" i="2"/>
  <c r="K1622" i="2"/>
  <c r="K1620" i="2"/>
  <c r="K1618" i="2"/>
  <c r="K1600" i="2"/>
  <c r="K1596" i="2"/>
  <c r="K1594" i="2"/>
  <c r="K1592" i="2"/>
  <c r="K1589" i="2"/>
  <c r="K1586" i="2"/>
  <c r="K1584" i="2"/>
  <c r="K1582" i="2"/>
  <c r="K1580" i="2"/>
  <c r="K1577" i="2"/>
  <c r="K1574" i="2"/>
  <c r="K1571" i="2"/>
  <c r="K1563" i="2"/>
  <c r="K1534" i="2"/>
  <c r="K1532" i="2"/>
  <c r="K1530" i="2"/>
  <c r="K1528" i="2"/>
  <c r="K1526" i="2"/>
  <c r="K1524" i="2"/>
  <c r="K1522" i="2"/>
  <c r="K1520" i="2"/>
  <c r="K1559" i="2"/>
  <c r="K1557" i="2"/>
  <c r="K1540" i="2"/>
  <c r="K1538" i="2"/>
  <c r="K1536" i="2"/>
  <c r="K1518" i="2"/>
  <c r="K1511" i="2"/>
  <c r="K1507" i="2"/>
  <c r="K1505" i="2"/>
  <c r="K1503" i="2"/>
  <c r="K1501" i="2"/>
  <c r="K1498" i="2"/>
  <c r="K1470" i="2"/>
  <c r="K1468" i="2"/>
  <c r="K1466" i="2"/>
  <c r="K1464" i="2"/>
  <c r="K1462" i="2"/>
  <c r="K1460" i="2"/>
  <c r="K1458" i="2"/>
  <c r="K1456" i="2"/>
  <c r="K1495" i="2"/>
  <c r="K1493" i="2"/>
  <c r="K1476" i="2"/>
  <c r="K1474" i="2"/>
  <c r="K1472" i="2"/>
  <c r="K1454" i="2"/>
  <c r="K1428" i="2"/>
  <c r="K1425" i="2"/>
  <c r="K1417" i="2"/>
  <c r="K1397" i="2"/>
  <c r="K1395" i="2"/>
  <c r="K1393" i="2"/>
  <c r="K1388" i="2"/>
  <c r="K1386" i="2"/>
  <c r="K1380" i="2"/>
  <c r="K1378" i="2"/>
  <c r="K1375" i="2"/>
  <c r="K1373" i="2"/>
  <c r="K1370" i="2"/>
  <c r="K1357" i="2"/>
  <c r="K1353" i="2"/>
  <c r="K1450" i="2"/>
  <c r="K1448" i="2"/>
  <c r="K1446" i="2"/>
  <c r="K1443" i="2"/>
  <c r="K1440" i="2"/>
  <c r="K1438" i="2"/>
  <c r="K1436" i="2"/>
  <c r="K1434" i="2"/>
  <c r="K1431" i="2"/>
  <c r="K1349" i="2"/>
  <c r="K1347" i="2"/>
  <c r="K1345" i="2"/>
  <c r="K1343" i="2"/>
  <c r="K1341" i="2"/>
  <c r="K1339" i="2"/>
  <c r="K1337" i="2"/>
  <c r="K1333" i="2"/>
  <c r="K1330" i="2"/>
  <c r="K1327" i="2"/>
  <c r="K1325" i="2"/>
  <c r="K1323" i="2"/>
  <c r="K1320" i="2"/>
  <c r="K1315" i="2"/>
  <c r="K1310" i="2"/>
  <c r="K1284" i="2"/>
  <c r="K1282" i="2"/>
  <c r="K1277" i="2"/>
  <c r="K1275" i="2"/>
  <c r="K1273" i="2"/>
  <c r="K1271" i="2"/>
  <c r="K1269" i="2"/>
  <c r="K1267" i="2"/>
  <c r="K1306" i="2"/>
  <c r="K1302" i="2"/>
  <c r="K1294" i="2"/>
  <c r="K1292" i="2"/>
  <c r="K1290" i="2"/>
  <c r="K1288" i="2"/>
  <c r="K1286" i="2"/>
  <c r="K1265" i="2"/>
  <c r="K161" i="2"/>
  <c r="K158" i="2"/>
  <c r="K156" i="2"/>
  <c r="K154" i="2"/>
  <c r="K151" i="2"/>
  <c r="K146" i="2"/>
  <c r="K141" i="2"/>
  <c r="K137" i="2"/>
  <c r="K127" i="2"/>
  <c r="K125" i="2"/>
  <c r="K122" i="2"/>
  <c r="K119" i="2"/>
  <c r="K107" i="2"/>
  <c r="K96" i="2"/>
  <c r="K94" i="2"/>
  <c r="K92" i="2"/>
  <c r="K164" i="2"/>
  <c r="K83" i="2"/>
  <c r="K81" i="2"/>
  <c r="K79" i="2"/>
  <c r="K77" i="2"/>
  <c r="K75" i="2"/>
  <c r="K73" i="2"/>
  <c r="K71" i="2"/>
  <c r="K69" i="2"/>
  <c r="K88" i="2"/>
  <c r="K85" i="2"/>
  <c r="K67" i="2"/>
  <c r="K1261" i="2"/>
  <c r="K1258" i="2"/>
  <c r="K1255" i="2"/>
  <c r="K1253" i="2"/>
  <c r="K1251" i="2"/>
  <c r="K1248" i="2"/>
  <c r="K1243" i="2"/>
  <c r="K1238" i="2"/>
  <c r="K1212" i="2"/>
  <c r="K1210" i="2"/>
  <c r="K1205" i="2"/>
  <c r="K1203" i="2"/>
  <c r="K1201" i="2"/>
  <c r="K1199" i="2"/>
  <c r="K1197" i="2"/>
  <c r="K1195" i="2"/>
  <c r="K1234" i="2"/>
  <c r="K1230" i="2"/>
  <c r="K1222" i="2"/>
  <c r="K1220" i="2"/>
  <c r="K1218" i="2"/>
  <c r="K1216" i="2"/>
  <c r="K1214" i="2"/>
  <c r="K1193" i="2"/>
  <c r="K1189" i="2"/>
  <c r="K1186" i="2"/>
  <c r="K1183" i="2"/>
  <c r="K1181" i="2"/>
  <c r="K1179" i="2"/>
  <c r="K1176" i="2"/>
  <c r="K1171" i="2"/>
  <c r="K1166" i="2"/>
  <c r="K1140" i="2"/>
  <c r="K1138" i="2"/>
  <c r="K1133" i="2"/>
  <c r="K1131" i="2"/>
  <c r="K1129" i="2"/>
  <c r="K1127" i="2"/>
  <c r="K1125" i="2"/>
  <c r="K1123" i="2"/>
  <c r="K1162" i="2"/>
  <c r="K1158" i="2"/>
  <c r="K1150" i="2"/>
  <c r="K1148" i="2"/>
  <c r="K1146" i="2"/>
  <c r="K1144" i="2"/>
  <c r="K1142" i="2"/>
  <c r="K1121" i="2"/>
  <c r="K1117" i="2"/>
  <c r="K1114" i="2"/>
  <c r="K1111" i="2"/>
  <c r="K1109" i="2"/>
  <c r="K1107" i="2"/>
  <c r="K1104" i="2"/>
  <c r="K1099" i="2"/>
  <c r="K1094" i="2"/>
  <c r="K1066" i="2"/>
  <c r="K1064" i="2"/>
  <c r="K1059" i="2"/>
  <c r="K1057" i="2"/>
  <c r="K1055" i="2"/>
  <c r="K1053" i="2"/>
  <c r="K1051" i="2"/>
  <c r="K1049" i="2"/>
  <c r="K1090" i="2"/>
  <c r="K1086" i="2"/>
  <c r="K1078" i="2"/>
  <c r="K1076" i="2"/>
  <c r="K1074" i="2"/>
  <c r="K1072" i="2"/>
  <c r="K1070" i="2"/>
  <c r="K1068" i="2"/>
  <c r="K1047" i="2"/>
  <c r="K1043" i="2"/>
  <c r="K1041" i="2"/>
  <c r="K1039" i="2"/>
  <c r="K1037" i="2"/>
  <c r="K1034" i="2"/>
  <c r="K1029" i="2"/>
  <c r="K1024" i="2"/>
  <c r="K1000" i="2"/>
  <c r="K998" i="2"/>
  <c r="K996" i="2"/>
  <c r="K994" i="2"/>
  <c r="K992" i="2"/>
  <c r="K990" i="2"/>
  <c r="K988" i="2"/>
  <c r="K986" i="2"/>
  <c r="K1019" i="2"/>
  <c r="K1016" i="2"/>
  <c r="K1014" i="2"/>
  <c r="K1012" i="2"/>
  <c r="K1010" i="2"/>
  <c r="K1008" i="2"/>
  <c r="K1006" i="2"/>
  <c r="K1004" i="2"/>
  <c r="K1002" i="2"/>
  <c r="K984" i="2"/>
  <c r="K980" i="2"/>
  <c r="K977" i="2"/>
  <c r="K974" i="2"/>
  <c r="K972" i="2"/>
  <c r="K970" i="2"/>
  <c r="K967" i="2"/>
  <c r="K962" i="2"/>
  <c r="K957" i="2"/>
  <c r="K945" i="2"/>
  <c r="K943" i="2"/>
  <c r="K941" i="2"/>
  <c r="K939" i="2"/>
  <c r="K937" i="2"/>
  <c r="K935" i="2"/>
  <c r="K933" i="2"/>
  <c r="K931" i="2"/>
  <c r="K952" i="2"/>
  <c r="K949" i="2"/>
  <c r="K947" i="2"/>
  <c r="K929" i="2"/>
  <c r="K925" i="2"/>
  <c r="K923" i="2"/>
  <c r="K921" i="2"/>
  <c r="K919" i="2"/>
  <c r="K916" i="2"/>
  <c r="K909" i="2"/>
  <c r="K892" i="2"/>
  <c r="K890" i="2"/>
  <c r="K887" i="2"/>
  <c r="K885" i="2"/>
  <c r="K883" i="2"/>
  <c r="K881" i="2"/>
  <c r="K879" i="2"/>
  <c r="K877" i="2"/>
  <c r="K905" i="2"/>
  <c r="K903" i="2"/>
  <c r="K896" i="2"/>
  <c r="K894" i="2"/>
  <c r="K875" i="2"/>
  <c r="K871" i="2"/>
  <c r="K869" i="2"/>
  <c r="K867" i="2"/>
  <c r="K865" i="2"/>
  <c r="K862" i="2"/>
  <c r="K856" i="2"/>
  <c r="K839" i="2"/>
  <c r="K837" i="2"/>
  <c r="K834" i="2"/>
  <c r="K832" i="2"/>
  <c r="K830" i="2"/>
  <c r="K828" i="2"/>
  <c r="K826" i="2"/>
  <c r="K824" i="2"/>
  <c r="K852" i="2"/>
  <c r="K850" i="2"/>
  <c r="K843" i="2"/>
  <c r="K841" i="2"/>
  <c r="K822" i="2"/>
  <c r="K818" i="2"/>
  <c r="K815" i="2"/>
  <c r="K812" i="2"/>
  <c r="K810" i="2"/>
  <c r="K808" i="2"/>
  <c r="K805" i="2"/>
  <c r="K799" i="2"/>
  <c r="K782" i="2"/>
  <c r="K780" i="2"/>
  <c r="K777" i="2"/>
  <c r="K775" i="2"/>
  <c r="K773" i="2"/>
  <c r="K771" i="2"/>
  <c r="K769" i="2"/>
  <c r="K767" i="2"/>
  <c r="K795" i="2"/>
  <c r="K793" i="2"/>
  <c r="K786" i="2"/>
  <c r="K784" i="2"/>
  <c r="K765" i="2"/>
  <c r="K761" i="2"/>
  <c r="K758" i="2"/>
  <c r="K755" i="2"/>
  <c r="K753" i="2"/>
  <c r="K751" i="2"/>
  <c r="K748" i="2"/>
  <c r="K742" i="2"/>
  <c r="K725" i="2"/>
  <c r="K723" i="2"/>
  <c r="K720" i="2"/>
  <c r="K718" i="2"/>
  <c r="K716" i="2"/>
  <c r="K714" i="2"/>
  <c r="K712" i="2"/>
  <c r="K710" i="2"/>
  <c r="K738" i="2"/>
  <c r="K736" i="2"/>
  <c r="K729" i="2"/>
  <c r="K727" i="2"/>
  <c r="K708" i="2"/>
  <c r="K704" i="2"/>
  <c r="K701" i="2"/>
  <c r="K698" i="2"/>
  <c r="K696" i="2"/>
  <c r="K694" i="2"/>
  <c r="K691" i="2"/>
  <c r="K684" i="2"/>
  <c r="K655" i="2"/>
  <c r="K653" i="2"/>
  <c r="K651" i="2"/>
  <c r="K649" i="2"/>
  <c r="K647" i="2"/>
  <c r="K645" i="2"/>
  <c r="K643" i="2"/>
  <c r="K641" i="2"/>
  <c r="K680" i="2"/>
  <c r="K678" i="2"/>
  <c r="K661" i="2"/>
  <c r="K659" i="2"/>
  <c r="K657" i="2"/>
  <c r="K639" i="2"/>
  <c r="K63" i="2"/>
  <c r="K61" i="2"/>
  <c r="K59" i="2"/>
  <c r="K56" i="2"/>
  <c r="K53" i="2"/>
  <c r="K50" i="2"/>
  <c r="K47" i="2"/>
  <c r="K44" i="2"/>
  <c r="K34" i="2"/>
  <c r="K32" i="2"/>
  <c r="K20" i="2"/>
  <c r="K10" i="2"/>
  <c r="K8" i="2"/>
  <c r="K6" i="2"/>
  <c r="M630" i="2"/>
  <c r="M626" i="2"/>
  <c r="M623" i="2"/>
  <c r="M620" i="2"/>
  <c r="M618" i="2"/>
  <c r="M616" i="2"/>
  <c r="M613" i="2"/>
  <c r="M585" i="2"/>
  <c r="M583" i="2"/>
  <c r="M581" i="2"/>
  <c r="M579" i="2"/>
  <c r="M577" i="2"/>
  <c r="M575" i="2"/>
  <c r="M573" i="2"/>
  <c r="M571" i="2"/>
  <c r="M610" i="2"/>
  <c r="M608" i="2"/>
  <c r="M591" i="2"/>
  <c r="M589" i="2"/>
  <c r="M587" i="2"/>
  <c r="M569" i="2"/>
  <c r="M565" i="2"/>
  <c r="M562" i="2"/>
  <c r="M559" i="2"/>
  <c r="M557" i="2"/>
  <c r="M555" i="2"/>
  <c r="M552" i="2"/>
  <c r="M546" i="2"/>
  <c r="M517" i="2"/>
  <c r="M515" i="2"/>
  <c r="M513" i="2"/>
  <c r="M511" i="2"/>
  <c r="M509" i="2"/>
  <c r="M507" i="2"/>
  <c r="M505" i="2"/>
  <c r="M503" i="2"/>
  <c r="M542" i="2"/>
  <c r="M540" i="2"/>
  <c r="M523" i="2"/>
  <c r="M521" i="2"/>
  <c r="M519" i="2"/>
  <c r="M501" i="2"/>
  <c r="M497" i="2"/>
  <c r="M494" i="2"/>
  <c r="M491" i="2"/>
  <c r="M489" i="2"/>
  <c r="M487" i="2"/>
  <c r="M484" i="2"/>
  <c r="M476" i="2"/>
  <c r="M447" i="2"/>
  <c r="M445" i="2"/>
  <c r="M443" i="2"/>
  <c r="M441" i="2"/>
  <c r="M439" i="2"/>
  <c r="M437" i="2"/>
  <c r="M435" i="2"/>
  <c r="M433" i="2"/>
  <c r="M472" i="2"/>
  <c r="M470" i="2"/>
  <c r="M453" i="2"/>
  <c r="M451" i="2"/>
  <c r="M449" i="2"/>
  <c r="M431" i="2"/>
  <c r="M427" i="2"/>
  <c r="M424" i="2"/>
  <c r="M421" i="2"/>
  <c r="M419" i="2"/>
  <c r="M417" i="2"/>
  <c r="M414" i="2"/>
  <c r="M408" i="2"/>
  <c r="M394" i="2"/>
  <c r="M392" i="2"/>
  <c r="M390" i="2"/>
  <c r="M388" i="2"/>
  <c r="M386" i="2"/>
  <c r="M384" i="2"/>
  <c r="M382" i="2"/>
  <c r="M380" i="2"/>
  <c r="M404" i="2"/>
  <c r="M402" i="2"/>
  <c r="M400" i="2"/>
  <c r="M398" i="2"/>
  <c r="M396" i="2"/>
  <c r="M378" i="2"/>
  <c r="M374" i="2"/>
  <c r="M371" i="2"/>
  <c r="M368" i="2"/>
  <c r="M366" i="2"/>
  <c r="M364" i="2"/>
  <c r="M361" i="2"/>
  <c r="M355" i="2"/>
  <c r="M351" i="2"/>
  <c r="M349" i="2"/>
  <c r="M347" i="2"/>
  <c r="M345" i="2"/>
  <c r="M343" i="2"/>
  <c r="M341" i="2"/>
  <c r="M337" i="2"/>
  <c r="M334" i="2"/>
  <c r="M331" i="2"/>
  <c r="M328" i="2"/>
  <c r="M325" i="2"/>
  <c r="M323" i="2"/>
  <c r="M321" i="2"/>
  <c r="M318" i="2"/>
  <c r="M312" i="2"/>
  <c r="M303" i="2"/>
  <c r="M301" i="2"/>
  <c r="M288" i="2"/>
  <c r="M286" i="2"/>
  <c r="M284" i="2"/>
  <c r="M282" i="2"/>
  <c r="M280" i="2"/>
  <c r="M278" i="2"/>
  <c r="M276" i="2"/>
  <c r="M274" i="2"/>
  <c r="M298" i="2"/>
  <c r="M296" i="2"/>
  <c r="M294" i="2"/>
  <c r="M292" i="2"/>
  <c r="M290" i="2"/>
  <c r="M272" i="2"/>
  <c r="M265" i="2"/>
  <c r="M262" i="2"/>
  <c r="M259" i="2"/>
  <c r="M256" i="2"/>
  <c r="M254" i="2"/>
  <c r="M252" i="2"/>
  <c r="M249" i="2"/>
  <c r="M241" i="2"/>
  <c r="M237" i="2"/>
  <c r="M233" i="2"/>
  <c r="M225" i="2"/>
  <c r="M223" i="2"/>
  <c r="M199" i="2"/>
  <c r="M197" i="2"/>
  <c r="M195" i="2"/>
  <c r="M268" i="2"/>
  <c r="M184" i="2"/>
  <c r="M182" i="2"/>
  <c r="M180" i="2"/>
  <c r="M178" i="2"/>
  <c r="M176" i="2"/>
  <c r="M174" i="2"/>
  <c r="M172" i="2"/>
  <c r="M170" i="2"/>
  <c r="M192" i="2"/>
  <c r="M190" i="2"/>
  <c r="M188" i="2"/>
  <c r="M186" i="2"/>
  <c r="M168" i="2"/>
  <c r="M1789" i="2"/>
  <c r="M1786" i="2"/>
  <c r="M1781" i="2"/>
  <c r="M1779" i="2"/>
  <c r="M1760" i="2"/>
  <c r="M1758" i="2"/>
  <c r="M1756" i="2"/>
  <c r="M1750" i="2"/>
  <c r="M1748" i="2"/>
  <c r="M1745" i="2"/>
  <c r="M1743" i="2"/>
  <c r="M1741" i="2"/>
  <c r="M1739" i="2"/>
  <c r="M1736" i="2"/>
  <c r="M1723" i="2"/>
  <c r="M1719" i="2"/>
  <c r="M1714" i="2"/>
  <c r="M1711" i="2"/>
  <c r="M1701" i="2"/>
  <c r="M1699" i="2"/>
  <c r="M1687" i="2"/>
  <c r="M1676" i="2"/>
  <c r="M1674" i="2"/>
  <c r="M1672" i="2"/>
  <c r="M1669" i="2"/>
  <c r="M1665" i="2"/>
  <c r="M1663" i="2"/>
  <c r="M1661" i="2"/>
  <c r="M1658" i="2"/>
  <c r="M1655" i="2"/>
  <c r="M1653" i="2"/>
  <c r="M1651" i="2"/>
  <c r="M1649" i="2"/>
  <c r="M1646" i="2"/>
  <c r="M1643" i="2"/>
  <c r="M1640" i="2"/>
  <c r="M1636" i="2"/>
  <c r="M1616" i="2"/>
  <c r="M1614" i="2"/>
  <c r="M1612" i="2"/>
  <c r="M1610" i="2"/>
  <c r="M1608" i="2"/>
  <c r="M1606" i="2"/>
  <c r="M1604" i="2"/>
  <c r="M1602" i="2"/>
  <c r="M1632" i="2"/>
  <c r="M1630" i="2"/>
  <c r="M1628" i="2"/>
  <c r="M1626" i="2"/>
  <c r="M1624" i="2"/>
  <c r="M1622" i="2"/>
  <c r="M1620" i="2"/>
  <c r="M1618" i="2"/>
  <c r="M1600" i="2"/>
  <c r="M1596" i="2"/>
  <c r="M1594" i="2"/>
  <c r="M1592" i="2"/>
  <c r="M1589" i="2"/>
  <c r="M1586" i="2"/>
  <c r="M1584" i="2"/>
  <c r="M1582" i="2"/>
  <c r="M1580" i="2"/>
  <c r="M1577" i="2"/>
  <c r="M1574" i="2"/>
  <c r="M1571" i="2"/>
  <c r="M1563" i="2"/>
  <c r="M1534" i="2"/>
  <c r="M1532" i="2"/>
  <c r="M1530" i="2"/>
  <c r="M1528" i="2"/>
  <c r="M1526" i="2"/>
  <c r="M1524" i="2"/>
  <c r="M1522" i="2"/>
  <c r="M1520" i="2"/>
  <c r="M1559" i="2"/>
  <c r="M1557" i="2"/>
  <c r="M1540" i="2"/>
  <c r="M1538" i="2"/>
  <c r="M1536" i="2"/>
  <c r="M1518" i="2"/>
  <c r="M1511" i="2"/>
  <c r="M1507" i="2"/>
  <c r="M1505" i="2"/>
  <c r="M1503" i="2"/>
  <c r="M1501" i="2"/>
  <c r="M1498" i="2"/>
  <c r="M1470" i="2"/>
  <c r="M1468" i="2"/>
  <c r="M1466" i="2"/>
  <c r="M1464" i="2"/>
  <c r="M1462" i="2"/>
  <c r="M1460" i="2"/>
  <c r="M1458" i="2"/>
  <c r="M1456" i="2"/>
  <c r="M1495" i="2"/>
  <c r="M1493" i="2"/>
  <c r="M1476" i="2"/>
  <c r="M1474" i="2"/>
  <c r="M1472" i="2"/>
  <c r="M1454" i="2"/>
  <c r="M1428" i="2"/>
  <c r="M1425" i="2"/>
  <c r="M1417" i="2"/>
  <c r="M1397" i="2"/>
  <c r="M1395" i="2"/>
  <c r="M1393" i="2"/>
  <c r="M1388" i="2"/>
  <c r="M1386" i="2"/>
  <c r="M1380" i="2"/>
  <c r="M1378" i="2"/>
  <c r="M1375" i="2"/>
  <c r="M1373" i="2"/>
  <c r="M1370" i="2"/>
  <c r="M1357" i="2"/>
  <c r="M1353" i="2"/>
  <c r="M1450" i="2"/>
  <c r="M1448" i="2"/>
  <c r="M1446" i="2"/>
  <c r="M1443" i="2"/>
  <c r="M1440" i="2"/>
  <c r="M1438" i="2"/>
  <c r="M1436" i="2"/>
  <c r="M1434" i="2"/>
  <c r="M1431" i="2"/>
  <c r="M1349" i="2"/>
  <c r="M1347" i="2"/>
  <c r="M1345" i="2"/>
  <c r="M1343" i="2"/>
  <c r="M1341" i="2"/>
  <c r="M1339" i="2"/>
  <c r="M1337" i="2"/>
  <c r="M1333" i="2"/>
  <c r="M1330" i="2"/>
  <c r="M1327" i="2"/>
  <c r="M1325" i="2"/>
  <c r="M1323" i="2"/>
  <c r="M1320" i="2"/>
  <c r="M1315" i="2"/>
  <c r="M1310" i="2"/>
  <c r="M1284" i="2"/>
  <c r="M1282" i="2"/>
  <c r="M1277" i="2"/>
  <c r="M1275" i="2"/>
  <c r="M1273" i="2"/>
  <c r="M1271" i="2"/>
  <c r="M1269" i="2"/>
  <c r="M1267" i="2"/>
  <c r="M1306" i="2"/>
  <c r="M1302" i="2"/>
  <c r="M1294" i="2"/>
  <c r="M1292" i="2"/>
  <c r="M1290" i="2"/>
  <c r="M1288" i="2"/>
  <c r="M1286" i="2"/>
  <c r="M1265" i="2"/>
  <c r="M161" i="2"/>
  <c r="M158" i="2"/>
  <c r="M156" i="2"/>
  <c r="M154" i="2"/>
  <c r="M151" i="2"/>
  <c r="M146" i="2"/>
  <c r="M141" i="2"/>
  <c r="M137" i="2"/>
  <c r="M127" i="2"/>
  <c r="M125" i="2"/>
  <c r="M122" i="2"/>
  <c r="M119" i="2"/>
  <c r="M107" i="2"/>
  <c r="M96" i="2"/>
  <c r="M94" i="2"/>
  <c r="M92" i="2"/>
  <c r="M164" i="2"/>
  <c r="M83" i="2"/>
  <c r="M81" i="2"/>
  <c r="M79" i="2"/>
  <c r="M77" i="2"/>
  <c r="M75" i="2"/>
  <c r="M73" i="2"/>
  <c r="M71" i="2"/>
  <c r="M69" i="2"/>
  <c r="M88" i="2"/>
  <c r="M85" i="2"/>
  <c r="M67" i="2"/>
  <c r="M1261" i="2"/>
  <c r="M1258" i="2"/>
  <c r="M1255" i="2"/>
  <c r="M1253" i="2"/>
  <c r="M1251" i="2"/>
  <c r="M1248" i="2"/>
  <c r="M1243" i="2"/>
  <c r="M1238" i="2"/>
  <c r="M1212" i="2"/>
  <c r="M1210" i="2"/>
  <c r="M1205" i="2"/>
  <c r="M1203" i="2"/>
  <c r="M1201" i="2"/>
  <c r="M1199" i="2"/>
  <c r="M1197" i="2"/>
  <c r="M1195" i="2"/>
  <c r="M1234" i="2"/>
  <c r="M1230" i="2"/>
  <c r="M1222" i="2"/>
  <c r="M1220" i="2"/>
  <c r="M1218" i="2"/>
  <c r="M1216" i="2"/>
  <c r="M1214" i="2"/>
  <c r="M1193" i="2"/>
  <c r="M1189" i="2"/>
  <c r="M1186" i="2"/>
  <c r="M1183" i="2"/>
  <c r="M1181" i="2"/>
  <c r="M1179" i="2"/>
  <c r="M1176" i="2"/>
  <c r="M1171" i="2"/>
  <c r="M1166" i="2"/>
  <c r="M1140" i="2"/>
  <c r="M1138" i="2"/>
  <c r="M1133" i="2"/>
  <c r="M1131" i="2"/>
  <c r="M1129" i="2"/>
  <c r="M1127" i="2"/>
  <c r="M1125" i="2"/>
  <c r="M1123" i="2"/>
  <c r="M1162" i="2"/>
  <c r="M1158" i="2"/>
  <c r="M1150" i="2"/>
  <c r="M1148" i="2"/>
  <c r="M1146" i="2"/>
  <c r="M1144" i="2"/>
  <c r="M1142" i="2"/>
  <c r="M1121" i="2"/>
  <c r="M1117" i="2"/>
  <c r="M1114" i="2"/>
  <c r="M1111" i="2"/>
  <c r="M1109" i="2"/>
  <c r="M1107" i="2"/>
  <c r="M1104" i="2"/>
  <c r="M1099" i="2"/>
  <c r="M1094" i="2"/>
  <c r="M1066" i="2"/>
  <c r="M1064" i="2"/>
  <c r="M1059" i="2"/>
  <c r="M1057" i="2"/>
  <c r="M1055" i="2"/>
  <c r="M1053" i="2"/>
  <c r="M1051" i="2"/>
  <c r="M1049" i="2"/>
  <c r="M1090" i="2"/>
  <c r="M1086" i="2"/>
  <c r="M1078" i="2"/>
  <c r="M1076" i="2"/>
  <c r="M1074" i="2"/>
  <c r="M1072" i="2"/>
  <c r="M1070" i="2"/>
  <c r="M1068" i="2"/>
  <c r="M1047" i="2"/>
  <c r="M1043" i="2"/>
  <c r="M1041" i="2"/>
  <c r="M1039" i="2"/>
  <c r="M1037" i="2"/>
  <c r="M1034" i="2"/>
  <c r="M1029" i="2"/>
  <c r="M1024" i="2"/>
  <c r="M1000" i="2"/>
  <c r="M998" i="2"/>
  <c r="M996" i="2"/>
  <c r="M994" i="2"/>
  <c r="M992" i="2"/>
  <c r="M990" i="2"/>
  <c r="M988" i="2"/>
  <c r="M986" i="2"/>
  <c r="M1019" i="2"/>
  <c r="M1016" i="2"/>
  <c r="M1014" i="2"/>
  <c r="M1012" i="2"/>
  <c r="M1010" i="2"/>
  <c r="M1008" i="2"/>
  <c r="M1006" i="2"/>
  <c r="M1004" i="2"/>
  <c r="M1002" i="2"/>
  <c r="M984" i="2"/>
  <c r="M980" i="2"/>
  <c r="M977" i="2"/>
  <c r="M974" i="2"/>
  <c r="M972" i="2"/>
  <c r="M970" i="2"/>
  <c r="M967" i="2"/>
  <c r="M962" i="2"/>
  <c r="M957" i="2"/>
  <c r="M945" i="2"/>
  <c r="M943" i="2"/>
  <c r="M941" i="2"/>
  <c r="M939" i="2"/>
  <c r="M937" i="2"/>
  <c r="M935" i="2"/>
  <c r="M933" i="2"/>
  <c r="M931" i="2"/>
  <c r="M952" i="2"/>
  <c r="M949" i="2"/>
  <c r="M947" i="2"/>
  <c r="M929" i="2"/>
  <c r="M925" i="2"/>
  <c r="M923" i="2"/>
  <c r="M921" i="2"/>
  <c r="M919" i="2"/>
  <c r="M916" i="2"/>
  <c r="M909" i="2"/>
  <c r="M892" i="2"/>
  <c r="M890" i="2"/>
  <c r="M887" i="2"/>
  <c r="M885" i="2"/>
  <c r="M883" i="2"/>
  <c r="M881" i="2"/>
  <c r="M879" i="2"/>
  <c r="M877" i="2"/>
  <c r="M905" i="2"/>
  <c r="M903" i="2"/>
  <c r="M896" i="2"/>
  <c r="M894" i="2"/>
  <c r="M875" i="2"/>
  <c r="M871" i="2"/>
  <c r="M869" i="2"/>
  <c r="M867" i="2"/>
  <c r="M865" i="2"/>
  <c r="M862" i="2"/>
  <c r="M856" i="2"/>
  <c r="M839" i="2"/>
  <c r="M837" i="2"/>
  <c r="M834" i="2"/>
  <c r="M832" i="2"/>
  <c r="M830" i="2"/>
  <c r="M828" i="2"/>
  <c r="M826" i="2"/>
  <c r="M824" i="2"/>
  <c r="M852" i="2"/>
  <c r="M850" i="2"/>
  <c r="M843" i="2"/>
  <c r="M841" i="2"/>
  <c r="M822" i="2"/>
  <c r="M818" i="2"/>
  <c r="M815" i="2"/>
  <c r="M812" i="2"/>
  <c r="M810" i="2"/>
  <c r="M808" i="2"/>
  <c r="M805" i="2"/>
  <c r="M799" i="2"/>
  <c r="M782" i="2"/>
  <c r="M780" i="2"/>
  <c r="M777" i="2"/>
  <c r="M775" i="2"/>
  <c r="M773" i="2"/>
  <c r="M771" i="2"/>
  <c r="M769" i="2"/>
  <c r="M767" i="2"/>
  <c r="M795" i="2"/>
  <c r="M793" i="2"/>
  <c r="M786" i="2"/>
  <c r="M784" i="2"/>
  <c r="M765" i="2"/>
  <c r="M761" i="2"/>
  <c r="M758" i="2"/>
  <c r="M755" i="2"/>
  <c r="M753" i="2"/>
  <c r="M751" i="2"/>
  <c r="M748" i="2"/>
  <c r="M742" i="2"/>
  <c r="M725" i="2"/>
  <c r="M723" i="2"/>
  <c r="M720" i="2"/>
  <c r="M718" i="2"/>
  <c r="M716" i="2"/>
  <c r="M714" i="2"/>
  <c r="M712" i="2"/>
  <c r="M710" i="2"/>
  <c r="M738" i="2"/>
  <c r="M736" i="2"/>
  <c r="M729" i="2"/>
  <c r="M727" i="2"/>
  <c r="M708" i="2"/>
  <c r="M704" i="2"/>
  <c r="M701" i="2"/>
  <c r="M698" i="2"/>
  <c r="M696" i="2"/>
  <c r="M694" i="2"/>
  <c r="M691" i="2"/>
  <c r="M684" i="2"/>
  <c r="M655" i="2"/>
  <c r="M653" i="2"/>
  <c r="M651" i="2"/>
  <c r="M649" i="2"/>
  <c r="M647" i="2"/>
  <c r="M645" i="2"/>
  <c r="M643" i="2"/>
  <c r="M641" i="2"/>
  <c r="M680" i="2"/>
  <c r="M678" i="2"/>
  <c r="M661" i="2"/>
  <c r="M659" i="2"/>
  <c r="M657" i="2"/>
  <c r="M639" i="2"/>
  <c r="M63" i="2"/>
  <c r="M61" i="2"/>
  <c r="M59" i="2"/>
  <c r="M56" i="2"/>
  <c r="M53" i="2"/>
  <c r="M50" i="2"/>
  <c r="M47" i="2"/>
  <c r="M44" i="2"/>
  <c r="M34" i="2"/>
  <c r="M32" i="2"/>
  <c r="M20" i="2"/>
  <c r="M10" i="2"/>
  <c r="M8" i="2"/>
  <c r="M6" i="2"/>
  <c r="J630" i="2"/>
  <c r="J626" i="2"/>
  <c r="J623" i="2"/>
  <c r="J620" i="2"/>
  <c r="J618" i="2"/>
  <c r="J616" i="2"/>
  <c r="J613" i="2"/>
  <c r="J585" i="2"/>
  <c r="J583" i="2"/>
  <c r="J581" i="2"/>
  <c r="J579" i="2"/>
  <c r="J577" i="2"/>
  <c r="J575" i="2"/>
  <c r="J573" i="2"/>
  <c r="J571" i="2"/>
  <c r="J610" i="2"/>
  <c r="J608" i="2"/>
  <c r="J591" i="2"/>
  <c r="J589" i="2"/>
  <c r="J587" i="2"/>
  <c r="J569" i="2"/>
  <c r="J565" i="2"/>
  <c r="J562" i="2"/>
  <c r="J559" i="2"/>
  <c r="J557" i="2"/>
  <c r="J555" i="2"/>
  <c r="J552" i="2"/>
  <c r="J546" i="2"/>
  <c r="J517" i="2"/>
  <c r="J515" i="2"/>
  <c r="J513" i="2"/>
  <c r="J511" i="2"/>
  <c r="J509" i="2"/>
  <c r="J507" i="2"/>
  <c r="J505" i="2"/>
  <c r="J503" i="2"/>
  <c r="J542" i="2"/>
  <c r="J540" i="2"/>
  <c r="J523" i="2"/>
  <c r="J521" i="2"/>
  <c r="J519" i="2"/>
  <c r="J501" i="2"/>
  <c r="J497" i="2"/>
  <c r="J494" i="2"/>
  <c r="J491" i="2"/>
  <c r="J489" i="2"/>
  <c r="J487" i="2"/>
  <c r="J484" i="2"/>
  <c r="J476" i="2"/>
  <c r="J447" i="2"/>
  <c r="J445" i="2"/>
  <c r="J443" i="2"/>
  <c r="J441" i="2"/>
  <c r="J439" i="2"/>
  <c r="J437" i="2"/>
  <c r="J435" i="2"/>
  <c r="J433" i="2"/>
  <c r="J472" i="2"/>
  <c r="J470" i="2"/>
  <c r="J453" i="2"/>
  <c r="J451" i="2"/>
  <c r="J449" i="2"/>
  <c r="J431" i="2"/>
  <c r="J427" i="2"/>
  <c r="J424" i="2"/>
  <c r="J421" i="2"/>
  <c r="J419" i="2"/>
  <c r="J417" i="2"/>
  <c r="J414" i="2"/>
  <c r="J408" i="2"/>
  <c r="J394" i="2"/>
  <c r="J392" i="2"/>
  <c r="J390" i="2"/>
  <c r="J388" i="2"/>
  <c r="J386" i="2"/>
  <c r="J384" i="2"/>
  <c r="J382" i="2"/>
  <c r="J380" i="2"/>
  <c r="J404" i="2"/>
  <c r="J402" i="2"/>
  <c r="J400" i="2"/>
  <c r="J398" i="2"/>
  <c r="J396" i="2"/>
  <c r="J378" i="2"/>
  <c r="J374" i="2"/>
  <c r="J371" i="2"/>
  <c r="J368" i="2"/>
  <c r="J366" i="2"/>
  <c r="J364" i="2"/>
  <c r="J361" i="2"/>
  <c r="J355" i="2"/>
  <c r="J351" i="2"/>
  <c r="J349" i="2"/>
  <c r="J347" i="2"/>
  <c r="J345" i="2"/>
  <c r="J343" i="2"/>
  <c r="J341" i="2"/>
  <c r="J337" i="2"/>
  <c r="J334" i="2"/>
  <c r="J331" i="2"/>
  <c r="J328" i="2"/>
  <c r="J325" i="2"/>
  <c r="J323" i="2"/>
  <c r="J321" i="2"/>
  <c r="J318" i="2"/>
  <c r="J312" i="2"/>
  <c r="J303" i="2"/>
  <c r="J301" i="2"/>
  <c r="J288" i="2"/>
  <c r="J286" i="2"/>
  <c r="J284" i="2"/>
  <c r="J282" i="2"/>
  <c r="J280" i="2"/>
  <c r="J278" i="2"/>
  <c r="J276" i="2"/>
  <c r="J274" i="2"/>
  <c r="J298" i="2"/>
  <c r="J296" i="2"/>
  <c r="J294" i="2"/>
  <c r="J292" i="2"/>
  <c r="J290" i="2"/>
  <c r="J272" i="2"/>
  <c r="J265" i="2"/>
  <c r="J262" i="2"/>
  <c r="J259" i="2"/>
  <c r="J256" i="2"/>
  <c r="J254" i="2"/>
  <c r="J252" i="2"/>
  <c r="J249" i="2"/>
  <c r="J241" i="2"/>
  <c r="J237" i="2"/>
  <c r="J233" i="2"/>
  <c r="J225" i="2"/>
  <c r="J223" i="2"/>
  <c r="J199" i="2"/>
  <c r="J197" i="2"/>
  <c r="J195" i="2"/>
  <c r="J268" i="2"/>
  <c r="J184" i="2"/>
  <c r="J182" i="2"/>
  <c r="J180" i="2"/>
  <c r="J178" i="2"/>
  <c r="J176" i="2"/>
  <c r="J174" i="2"/>
  <c r="J172" i="2"/>
  <c r="J170" i="2"/>
  <c r="J192" i="2"/>
  <c r="J190" i="2"/>
  <c r="J188" i="2"/>
  <c r="J186" i="2"/>
  <c r="J168" i="2"/>
  <c r="J1789" i="2"/>
  <c r="J1786" i="2"/>
  <c r="J1781" i="2"/>
  <c r="J1779" i="2"/>
  <c r="J1760" i="2"/>
  <c r="J1758" i="2"/>
  <c r="J1756" i="2"/>
  <c r="J1750" i="2"/>
  <c r="J1748" i="2"/>
  <c r="J1745" i="2"/>
  <c r="J1743" i="2"/>
  <c r="J1741" i="2"/>
  <c r="J1739" i="2"/>
  <c r="J1736" i="2"/>
  <c r="J1723" i="2"/>
  <c r="J1719" i="2"/>
  <c r="J1714" i="2"/>
  <c r="J1711" i="2"/>
  <c r="J1701" i="2"/>
  <c r="J1699" i="2"/>
  <c r="J1687" i="2"/>
  <c r="J1676" i="2"/>
  <c r="J1674" i="2"/>
  <c r="J1672" i="2"/>
  <c r="J1669" i="2"/>
  <c r="J1665" i="2"/>
  <c r="J1663" i="2"/>
  <c r="J1661" i="2"/>
  <c r="J1658" i="2"/>
  <c r="J1655" i="2"/>
  <c r="J1653" i="2"/>
  <c r="J1651" i="2"/>
  <c r="J1649" i="2"/>
  <c r="J1646" i="2"/>
  <c r="J1643" i="2"/>
  <c r="J1640" i="2"/>
  <c r="J1636" i="2"/>
  <c r="J1616" i="2"/>
  <c r="J1614" i="2"/>
  <c r="J1612" i="2"/>
  <c r="J1610" i="2"/>
  <c r="J1608" i="2"/>
  <c r="J1606" i="2"/>
  <c r="J1604" i="2"/>
  <c r="J1602" i="2"/>
  <c r="J1632" i="2"/>
  <c r="J1630" i="2"/>
  <c r="J1628" i="2"/>
  <c r="J1626" i="2"/>
  <c r="J1624" i="2"/>
  <c r="J1622" i="2"/>
  <c r="J1620" i="2"/>
  <c r="J1618" i="2"/>
  <c r="J1600" i="2"/>
  <c r="J1596" i="2"/>
  <c r="J1594" i="2"/>
  <c r="J1592" i="2"/>
  <c r="J1589" i="2"/>
  <c r="J1586" i="2"/>
  <c r="J1584" i="2"/>
  <c r="J1582" i="2"/>
  <c r="J1580" i="2"/>
  <c r="J1577" i="2"/>
  <c r="J1574" i="2"/>
  <c r="J1571" i="2"/>
  <c r="J1563" i="2"/>
  <c r="J1534" i="2"/>
  <c r="J1532" i="2"/>
  <c r="J1530" i="2"/>
  <c r="J1528" i="2"/>
  <c r="J1526" i="2"/>
  <c r="J1524" i="2"/>
  <c r="J1522" i="2"/>
  <c r="J1520" i="2"/>
  <c r="J1559" i="2"/>
  <c r="J1557" i="2"/>
  <c r="J1540" i="2"/>
  <c r="J1538" i="2"/>
  <c r="J1536" i="2"/>
  <c r="J1518" i="2"/>
  <c r="J1511" i="2"/>
  <c r="J1507" i="2"/>
  <c r="J1505" i="2"/>
  <c r="J1503" i="2"/>
  <c r="J1501" i="2"/>
  <c r="J1498" i="2"/>
  <c r="J1470" i="2"/>
  <c r="J1468" i="2"/>
  <c r="J1466" i="2"/>
  <c r="J1464" i="2"/>
  <c r="J1462" i="2"/>
  <c r="J1460" i="2"/>
  <c r="J1458" i="2"/>
  <c r="J1456" i="2"/>
  <c r="J1495" i="2"/>
  <c r="J1493" i="2"/>
  <c r="J1476" i="2"/>
  <c r="J1474" i="2"/>
  <c r="J1472" i="2"/>
  <c r="J1454" i="2"/>
  <c r="J1428" i="2"/>
  <c r="J1425" i="2"/>
  <c r="J1417" i="2"/>
  <c r="J1397" i="2"/>
  <c r="J1395" i="2"/>
  <c r="J1393" i="2"/>
  <c r="J1388" i="2"/>
  <c r="J1386" i="2"/>
  <c r="J1380" i="2"/>
  <c r="J1378" i="2"/>
  <c r="J1375" i="2"/>
  <c r="J1373" i="2"/>
  <c r="J1370" i="2"/>
  <c r="J1357" i="2"/>
  <c r="J1353" i="2"/>
  <c r="J1450" i="2"/>
  <c r="J1448" i="2"/>
  <c r="J1446" i="2"/>
  <c r="J1443" i="2"/>
  <c r="J1440" i="2"/>
  <c r="J1438" i="2"/>
  <c r="J1436" i="2"/>
  <c r="J1434" i="2"/>
  <c r="J1431" i="2"/>
  <c r="J1349" i="2"/>
  <c r="J1347" i="2"/>
  <c r="J1345" i="2"/>
  <c r="J1343" i="2"/>
  <c r="J1341" i="2"/>
  <c r="J1339" i="2"/>
  <c r="J1337" i="2"/>
  <c r="J1333" i="2"/>
  <c r="J1330" i="2"/>
  <c r="J1327" i="2"/>
  <c r="J1325" i="2"/>
  <c r="J1323" i="2"/>
  <c r="J1320" i="2"/>
  <c r="J1315" i="2"/>
  <c r="J1310" i="2"/>
  <c r="J1284" i="2"/>
  <c r="J1282" i="2"/>
  <c r="J1277" i="2"/>
  <c r="J1275" i="2"/>
  <c r="J1273" i="2"/>
  <c r="J1271" i="2"/>
  <c r="J1269" i="2"/>
  <c r="J1267" i="2"/>
  <c r="J1306" i="2"/>
  <c r="J1302" i="2"/>
  <c r="J1294" i="2"/>
  <c r="J1292" i="2"/>
  <c r="J1290" i="2"/>
  <c r="J1288" i="2"/>
  <c r="J1286" i="2"/>
  <c r="J1265" i="2"/>
  <c r="J161" i="2"/>
  <c r="J158" i="2"/>
  <c r="J156" i="2"/>
  <c r="J154" i="2"/>
  <c r="J151" i="2"/>
  <c r="J146" i="2"/>
  <c r="J141" i="2"/>
  <c r="J137" i="2"/>
  <c r="J127" i="2"/>
  <c r="J125" i="2"/>
  <c r="J122" i="2"/>
  <c r="J119" i="2"/>
  <c r="J107" i="2"/>
  <c r="J96" i="2"/>
  <c r="J94" i="2"/>
  <c r="J92" i="2"/>
  <c r="J164" i="2"/>
  <c r="J83" i="2"/>
  <c r="J81" i="2"/>
  <c r="J79" i="2"/>
  <c r="J77" i="2"/>
  <c r="J75" i="2"/>
  <c r="J73" i="2"/>
  <c r="J71" i="2"/>
  <c r="J69" i="2"/>
  <c r="J88" i="2"/>
  <c r="J85" i="2"/>
  <c r="J67" i="2"/>
  <c r="J1261" i="2"/>
  <c r="J1258" i="2"/>
  <c r="J1255" i="2"/>
  <c r="J1253" i="2"/>
  <c r="J1251" i="2"/>
  <c r="J1248" i="2"/>
  <c r="J1243" i="2"/>
  <c r="J1238" i="2"/>
  <c r="J1212" i="2"/>
  <c r="J1210" i="2"/>
  <c r="J1205" i="2"/>
  <c r="J1203" i="2"/>
  <c r="J1201" i="2"/>
  <c r="J1199" i="2"/>
  <c r="J1197" i="2"/>
  <c r="J1195" i="2"/>
  <c r="J1234" i="2"/>
  <c r="J1230" i="2"/>
  <c r="J1222" i="2"/>
  <c r="J1220" i="2"/>
  <c r="J1218" i="2"/>
  <c r="J1216" i="2"/>
  <c r="J1214" i="2"/>
  <c r="J1193" i="2"/>
  <c r="J1189" i="2"/>
  <c r="J1186" i="2"/>
  <c r="J1183" i="2"/>
  <c r="J1181" i="2"/>
  <c r="J1179" i="2"/>
  <c r="J1176" i="2"/>
  <c r="J1171" i="2"/>
  <c r="J1166" i="2"/>
  <c r="J1140" i="2"/>
  <c r="J1138" i="2"/>
  <c r="J1133" i="2"/>
  <c r="J1131" i="2"/>
  <c r="J1129" i="2"/>
  <c r="J1127" i="2"/>
  <c r="J1125" i="2"/>
  <c r="J1123" i="2"/>
  <c r="J1162" i="2"/>
  <c r="J1158" i="2"/>
  <c r="J1150" i="2"/>
  <c r="J1148" i="2"/>
  <c r="J1146" i="2"/>
  <c r="J1144" i="2"/>
  <c r="J1142" i="2"/>
  <c r="J1121" i="2"/>
  <c r="J1117" i="2"/>
  <c r="J1114" i="2"/>
  <c r="J1111" i="2"/>
  <c r="J1109" i="2"/>
  <c r="J1107" i="2"/>
  <c r="J1104" i="2"/>
  <c r="J1099" i="2"/>
  <c r="J1094" i="2"/>
  <c r="J1066" i="2"/>
  <c r="J1064" i="2"/>
  <c r="J1059" i="2"/>
  <c r="J1057" i="2"/>
  <c r="J1055" i="2"/>
  <c r="J1053" i="2"/>
  <c r="J1051" i="2"/>
  <c r="J1049" i="2"/>
  <c r="J1090" i="2"/>
  <c r="J1086" i="2"/>
  <c r="J1078" i="2"/>
  <c r="J1076" i="2"/>
  <c r="J1074" i="2"/>
  <c r="J1072" i="2"/>
  <c r="J1070" i="2"/>
  <c r="J1068" i="2"/>
  <c r="J1047" i="2"/>
  <c r="J1043" i="2"/>
  <c r="J1041" i="2"/>
  <c r="J1039" i="2"/>
  <c r="J1037" i="2"/>
  <c r="J1034" i="2"/>
  <c r="J1029" i="2"/>
  <c r="J1024" i="2"/>
  <c r="J1000" i="2"/>
  <c r="J998" i="2"/>
  <c r="J996" i="2"/>
  <c r="J994" i="2"/>
  <c r="J992" i="2"/>
  <c r="J990" i="2"/>
  <c r="J988" i="2"/>
  <c r="J986" i="2"/>
  <c r="J1019" i="2"/>
  <c r="J1016" i="2"/>
  <c r="J1014" i="2"/>
  <c r="J1012" i="2"/>
  <c r="J1010" i="2"/>
  <c r="J1008" i="2"/>
  <c r="J1006" i="2"/>
  <c r="J1004" i="2"/>
  <c r="J1002" i="2"/>
  <c r="J984" i="2"/>
  <c r="J980" i="2"/>
  <c r="J977" i="2"/>
  <c r="J974" i="2"/>
  <c r="J972" i="2"/>
  <c r="J970" i="2"/>
  <c r="J967" i="2"/>
  <c r="J962" i="2"/>
  <c r="J957" i="2"/>
  <c r="J945" i="2"/>
  <c r="J943" i="2"/>
  <c r="J941" i="2"/>
  <c r="J939" i="2"/>
  <c r="J937" i="2"/>
  <c r="J935" i="2"/>
  <c r="J933" i="2"/>
  <c r="J931" i="2"/>
  <c r="J952" i="2"/>
  <c r="J949" i="2"/>
  <c r="J947" i="2"/>
  <c r="J929" i="2"/>
  <c r="J925" i="2"/>
  <c r="J923" i="2"/>
  <c r="J921" i="2"/>
  <c r="J919" i="2"/>
  <c r="J916" i="2"/>
  <c r="J909" i="2"/>
  <c r="J892" i="2"/>
  <c r="J890" i="2"/>
  <c r="J887" i="2"/>
  <c r="J885" i="2"/>
  <c r="J883" i="2"/>
  <c r="J881" i="2"/>
  <c r="J879" i="2"/>
  <c r="J877" i="2"/>
  <c r="J905" i="2"/>
  <c r="J903" i="2"/>
  <c r="J896" i="2"/>
  <c r="J894" i="2"/>
  <c r="J875" i="2"/>
  <c r="J871" i="2"/>
  <c r="J869" i="2"/>
  <c r="J867" i="2"/>
  <c r="J865" i="2"/>
  <c r="J862" i="2"/>
  <c r="J856" i="2"/>
  <c r="J839" i="2"/>
  <c r="J837" i="2"/>
  <c r="J834" i="2"/>
  <c r="J832" i="2"/>
  <c r="J830" i="2"/>
  <c r="J828" i="2"/>
  <c r="J826" i="2"/>
  <c r="J824" i="2"/>
  <c r="J852" i="2"/>
  <c r="J850" i="2"/>
  <c r="J843" i="2"/>
  <c r="J841" i="2"/>
  <c r="J822" i="2"/>
  <c r="J818" i="2"/>
  <c r="J815" i="2"/>
  <c r="J812" i="2"/>
  <c r="J810" i="2"/>
  <c r="J808" i="2"/>
  <c r="J805" i="2"/>
  <c r="J799" i="2"/>
  <c r="J782" i="2"/>
  <c r="J780" i="2"/>
  <c r="J777" i="2"/>
  <c r="J775" i="2"/>
  <c r="J773" i="2"/>
  <c r="J771" i="2"/>
  <c r="J769" i="2"/>
  <c r="J767" i="2"/>
  <c r="J795" i="2"/>
  <c r="J793" i="2"/>
  <c r="J786" i="2"/>
  <c r="J784" i="2"/>
  <c r="J765" i="2"/>
  <c r="J761" i="2"/>
  <c r="J758" i="2"/>
  <c r="J755" i="2"/>
  <c r="J753" i="2"/>
  <c r="J751" i="2"/>
  <c r="J748" i="2"/>
  <c r="J742" i="2"/>
  <c r="J725" i="2"/>
  <c r="J723" i="2"/>
  <c r="J720" i="2"/>
  <c r="J718" i="2"/>
  <c r="J716" i="2"/>
  <c r="J714" i="2"/>
  <c r="J712" i="2"/>
  <c r="J710" i="2"/>
  <c r="J738" i="2"/>
  <c r="J736" i="2"/>
  <c r="J729" i="2"/>
  <c r="J727" i="2"/>
  <c r="J708" i="2"/>
  <c r="J704" i="2"/>
  <c r="J701" i="2"/>
  <c r="J698" i="2"/>
  <c r="J696" i="2"/>
  <c r="J694" i="2"/>
  <c r="J691" i="2"/>
  <c r="J684" i="2"/>
  <c r="J655" i="2"/>
  <c r="J653" i="2"/>
  <c r="J651" i="2"/>
  <c r="J649" i="2"/>
  <c r="J647" i="2"/>
  <c r="J645" i="2"/>
  <c r="J643" i="2"/>
  <c r="J641" i="2"/>
  <c r="J680" i="2"/>
  <c r="J678" i="2"/>
  <c r="J661" i="2"/>
  <c r="J659" i="2"/>
  <c r="J657" i="2"/>
  <c r="J639" i="2"/>
  <c r="J63" i="2"/>
  <c r="J61" i="2"/>
  <c r="J59" i="2"/>
  <c r="J56" i="2"/>
  <c r="J53" i="2"/>
  <c r="J50" i="2"/>
  <c r="J47" i="2"/>
  <c r="J44" i="2"/>
  <c r="J34" i="2"/>
  <c r="J32" i="2"/>
  <c r="J20" i="2"/>
  <c r="J10" i="2"/>
  <c r="J8" i="2"/>
  <c r="J6" i="2"/>
  <c r="M1790" i="2"/>
  <c r="K1790" i="2"/>
  <c r="M1787" i="2"/>
  <c r="K1787" i="2"/>
  <c r="M1784" i="2"/>
  <c r="K1784" i="2"/>
  <c r="M1783" i="2"/>
  <c r="K1783" i="2"/>
  <c r="M1782" i="2"/>
  <c r="K1782" i="2"/>
  <c r="M1780" i="2"/>
  <c r="K1780" i="2"/>
  <c r="M1777" i="2"/>
  <c r="K1777" i="2"/>
  <c r="M1776" i="2"/>
  <c r="K1776" i="2"/>
  <c r="M1775" i="2"/>
  <c r="K1775" i="2"/>
  <c r="M1774" i="2"/>
  <c r="K1774" i="2"/>
  <c r="M1773" i="2"/>
  <c r="K1773" i="2"/>
  <c r="M1772" i="2"/>
  <c r="K1772" i="2"/>
  <c r="M1771" i="2"/>
  <c r="K1771" i="2"/>
  <c r="M1770" i="2"/>
  <c r="K1770" i="2"/>
  <c r="M1769" i="2"/>
  <c r="K1769" i="2"/>
  <c r="M1768" i="2"/>
  <c r="K1768" i="2"/>
  <c r="M1767" i="2"/>
  <c r="K1767" i="2"/>
  <c r="M1766" i="2"/>
  <c r="K1766" i="2"/>
  <c r="M1765" i="2"/>
  <c r="K1765" i="2"/>
  <c r="M1764" i="2"/>
  <c r="K1764" i="2"/>
  <c r="M1763" i="2"/>
  <c r="K1763" i="2"/>
  <c r="M1762" i="2"/>
  <c r="K1762" i="2"/>
  <c r="M1761" i="2"/>
  <c r="K1761" i="2"/>
  <c r="M1759" i="2"/>
  <c r="K1759" i="2"/>
  <c r="M1757" i="2"/>
  <c r="K1757" i="2"/>
  <c r="M1754" i="2"/>
  <c r="K1754" i="2"/>
  <c r="M1753" i="2"/>
  <c r="K1753" i="2"/>
  <c r="M1752" i="2"/>
  <c r="K1752" i="2"/>
  <c r="M1751" i="2"/>
  <c r="K1751" i="2"/>
  <c r="M1749" i="2"/>
  <c r="K1749" i="2"/>
  <c r="M1746" i="2"/>
  <c r="K1746" i="2"/>
  <c r="M1744" i="2"/>
  <c r="K1744" i="2"/>
  <c r="M1742" i="2"/>
  <c r="K1742" i="2"/>
  <c r="M1740" i="2"/>
  <c r="K1740" i="2"/>
  <c r="M1737" i="2"/>
  <c r="K1737" i="2"/>
  <c r="M1734" i="2"/>
  <c r="K1734" i="2"/>
  <c r="M1733" i="2"/>
  <c r="K1733" i="2"/>
  <c r="M1732" i="2"/>
  <c r="K1732" i="2"/>
  <c r="M1731" i="2"/>
  <c r="K1731" i="2"/>
  <c r="M1730" i="2"/>
  <c r="K1730" i="2"/>
  <c r="M1729" i="2"/>
  <c r="K1729" i="2"/>
  <c r="M1728" i="2"/>
  <c r="K1728" i="2"/>
  <c r="M1727" i="2"/>
  <c r="K1727" i="2"/>
  <c r="M1726" i="2"/>
  <c r="K1726" i="2"/>
  <c r="M1725" i="2"/>
  <c r="K1725" i="2"/>
  <c r="M1724" i="2"/>
  <c r="K1724" i="2"/>
  <c r="M1722" i="2"/>
  <c r="K1722" i="2"/>
  <c r="M1721" i="2"/>
  <c r="K1721" i="2"/>
  <c r="M1720" i="2"/>
  <c r="K1720" i="2"/>
  <c r="M1715" i="2"/>
  <c r="K1715" i="2"/>
  <c r="M1712" i="2"/>
  <c r="K1712" i="2"/>
  <c r="M1709" i="2"/>
  <c r="K1709" i="2"/>
  <c r="M1708" i="2"/>
  <c r="K1708" i="2"/>
  <c r="M1707" i="2"/>
  <c r="K1707" i="2"/>
  <c r="M1706" i="2"/>
  <c r="K1706" i="2"/>
  <c r="M1705" i="2"/>
  <c r="K1705" i="2"/>
  <c r="M1704" i="2"/>
  <c r="K1704" i="2"/>
  <c r="M1703" i="2"/>
  <c r="K1703" i="2"/>
  <c r="M1702" i="2"/>
  <c r="K1702" i="2"/>
  <c r="M1700" i="2"/>
  <c r="K1700" i="2"/>
  <c r="M1697" i="2"/>
  <c r="K1697" i="2"/>
  <c r="M1696" i="2"/>
  <c r="K1696" i="2"/>
  <c r="M1695" i="2"/>
  <c r="K1695" i="2"/>
  <c r="M1694" i="2"/>
  <c r="K1694" i="2"/>
  <c r="M1693" i="2"/>
  <c r="K1693" i="2"/>
  <c r="M1692" i="2"/>
  <c r="K1692" i="2"/>
  <c r="M1691" i="2"/>
  <c r="K1691" i="2"/>
  <c r="M1690" i="2"/>
  <c r="K1690" i="2"/>
  <c r="M1689" i="2"/>
  <c r="K1689" i="2"/>
  <c r="M1688" i="2"/>
  <c r="K1688" i="2"/>
  <c r="M1685" i="2"/>
  <c r="K1685" i="2"/>
  <c r="M1684" i="2"/>
  <c r="K1684" i="2"/>
  <c r="M1683" i="2"/>
  <c r="K1683" i="2"/>
  <c r="M1682" i="2"/>
  <c r="K1682" i="2"/>
  <c r="M1681" i="2"/>
  <c r="K1681" i="2"/>
  <c r="M1680" i="2"/>
  <c r="K1680" i="2"/>
  <c r="M1679" i="2"/>
  <c r="K1679" i="2"/>
  <c r="M1678" i="2"/>
  <c r="K1678" i="2"/>
  <c r="M1677" i="2"/>
  <c r="K1677" i="2"/>
  <c r="M1675" i="2"/>
  <c r="K1675" i="2"/>
  <c r="M1673" i="2"/>
  <c r="K1673" i="2"/>
  <c r="M1670" i="2"/>
  <c r="K1670" i="2"/>
  <c r="M1666" i="2"/>
  <c r="K1666" i="2"/>
  <c r="M1664" i="2"/>
  <c r="K1664" i="2"/>
  <c r="M1662" i="2"/>
  <c r="K1662" i="2"/>
  <c r="M1660" i="2"/>
  <c r="K1660" i="2"/>
  <c r="M1659" i="2"/>
  <c r="K1659" i="2"/>
  <c r="M1656" i="2"/>
  <c r="K1656" i="2"/>
  <c r="M1654" i="2"/>
  <c r="K1654" i="2"/>
  <c r="M1652" i="2"/>
  <c r="K1652" i="2"/>
  <c r="M1650" i="2"/>
  <c r="K1650" i="2"/>
  <c r="M1648" i="2"/>
  <c r="K1648" i="2"/>
  <c r="M1647" i="2"/>
  <c r="K1647" i="2"/>
  <c r="M1644" i="2"/>
  <c r="K1644" i="2"/>
  <c r="M1641" i="2"/>
  <c r="K1641" i="2"/>
  <c r="M1638" i="2"/>
  <c r="K1638" i="2"/>
  <c r="M1637" i="2"/>
  <c r="K1637" i="2"/>
  <c r="M1633" i="2"/>
  <c r="K1633" i="2"/>
  <c r="M1631" i="2"/>
  <c r="K1631" i="2"/>
  <c r="M1629" i="2"/>
  <c r="K1629" i="2"/>
  <c r="M1627" i="2"/>
  <c r="K1627" i="2"/>
  <c r="M1625" i="2"/>
  <c r="K1625" i="2"/>
  <c r="M1623" i="2"/>
  <c r="K1623" i="2"/>
  <c r="M1621" i="2"/>
  <c r="K1621" i="2"/>
  <c r="M1619" i="2"/>
  <c r="K1619" i="2"/>
  <c r="M1617" i="2"/>
  <c r="K1617" i="2"/>
  <c r="M1615" i="2"/>
  <c r="K1615" i="2"/>
  <c r="M1613" i="2"/>
  <c r="K1613" i="2"/>
  <c r="M1611" i="2"/>
  <c r="K1611" i="2"/>
  <c r="M1609" i="2"/>
  <c r="K1609" i="2"/>
  <c r="M1607" i="2"/>
  <c r="K1607" i="2"/>
  <c r="M1605" i="2"/>
  <c r="K1605" i="2"/>
  <c r="M1603" i="2"/>
  <c r="K1603" i="2"/>
  <c r="M1601" i="2"/>
  <c r="K1601" i="2"/>
  <c r="M1597" i="2"/>
  <c r="K1597" i="2"/>
  <c r="M1595" i="2"/>
  <c r="K1595" i="2"/>
  <c r="M1593" i="2"/>
  <c r="K1593" i="2"/>
  <c r="M1591" i="2"/>
  <c r="K1591" i="2"/>
  <c r="M1590" i="2"/>
  <c r="K1590" i="2"/>
  <c r="M1587" i="2"/>
  <c r="K1587" i="2"/>
  <c r="M1585" i="2"/>
  <c r="K1585" i="2"/>
  <c r="M1583" i="2"/>
  <c r="K1583" i="2"/>
  <c r="M1581" i="2"/>
  <c r="K1581" i="2"/>
  <c r="M1579" i="2"/>
  <c r="K1579" i="2"/>
  <c r="M1578" i="2"/>
  <c r="K1578" i="2"/>
  <c r="M1575" i="2"/>
  <c r="K1575" i="2"/>
  <c r="M1572" i="2"/>
  <c r="K1572" i="2"/>
  <c r="M1569" i="2"/>
  <c r="K1569" i="2"/>
  <c r="M1568" i="2"/>
  <c r="K1568" i="2"/>
  <c r="M1567" i="2"/>
  <c r="K1567" i="2"/>
  <c r="M1566" i="2"/>
  <c r="K1566" i="2"/>
  <c r="M1565" i="2"/>
  <c r="K1565" i="2"/>
  <c r="M1564" i="2"/>
  <c r="K1564" i="2"/>
  <c r="M1560" i="2"/>
  <c r="K1560" i="2"/>
  <c r="M1558" i="2"/>
  <c r="K1558" i="2"/>
  <c r="M1556" i="2"/>
  <c r="K1556" i="2"/>
  <c r="M1555" i="2"/>
  <c r="K1555" i="2"/>
  <c r="M1554" i="2"/>
  <c r="K1554" i="2"/>
  <c r="M1553" i="2"/>
  <c r="K1553" i="2"/>
  <c r="M1552" i="2"/>
  <c r="K1552" i="2"/>
  <c r="M1551" i="2"/>
  <c r="K1551" i="2"/>
  <c r="M1550" i="2"/>
  <c r="K1550" i="2"/>
  <c r="M1549" i="2"/>
  <c r="K1549" i="2"/>
  <c r="M1548" i="2"/>
  <c r="K1548" i="2"/>
  <c r="M1547" i="2"/>
  <c r="K1547" i="2"/>
  <c r="M1546" i="2"/>
  <c r="K1546" i="2"/>
  <c r="M1545" i="2"/>
  <c r="K1545" i="2"/>
  <c r="M1544" i="2"/>
  <c r="K1544" i="2"/>
  <c r="M1543" i="2"/>
  <c r="K1543" i="2"/>
  <c r="M1542" i="2"/>
  <c r="K1542" i="2"/>
  <c r="M1541" i="2"/>
  <c r="K1541" i="2"/>
  <c r="M1539" i="2"/>
  <c r="K1539" i="2"/>
  <c r="M1537" i="2"/>
  <c r="K1537" i="2"/>
  <c r="M1535" i="2"/>
  <c r="K1535" i="2"/>
  <c r="M1533" i="2"/>
  <c r="K1533" i="2"/>
  <c r="M1531" i="2"/>
  <c r="K1531" i="2"/>
  <c r="M1529" i="2"/>
  <c r="K1529" i="2"/>
  <c r="M1527" i="2"/>
  <c r="K1527" i="2"/>
  <c r="M1525" i="2"/>
  <c r="K1525" i="2"/>
  <c r="M1523" i="2"/>
  <c r="K1523" i="2"/>
  <c r="M1521" i="2"/>
  <c r="K1521" i="2"/>
  <c r="M1519" i="2"/>
  <c r="K1519" i="2"/>
  <c r="M1515" i="2"/>
  <c r="K1515" i="2"/>
  <c r="M1514" i="2"/>
  <c r="K1514" i="2"/>
  <c r="M1513" i="2"/>
  <c r="K1513" i="2"/>
  <c r="M1512" i="2"/>
  <c r="K1512" i="2"/>
  <c r="M1508" i="2"/>
  <c r="K1508" i="2"/>
  <c r="M1506" i="2"/>
  <c r="K1506" i="2"/>
  <c r="M1504" i="2"/>
  <c r="K1504" i="2"/>
  <c r="M1502" i="2"/>
  <c r="K1502" i="2"/>
  <c r="M1500" i="2"/>
  <c r="K1500" i="2"/>
  <c r="M1499" i="2"/>
  <c r="K1499" i="2"/>
  <c r="M1496" i="2"/>
  <c r="K1496" i="2"/>
  <c r="M1494" i="2"/>
  <c r="K1494" i="2"/>
  <c r="M1492" i="2"/>
  <c r="K1492" i="2"/>
  <c r="M1491" i="2"/>
  <c r="K1491" i="2"/>
  <c r="M1490" i="2"/>
  <c r="K1490" i="2"/>
  <c r="M1489" i="2"/>
  <c r="K1489" i="2"/>
  <c r="M1488" i="2"/>
  <c r="K1488" i="2"/>
  <c r="M1487" i="2"/>
  <c r="K1487" i="2"/>
  <c r="M1486" i="2"/>
  <c r="K1486" i="2"/>
  <c r="M1485" i="2"/>
  <c r="K1485" i="2"/>
  <c r="M1484" i="2"/>
  <c r="K1484" i="2"/>
  <c r="M1483" i="2"/>
  <c r="K1483" i="2"/>
  <c r="M1482" i="2"/>
  <c r="K1482" i="2"/>
  <c r="M1481" i="2"/>
  <c r="K1481" i="2"/>
  <c r="M1480" i="2"/>
  <c r="K1480" i="2"/>
  <c r="M1479" i="2"/>
  <c r="K1479" i="2"/>
  <c r="M1478" i="2"/>
  <c r="K1478" i="2"/>
  <c r="M1477" i="2"/>
  <c r="K1477" i="2"/>
  <c r="M1475" i="2"/>
  <c r="K1475" i="2"/>
  <c r="M1473" i="2"/>
  <c r="K1473" i="2"/>
  <c r="M1471" i="2"/>
  <c r="K1471" i="2"/>
  <c r="M1469" i="2"/>
  <c r="K1469" i="2"/>
  <c r="M1467" i="2"/>
  <c r="K1467" i="2"/>
  <c r="M1465" i="2"/>
  <c r="K1465" i="2"/>
  <c r="M1463" i="2"/>
  <c r="K1463" i="2"/>
  <c r="M1461" i="2"/>
  <c r="K1461" i="2"/>
  <c r="M1459" i="2"/>
  <c r="K1459" i="2"/>
  <c r="M1457" i="2"/>
  <c r="K1457" i="2"/>
  <c r="M1455" i="2"/>
  <c r="K1455" i="2"/>
  <c r="M1451" i="2"/>
  <c r="K1451" i="2"/>
  <c r="M1449" i="2"/>
  <c r="K1449" i="2"/>
  <c r="M1447" i="2"/>
  <c r="K1447" i="2"/>
  <c r="M1445" i="2"/>
  <c r="K1445" i="2"/>
  <c r="M1444" i="2"/>
  <c r="K1444" i="2"/>
  <c r="M1441" i="2"/>
  <c r="K1441" i="2"/>
  <c r="M1439" i="2"/>
  <c r="K1439" i="2"/>
  <c r="M1437" i="2"/>
  <c r="K1437" i="2"/>
  <c r="M1435" i="2"/>
  <c r="K1435" i="2"/>
  <c r="M1433" i="2"/>
  <c r="K1433" i="2"/>
  <c r="M1432" i="2"/>
  <c r="K1432" i="2"/>
  <c r="M1429" i="2"/>
  <c r="K1429" i="2"/>
  <c r="M1426" i="2"/>
  <c r="K1426" i="2"/>
  <c r="M1423" i="2"/>
  <c r="K1423" i="2"/>
  <c r="M1422" i="2"/>
  <c r="K1422" i="2"/>
  <c r="M1421" i="2"/>
  <c r="K1421" i="2"/>
  <c r="M1420" i="2"/>
  <c r="K1420" i="2"/>
  <c r="M1419" i="2"/>
  <c r="K1419" i="2"/>
  <c r="M1418" i="2"/>
  <c r="K1418" i="2"/>
  <c r="M1414" i="2"/>
  <c r="K1414" i="2"/>
  <c r="M1413" i="2"/>
  <c r="K1413" i="2"/>
  <c r="M1412" i="2"/>
  <c r="K1412" i="2"/>
  <c r="M1411" i="2"/>
  <c r="K1411" i="2"/>
  <c r="M1410" i="2"/>
  <c r="K1410" i="2"/>
  <c r="M1409" i="2"/>
  <c r="K1409" i="2"/>
  <c r="M1408" i="2"/>
  <c r="K1408" i="2"/>
  <c r="M1407" i="2"/>
  <c r="K1407" i="2"/>
  <c r="M1406" i="2"/>
  <c r="K1406" i="2"/>
  <c r="M1405" i="2"/>
  <c r="K1405" i="2"/>
  <c r="M1404" i="2"/>
  <c r="K1404" i="2"/>
  <c r="M1403" i="2"/>
  <c r="K1403" i="2"/>
  <c r="M1402" i="2"/>
  <c r="K1402" i="2"/>
  <c r="M1401" i="2"/>
  <c r="K1401" i="2"/>
  <c r="M1400" i="2"/>
  <c r="K1400" i="2"/>
  <c r="M1399" i="2"/>
  <c r="K1399" i="2"/>
  <c r="M1398" i="2"/>
  <c r="K1398" i="2"/>
  <c r="M1396" i="2"/>
  <c r="K1396" i="2"/>
  <c r="M1394" i="2"/>
  <c r="K1394" i="2"/>
  <c r="M1391" i="2"/>
  <c r="K1391" i="2"/>
  <c r="M1390" i="2"/>
  <c r="K1390" i="2"/>
  <c r="M1389" i="2"/>
  <c r="K1389" i="2"/>
  <c r="M1387" i="2"/>
  <c r="K1387" i="2"/>
  <c r="M1384" i="2"/>
  <c r="K1384" i="2"/>
  <c r="M1383" i="2"/>
  <c r="K1383" i="2"/>
  <c r="M1382" i="2"/>
  <c r="K1382" i="2"/>
  <c r="M1381" i="2"/>
  <c r="K1381" i="2"/>
  <c r="M1379" i="2"/>
  <c r="K1379" i="2"/>
  <c r="M1376" i="2"/>
  <c r="K1376" i="2"/>
  <c r="M1374" i="2"/>
  <c r="K1374" i="2"/>
  <c r="M1371" i="2"/>
  <c r="K1371" i="2"/>
  <c r="M1368" i="2"/>
  <c r="K1368" i="2"/>
  <c r="M1367" i="2"/>
  <c r="K1367" i="2"/>
  <c r="M1366" i="2"/>
  <c r="K1366" i="2"/>
  <c r="M1365" i="2"/>
  <c r="K1365" i="2"/>
  <c r="M1364" i="2"/>
  <c r="K1364" i="2"/>
  <c r="M1363" i="2"/>
  <c r="K1363" i="2"/>
  <c r="M1362" i="2"/>
  <c r="K1362" i="2"/>
  <c r="M1361" i="2"/>
  <c r="K1361" i="2"/>
  <c r="M1360" i="2"/>
  <c r="K1360" i="2"/>
  <c r="M1359" i="2"/>
  <c r="K1359" i="2"/>
  <c r="M1358" i="2"/>
  <c r="K1358" i="2"/>
  <c r="M1356" i="2"/>
  <c r="K1356" i="2"/>
  <c r="M1355" i="2"/>
  <c r="K1355" i="2"/>
  <c r="M1354" i="2"/>
  <c r="K1354" i="2"/>
  <c r="M1350" i="2"/>
  <c r="K1350" i="2"/>
  <c r="M1348" i="2"/>
  <c r="K1348" i="2"/>
  <c r="M1346" i="2"/>
  <c r="K1346" i="2"/>
  <c r="M1344" i="2"/>
  <c r="K1344" i="2"/>
  <c r="M1342" i="2"/>
  <c r="K1342" i="2"/>
  <c r="M1340" i="2"/>
  <c r="K1340" i="2"/>
  <c r="M1338" i="2"/>
  <c r="K1338" i="2"/>
  <c r="M1334" i="2"/>
  <c r="K1334" i="2"/>
  <c r="M1331" i="2"/>
  <c r="K1331" i="2"/>
  <c r="M1328" i="2"/>
  <c r="K1328" i="2"/>
  <c r="M1326" i="2"/>
  <c r="K1326" i="2"/>
  <c r="M1324" i="2"/>
  <c r="K1324" i="2"/>
  <c r="M1322" i="2"/>
  <c r="K1322" i="2"/>
  <c r="M1321" i="2"/>
  <c r="K1321" i="2"/>
  <c r="M1318" i="2"/>
  <c r="K1318" i="2"/>
  <c r="M1317" i="2"/>
  <c r="K1317" i="2"/>
  <c r="M1316" i="2"/>
  <c r="K1316" i="2"/>
  <c r="M1314" i="2"/>
  <c r="K1314" i="2"/>
  <c r="M1313" i="2"/>
  <c r="K1313" i="2"/>
  <c r="M1312" i="2"/>
  <c r="K1312" i="2"/>
  <c r="M1311" i="2"/>
  <c r="K1311" i="2"/>
  <c r="M1307" i="2"/>
  <c r="K1307" i="2"/>
  <c r="M1305" i="2"/>
  <c r="K1305" i="2"/>
  <c r="M1304" i="2"/>
  <c r="K1304" i="2"/>
  <c r="M1303" i="2"/>
  <c r="K1303" i="2"/>
  <c r="M1301" i="2"/>
  <c r="K1301" i="2"/>
  <c r="M1300" i="2"/>
  <c r="K1300" i="2"/>
  <c r="M1299" i="2"/>
  <c r="K1299" i="2"/>
  <c r="M1298" i="2"/>
  <c r="K1298" i="2"/>
  <c r="M1297" i="2"/>
  <c r="K1297" i="2"/>
  <c r="M1295" i="2"/>
  <c r="K1295" i="2"/>
  <c r="M1293" i="2"/>
  <c r="K1293" i="2"/>
  <c r="M1291" i="2"/>
  <c r="K1291" i="2"/>
  <c r="M1289" i="2"/>
  <c r="K1289" i="2"/>
  <c r="M1287" i="2"/>
  <c r="K1287" i="2"/>
  <c r="M1285" i="2"/>
  <c r="K1285" i="2"/>
  <c r="M1283" i="2"/>
  <c r="K1283" i="2"/>
  <c r="M1281" i="2"/>
  <c r="K1281" i="2"/>
  <c r="M1280" i="2"/>
  <c r="K1280" i="2"/>
  <c r="M1279" i="2"/>
  <c r="K1279" i="2"/>
  <c r="M1278" i="2"/>
  <c r="K1278" i="2"/>
  <c r="M1276" i="2"/>
  <c r="K1276" i="2"/>
  <c r="M1274" i="2"/>
  <c r="K1274" i="2"/>
  <c r="M1272" i="2"/>
  <c r="K1272" i="2"/>
  <c r="M1270" i="2"/>
  <c r="K1270" i="2"/>
  <c r="M1268" i="2"/>
  <c r="K1268" i="2"/>
  <c r="M1266" i="2"/>
  <c r="K1266" i="2"/>
  <c r="M1262" i="2"/>
  <c r="K1262" i="2"/>
  <c r="M1259" i="2"/>
  <c r="K1259" i="2"/>
  <c r="M1256" i="2"/>
  <c r="K1256" i="2"/>
  <c r="M1254" i="2"/>
  <c r="K1254" i="2"/>
  <c r="M1252" i="2"/>
  <c r="K1252" i="2"/>
  <c r="M1250" i="2"/>
  <c r="K1250" i="2"/>
  <c r="M1249" i="2"/>
  <c r="K1249" i="2"/>
  <c r="M1246" i="2"/>
  <c r="K1246" i="2"/>
  <c r="M1245" i="2"/>
  <c r="K1245" i="2"/>
  <c r="M1244" i="2"/>
  <c r="K1244" i="2"/>
  <c r="M1242" i="2"/>
  <c r="K1242" i="2"/>
  <c r="M1241" i="2"/>
  <c r="K1241" i="2"/>
  <c r="M1240" i="2"/>
  <c r="K1240" i="2"/>
  <c r="M1239" i="2"/>
  <c r="K1239" i="2"/>
  <c r="M1235" i="2"/>
  <c r="K1235" i="2"/>
  <c r="M1233" i="2"/>
  <c r="K1233" i="2"/>
  <c r="M1232" i="2"/>
  <c r="K1232" i="2"/>
  <c r="M1231" i="2"/>
  <c r="K1231" i="2"/>
  <c r="M1229" i="2"/>
  <c r="K1229" i="2"/>
  <c r="M1228" i="2"/>
  <c r="K1228" i="2"/>
  <c r="M1227" i="2"/>
  <c r="K1227" i="2"/>
  <c r="M1226" i="2"/>
  <c r="K1226" i="2"/>
  <c r="M1225" i="2"/>
  <c r="K1225" i="2"/>
  <c r="M1223" i="2"/>
  <c r="K1223" i="2"/>
  <c r="M1221" i="2"/>
  <c r="K1221" i="2"/>
  <c r="M1219" i="2"/>
  <c r="K1219" i="2"/>
  <c r="M1217" i="2"/>
  <c r="K1217" i="2"/>
  <c r="M1215" i="2"/>
  <c r="K1215" i="2"/>
  <c r="M1213" i="2"/>
  <c r="K1213" i="2"/>
  <c r="M1211" i="2"/>
  <c r="K1211" i="2"/>
  <c r="M1209" i="2"/>
  <c r="K1209" i="2"/>
  <c r="M1208" i="2"/>
  <c r="K1208" i="2"/>
  <c r="M1207" i="2"/>
  <c r="K1207" i="2"/>
  <c r="M1206" i="2"/>
  <c r="K1206" i="2"/>
  <c r="M1204" i="2"/>
  <c r="K1204" i="2"/>
  <c r="M1202" i="2"/>
  <c r="K1202" i="2"/>
  <c r="M1200" i="2"/>
  <c r="K1200" i="2"/>
  <c r="M1198" i="2"/>
  <c r="K1198" i="2"/>
  <c r="M1196" i="2"/>
  <c r="K1196" i="2"/>
  <c r="M1194" i="2"/>
  <c r="K1194" i="2"/>
  <c r="M1190" i="2"/>
  <c r="K1190" i="2"/>
  <c r="M1187" i="2"/>
  <c r="K1187" i="2"/>
  <c r="M1184" i="2"/>
  <c r="K1184" i="2"/>
  <c r="M1182" i="2"/>
  <c r="K1182" i="2"/>
  <c r="M1180" i="2"/>
  <c r="K1180" i="2"/>
  <c r="M1178" i="2"/>
  <c r="K1178" i="2"/>
  <c r="M1177" i="2"/>
  <c r="K1177" i="2"/>
  <c r="M1174" i="2"/>
  <c r="K1174" i="2"/>
  <c r="M1173" i="2"/>
  <c r="K1173" i="2"/>
  <c r="M1172" i="2"/>
  <c r="K1172" i="2"/>
  <c r="M1170" i="2"/>
  <c r="K1170" i="2"/>
  <c r="M1169" i="2"/>
  <c r="K1169" i="2"/>
  <c r="M1168" i="2"/>
  <c r="K1168" i="2"/>
  <c r="M1167" i="2"/>
  <c r="K1167" i="2"/>
  <c r="M1163" i="2"/>
  <c r="K1163" i="2"/>
  <c r="M1161" i="2"/>
  <c r="K1161" i="2"/>
  <c r="M1160" i="2"/>
  <c r="K1160" i="2"/>
  <c r="M1159" i="2"/>
  <c r="K1159" i="2"/>
  <c r="M1157" i="2"/>
  <c r="K1157" i="2"/>
  <c r="M1156" i="2"/>
  <c r="K1156" i="2"/>
  <c r="M1155" i="2"/>
  <c r="K1155" i="2"/>
  <c r="M1154" i="2"/>
  <c r="K1154" i="2"/>
  <c r="M1153" i="2"/>
  <c r="K1153" i="2"/>
  <c r="M1151" i="2"/>
  <c r="K1151" i="2"/>
  <c r="M1149" i="2"/>
  <c r="K1149" i="2"/>
  <c r="M1147" i="2"/>
  <c r="K1147" i="2"/>
  <c r="M1145" i="2"/>
  <c r="K1145" i="2"/>
  <c r="M1143" i="2"/>
  <c r="K1143" i="2"/>
  <c r="M1141" i="2"/>
  <c r="K1141" i="2"/>
  <c r="M1139" i="2"/>
  <c r="K1139" i="2"/>
  <c r="M1137" i="2"/>
  <c r="K1137" i="2"/>
  <c r="M1136" i="2"/>
  <c r="K1136" i="2"/>
  <c r="M1135" i="2"/>
  <c r="K1135" i="2"/>
  <c r="M1134" i="2"/>
  <c r="K1134" i="2"/>
  <c r="M1132" i="2"/>
  <c r="K1132" i="2"/>
  <c r="M1130" i="2"/>
  <c r="K1130" i="2"/>
  <c r="M1128" i="2"/>
  <c r="K1128" i="2"/>
  <c r="M1126" i="2"/>
  <c r="K1126" i="2"/>
  <c r="M1124" i="2"/>
  <c r="K1124" i="2"/>
  <c r="M1122" i="2"/>
  <c r="K1122" i="2"/>
  <c r="M1118" i="2"/>
  <c r="K1118" i="2"/>
  <c r="M1115" i="2"/>
  <c r="K1115" i="2"/>
  <c r="M1112" i="2"/>
  <c r="K1112" i="2"/>
  <c r="M1110" i="2"/>
  <c r="K1110" i="2"/>
  <c r="M1108" i="2"/>
  <c r="K1108" i="2"/>
  <c r="M1106" i="2"/>
  <c r="K1106" i="2"/>
  <c r="M1105" i="2"/>
  <c r="K1105" i="2"/>
  <c r="M1102" i="2"/>
  <c r="K1102" i="2"/>
  <c r="M1101" i="2"/>
  <c r="K1101" i="2"/>
  <c r="M1100" i="2"/>
  <c r="K1100" i="2"/>
  <c r="M1098" i="2"/>
  <c r="K1098" i="2"/>
  <c r="M1097" i="2"/>
  <c r="K1097" i="2"/>
  <c r="M1096" i="2"/>
  <c r="K1096" i="2"/>
  <c r="M1095" i="2"/>
  <c r="K1095" i="2"/>
  <c r="M1091" i="2"/>
  <c r="K1091" i="2"/>
  <c r="M1089" i="2"/>
  <c r="K1089" i="2"/>
  <c r="M1088" i="2"/>
  <c r="K1088" i="2"/>
  <c r="M1087" i="2"/>
  <c r="K1087" i="2"/>
  <c r="M1085" i="2"/>
  <c r="K1085" i="2"/>
  <c r="M1084" i="2"/>
  <c r="K1084" i="2"/>
  <c r="M1083" i="2"/>
  <c r="K1083" i="2"/>
  <c r="M1082" i="2"/>
  <c r="K1082" i="2"/>
  <c r="M1081" i="2"/>
  <c r="K1081" i="2"/>
  <c r="M1079" i="2"/>
  <c r="K1079" i="2"/>
  <c r="M1077" i="2"/>
  <c r="K1077" i="2"/>
  <c r="M1075" i="2"/>
  <c r="K1075" i="2"/>
  <c r="M1073" i="2"/>
  <c r="K1073" i="2"/>
  <c r="M1071" i="2"/>
  <c r="K1071" i="2"/>
  <c r="M1069" i="2"/>
  <c r="K1069" i="2"/>
  <c r="M1067" i="2"/>
  <c r="K1067" i="2"/>
  <c r="M1065" i="2"/>
  <c r="K1065" i="2"/>
  <c r="M1063" i="2"/>
  <c r="K1063" i="2"/>
  <c r="M1062" i="2"/>
  <c r="K1062" i="2"/>
  <c r="M1061" i="2"/>
  <c r="K1061" i="2"/>
  <c r="M1060" i="2"/>
  <c r="K1060" i="2"/>
  <c r="M1058" i="2"/>
  <c r="K1058" i="2"/>
  <c r="M1056" i="2"/>
  <c r="K1056" i="2"/>
  <c r="M1054" i="2"/>
  <c r="K1054" i="2"/>
  <c r="M1052" i="2"/>
  <c r="K1052" i="2"/>
  <c r="M1050" i="2"/>
  <c r="K1050" i="2"/>
  <c r="M1048" i="2"/>
  <c r="K1048" i="2"/>
  <c r="M1044" i="2"/>
  <c r="K1044" i="2"/>
  <c r="M1042" i="2"/>
  <c r="K1042" i="2"/>
  <c r="M1040" i="2"/>
  <c r="K1040" i="2"/>
  <c r="M1038" i="2"/>
  <c r="K1038" i="2"/>
  <c r="M1036" i="2"/>
  <c r="K1036" i="2"/>
  <c r="M1035" i="2"/>
  <c r="K1035" i="2"/>
  <c r="M1032" i="2"/>
  <c r="K1032" i="2"/>
  <c r="M1031" i="2"/>
  <c r="K1031" i="2"/>
  <c r="M1030" i="2"/>
  <c r="K1030" i="2"/>
  <c r="M1028" i="2"/>
  <c r="K1028" i="2"/>
  <c r="M1027" i="2"/>
  <c r="K1027" i="2"/>
  <c r="M1026" i="2"/>
  <c r="K1026" i="2"/>
  <c r="M1025" i="2"/>
  <c r="K1025" i="2"/>
  <c r="M1021" i="2"/>
  <c r="K1021" i="2"/>
  <c r="M1020" i="2"/>
  <c r="K1020" i="2"/>
  <c r="M1017" i="2"/>
  <c r="K1017" i="2"/>
  <c r="M1015" i="2"/>
  <c r="K1015" i="2"/>
  <c r="M1013" i="2"/>
  <c r="K1013" i="2"/>
  <c r="M1011" i="2"/>
  <c r="K1011" i="2"/>
  <c r="M1009" i="2"/>
  <c r="K1009" i="2"/>
  <c r="M1007" i="2"/>
  <c r="K1007" i="2"/>
  <c r="M1005" i="2"/>
  <c r="K1005" i="2"/>
  <c r="M1003" i="2"/>
  <c r="K1003" i="2"/>
  <c r="M1001" i="2"/>
  <c r="K1001" i="2"/>
  <c r="M999" i="2"/>
  <c r="K999" i="2"/>
  <c r="M997" i="2"/>
  <c r="K997" i="2"/>
  <c r="M995" i="2"/>
  <c r="K995" i="2"/>
  <c r="M993" i="2"/>
  <c r="K993" i="2"/>
  <c r="M991" i="2"/>
  <c r="K991" i="2"/>
  <c r="M989" i="2"/>
  <c r="K989" i="2"/>
  <c r="M987" i="2"/>
  <c r="K987" i="2"/>
  <c r="M985" i="2"/>
  <c r="K985" i="2"/>
  <c r="M981" i="2"/>
  <c r="K981" i="2"/>
  <c r="M978" i="2"/>
  <c r="K978" i="2"/>
  <c r="M975" i="2"/>
  <c r="K975" i="2"/>
  <c r="M973" i="2"/>
  <c r="K973" i="2"/>
  <c r="M971" i="2"/>
  <c r="K971" i="2"/>
  <c r="M969" i="2"/>
  <c r="K969" i="2"/>
  <c r="M968" i="2"/>
  <c r="K968" i="2"/>
  <c r="M965" i="2"/>
  <c r="K965" i="2"/>
  <c r="M964" i="2"/>
  <c r="K964" i="2"/>
  <c r="M963" i="2"/>
  <c r="K963" i="2"/>
  <c r="M961" i="2"/>
  <c r="K961" i="2"/>
  <c r="M960" i="2"/>
  <c r="K960" i="2"/>
  <c r="M959" i="2"/>
  <c r="K959" i="2"/>
  <c r="M958" i="2"/>
  <c r="K958" i="2"/>
  <c r="M954" i="2"/>
  <c r="K954" i="2"/>
  <c r="M953" i="2"/>
  <c r="K953" i="2"/>
  <c r="M950" i="2"/>
  <c r="K950" i="2"/>
  <c r="M948" i="2"/>
  <c r="K948" i="2"/>
  <c r="M946" i="2"/>
  <c r="K946" i="2"/>
  <c r="M944" i="2"/>
  <c r="K944" i="2"/>
  <c r="M942" i="2"/>
  <c r="K942" i="2"/>
  <c r="M940" i="2"/>
  <c r="K940" i="2"/>
  <c r="M938" i="2"/>
  <c r="K938" i="2"/>
  <c r="M936" i="2"/>
  <c r="K936" i="2"/>
  <c r="M934" i="2"/>
  <c r="K934" i="2"/>
  <c r="M932" i="2"/>
  <c r="K932" i="2"/>
  <c r="M930" i="2"/>
  <c r="K930" i="2"/>
  <c r="M926" i="2"/>
  <c r="K926" i="2"/>
  <c r="M924" i="2"/>
  <c r="K924" i="2"/>
  <c r="M922" i="2"/>
  <c r="K922" i="2"/>
  <c r="M920" i="2"/>
  <c r="K920" i="2"/>
  <c r="M918" i="2"/>
  <c r="K918" i="2"/>
  <c r="M917" i="2"/>
  <c r="K917" i="2"/>
  <c r="M914" i="2"/>
  <c r="K914" i="2"/>
  <c r="M913" i="2"/>
  <c r="K913" i="2"/>
  <c r="M912" i="2"/>
  <c r="K912" i="2"/>
  <c r="M911" i="2"/>
  <c r="K911" i="2"/>
  <c r="M910" i="2"/>
  <c r="K910" i="2"/>
  <c r="M906" i="2"/>
  <c r="K906" i="2"/>
  <c r="M904" i="2"/>
  <c r="K904" i="2"/>
  <c r="M902" i="2"/>
  <c r="K902" i="2"/>
  <c r="M901" i="2"/>
  <c r="K901" i="2"/>
  <c r="M900" i="2"/>
  <c r="K900" i="2"/>
  <c r="M899" i="2"/>
  <c r="K899" i="2"/>
  <c r="M898" i="2"/>
  <c r="K898" i="2"/>
  <c r="M897" i="2"/>
  <c r="K897" i="2"/>
  <c r="M895" i="2"/>
  <c r="K895" i="2"/>
  <c r="M893" i="2"/>
  <c r="K893" i="2"/>
  <c r="M891" i="2"/>
  <c r="K891" i="2"/>
  <c r="M889" i="2"/>
  <c r="K889" i="2"/>
  <c r="M888" i="2"/>
  <c r="K888" i="2"/>
  <c r="M886" i="2"/>
  <c r="K886" i="2"/>
  <c r="M884" i="2"/>
  <c r="K884" i="2"/>
  <c r="M882" i="2"/>
  <c r="K882" i="2"/>
  <c r="M880" i="2"/>
  <c r="K880" i="2"/>
  <c r="M878" i="2"/>
  <c r="K878" i="2"/>
  <c r="M876" i="2"/>
  <c r="K876" i="2"/>
  <c r="M872" i="2"/>
  <c r="K872" i="2"/>
  <c r="M870" i="2"/>
  <c r="K870" i="2"/>
  <c r="M868" i="2"/>
  <c r="K868" i="2"/>
  <c r="M866" i="2"/>
  <c r="K866" i="2"/>
  <c r="M864" i="2"/>
  <c r="K864" i="2"/>
  <c r="M863" i="2"/>
  <c r="K863" i="2"/>
  <c r="M860" i="2"/>
  <c r="K860" i="2"/>
  <c r="M859" i="2"/>
  <c r="K859" i="2"/>
  <c r="M858" i="2"/>
  <c r="K858" i="2"/>
  <c r="M857" i="2"/>
  <c r="K857" i="2"/>
  <c r="M853" i="2"/>
  <c r="K853" i="2"/>
  <c r="M851" i="2"/>
  <c r="K851" i="2"/>
  <c r="M849" i="2"/>
  <c r="K849" i="2"/>
  <c r="M848" i="2"/>
  <c r="K848" i="2"/>
  <c r="M847" i="2"/>
  <c r="K847" i="2"/>
  <c r="M846" i="2"/>
  <c r="K846" i="2"/>
  <c r="M845" i="2"/>
  <c r="K845" i="2"/>
  <c r="M844" i="2"/>
  <c r="K844" i="2"/>
  <c r="M842" i="2"/>
  <c r="K842" i="2"/>
  <c r="M840" i="2"/>
  <c r="K840" i="2"/>
  <c r="M838" i="2"/>
  <c r="K838" i="2"/>
  <c r="M836" i="2"/>
  <c r="K836" i="2"/>
  <c r="M835" i="2"/>
  <c r="K835" i="2"/>
  <c r="M833" i="2"/>
  <c r="K833" i="2"/>
  <c r="M831" i="2"/>
  <c r="K831" i="2"/>
  <c r="M829" i="2"/>
  <c r="K829" i="2"/>
  <c r="M827" i="2"/>
  <c r="K827" i="2"/>
  <c r="M825" i="2"/>
  <c r="K825" i="2"/>
  <c r="M823" i="2"/>
  <c r="K823" i="2"/>
  <c r="M819" i="2"/>
  <c r="K819" i="2"/>
  <c r="M816" i="2"/>
  <c r="K816" i="2"/>
  <c r="M813" i="2"/>
  <c r="K813" i="2"/>
  <c r="M811" i="2"/>
  <c r="K811" i="2"/>
  <c r="M809" i="2"/>
  <c r="K809" i="2"/>
  <c r="M807" i="2"/>
  <c r="K807" i="2"/>
  <c r="M806" i="2"/>
  <c r="K806" i="2"/>
  <c r="M803" i="2"/>
  <c r="K803" i="2"/>
  <c r="M802" i="2"/>
  <c r="K802" i="2"/>
  <c r="M801" i="2"/>
  <c r="K801" i="2"/>
  <c r="M800" i="2"/>
  <c r="K800" i="2"/>
  <c r="M796" i="2"/>
  <c r="K796" i="2"/>
  <c r="M794" i="2"/>
  <c r="K794" i="2"/>
  <c r="M792" i="2"/>
  <c r="K792" i="2"/>
  <c r="M791" i="2"/>
  <c r="K791" i="2"/>
  <c r="M790" i="2"/>
  <c r="K790" i="2"/>
  <c r="M789" i="2"/>
  <c r="K789" i="2"/>
  <c r="M788" i="2"/>
  <c r="K788" i="2"/>
  <c r="M787" i="2"/>
  <c r="K787" i="2"/>
  <c r="M785" i="2"/>
  <c r="K785" i="2"/>
  <c r="M783" i="2"/>
  <c r="K783" i="2"/>
  <c r="M781" i="2"/>
  <c r="K781" i="2"/>
  <c r="M779" i="2"/>
  <c r="K779" i="2"/>
  <c r="M778" i="2"/>
  <c r="K778" i="2"/>
  <c r="M776" i="2"/>
  <c r="K776" i="2"/>
  <c r="M774" i="2"/>
  <c r="K774" i="2"/>
  <c r="M772" i="2"/>
  <c r="K772" i="2"/>
  <c r="M770" i="2"/>
  <c r="K770" i="2"/>
  <c r="M768" i="2"/>
  <c r="K768" i="2"/>
  <c r="M766" i="2"/>
  <c r="K766" i="2"/>
  <c r="M762" i="2"/>
  <c r="K762" i="2"/>
  <c r="M759" i="2"/>
  <c r="K759" i="2"/>
  <c r="M756" i="2"/>
  <c r="K756" i="2"/>
  <c r="M754" i="2"/>
  <c r="K754" i="2"/>
  <c r="M752" i="2"/>
  <c r="K752" i="2"/>
  <c r="M750" i="2"/>
  <c r="K750" i="2"/>
  <c r="M749" i="2"/>
  <c r="K749" i="2"/>
  <c r="M746" i="2"/>
  <c r="K746" i="2"/>
  <c r="M745" i="2"/>
  <c r="K745" i="2"/>
  <c r="M744" i="2"/>
  <c r="K744" i="2"/>
  <c r="M743" i="2"/>
  <c r="K743" i="2"/>
  <c r="M739" i="2"/>
  <c r="K739" i="2"/>
  <c r="M737" i="2"/>
  <c r="K737" i="2"/>
  <c r="M735" i="2"/>
  <c r="K735" i="2"/>
  <c r="M734" i="2"/>
  <c r="K734" i="2"/>
  <c r="M733" i="2"/>
  <c r="K733" i="2"/>
  <c r="M732" i="2"/>
  <c r="K732" i="2"/>
  <c r="M731" i="2"/>
  <c r="K731" i="2"/>
  <c r="M730" i="2"/>
  <c r="K730" i="2"/>
  <c r="M728" i="2"/>
  <c r="K728" i="2"/>
  <c r="M726" i="2"/>
  <c r="K726" i="2"/>
  <c r="M724" i="2"/>
  <c r="K724" i="2"/>
  <c r="M722" i="2"/>
  <c r="K722" i="2"/>
  <c r="M721" i="2"/>
  <c r="K721" i="2"/>
  <c r="M719" i="2"/>
  <c r="K719" i="2"/>
  <c r="M717" i="2"/>
  <c r="K717" i="2"/>
  <c r="M715" i="2"/>
  <c r="K715" i="2"/>
  <c r="M713" i="2"/>
  <c r="K713" i="2"/>
  <c r="M711" i="2"/>
  <c r="K711" i="2"/>
  <c r="M709" i="2"/>
  <c r="K709" i="2"/>
  <c r="M705" i="2"/>
  <c r="K705" i="2"/>
  <c r="M702" i="2"/>
  <c r="K702" i="2"/>
  <c r="M699" i="2"/>
  <c r="K699" i="2"/>
  <c r="M697" i="2"/>
  <c r="K697" i="2"/>
  <c r="M695" i="2"/>
  <c r="K695" i="2"/>
  <c r="M693" i="2"/>
  <c r="K693" i="2"/>
  <c r="M692" i="2"/>
  <c r="K692" i="2"/>
  <c r="M689" i="2"/>
  <c r="K689" i="2"/>
  <c r="M688" i="2"/>
  <c r="K688" i="2"/>
  <c r="M687" i="2"/>
  <c r="K687" i="2"/>
  <c r="M686" i="2"/>
  <c r="K686" i="2"/>
  <c r="M685" i="2"/>
  <c r="K685" i="2"/>
  <c r="M681" i="2"/>
  <c r="K681" i="2"/>
  <c r="M679" i="2"/>
  <c r="K679" i="2"/>
  <c r="M677" i="2"/>
  <c r="K677" i="2"/>
  <c r="M676" i="2"/>
  <c r="K676" i="2"/>
  <c r="M675" i="2"/>
  <c r="K675" i="2"/>
  <c r="M674" i="2"/>
  <c r="K674" i="2"/>
  <c r="M673" i="2"/>
  <c r="K673" i="2"/>
  <c r="M672" i="2"/>
  <c r="K672" i="2"/>
  <c r="M671" i="2"/>
  <c r="K671" i="2"/>
  <c r="M670" i="2"/>
  <c r="K670" i="2"/>
  <c r="M669" i="2"/>
  <c r="K669" i="2"/>
  <c r="M668" i="2"/>
  <c r="K668" i="2"/>
  <c r="M667" i="2"/>
  <c r="K667" i="2"/>
  <c r="M666" i="2"/>
  <c r="K666" i="2"/>
  <c r="M665" i="2"/>
  <c r="K665" i="2"/>
  <c r="M664" i="2"/>
  <c r="K664" i="2"/>
  <c r="M663" i="2"/>
  <c r="K663" i="2"/>
  <c r="M662" i="2"/>
  <c r="K662" i="2"/>
  <c r="M660" i="2"/>
  <c r="K660" i="2"/>
  <c r="M658" i="2"/>
  <c r="K658" i="2"/>
  <c r="M656" i="2"/>
  <c r="K656" i="2"/>
  <c r="M654" i="2"/>
  <c r="K654" i="2"/>
  <c r="M652" i="2"/>
  <c r="K652" i="2"/>
  <c r="M650" i="2"/>
  <c r="K650" i="2"/>
  <c r="M648" i="2"/>
  <c r="K648" i="2"/>
  <c r="M646" i="2"/>
  <c r="K646" i="2"/>
  <c r="M644" i="2"/>
  <c r="K644" i="2"/>
  <c r="M642" i="2"/>
  <c r="K642" i="2"/>
  <c r="M640" i="2"/>
  <c r="K640" i="2"/>
  <c r="M636" i="2"/>
  <c r="K636" i="2"/>
  <c r="M635" i="2"/>
  <c r="K635" i="2"/>
  <c r="M634" i="2"/>
  <c r="K634" i="2"/>
  <c r="M633" i="2"/>
  <c r="K633" i="2"/>
  <c r="M632" i="2"/>
  <c r="K632" i="2"/>
  <c r="M631" i="2"/>
  <c r="K631" i="2"/>
  <c r="M627" i="2"/>
  <c r="K627" i="2"/>
  <c r="M624" i="2"/>
  <c r="K624" i="2"/>
  <c r="M621" i="2"/>
  <c r="K621" i="2"/>
  <c r="M619" i="2"/>
  <c r="K619" i="2"/>
  <c r="M617" i="2"/>
  <c r="K617" i="2"/>
  <c r="M615" i="2"/>
  <c r="K615" i="2"/>
  <c r="M614" i="2"/>
  <c r="K614" i="2"/>
  <c r="M611" i="2"/>
  <c r="K611" i="2"/>
  <c r="M609" i="2"/>
  <c r="K609" i="2"/>
  <c r="M607" i="2"/>
  <c r="K607" i="2"/>
  <c r="M606" i="2"/>
  <c r="K606" i="2"/>
  <c r="M605" i="2"/>
  <c r="K605" i="2"/>
  <c r="M604" i="2"/>
  <c r="K604" i="2"/>
  <c r="M603" i="2"/>
  <c r="K603" i="2"/>
  <c r="M602" i="2"/>
  <c r="K602" i="2"/>
  <c r="M601" i="2"/>
  <c r="K601" i="2"/>
  <c r="M600" i="2"/>
  <c r="K600" i="2"/>
  <c r="M599" i="2"/>
  <c r="K599" i="2"/>
  <c r="M598" i="2"/>
  <c r="K598" i="2"/>
  <c r="M597" i="2"/>
  <c r="K597" i="2"/>
  <c r="M596" i="2"/>
  <c r="K596" i="2"/>
  <c r="M595" i="2"/>
  <c r="K595" i="2"/>
  <c r="M594" i="2"/>
  <c r="K594" i="2"/>
  <c r="M593" i="2"/>
  <c r="K593" i="2"/>
  <c r="M592" i="2"/>
  <c r="K592" i="2"/>
  <c r="M590" i="2"/>
  <c r="K590" i="2"/>
  <c r="M588" i="2"/>
  <c r="K588" i="2"/>
  <c r="M586" i="2"/>
  <c r="K586" i="2"/>
  <c r="M584" i="2"/>
  <c r="K584" i="2"/>
  <c r="M582" i="2"/>
  <c r="K582" i="2"/>
  <c r="M580" i="2"/>
  <c r="K580" i="2"/>
  <c r="M578" i="2"/>
  <c r="K578" i="2"/>
  <c r="M576" i="2"/>
  <c r="K576" i="2"/>
  <c r="M574" i="2"/>
  <c r="K574" i="2"/>
  <c r="M572" i="2"/>
  <c r="K572" i="2"/>
  <c r="M570" i="2"/>
  <c r="K570" i="2"/>
  <c r="M566" i="2"/>
  <c r="K566" i="2"/>
  <c r="M563" i="2"/>
  <c r="K563" i="2"/>
  <c r="M560" i="2"/>
  <c r="K560" i="2"/>
  <c r="M558" i="2"/>
  <c r="K558" i="2"/>
  <c r="M556" i="2"/>
  <c r="K556" i="2"/>
  <c r="M554" i="2"/>
  <c r="K554" i="2"/>
  <c r="M553" i="2"/>
  <c r="K553" i="2"/>
  <c r="M550" i="2"/>
  <c r="K550" i="2"/>
  <c r="M549" i="2"/>
  <c r="K549" i="2"/>
  <c r="M548" i="2"/>
  <c r="K548" i="2"/>
  <c r="M547" i="2"/>
  <c r="K547" i="2"/>
  <c r="M543" i="2"/>
  <c r="K543" i="2"/>
  <c r="M541" i="2"/>
  <c r="K541" i="2"/>
  <c r="M539" i="2"/>
  <c r="K539" i="2"/>
  <c r="M538" i="2"/>
  <c r="K538" i="2"/>
  <c r="M537" i="2"/>
  <c r="K537" i="2"/>
  <c r="M536" i="2"/>
  <c r="K536" i="2"/>
  <c r="M535" i="2"/>
  <c r="K535" i="2"/>
  <c r="M534" i="2"/>
  <c r="K534" i="2"/>
  <c r="M533" i="2"/>
  <c r="K533" i="2"/>
  <c r="M532" i="2"/>
  <c r="K532" i="2"/>
  <c r="M531" i="2"/>
  <c r="K531" i="2"/>
  <c r="M530" i="2"/>
  <c r="K530" i="2"/>
  <c r="M529" i="2"/>
  <c r="K529" i="2"/>
  <c r="M528" i="2"/>
  <c r="K528" i="2"/>
  <c r="M527" i="2"/>
  <c r="K527" i="2"/>
  <c r="M526" i="2"/>
  <c r="K526" i="2"/>
  <c r="M525" i="2"/>
  <c r="K525" i="2"/>
  <c r="M524" i="2"/>
  <c r="K524" i="2"/>
  <c r="M522" i="2"/>
  <c r="K522" i="2"/>
  <c r="M520" i="2"/>
  <c r="K520" i="2"/>
  <c r="M518" i="2"/>
  <c r="K518" i="2"/>
  <c r="M516" i="2"/>
  <c r="K516" i="2"/>
  <c r="M514" i="2"/>
  <c r="K514" i="2"/>
  <c r="M512" i="2"/>
  <c r="K512" i="2"/>
  <c r="M510" i="2"/>
  <c r="K510" i="2"/>
  <c r="M508" i="2"/>
  <c r="K508" i="2"/>
  <c r="M506" i="2"/>
  <c r="K506" i="2"/>
  <c r="M504" i="2"/>
  <c r="K504" i="2"/>
  <c r="M502" i="2"/>
  <c r="K502" i="2"/>
  <c r="M498" i="2"/>
  <c r="K498" i="2"/>
  <c r="M495" i="2"/>
  <c r="K495" i="2"/>
  <c r="M492" i="2"/>
  <c r="K492" i="2"/>
  <c r="M490" i="2"/>
  <c r="K490" i="2"/>
  <c r="M488" i="2"/>
  <c r="K488" i="2"/>
  <c r="M486" i="2"/>
  <c r="K486" i="2"/>
  <c r="M485" i="2"/>
  <c r="K485" i="2"/>
  <c r="M482" i="2"/>
  <c r="K482" i="2"/>
  <c r="M481" i="2"/>
  <c r="K481" i="2"/>
  <c r="M480" i="2"/>
  <c r="K480" i="2"/>
  <c r="M479" i="2"/>
  <c r="K479" i="2"/>
  <c r="M478" i="2"/>
  <c r="K478" i="2"/>
  <c r="M477" i="2"/>
  <c r="K477" i="2"/>
  <c r="M473" i="2"/>
  <c r="K473" i="2"/>
  <c r="M471" i="2"/>
  <c r="K471" i="2"/>
  <c r="M469" i="2"/>
  <c r="K469" i="2"/>
  <c r="M468" i="2"/>
  <c r="K468" i="2"/>
  <c r="M467" i="2"/>
  <c r="K467" i="2"/>
  <c r="M466" i="2"/>
  <c r="K466" i="2"/>
  <c r="M465" i="2"/>
  <c r="K465" i="2"/>
  <c r="M464" i="2"/>
  <c r="K464" i="2"/>
  <c r="M463" i="2"/>
  <c r="K463" i="2"/>
  <c r="M462" i="2"/>
  <c r="K462" i="2"/>
  <c r="M461" i="2"/>
  <c r="K461" i="2"/>
  <c r="M460" i="2"/>
  <c r="K460" i="2"/>
  <c r="M459" i="2"/>
  <c r="K459" i="2"/>
  <c r="M458" i="2"/>
  <c r="K458" i="2"/>
  <c r="M457" i="2"/>
  <c r="K457" i="2"/>
  <c r="M456" i="2"/>
  <c r="K456" i="2"/>
  <c r="M455" i="2"/>
  <c r="K455" i="2"/>
  <c r="M454" i="2"/>
  <c r="K454" i="2"/>
  <c r="M452" i="2"/>
  <c r="K452" i="2"/>
  <c r="M450" i="2"/>
  <c r="K450" i="2"/>
  <c r="M448" i="2"/>
  <c r="K448" i="2"/>
  <c r="M446" i="2"/>
  <c r="K446" i="2"/>
  <c r="M444" i="2"/>
  <c r="K444" i="2"/>
  <c r="M442" i="2"/>
  <c r="K442" i="2"/>
  <c r="M440" i="2"/>
  <c r="K440" i="2"/>
  <c r="M438" i="2"/>
  <c r="K438" i="2"/>
  <c r="M436" i="2"/>
  <c r="K436" i="2"/>
  <c r="M434" i="2"/>
  <c r="K434" i="2"/>
  <c r="M432" i="2"/>
  <c r="K432" i="2"/>
  <c r="M428" i="2"/>
  <c r="K428" i="2"/>
  <c r="M425" i="2"/>
  <c r="K425" i="2"/>
  <c r="M422" i="2"/>
  <c r="K422" i="2"/>
  <c r="M420" i="2"/>
  <c r="K420" i="2"/>
  <c r="M418" i="2"/>
  <c r="K418" i="2"/>
  <c r="M416" i="2"/>
  <c r="K416" i="2"/>
  <c r="M415" i="2"/>
  <c r="K415" i="2"/>
  <c r="M412" i="2"/>
  <c r="K412" i="2"/>
  <c r="M411" i="2"/>
  <c r="K411" i="2"/>
  <c r="M410" i="2"/>
  <c r="K410" i="2"/>
  <c r="M409" i="2"/>
  <c r="K409" i="2"/>
  <c r="M405" i="2"/>
  <c r="K405" i="2"/>
  <c r="M403" i="2"/>
  <c r="K403" i="2"/>
  <c r="M401" i="2"/>
  <c r="K401" i="2"/>
  <c r="M399" i="2"/>
  <c r="K399" i="2"/>
  <c r="M397" i="2"/>
  <c r="K397" i="2"/>
  <c r="M395" i="2"/>
  <c r="K395" i="2"/>
  <c r="M393" i="2"/>
  <c r="K393" i="2"/>
  <c r="M391" i="2"/>
  <c r="K391" i="2"/>
  <c r="M389" i="2"/>
  <c r="K389" i="2"/>
  <c r="M387" i="2"/>
  <c r="K387" i="2"/>
  <c r="M385" i="2"/>
  <c r="K385" i="2"/>
  <c r="M383" i="2"/>
  <c r="K383" i="2"/>
  <c r="M381" i="2"/>
  <c r="K381" i="2"/>
  <c r="M379" i="2"/>
  <c r="K379" i="2"/>
  <c r="M375" i="2"/>
  <c r="K375" i="2"/>
  <c r="M372" i="2"/>
  <c r="K372" i="2"/>
  <c r="M369" i="2"/>
  <c r="K369" i="2"/>
  <c r="M367" i="2"/>
  <c r="K367" i="2"/>
  <c r="M365" i="2"/>
  <c r="K365" i="2"/>
  <c r="M363" i="2"/>
  <c r="K363" i="2"/>
  <c r="M362" i="2"/>
  <c r="K362" i="2"/>
  <c r="M359" i="2"/>
  <c r="K359" i="2"/>
  <c r="M358" i="2"/>
  <c r="K358" i="2"/>
  <c r="M357" i="2"/>
  <c r="K357" i="2"/>
  <c r="M356" i="2"/>
  <c r="K356" i="2"/>
  <c r="M352" i="2"/>
  <c r="K352" i="2"/>
  <c r="M350" i="2"/>
  <c r="K350" i="2"/>
  <c r="M348" i="2"/>
  <c r="K348" i="2"/>
  <c r="M346" i="2"/>
  <c r="K346" i="2"/>
  <c r="M344" i="2"/>
  <c r="K344" i="2"/>
  <c r="M342" i="2"/>
  <c r="K342" i="2"/>
  <c r="M338" i="2"/>
  <c r="K338" i="2"/>
  <c r="M335" i="2"/>
  <c r="K335" i="2"/>
  <c r="M332" i="2"/>
  <c r="K332" i="2"/>
  <c r="M329" i="2"/>
  <c r="K329" i="2"/>
  <c r="M326" i="2"/>
  <c r="K326" i="2"/>
  <c r="M324" i="2"/>
  <c r="K324" i="2"/>
  <c r="M322" i="2"/>
  <c r="K322" i="2"/>
  <c r="M320" i="2"/>
  <c r="K320" i="2"/>
  <c r="M319" i="2"/>
  <c r="K319" i="2"/>
  <c r="M316" i="2"/>
  <c r="K316" i="2"/>
  <c r="M315" i="2"/>
  <c r="K315" i="2"/>
  <c r="M314" i="2"/>
  <c r="K314" i="2"/>
  <c r="M313" i="2"/>
  <c r="K313" i="2"/>
  <c r="M309" i="2"/>
  <c r="K309" i="2"/>
  <c r="M308" i="2"/>
  <c r="K308" i="2"/>
  <c r="M307" i="2"/>
  <c r="K307" i="2"/>
  <c r="M306" i="2"/>
  <c r="K306" i="2"/>
  <c r="M305" i="2"/>
  <c r="K305" i="2"/>
  <c r="M304" i="2"/>
  <c r="K304" i="2"/>
  <c r="M302" i="2"/>
  <c r="K302" i="2"/>
  <c r="M299" i="2"/>
  <c r="K299" i="2"/>
  <c r="M297" i="2"/>
  <c r="K297" i="2"/>
  <c r="M295" i="2"/>
  <c r="K295" i="2"/>
  <c r="M293" i="2"/>
  <c r="K293" i="2"/>
  <c r="M291" i="2"/>
  <c r="K291" i="2"/>
  <c r="M289" i="2"/>
  <c r="K289" i="2"/>
  <c r="M287" i="2"/>
  <c r="K287" i="2"/>
  <c r="M285" i="2"/>
  <c r="K285" i="2"/>
  <c r="M283" i="2"/>
  <c r="K283" i="2"/>
  <c r="M281" i="2"/>
  <c r="K281" i="2"/>
  <c r="M279" i="2"/>
  <c r="K279" i="2"/>
  <c r="M277" i="2"/>
  <c r="K277" i="2"/>
  <c r="M275" i="2"/>
  <c r="K275" i="2"/>
  <c r="M273" i="2"/>
  <c r="K273" i="2"/>
  <c r="M269" i="2"/>
  <c r="K269" i="2"/>
  <c r="M266" i="2"/>
  <c r="K266" i="2"/>
  <c r="M263" i="2"/>
  <c r="K263" i="2"/>
  <c r="M260" i="2"/>
  <c r="K260" i="2"/>
  <c r="M257" i="2"/>
  <c r="K257" i="2"/>
  <c r="M255" i="2"/>
  <c r="K255" i="2"/>
  <c r="M253" i="2"/>
  <c r="K253" i="2"/>
  <c r="M251" i="2"/>
  <c r="K251" i="2"/>
  <c r="M250" i="2"/>
  <c r="K250" i="2"/>
  <c r="M247" i="2"/>
  <c r="K247" i="2"/>
  <c r="M246" i="2"/>
  <c r="K246" i="2"/>
  <c r="M245" i="2"/>
  <c r="K245" i="2"/>
  <c r="M244" i="2"/>
  <c r="K244" i="2"/>
  <c r="M243" i="2"/>
  <c r="K243" i="2"/>
  <c r="M242" i="2"/>
  <c r="K242" i="2"/>
  <c r="M238" i="2"/>
  <c r="K238" i="2"/>
  <c r="M236" i="2"/>
  <c r="K236" i="2"/>
  <c r="M235" i="2"/>
  <c r="K235" i="2"/>
  <c r="M234" i="2"/>
  <c r="K234" i="2"/>
  <c r="M231" i="2"/>
  <c r="K231" i="2"/>
  <c r="M230" i="2"/>
  <c r="K230" i="2"/>
  <c r="M229" i="2"/>
  <c r="K229" i="2"/>
  <c r="M228" i="2"/>
  <c r="K228" i="2"/>
  <c r="M227" i="2"/>
  <c r="K227" i="2"/>
  <c r="M226" i="2"/>
  <c r="K226" i="2"/>
  <c r="M224" i="2"/>
  <c r="K224" i="2"/>
  <c r="M221" i="2"/>
  <c r="K221" i="2"/>
  <c r="M220" i="2"/>
  <c r="K220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4" i="2"/>
  <c r="K204" i="2"/>
  <c r="M203" i="2"/>
  <c r="K203" i="2"/>
  <c r="M202" i="2"/>
  <c r="K202" i="2"/>
  <c r="M201" i="2"/>
  <c r="K201" i="2"/>
  <c r="M200" i="2"/>
  <c r="K200" i="2"/>
  <c r="M198" i="2"/>
  <c r="K198" i="2"/>
  <c r="M196" i="2"/>
  <c r="K196" i="2"/>
  <c r="M193" i="2"/>
  <c r="K193" i="2"/>
  <c r="M191" i="2"/>
  <c r="K191" i="2"/>
  <c r="M189" i="2"/>
  <c r="K189" i="2"/>
  <c r="M187" i="2"/>
  <c r="K187" i="2"/>
  <c r="M185" i="2"/>
  <c r="K185" i="2"/>
  <c r="M183" i="2"/>
  <c r="K183" i="2"/>
  <c r="M181" i="2"/>
  <c r="K181" i="2"/>
  <c r="M179" i="2"/>
  <c r="K179" i="2"/>
  <c r="M177" i="2"/>
  <c r="K177" i="2"/>
  <c r="M175" i="2"/>
  <c r="K175" i="2"/>
  <c r="M173" i="2"/>
  <c r="K173" i="2"/>
  <c r="M171" i="2"/>
  <c r="K171" i="2"/>
  <c r="M169" i="2"/>
  <c r="K169" i="2"/>
  <c r="M165" i="2"/>
  <c r="K165" i="2"/>
  <c r="M162" i="2"/>
  <c r="K162" i="2"/>
  <c r="M159" i="2"/>
  <c r="K159" i="2"/>
  <c r="M157" i="2"/>
  <c r="K157" i="2"/>
  <c r="M155" i="2"/>
  <c r="K155" i="2"/>
  <c r="M153" i="2"/>
  <c r="K153" i="2"/>
  <c r="M152" i="2"/>
  <c r="K152" i="2"/>
  <c r="M149" i="2"/>
  <c r="K149" i="2"/>
  <c r="M148" i="2"/>
  <c r="K148" i="2"/>
  <c r="M147" i="2"/>
  <c r="K147" i="2"/>
  <c r="M145" i="2"/>
  <c r="K145" i="2"/>
  <c r="M144" i="2"/>
  <c r="K144" i="2"/>
  <c r="M143" i="2"/>
  <c r="K143" i="2"/>
  <c r="M142" i="2"/>
  <c r="K142" i="2"/>
  <c r="M138" i="2"/>
  <c r="K138" i="2"/>
  <c r="M135" i="2"/>
  <c r="K135" i="2"/>
  <c r="M134" i="2"/>
  <c r="K134" i="2"/>
  <c r="M133" i="2"/>
  <c r="K133" i="2"/>
  <c r="M132" i="2"/>
  <c r="K132" i="2"/>
  <c r="M131" i="2"/>
  <c r="K131" i="2"/>
  <c r="M130" i="2"/>
  <c r="K130" i="2"/>
  <c r="M129" i="2"/>
  <c r="K129" i="2"/>
  <c r="M128" i="2"/>
  <c r="K128" i="2"/>
  <c r="M126" i="2"/>
  <c r="K126" i="2"/>
  <c r="M123" i="2"/>
  <c r="K123" i="2"/>
  <c r="M120" i="2"/>
  <c r="K120" i="2"/>
  <c r="M117" i="2"/>
  <c r="K117" i="2"/>
  <c r="M116" i="2"/>
  <c r="K116" i="2"/>
  <c r="M115" i="2"/>
  <c r="K115" i="2"/>
  <c r="M114" i="2"/>
  <c r="K114" i="2"/>
  <c r="M113" i="2"/>
  <c r="K113" i="2"/>
  <c r="M112" i="2"/>
  <c r="K112" i="2"/>
  <c r="M111" i="2"/>
  <c r="K111" i="2"/>
  <c r="M110" i="2"/>
  <c r="K110" i="2"/>
  <c r="M109" i="2"/>
  <c r="K109" i="2"/>
  <c r="M108" i="2"/>
  <c r="K108" i="2"/>
  <c r="M105" i="2"/>
  <c r="K105" i="2"/>
  <c r="M104" i="2"/>
  <c r="K104" i="2"/>
  <c r="M103" i="2"/>
  <c r="K103" i="2"/>
  <c r="M102" i="2"/>
  <c r="K102" i="2"/>
  <c r="M101" i="2"/>
  <c r="K101" i="2"/>
  <c r="M100" i="2"/>
  <c r="K100" i="2"/>
  <c r="M99" i="2"/>
  <c r="K99" i="2"/>
  <c r="M98" i="2"/>
  <c r="K98" i="2"/>
  <c r="M97" i="2"/>
  <c r="K97" i="2"/>
  <c r="M95" i="2"/>
  <c r="K95" i="2"/>
  <c r="M93" i="2"/>
  <c r="K93" i="2"/>
  <c r="M90" i="2"/>
  <c r="K90" i="2"/>
  <c r="M89" i="2"/>
  <c r="K89" i="2"/>
  <c r="M86" i="2"/>
  <c r="K86" i="2"/>
  <c r="M84" i="2"/>
  <c r="K84" i="2"/>
  <c r="M82" i="2"/>
  <c r="K82" i="2"/>
  <c r="M80" i="2"/>
  <c r="K80" i="2"/>
  <c r="M78" i="2"/>
  <c r="K78" i="2"/>
  <c r="M76" i="2"/>
  <c r="K76" i="2"/>
  <c r="M74" i="2"/>
  <c r="K74" i="2"/>
  <c r="M72" i="2"/>
  <c r="K72" i="2"/>
  <c r="M70" i="2"/>
  <c r="K70" i="2"/>
  <c r="M68" i="2"/>
  <c r="K68" i="2"/>
  <c r="M64" i="2"/>
  <c r="K64" i="2"/>
  <c r="M62" i="2"/>
  <c r="K62" i="2"/>
  <c r="M60" i="2"/>
  <c r="K60" i="2"/>
  <c r="M58" i="2"/>
  <c r="K58" i="2"/>
  <c r="M57" i="2"/>
  <c r="K57" i="2"/>
  <c r="M54" i="2"/>
  <c r="K54" i="2"/>
  <c r="M51" i="2"/>
  <c r="K51" i="2"/>
  <c r="M48" i="2"/>
  <c r="K48" i="2"/>
  <c r="M45" i="2"/>
  <c r="K45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3" i="2"/>
  <c r="K33" i="2"/>
  <c r="M30" i="2"/>
  <c r="K30" i="2"/>
  <c r="M29" i="2"/>
  <c r="K29" i="2"/>
  <c r="M28" i="2"/>
  <c r="K28" i="2"/>
  <c r="M27" i="2"/>
  <c r="K27" i="2"/>
  <c r="M26" i="2"/>
  <c r="K26" i="2"/>
  <c r="M25" i="2"/>
  <c r="K25" i="2"/>
  <c r="M24" i="2"/>
  <c r="K24" i="2"/>
  <c r="M23" i="2"/>
  <c r="K23" i="2"/>
  <c r="M22" i="2"/>
  <c r="K22" i="2"/>
  <c r="M21" i="2"/>
  <c r="K21" i="2"/>
  <c r="M18" i="2"/>
  <c r="K18" i="2"/>
  <c r="M17" i="2"/>
  <c r="K17" i="2"/>
  <c r="M16" i="2"/>
  <c r="K16" i="2"/>
  <c r="M15" i="2"/>
  <c r="K15" i="2"/>
  <c r="M14" i="2"/>
  <c r="K14" i="2"/>
  <c r="M13" i="2"/>
  <c r="K13" i="2"/>
  <c r="M12" i="2"/>
  <c r="K12" i="2"/>
  <c r="M11" i="2"/>
  <c r="K11" i="2"/>
  <c r="M9" i="2"/>
  <c r="K9" i="2"/>
  <c r="M7" i="2"/>
  <c r="K7" i="2"/>
  <c r="H27" i="5" l="1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<sst xmlns="http://schemas.openxmlformats.org/spreadsheetml/2006/main" count="13921" uniqueCount="7112">
  <si>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</si>
  <si>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</si>
  <si>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</si>
  <si>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</si>
  <si>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</si>
  <si>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</si>
  <si>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</si>
  <si>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</si>
  <si>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</si>
  <si>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</si>
  <si>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</si>
  <si>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</si>
  <si>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</si>
  <si>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</si>
  <si>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</si>
  <si>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</si>
  <si>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</si>
  <si>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</si>
  <si>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</si>
  <si>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</si>
  <si>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</si>
  <si>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</si>
  <si>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</si>
  <si>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</si>
  <si>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</si>
  <si>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</si>
  <si>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</si>
  <si>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</si>
  <si>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</si>
  <si>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</si>
  <si>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</si>
  <si>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</si>
  <si>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</si>
  <si>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</si>
  <si>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</si>
  <si>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</si>
  <si>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</si>
  <si>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</si>
  <si>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</si>
  <si>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</si>
  <si>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</si>
  <si>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</si>
  <si>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</si>
  <si>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</si>
  <si>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</si>
  <si>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</si>
  <si>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</si>
  <si>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</si>
  <si>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</si>
  <si>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</si>
  <si>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</si>
  <si>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</si>
  <si>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</si>
  <si>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</si>
  <si>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</si>
  <si>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</si>
  <si>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</si>
  <si>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</si>
  <si>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</si>
  <si>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</si>
  <si>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</si>
  <si>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</si>
  <si>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</si>
  <si>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</si>
  <si>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</si>
  <si>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</si>
  <si>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</si>
  <si>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</si>
  <si>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</si>
  <si>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</si>
  <si>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</si>
  <si>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</si>
  <si>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</si>
  <si>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</si>
  <si>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</si>
  <si>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</si>
  <si>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</si>
  <si>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</si>
  <si>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</si>
  <si>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</si>
  <si>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</si>
  <si>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15</t>
  </si>
  <si>
    <t>1.1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</si>
  <si>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</si>
  <si>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</si>
  <si>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</si>
  <si>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</si>
  <si>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</si>
  <si>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</si>
  <si>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</si>
  <si>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</si>
  <si>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</si>
  <si>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</si>
  <si>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</si>
  <si>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29</t>
  </si>
  <si>
    <t>4</t>
  </si>
  <si>
    <t>5</t>
  </si>
  <si>
    <t>11</t>
  </si>
  <si>
    <t>12</t>
  </si>
  <si>
    <t>13</t>
  </si>
  <si>
    <t>14</t>
  </si>
  <si>
    <t>21</t>
  </si>
  <si>
    <t>24</t>
  </si>
  <si>
    <t>6</t>
  </si>
  <si>
    <t>Battery set, 48V/100 Ah (NSB) for BBS 6201 (1 piece)</t>
  </si>
  <si>
    <t>Battery set, 48V/100 Ah (NSB)</t>
  </si>
  <si>
    <t>Battery set, 48V/100 Ah,incl.cable set for RBS 6102 (1 piece)</t>
  </si>
  <si>
    <t>Battery set, 48V/100 Ah,incl.cable set for RBS 6102</t>
  </si>
  <si>
    <t>BBS6201-No Batt.</t>
  </si>
  <si>
    <t>RBS 6201 interface</t>
  </si>
  <si>
    <t>RBS DC cable, 20 m (&lt; 2x10m), 50 mm2</t>
  </si>
  <si>
    <t>Compact rack with PCU-DC</t>
  </si>
  <si>
    <t>BBU6101 (170Ah) (No Batteries)</t>
  </si>
  <si>
    <t>Standard Door Lock/Key</t>
  </si>
  <si>
    <t>BBU 6101 with Active Cooling</t>
  </si>
  <si>
    <t>Outdoor Battery Accessory Kit</t>
  </si>
  <si>
    <t>NSB Std Battery Set, 48V/170Ah For BBU6101 (1 Set)</t>
  </si>
  <si>
    <t>Battery Set, 48V/170 Ah (NSB Std)</t>
  </si>
  <si>
    <t>NSB Std Battery Set, 48V/170Ah For SSC-02 (1 Set)</t>
  </si>
  <si>
    <t>BFU, Battery Fuse Unit</t>
  </si>
  <si>
    <t>Output Power HWAC 20W-&gt;40W (per RU)</t>
  </si>
  <si>
    <t>Service Outlet</t>
  </si>
  <si>
    <t>Smoke Detector kit</t>
  </si>
  <si>
    <t>PSU 230VAC: Power Supply Unit, 230 VAC</t>
  </si>
  <si>
    <t>RBS 6101 Cabinet, 230 VAC (no RU, no PSU incl.)</t>
  </si>
  <si>
    <t>Output Power HWAC 40W-&gt;60W (per RU)</t>
  </si>
  <si>
    <t>Additional PDU (Power Distribution Unit) for additional RU a</t>
  </si>
  <si>
    <t>SAU Support Alarm Unit</t>
  </si>
  <si>
    <t>External Alarm OVP (8 ports)</t>
  </si>
  <si>
    <t>Door Lock + key type (Customer Specific)</t>
  </si>
  <si>
    <t>Service Light</t>
  </si>
  <si>
    <t>Prepared for internal battery back-up one shelf</t>
  </si>
  <si>
    <t>RBS 6102 Cabinet for up to 6 RU, 230 VAC  (no RU, no PSU incl.)</t>
  </si>
  <si>
    <t>Prepared for internal battery back-up two shelves</t>
  </si>
  <si>
    <t>Door Handle</t>
  </si>
  <si>
    <t>Lifting Eyes</t>
  </si>
  <si>
    <t>Adaptor Frame 6102</t>
  </si>
  <si>
    <t>Fastening Screws for concrete (BF or cabinet)</t>
  </si>
  <si>
    <t>Base Frame 6201</t>
  </si>
  <si>
    <t>RBS 6201 Cabinet for up to 6 RU, 230 VAC (no RU, no PSU incl.)</t>
  </si>
  <si>
    <t>Main Unit - 48 V DC Power cable 2m</t>
  </si>
  <si>
    <t>RBS 6601 Main Unit, -48 VDC (no Digital Unit incl.)</t>
  </si>
  <si>
    <t>PRODUCT PACKAGE/Main Remote Site Product (FAP1301839)</t>
  </si>
  <si>
    <t>POLE MOUNTING FIXTURE CEU</t>
  </si>
  <si>
    <t>CONNECTION CABLE/2F LCD-LCD SM</t>
  </si>
  <si>
    <t>OPTICAL TRANSCEIVER/TRX SM CPRI 614.4-24</t>
  </si>
  <si>
    <t>SSC-02 for OD RBS6601 2 Rectifier_2MU (No batteries)</t>
  </si>
  <si>
    <t>PRODUCT PACKAGE/Power system; (SSC-02) (FAP1301878)</t>
  </si>
  <si>
    <t>2.0 kW rectifier, PBC 6200</t>
  </si>
  <si>
    <t>Distribution CB 2-32A</t>
  </si>
  <si>
    <t>Lifting Eye Bolt Set</t>
  </si>
  <si>
    <t>Power and external alarm cable for RBS MU</t>
  </si>
  <si>
    <t>RRU SPD protection Kit</t>
  </si>
  <si>
    <t>SSC-02 for &lt; 4 rectifiers</t>
  </si>
  <si>
    <t>Service outlet</t>
  </si>
  <si>
    <t>Web interface board</t>
  </si>
  <si>
    <t>1.1.5</t>
  </si>
  <si>
    <t>290</t>
  </si>
  <si>
    <t>291</t>
  </si>
  <si>
    <t>292</t>
  </si>
  <si>
    <t>293</t>
  </si>
  <si>
    <t>294</t>
  </si>
  <si>
    <t>296</t>
  </si>
  <si>
    <t>297</t>
  </si>
  <si>
    <t>298</t>
  </si>
  <si>
    <t>300</t>
  </si>
  <si>
    <t>301</t>
  </si>
  <si>
    <t>302</t>
  </si>
  <si>
    <t>303</t>
  </si>
  <si>
    <t>304</t>
  </si>
  <si>
    <t>306</t>
  </si>
  <si>
    <t>308</t>
  </si>
  <si>
    <t>310</t>
  </si>
  <si>
    <t>312</t>
  </si>
  <si>
    <t>315</t>
  </si>
  <si>
    <t>317</t>
  </si>
  <si>
    <t>318</t>
  </si>
  <si>
    <t>319</t>
  </si>
  <si>
    <t>321</t>
  </si>
  <si>
    <t>322</t>
  </si>
  <si>
    <t>323</t>
  </si>
  <si>
    <t>325</t>
  </si>
  <si>
    <t>326</t>
  </si>
  <si>
    <t>328</t>
  </si>
  <si>
    <t>329</t>
  </si>
  <si>
    <t>331</t>
  </si>
  <si>
    <t>DUW BB HW Activation Fee HS Codes p.5 HS-codes</t>
  </si>
  <si>
    <t>WCDMA HS Codes HWAC (per 5HS-Codes)</t>
  </si>
  <si>
    <t>333</t>
  </si>
  <si>
    <t>Digital Unit DUW 30 Basic HW Module (excl.HWA, SFP)</t>
  </si>
  <si>
    <t>336</t>
  </si>
  <si>
    <t>WCDMA Cell Carrier HWAC</t>
  </si>
  <si>
    <t>337</t>
  </si>
  <si>
    <t>Digital Unit DUW 20 Basic HW Module (excl.HWA, SFP)</t>
  </si>
  <si>
    <t>WCDMA CE DL HWAC (per 16CE)</t>
  </si>
  <si>
    <t>339</t>
  </si>
  <si>
    <t>WCDMA CE UL HWAC (per 16CE)</t>
  </si>
  <si>
    <t>340</t>
  </si>
  <si>
    <t>343</t>
  </si>
  <si>
    <t>344</t>
  </si>
  <si>
    <t>347</t>
  </si>
  <si>
    <t>348</t>
  </si>
  <si>
    <t>350</t>
  </si>
  <si>
    <t>Single WCDMA Radio Unit RUW 01 B1 (2100 MHz) 20W HW Activation incl.</t>
  </si>
  <si>
    <t>351</t>
  </si>
  <si>
    <t>352</t>
  </si>
  <si>
    <t>354</t>
  </si>
  <si>
    <t>356</t>
  </si>
  <si>
    <t>358</t>
  </si>
  <si>
    <t>360</t>
  </si>
  <si>
    <t>361</t>
  </si>
  <si>
    <t>363</t>
  </si>
  <si>
    <t>364</t>
  </si>
  <si>
    <t>367</t>
  </si>
  <si>
    <t>369</t>
  </si>
  <si>
    <t>372</t>
  </si>
  <si>
    <t>373</t>
  </si>
  <si>
    <t>375</t>
  </si>
  <si>
    <t>376</t>
  </si>
  <si>
    <t>378</t>
  </si>
  <si>
    <t>381</t>
  </si>
  <si>
    <t>382</t>
  </si>
  <si>
    <t>384</t>
  </si>
  <si>
    <t>385</t>
  </si>
  <si>
    <t>387</t>
  </si>
  <si>
    <t>388</t>
  </si>
  <si>
    <t>390</t>
  </si>
  <si>
    <t>391</t>
  </si>
  <si>
    <t>393</t>
  </si>
  <si>
    <t>394</t>
  </si>
  <si>
    <t>397</t>
  </si>
  <si>
    <t>399</t>
  </si>
  <si>
    <t>400</t>
  </si>
  <si>
    <t>403</t>
  </si>
  <si>
    <t>404</t>
  </si>
  <si>
    <t>407</t>
  </si>
  <si>
    <t>408</t>
  </si>
  <si>
    <t>409</t>
  </si>
  <si>
    <t>410</t>
  </si>
  <si>
    <t>411</t>
  </si>
  <si>
    <t>412</t>
  </si>
  <si>
    <t>415</t>
  </si>
  <si>
    <t>416</t>
  </si>
  <si>
    <t>419</t>
  </si>
  <si>
    <t>420</t>
  </si>
  <si>
    <t>421</t>
  </si>
  <si>
    <t>424</t>
  </si>
  <si>
    <t>425</t>
  </si>
  <si>
    <t>426</t>
  </si>
  <si>
    <t>428</t>
  </si>
  <si>
    <t>429</t>
  </si>
  <si>
    <t>431</t>
  </si>
  <si>
    <t>432</t>
  </si>
  <si>
    <t>434</t>
  </si>
  <si>
    <t>437</t>
  </si>
  <si>
    <t>438</t>
  </si>
  <si>
    <t>441</t>
  </si>
  <si>
    <t>442</t>
  </si>
  <si>
    <t>443</t>
  </si>
  <si>
    <t>445</t>
  </si>
  <si>
    <t>446</t>
  </si>
  <si>
    <t>3G RBS6201 1x2 to 1x3 20Wpcc Additional DUW30(Additional 30HS codes)</t>
  </si>
  <si>
    <t>449</t>
  </si>
  <si>
    <t>450</t>
  </si>
  <si>
    <t>RBS6201 WCDMA 1x2 30Wpcc to 1x3 20Wpcc_DUW20/30(0UL/0DL/15Code)_Rev A</t>
  </si>
  <si>
    <t>453</t>
  </si>
  <si>
    <t>454</t>
  </si>
  <si>
    <t>455</t>
  </si>
  <si>
    <t>458</t>
  </si>
  <si>
    <t>459</t>
  </si>
  <si>
    <t>461</t>
  </si>
  <si>
    <t>462</t>
  </si>
  <si>
    <t>464</t>
  </si>
  <si>
    <t>467</t>
  </si>
  <si>
    <t>468</t>
  </si>
  <si>
    <t>470</t>
  </si>
  <si>
    <t>471</t>
  </si>
  <si>
    <t>473</t>
  </si>
  <si>
    <t>474</t>
  </si>
  <si>
    <t>475</t>
  </si>
  <si>
    <t>477</t>
  </si>
  <si>
    <t>479</t>
  </si>
  <si>
    <t>480</t>
  </si>
  <si>
    <t>483</t>
  </si>
  <si>
    <t>484</t>
  </si>
  <si>
    <t>485</t>
  </si>
  <si>
    <t>487</t>
  </si>
  <si>
    <t>488</t>
  </si>
  <si>
    <t>490</t>
  </si>
  <si>
    <t>493</t>
  </si>
  <si>
    <t>494</t>
  </si>
  <si>
    <t>496</t>
  </si>
  <si>
    <t>497</t>
  </si>
  <si>
    <t>500</t>
  </si>
  <si>
    <t>501</t>
  </si>
  <si>
    <t>504</t>
  </si>
  <si>
    <t>505</t>
  </si>
  <si>
    <t>506</t>
  </si>
  <si>
    <t>507</t>
  </si>
  <si>
    <t>WCDMA Remote Radio Unit RRUW 01B1 (2100 MHz) -48VDC , 20W HW Activation incl.</t>
  </si>
  <si>
    <t>509</t>
  </si>
  <si>
    <t>Kit for interconnection of 2 DUW units</t>
  </si>
  <si>
    <t>510</t>
  </si>
  <si>
    <t>512</t>
  </si>
  <si>
    <t>513</t>
  </si>
  <si>
    <t>515</t>
  </si>
  <si>
    <t>516</t>
  </si>
  <si>
    <t>519</t>
  </si>
  <si>
    <t>522</t>
  </si>
  <si>
    <t>524</t>
  </si>
  <si>
    <t>527</t>
  </si>
  <si>
    <t>528</t>
  </si>
  <si>
    <t>530</t>
  </si>
  <si>
    <t>531</t>
  </si>
  <si>
    <t>533</t>
  </si>
  <si>
    <t>534</t>
  </si>
  <si>
    <t>536</t>
  </si>
  <si>
    <t>539</t>
  </si>
  <si>
    <t>540</t>
  </si>
  <si>
    <t>542</t>
  </si>
  <si>
    <t>543</t>
  </si>
  <si>
    <t>545</t>
  </si>
  <si>
    <t>546</t>
  </si>
  <si>
    <t>549</t>
  </si>
  <si>
    <t>550</t>
  </si>
  <si>
    <t>552</t>
  </si>
  <si>
    <t>553</t>
  </si>
  <si>
    <t>554</t>
  </si>
  <si>
    <t>555</t>
  </si>
  <si>
    <t>557</t>
  </si>
  <si>
    <t>558</t>
  </si>
  <si>
    <t>559</t>
  </si>
  <si>
    <t>562</t>
  </si>
  <si>
    <t>565</t>
  </si>
  <si>
    <t>3G RBS6601 1x2 to 1x3 20Wpcc Additional DUW30(Additional 30HS codes)</t>
  </si>
  <si>
    <t>568</t>
  </si>
  <si>
    <t>569</t>
  </si>
  <si>
    <t>RBS6601 WCDMA 1x2 30Wpcc to 1x3 20Wpcc_DUW20/30(0UL/0DL/15Code) Rev A</t>
  </si>
  <si>
    <t>571</t>
  </si>
  <si>
    <t>572</t>
  </si>
  <si>
    <t>573</t>
  </si>
  <si>
    <t>575</t>
  </si>
  <si>
    <t>576</t>
  </si>
  <si>
    <t>577</t>
  </si>
  <si>
    <t>579</t>
  </si>
  <si>
    <t>3G RBS6601 2x2 to 2x3 20Wpcc Additional DUW30(Additional 60HS codes)</t>
  </si>
  <si>
    <t>581</t>
  </si>
  <si>
    <t>582</t>
  </si>
  <si>
    <t>RBS6601 WCDMA 2x2 30Wpcc to 2x3 20Wpcc_DUW30/30(0UL/0DL/30Code) Rev A</t>
  </si>
  <si>
    <t>585</t>
  </si>
  <si>
    <t>587</t>
  </si>
  <si>
    <t>588</t>
  </si>
  <si>
    <t>590</t>
  </si>
  <si>
    <t>591</t>
  </si>
  <si>
    <t>593</t>
  </si>
  <si>
    <t>1.1.6</t>
  </si>
  <si>
    <t>1.1.6.1</t>
  </si>
  <si>
    <t>596</t>
  </si>
  <si>
    <t>1.1.6.1.1</t>
  </si>
  <si>
    <t>597</t>
  </si>
  <si>
    <t>600</t>
  </si>
  <si>
    <t>603</t>
  </si>
  <si>
    <t>605</t>
  </si>
  <si>
    <t>608</t>
  </si>
  <si>
    <t>21 Mbps SW features, per 3HScc (TPCM only)</t>
  </si>
  <si>
    <t>611</t>
  </si>
  <si>
    <t>FAJ1211328 R1, Enhanced Layer2, 3HScc</t>
  </si>
  <si>
    <t>612</t>
  </si>
  <si>
    <t>FAJ1211331 R1, HSDPA 64 QAM, 3HScc</t>
  </si>
  <si>
    <t>1.1.7</t>
  </si>
  <si>
    <t>615</t>
  </si>
  <si>
    <t>1.1.7.1</t>
  </si>
  <si>
    <t>3G 3cc 2nd Carrier: Existing 3HScc SW Features</t>
  </si>
  <si>
    <t>616</t>
  </si>
  <si>
    <t>1.1.7.1.1</t>
  </si>
  <si>
    <t>617</t>
  </si>
  <si>
    <t>618</t>
  </si>
  <si>
    <t>619</t>
  </si>
  <si>
    <t>1.1.7.1.2</t>
  </si>
  <si>
    <t>FAJ1211106 R1, IF/IRAT mobility on HSPA p.3HScc</t>
  </si>
  <si>
    <t>621</t>
  </si>
  <si>
    <t>FAJ1211106 R1, IF/IRAT mobility on HSPA, 3HScc</t>
  </si>
  <si>
    <t>622</t>
  </si>
  <si>
    <t>HSDPA up to 32 users per cell, 3HScc (TPCM only)</t>
  </si>
  <si>
    <t>624</t>
  </si>
  <si>
    <t>FAJ1210398 R1, HSDPA up to 32 users, 3HScc</t>
  </si>
  <si>
    <t>625</t>
  </si>
  <si>
    <t>Node B SW features, per 3 HScc (TPCM only)</t>
  </si>
  <si>
    <t>627</t>
  </si>
  <si>
    <t>Node B SW features, per 3 HScc</t>
  </si>
  <si>
    <t>628</t>
  </si>
  <si>
    <t>1.1.7.2</t>
  </si>
  <si>
    <t>3G 3cc 3rd Carrier: HS on 3rd Carrier</t>
  </si>
  <si>
    <t>630</t>
  </si>
  <si>
    <t>1.1.7.2.1</t>
  </si>
  <si>
    <t>632</t>
  </si>
  <si>
    <t>633</t>
  </si>
  <si>
    <t>635</t>
  </si>
  <si>
    <t>636</t>
  </si>
  <si>
    <t>FAJ1211467, HSDPA Inter frequency Load Sharing p.3HScc</t>
  </si>
  <si>
    <t>638</t>
  </si>
  <si>
    <t>FAJ1211467 R1, HSDPA Inter freq load sharing, 3HScc</t>
  </si>
  <si>
    <t>639</t>
  </si>
  <si>
    <t>642</t>
  </si>
  <si>
    <t>644</t>
  </si>
  <si>
    <t>645</t>
  </si>
  <si>
    <t>1.1.7.3</t>
  </si>
  <si>
    <t>3G 3cc 1st Carrier: For HSDPA IFLS</t>
  </si>
  <si>
    <t>647</t>
  </si>
  <si>
    <t>1.1.7.3.1</t>
  </si>
  <si>
    <t>649</t>
  </si>
  <si>
    <t>1.1.7.4</t>
  </si>
  <si>
    <t>3G 3cc 2nd Carrier: For HSDPA IFLS</t>
  </si>
  <si>
    <t>651</t>
  </si>
  <si>
    <t>1.1.7.4.1</t>
  </si>
  <si>
    <t>652</t>
  </si>
  <si>
    <t>3G 3cc 2nd Carrier: EUL</t>
  </si>
  <si>
    <t>655</t>
  </si>
  <si>
    <t>FAJ1211112 R1 EUL Scheduler support for 6 cell carriers p.Node</t>
  </si>
  <si>
    <t>FAJ1211112 R1, EUL Scheduler support for 6 cell carriers, Node</t>
  </si>
  <si>
    <t>657</t>
  </si>
  <si>
    <t>3G 3cc 3rd Carrier: EUL</t>
  </si>
  <si>
    <t>FAJ1211518 R1, EUL for large RBS configurations p.Node</t>
  </si>
  <si>
    <t>660</t>
  </si>
  <si>
    <t>FAJ1211518 R1, EUL for large RBS configurations, Node</t>
  </si>
  <si>
    <t>661</t>
  </si>
  <si>
    <t>663</t>
  </si>
  <si>
    <t>664</t>
  </si>
  <si>
    <t>665</t>
  </si>
  <si>
    <t>667</t>
  </si>
  <si>
    <t>668</t>
  </si>
  <si>
    <t>669</t>
  </si>
  <si>
    <t>671</t>
  </si>
  <si>
    <t>3G 3G Batteries</t>
  </si>
  <si>
    <t>672</t>
  </si>
  <si>
    <t>673</t>
  </si>
  <si>
    <t>674</t>
  </si>
  <si>
    <t>676</t>
  </si>
  <si>
    <t>677</t>
  </si>
  <si>
    <t>679</t>
  </si>
  <si>
    <t>680</t>
  </si>
  <si>
    <t>682</t>
  </si>
  <si>
    <t>683</t>
  </si>
  <si>
    <t>685</t>
  </si>
  <si>
    <t>686</t>
  </si>
  <si>
    <t>688</t>
  </si>
  <si>
    <t>691</t>
  </si>
  <si>
    <t>694</t>
  </si>
  <si>
    <t>3G Change-out RBS6101 1x2 30Wpcc 1xDUW20(15HS codes) (Stand-Alone)</t>
  </si>
  <si>
    <t>DUW BB HW Activation Fee CE DL p.16CE</t>
  </si>
  <si>
    <t>697</t>
  </si>
  <si>
    <t>698</t>
  </si>
  <si>
    <t>DUW BB HW Activation Fee CE UL p.16CE</t>
  </si>
  <si>
    <t>700</t>
  </si>
  <si>
    <t>701</t>
  </si>
  <si>
    <t>RBS6101 WCDMA 1x2 30Wpcc_DUW20(0UL/0DL/15Code)_Rev A</t>
  </si>
  <si>
    <t>703</t>
  </si>
  <si>
    <t>704</t>
  </si>
  <si>
    <t>SFP 1000BASE-LX40 DUAL RATE 1.25 40km for DUx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</si>
  <si>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</si>
  <si>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</si>
  <si>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</si>
  <si>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</si>
  <si>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</si>
  <si>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</si>
  <si>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</si>
  <si>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</si>
  <si>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</si>
  <si>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DUW Optional IP Optical Interface HWAC</t>
  </si>
  <si>
    <t>715</t>
  </si>
  <si>
    <t>Prepared for external battery back-up</t>
  </si>
  <si>
    <t>716</t>
  </si>
  <si>
    <t>717</t>
  </si>
  <si>
    <t>718</t>
  </si>
  <si>
    <t>719</t>
  </si>
  <si>
    <t>720</t>
  </si>
  <si>
    <t>721</t>
  </si>
  <si>
    <t>Site LAN connection</t>
  </si>
  <si>
    <t>722</t>
  </si>
  <si>
    <t>724</t>
  </si>
  <si>
    <t>725</t>
  </si>
  <si>
    <t>727</t>
  </si>
  <si>
    <t>728</t>
  </si>
  <si>
    <t>731</t>
  </si>
  <si>
    <t>732</t>
  </si>
  <si>
    <t>734</t>
  </si>
  <si>
    <t>735</t>
  </si>
  <si>
    <t>736</t>
  </si>
  <si>
    <t>737</t>
  </si>
  <si>
    <t>739</t>
  </si>
  <si>
    <t>740</t>
  </si>
  <si>
    <t>741</t>
  </si>
  <si>
    <t>742</t>
  </si>
  <si>
    <t>744</t>
  </si>
  <si>
    <t>745</t>
  </si>
  <si>
    <t>747</t>
  </si>
  <si>
    <t>748</t>
  </si>
  <si>
    <t>750</t>
  </si>
  <si>
    <t>751</t>
  </si>
  <si>
    <t>753</t>
  </si>
  <si>
    <t>754</t>
  </si>
  <si>
    <t>755</t>
  </si>
  <si>
    <t>757</t>
  </si>
  <si>
    <t>758</t>
  </si>
  <si>
    <t>759</t>
  </si>
  <si>
    <t>762</t>
  </si>
  <si>
    <t>763</t>
  </si>
  <si>
    <t>764</t>
  </si>
  <si>
    <t>766</t>
  </si>
  <si>
    <t>767</t>
  </si>
  <si>
    <t>769</t>
  </si>
  <si>
    <t>770</t>
  </si>
  <si>
    <t>772</t>
  </si>
  <si>
    <t>773</t>
  </si>
  <si>
    <t>775</t>
  </si>
  <si>
    <t>776</t>
  </si>
  <si>
    <t>778</t>
  </si>
  <si>
    <t>779</t>
  </si>
  <si>
    <t>781</t>
  </si>
  <si>
    <t>782</t>
  </si>
  <si>
    <t>784</t>
  </si>
  <si>
    <t>785</t>
  </si>
  <si>
    <t>787</t>
  </si>
  <si>
    <t>788</t>
  </si>
  <si>
    <t>790</t>
  </si>
  <si>
    <t>791</t>
  </si>
  <si>
    <t>793</t>
  </si>
  <si>
    <t>794</t>
  </si>
  <si>
    <t>797</t>
  </si>
  <si>
    <t>798</t>
  </si>
  <si>
    <t>799</t>
  </si>
  <si>
    <t>801</t>
  </si>
  <si>
    <t>802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</si>
  <si>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</si>
  <si>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</si>
  <si>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</si>
  <si>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</si>
  <si>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</si>
  <si>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</si>
  <si>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</si>
  <si>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</si>
  <si>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</si>
  <si>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814</t>
  </si>
  <si>
    <t>815</t>
  </si>
  <si>
    <t>817</t>
  </si>
  <si>
    <t>818</t>
  </si>
  <si>
    <t>820</t>
  </si>
  <si>
    <t>821</t>
  </si>
  <si>
    <t>822</t>
  </si>
  <si>
    <t>823</t>
  </si>
  <si>
    <t>825</t>
  </si>
  <si>
    <t>826</t>
  </si>
  <si>
    <t>828</t>
  </si>
  <si>
    <t>829</t>
  </si>
  <si>
    <t>832</t>
  </si>
  <si>
    <t>834</t>
  </si>
  <si>
    <t>836</t>
  </si>
  <si>
    <t>839</t>
  </si>
  <si>
    <t>840</t>
  </si>
  <si>
    <t>842</t>
  </si>
  <si>
    <t>843</t>
  </si>
  <si>
    <t>844</t>
  </si>
  <si>
    <t>846</t>
  </si>
  <si>
    <t>847</t>
  </si>
  <si>
    <t>848</t>
  </si>
  <si>
    <t>849</t>
  </si>
  <si>
    <t>850</t>
  </si>
  <si>
    <t>851</t>
  </si>
  <si>
    <t>853</t>
  </si>
  <si>
    <t>854</t>
  </si>
  <si>
    <t>855</t>
  </si>
  <si>
    <t>856</t>
  </si>
  <si>
    <t>858</t>
  </si>
  <si>
    <t>859</t>
  </si>
  <si>
    <t>862</t>
  </si>
  <si>
    <t>865</t>
  </si>
  <si>
    <t>867</t>
  </si>
  <si>
    <t>868</t>
  </si>
  <si>
    <t>870</t>
  </si>
  <si>
    <t>871</t>
  </si>
  <si>
    <t>873</t>
  </si>
  <si>
    <t>874</t>
  </si>
  <si>
    <t>876</t>
  </si>
  <si>
    <t>877</t>
  </si>
  <si>
    <t>879</t>
  </si>
  <si>
    <t>880</t>
  </si>
  <si>
    <t>883</t>
  </si>
  <si>
    <t>885</t>
  </si>
  <si>
    <t>888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</si>
  <si>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</si>
  <si>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</si>
  <si>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</si>
  <si>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</si>
  <si>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</si>
  <si>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</si>
  <si>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</si>
  <si>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</si>
  <si>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</si>
  <si>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</si>
  <si>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</si>
  <si>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</si>
  <si>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</si>
  <si>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</si>
  <si>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</si>
  <si>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906</t>
  </si>
  <si>
    <t>3G Change-out RBS6601 with SSC-02 1x2 30Wpcc 1xDUW20(15HS codes) (Stand-Alone) Reuse RRUW</t>
  </si>
  <si>
    <t>909</t>
  </si>
  <si>
    <t>910</t>
  </si>
  <si>
    <t>912</t>
  </si>
  <si>
    <t>913</t>
  </si>
  <si>
    <t>RBS6601 WCDMA No RRUW DUW20 (0UL/0DL/15Code)_IPRAN_Rev A</t>
  </si>
  <si>
    <t>916</t>
  </si>
  <si>
    <t>917</t>
  </si>
  <si>
    <t>918</t>
  </si>
  <si>
    <t>919</t>
  </si>
  <si>
    <t>920</t>
  </si>
  <si>
    <t>922</t>
  </si>
  <si>
    <t>923</t>
  </si>
  <si>
    <t>924</t>
  </si>
  <si>
    <t>927</t>
  </si>
  <si>
    <t>930</t>
  </si>
  <si>
    <t>931</t>
  </si>
  <si>
    <t>933</t>
  </si>
  <si>
    <t>934</t>
  </si>
  <si>
    <t>936</t>
  </si>
  <si>
    <t>937</t>
  </si>
  <si>
    <t>938</t>
  </si>
  <si>
    <t>3G Change-out RBS6601 with SSC-02 2x2 30Wpcc 1xDUW30(30HS codes) (Stand-Alone) Reuse RRUW</t>
  </si>
  <si>
    <t>940</t>
  </si>
  <si>
    <t>941</t>
  </si>
  <si>
    <t>942</t>
  </si>
  <si>
    <t>944</t>
  </si>
  <si>
    <t>945</t>
  </si>
  <si>
    <t>RBS6601 WCDMA No RRUW DUW30 (0UL/0DL/30Code)_IPRAN_Rev A</t>
  </si>
  <si>
    <t>947</t>
  </si>
  <si>
    <t>949</t>
  </si>
  <si>
    <t>950</t>
  </si>
  <si>
    <t>952</t>
  </si>
  <si>
    <t>953</t>
  </si>
  <si>
    <t>955</t>
  </si>
  <si>
    <t>958</t>
  </si>
  <si>
    <t>961</t>
  </si>
  <si>
    <t>962</t>
  </si>
  <si>
    <t>964</t>
  </si>
  <si>
    <t>965</t>
  </si>
  <si>
    <t>966</t>
  </si>
  <si>
    <t>968</t>
  </si>
  <si>
    <t>969</t>
  </si>
  <si>
    <t>971</t>
  </si>
  <si>
    <t>972</t>
  </si>
  <si>
    <t>975</t>
  </si>
  <si>
    <t>978</t>
  </si>
  <si>
    <t>979</t>
  </si>
  <si>
    <t>980</t>
  </si>
  <si>
    <t>981</t>
  </si>
  <si>
    <t>982</t>
  </si>
  <si>
    <t>983</t>
  </si>
  <si>
    <t>985</t>
  </si>
  <si>
    <t>986</t>
  </si>
  <si>
    <t>988</t>
  </si>
  <si>
    <t>989</t>
  </si>
  <si>
    <t>991</t>
  </si>
  <si>
    <t>992</t>
  </si>
  <si>
    <t>993</t>
  </si>
  <si>
    <t>995</t>
  </si>
  <si>
    <t>996</t>
  </si>
  <si>
    <t>997</t>
  </si>
  <si>
    <t>998</t>
  </si>
  <si>
    <t>1000</t>
  </si>
  <si>
    <t>1002</t>
  </si>
  <si>
    <t>1003</t>
  </si>
  <si>
    <t>1006</t>
  </si>
  <si>
    <t>1009</t>
  </si>
  <si>
    <t>1011</t>
  </si>
  <si>
    <t>1012</t>
  </si>
  <si>
    <t>1014</t>
  </si>
  <si>
    <t>1015</t>
  </si>
  <si>
    <t>1016</t>
  </si>
  <si>
    <t>1018</t>
  </si>
  <si>
    <t>1019</t>
  </si>
  <si>
    <t>1020</t>
  </si>
  <si>
    <t>1022</t>
  </si>
  <si>
    <t>1023</t>
  </si>
  <si>
    <t>1024</t>
  </si>
  <si>
    <t>1025</t>
  </si>
  <si>
    <t>1027</t>
  </si>
  <si>
    <t>1028</t>
  </si>
  <si>
    <t>1030</t>
  </si>
  <si>
    <t>1031</t>
  </si>
  <si>
    <t>1033</t>
  </si>
  <si>
    <t>1034</t>
  </si>
  <si>
    <t>1037</t>
  </si>
  <si>
    <t>1040</t>
  </si>
  <si>
    <t>1042</t>
  </si>
  <si>
    <t>Extended Cimate System</t>
  </si>
  <si>
    <t>1043</t>
  </si>
  <si>
    <t>1044</t>
  </si>
  <si>
    <t>1046</t>
  </si>
  <si>
    <t>Cabinet Expansion kit from 6 RU to 12 RU (no RU incl.)</t>
  </si>
  <si>
    <t>1047</t>
  </si>
  <si>
    <t>1049</t>
  </si>
  <si>
    <t>1050</t>
  </si>
  <si>
    <t>1052</t>
  </si>
  <si>
    <t>1053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</si>
  <si>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</si>
  <si>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</si>
  <si>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</si>
  <si>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</si>
  <si>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</si>
  <si>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</si>
  <si>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</si>
  <si>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</si>
  <si>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</si>
  <si>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1066</t>
  </si>
  <si>
    <t>1067</t>
  </si>
  <si>
    <t>3G Change-out RBS6201 1x2 30Wpcc 1xDUW20(15HS codes) (Co-site 2G)</t>
  </si>
  <si>
    <t>1070</t>
  </si>
  <si>
    <t>1071</t>
  </si>
  <si>
    <t>1074</t>
  </si>
  <si>
    <t>1075</t>
  </si>
  <si>
    <t>RBS6201 WCDMA 1x2 30Wpcc_DUW20(0UL/0DL/15Code)_Rev A (Exclude Cabinet)</t>
  </si>
  <si>
    <t>1078</t>
  </si>
  <si>
    <t>1079</t>
  </si>
  <si>
    <t>1080</t>
  </si>
  <si>
    <t>1081</t>
  </si>
  <si>
    <t>1083</t>
  </si>
  <si>
    <t>1084</t>
  </si>
  <si>
    <t>1086</t>
  </si>
  <si>
    <t>1087</t>
  </si>
  <si>
    <t>1089</t>
  </si>
  <si>
    <t>1090</t>
  </si>
  <si>
    <t>1092</t>
  </si>
  <si>
    <t>1093</t>
  </si>
  <si>
    <t>1094</t>
  </si>
  <si>
    <t>1096</t>
  </si>
  <si>
    <t>1097</t>
  </si>
  <si>
    <t>1098</t>
  </si>
  <si>
    <t>1100</t>
  </si>
  <si>
    <t>1101</t>
  </si>
  <si>
    <t>1103</t>
  </si>
  <si>
    <t>1105</t>
  </si>
  <si>
    <t>1106</t>
  </si>
  <si>
    <t>1108</t>
  </si>
  <si>
    <t>1109</t>
  </si>
  <si>
    <t>1111</t>
  </si>
  <si>
    <t>1112</t>
  </si>
  <si>
    <t>1114</t>
  </si>
  <si>
    <t>1115</t>
  </si>
  <si>
    <t>1118</t>
  </si>
  <si>
    <t>1121</t>
  </si>
  <si>
    <t>1122</t>
  </si>
  <si>
    <t>1124</t>
  </si>
  <si>
    <t>1125</t>
  </si>
  <si>
    <t>1127</t>
  </si>
  <si>
    <t>1128</t>
  </si>
  <si>
    <t>1130</t>
  </si>
  <si>
    <t>1131</t>
  </si>
  <si>
    <t>1133</t>
  </si>
  <si>
    <t>1134</t>
  </si>
  <si>
    <t>1135</t>
  </si>
  <si>
    <t>1136</t>
  </si>
  <si>
    <t>1137</t>
  </si>
  <si>
    <t>1138</t>
  </si>
  <si>
    <t>1139</t>
  </si>
  <si>
    <t>1141</t>
  </si>
  <si>
    <t>1142</t>
  </si>
  <si>
    <t>1144</t>
  </si>
  <si>
    <t>1145</t>
  </si>
  <si>
    <t>1147</t>
  </si>
  <si>
    <t>1148</t>
  </si>
  <si>
    <t>1149</t>
  </si>
  <si>
    <t>1152</t>
  </si>
  <si>
    <t>1153</t>
  </si>
  <si>
    <t>1154</t>
  </si>
  <si>
    <t>1156</t>
  </si>
  <si>
    <t>1157</t>
  </si>
  <si>
    <t>1159</t>
  </si>
  <si>
    <t>1161</t>
  </si>
  <si>
    <t>1162</t>
  </si>
  <si>
    <t>1164</t>
  </si>
  <si>
    <t>1165</t>
  </si>
  <si>
    <t>1167</t>
  </si>
  <si>
    <t>1168</t>
  </si>
  <si>
    <t>1170</t>
  </si>
  <si>
    <t>1171</t>
  </si>
  <si>
    <t>1173</t>
  </si>
  <si>
    <t>1174</t>
  </si>
  <si>
    <t>1175</t>
  </si>
  <si>
    <t>1176</t>
  </si>
  <si>
    <t>1178</t>
  </si>
  <si>
    <t>1179</t>
  </si>
  <si>
    <t>1181</t>
  </si>
  <si>
    <t>1182</t>
  </si>
  <si>
    <t>1184</t>
  </si>
  <si>
    <t>1185</t>
  </si>
  <si>
    <t>1187</t>
  </si>
  <si>
    <t>7</t>
  </si>
  <si>
    <t>8</t>
  </si>
  <si>
    <t>9</t>
  </si>
  <si>
    <t>10</t>
  </si>
  <si>
    <t>=SUM(K350)</t>
  </si>
  <si>
    <t>=SUM(K395)</t>
  </si>
  <si>
    <t>=SUM(K425)</t>
  </si>
  <si>
    <t>=SUM(K444)</t>
  </si>
  <si>
    <t>=SUM(K283)</t>
  </si>
  <si>
    <t>=SUM(K492)</t>
  </si>
  <si>
    <t>=SUM(K494)</t>
  </si>
  <si>
    <t>=SUM(K497)</t>
  </si>
  <si>
    <t>=SUM(K510)</t>
  </si>
  <si>
    <t>=SUM(K512)</t>
  </si>
  <si>
    <t>=SUM(K514)</t>
  </si>
  <si>
    <t>=SUM(K520)</t>
  </si>
  <si>
    <t>=SUM(K522)</t>
  </si>
  <si>
    <t>=SUM(K541)</t>
  </si>
  <si>
    <t>=SUM(K563)</t>
  </si>
  <si>
    <t>=SUM(K838)</t>
  </si>
  <si>
    <t>=SUM(K866)</t>
  </si>
  <si>
    <t>=SUM(K936)</t>
  </si>
  <si>
    <t>=SUM(K938)</t>
  </si>
  <si>
    <t>=SUM(K971)</t>
  </si>
  <si>
    <t>=SUM(K973)</t>
  </si>
  <si>
    <t>=SUM(K566)</t>
  </si>
  <si>
    <t>=SUM(K626)</t>
  </si>
  <si>
    <t>=SUM(K658)</t>
  </si>
  <si>
    <t>=SUM(K660)</t>
  </si>
  <si>
    <t>=SUM(K713)</t>
  </si>
  <si>
    <t>=SUM(K715)</t>
  </si>
  <si>
    <t>=SUM(K737)</t>
  </si>
  <si>
    <t>=SUM(K759)</t>
  </si>
  <si>
    <t>=I349*SUM(M350)</t>
  </si>
  <si>
    <t>=I394*SUM(M395)</t>
  </si>
  <si>
    <t>=I424*SUM(M425)</t>
  </si>
  <si>
    <t>=I443*SUM(M444)</t>
  </si>
  <si>
    <t>=I282*SUM(M283)</t>
  </si>
  <si>
    <t>=I491*SUM(M492)</t>
  </si>
  <si>
    <t>=I493*SUM(M494)</t>
  </si>
  <si>
    <t>=I496*SUM(M497)</t>
  </si>
  <si>
    <t>=I509*SUM(M510)</t>
  </si>
  <si>
    <t>=I511*SUM(M512)</t>
  </si>
  <si>
    <t>=I513*SUM(M514)</t>
  </si>
  <si>
    <t>=I519*SUM(M520)</t>
  </si>
  <si>
    <t>=I521*SUM(M522)</t>
  </si>
  <si>
    <t>=I540*SUM(M541)</t>
  </si>
  <si>
    <t>=I562*SUM(M563)</t>
  </si>
  <si>
    <t>=I837*SUM(M838)</t>
  </si>
  <si>
    <t>=I865*SUM(M866)</t>
  </si>
  <si>
    <t>=I935*SUM(M936)</t>
  </si>
  <si>
    <t>=I937*SUM(M938)</t>
  </si>
  <si>
    <t>=I970*SUM(M971)</t>
  </si>
  <si>
    <t>=I972*SUM(M973)</t>
  </si>
  <si>
    <t>=I565*SUM(M566)</t>
  </si>
  <si>
    <t>=I625*SUM(M626)</t>
  </si>
  <si>
    <t>=I657*SUM(M658)</t>
  </si>
  <si>
    <t>=I659*SUM(M660)</t>
  </si>
  <si>
    <t>=I712*SUM(M713)</t>
  </si>
  <si>
    <t>=I714*SUM(M715)</t>
  </si>
  <si>
    <t>=I736*SUM(M737)</t>
  </si>
  <si>
    <t>=I758*SUM(M759)</t>
  </si>
  <si>
    <t>=I334*J334</t>
  </si>
  <si>
    <t>=I349*J349</t>
  </si>
  <si>
    <t>=I351*J351</t>
  </si>
  <si>
    <t>=I361*J361</t>
  </si>
  <si>
    <t>=I371*J371</t>
  </si>
  <si>
    <t>=I376*J376</t>
  </si>
  <si>
    <t>=I378*J378</t>
  </si>
  <si>
    <t>=I394*J394</t>
  </si>
  <si>
    <t>=I396*J396</t>
  </si>
  <si>
    <t>=I408*J408</t>
  </si>
  <si>
    <t>=I424*J424</t>
  </si>
  <si>
    <t>=I427*J427</t>
  </si>
  <si>
    <t>=I431*J431</t>
  </si>
  <si>
    <t>=I443*J443</t>
  </si>
  <si>
    <t>=I282*J282</t>
  </si>
  <si>
    <t>=I284*J284</t>
  </si>
  <si>
    <t>=I491*J491</t>
  </si>
  <si>
    <t>=I493*J493</t>
  </si>
  <si>
    <t>=I496*J496</t>
  </si>
  <si>
    <t>=I501*J501</t>
  </si>
  <si>
    <t>=I509*J509</t>
  </si>
  <si>
    <t>=I511*J511</t>
  </si>
  <si>
    <t>=I513*J513</t>
  </si>
  <si>
    <t>=I519*J519</t>
  </si>
  <si>
    <t>=I521*J521</t>
  </si>
  <si>
    <t>=I523*J523</t>
  </si>
  <si>
    <t>=I540*J540</t>
  </si>
  <si>
    <t>=I551*J551</t>
  </si>
  <si>
    <t>=I562*J562</t>
  </si>
  <si>
    <t>=I797*J797</t>
  </si>
  <si>
    <t>=I837*J837</t>
  </si>
  <si>
    <t>=I839*J839</t>
  </si>
  <si>
    <t>=I865*J865</t>
  </si>
  <si>
    <t>=I867*J867</t>
  </si>
  <si>
    <t>=I935*J935</t>
  </si>
  <si>
    <t>=I937*J937</t>
  </si>
  <si>
    <t>=I939*J939</t>
  </si>
  <si>
    <t>=I970*J970</t>
  </si>
  <si>
    <t>=I972*J972</t>
  </si>
  <si>
    <t>=I974*J974</t>
  </si>
  <si>
    <t>=I565*J565</t>
  </si>
  <si>
    <t>=I567*J567</t>
  </si>
  <si>
    <t>=I569*J569</t>
  </si>
  <si>
    <t>=I625*J625</t>
  </si>
  <si>
    <t>=I629*J629</t>
  </si>
  <si>
    <t>=I657*J657</t>
  </si>
  <si>
    <t>=I659*J659</t>
  </si>
  <si>
    <t>=I661*J661</t>
  </si>
  <si>
    <t>=I691*J691</t>
  </si>
  <si>
    <t>=I712*J712</t>
  </si>
  <si>
    <t>=I714*J714</t>
  </si>
  <si>
    <t>=I716*J716</t>
  </si>
  <si>
    <t>=I736*J736</t>
  </si>
  <si>
    <t>=I738*J738</t>
  </si>
  <si>
    <t>=I758*J758</t>
  </si>
  <si>
    <t>=I760*J760</t>
  </si>
  <si>
    <t>=I771*J771</t>
  </si>
  <si>
    <t>=100*(1-(M334/K334))</t>
  </si>
  <si>
    <t>=100*(1-(M349/K349))</t>
  </si>
  <si>
    <t>=100*(1-(M351/K351))</t>
  </si>
  <si>
    <t>=100*(1-(M361/K361))</t>
  </si>
  <si>
    <t>=100*(1-(M371/K371))</t>
  </si>
  <si>
    <t>=100*(1-(M376/K376))</t>
  </si>
  <si>
    <t>=100*(1-(M378/K378))</t>
  </si>
  <si>
    <t>=100*(1-(M394/K394))</t>
  </si>
  <si>
    <t>=100*(1-(M396/K396))</t>
  </si>
  <si>
    <t>=100*(1-(M408/K408))</t>
  </si>
  <si>
    <t>=100*(1-(M424/K424))</t>
  </si>
  <si>
    <t>=100*(1-(M427/K427))</t>
  </si>
  <si>
    <t>=100*(1-(M431/K431))</t>
  </si>
  <si>
    <t>=100*(1-(M443/K443))</t>
  </si>
  <si>
    <t>=100*(1-(M282/K282))</t>
  </si>
  <si>
    <t>=100*(1-(M284/K284))</t>
  </si>
  <si>
    <t>=100*(1-(M491/K491))</t>
  </si>
  <si>
    <t>=100*(1-(M493/K493))</t>
  </si>
  <si>
    <t>=100*(1-(M496/K496))</t>
  </si>
  <si>
    <t>=100*(1-(M501/K501))</t>
  </si>
  <si>
    <t>=100*(1-(M509/K509))</t>
  </si>
  <si>
    <t>=100*(1-(M511/K511))</t>
  </si>
  <si>
    <t>=100*(1-(M513/K513))</t>
  </si>
  <si>
    <t>=100*(1-(M519/K519))</t>
  </si>
  <si>
    <t>=100*(1-(M521/K521))</t>
  </si>
  <si>
    <t>=100*(1-(M523/K523))</t>
  </si>
  <si>
    <t>=100*(1-(M540/K540))</t>
  </si>
  <si>
    <t>=100*(1-(M551/K551))</t>
  </si>
  <si>
    <t>=100*(1-(M562/K562))</t>
  </si>
  <si>
    <t>=100*(1-(M797/K797))</t>
  </si>
  <si>
    <t>=100*(1-(M837/K837))</t>
  </si>
  <si>
    <t>=100*(1-(M839/K839))</t>
  </si>
  <si>
    <t>=100*(1-(M865/K865))</t>
  </si>
  <si>
    <t>=100*(1-(M867/K867))</t>
  </si>
  <si>
    <t>=100*(1-(M935/K935))</t>
  </si>
  <si>
    <t>=100*(1-(M937/K937))</t>
  </si>
  <si>
    <t>=100*(1-(M939/K939))</t>
  </si>
  <si>
    <t>=100*(1-(M970/K970))</t>
  </si>
  <si>
    <t>=100*(1-(M972/K972))</t>
  </si>
  <si>
    <t>=100*(1-(M974/K974))</t>
  </si>
  <si>
    <t>=100*(1-(M565/K565))</t>
  </si>
  <si>
    <t>=100*(1-(M567/K567))</t>
  </si>
  <si>
    <t>=100*(1-(M569/K569))</t>
  </si>
  <si>
    <t>=100*(1-(M625/K625))</t>
  </si>
  <si>
    <t>=100*(1-(M629/K629))</t>
  </si>
  <si>
    <t>=100*(1-(M657/K657))</t>
  </si>
  <si>
    <t>=100*(1-(M659/K659))</t>
  </si>
  <si>
    <t>=100*(1-(M661/K661))</t>
  </si>
  <si>
    <t>=100*(1-(M691/K691))</t>
  </si>
  <si>
    <t>=100*(1-(M712/K712))</t>
  </si>
  <si>
    <t>=100*(1-(M714/K714))</t>
  </si>
  <si>
    <t>=100*(1-(M716/K716))</t>
  </si>
  <si>
    <t>=100*(1-(M736/K736))</t>
  </si>
  <si>
    <t>=100*(1-(M738/K738))</t>
  </si>
  <si>
    <t>=100*(1-(M758/K758))</t>
  </si>
  <si>
    <t>=100*(1-(M760/K760))</t>
  </si>
  <si>
    <t>=100*(1-(M771/K771))</t>
  </si>
  <si>
    <t>=SUM(K408)</t>
  </si>
  <si>
    <t>=SUM(K427)</t>
  </si>
  <si>
    <t>=SUM(K446)</t>
  </si>
  <si>
    <t>=SUM(K543)</t>
  </si>
  <si>
    <t>=SUM(K823)</t>
  </si>
  <si>
    <t>=I407*SUM(M408)</t>
  </si>
  <si>
    <t>=I426*SUM(M427)</t>
  </si>
  <si>
    <t>=I445*SUM(M446)</t>
  </si>
  <si>
    <t>=I542*SUM(M543)</t>
  </si>
  <si>
    <t>=I822*SUM(M823)</t>
  </si>
  <si>
    <t>=I301*J301</t>
  </si>
  <si>
    <t>=I312*J312</t>
  </si>
  <si>
    <t>=I323*J323</t>
  </si>
  <si>
    <t>=I331*J331</t>
  </si>
  <si>
    <t>=I341*J341</t>
  </si>
  <si>
    <t>=I368*J368</t>
  </si>
  <si>
    <t>=I382*J382</t>
  </si>
  <si>
    <t>=I404*J404</t>
  </si>
  <si>
    <t>=I407*J407</t>
  </si>
  <si>
    <t>=I423*J423</t>
  </si>
  <si>
    <t>=I426*J426</t>
  </si>
  <si>
    <t>=I445*J445</t>
  </si>
  <si>
    <t>=I292*J292</t>
  </si>
  <si>
    <t>=I500*J500</t>
  </si>
  <si>
    <t>=I505*J505</t>
  </si>
  <si>
    <t>=I515*J515</t>
  </si>
  <si>
    <t>=I542*J542</t>
  </si>
  <si>
    <t>=I546*J546</t>
  </si>
  <si>
    <t>=I782*J782</t>
  </si>
  <si>
    <t>=I808*J808</t>
  </si>
  <si>
    <t>=I822*J822</t>
  </si>
  <si>
    <t>=I834*J834</t>
  </si>
  <si>
    <t>=I862*J862</t>
  </si>
  <si>
    <t>=I896*J896</t>
  </si>
  <si>
    <t>=I919*J919</t>
  </si>
  <si>
    <t>=I564*J564</t>
  </si>
  <si>
    <t>=I755*J755</t>
  </si>
  <si>
    <t>=100*(1-(M301/K301))</t>
  </si>
  <si>
    <t>=100*(1-(M312/K312))</t>
  </si>
  <si>
    <t>=100*(1-(M323/K323))</t>
  </si>
  <si>
    <t>=100*(1-(M331/K331))</t>
  </si>
  <si>
    <t>=100*(1-(M341/K341))</t>
  </si>
  <si>
    <t>=100*(1-(M368/K368))</t>
  </si>
  <si>
    <t>=100*(1-(M382/K382))</t>
  </si>
  <si>
    <t>=100*(1-(M404/K404))</t>
  </si>
  <si>
    <t>=100*(1-(M407/K407))</t>
  </si>
  <si>
    <t>=100*(1-(M423/K423))</t>
  </si>
  <si>
    <t>=100*(1-(M426/K426))</t>
  </si>
  <si>
    <t>=100*(1-(M445/K445))</t>
  </si>
  <si>
    <t>=100*(1-(M292/K292))</t>
  </si>
  <si>
    <t>=100*(1-(M500/K500))</t>
  </si>
  <si>
    <t>=100*(1-(M505/K505))</t>
  </si>
  <si>
    <t>=100*(1-(M515/K515))</t>
  </si>
  <si>
    <t>=100*(1-(M542/K542))</t>
  </si>
  <si>
    <t>=100*(1-(M546/K546))</t>
  </si>
  <si>
    <t>=100*(1-(M782/K782))</t>
  </si>
  <si>
    <t>=100*(1-(M808/K808))</t>
  </si>
  <si>
    <t>=100*(1-(M822/K822))</t>
  </si>
  <si>
    <t>=100*(1-(M834/K834))</t>
  </si>
  <si>
    <t>=100*(1-(M862/K862))</t>
  </si>
  <si>
    <t>=100*(1-(M896/K896))</t>
  </si>
  <si>
    <t>=100*(1-(M919/K919))</t>
  </si>
  <si>
    <t>=100*(1-(M564/K564))</t>
  </si>
  <si>
    <t>=100*(1-(M755/K755))</t>
  </si>
  <si>
    <t>=I489*J489</t>
  </si>
  <si>
    <t>=I545*J545</t>
  </si>
  <si>
    <t>=100*(1-(M489/K489))</t>
  </si>
  <si>
    <t>=100*(1-(M545/K545))</t>
  </si>
  <si>
    <t>289</t>
  </si>
  <si>
    <t>305</t>
  </si>
  <si>
    <t>309</t>
  </si>
  <si>
    <t>311</t>
  </si>
  <si>
    <t>314</t>
  </si>
  <si>
    <t>324</t>
  </si>
  <si>
    <t>330</t>
  </si>
  <si>
    <t>334</t>
  </si>
  <si>
    <t>342</t>
  </si>
  <si>
    <t>346</t>
  </si>
  <si>
    <t>355</t>
  </si>
  <si>
    <t>359</t>
  </si>
  <si>
    <t>366</t>
  </si>
  <si>
    <t>370</t>
  </si>
  <si>
    <t>379</t>
  </si>
  <si>
    <t>396</t>
  </si>
  <si>
    <t>402</t>
  </si>
  <si>
    <t>406</t>
  </si>
  <si>
    <t>414</t>
  </si>
  <si>
    <t>418</t>
  </si>
  <si>
    <t>423</t>
  </si>
  <si>
    <t>435</t>
  </si>
  <si>
    <t>439</t>
  </si>
  <si>
    <t>447</t>
  </si>
  <si>
    <t>451</t>
  </si>
  <si>
    <t>456</t>
  </si>
  <si>
    <t>465</t>
  </si>
  <si>
    <t>478</t>
  </si>
  <si>
    <t>482</t>
  </si>
  <si>
    <t>491</t>
  </si>
  <si>
    <t>498</t>
  </si>
  <si>
    <t>502</t>
  </si>
  <si>
    <t>518</t>
  </si>
  <si>
    <t>521</t>
  </si>
  <si>
    <t>525</t>
  </si>
  <si>
    <t>537</t>
  </si>
  <si>
    <t>548</t>
  </si>
  <si>
    <t>560</t>
  </si>
  <si>
    <t>563</t>
  </si>
  <si>
    <t>566</t>
  </si>
  <si>
    <t>580</t>
  </si>
  <si>
    <t>584</t>
  </si>
  <si>
    <t>594</t>
  </si>
  <si>
    <t>599</t>
  </si>
  <si>
    <t>602</t>
  </si>
  <si>
    <t>606</t>
  </si>
  <si>
    <t>609</t>
  </si>
  <si>
    <t>614</t>
  </si>
  <si>
    <t>620</t>
  </si>
  <si>
    <t>623</t>
  </si>
  <si>
    <t>626</t>
  </si>
  <si>
    <t>629</t>
  </si>
  <si>
    <t>640</t>
  </si>
  <si>
    <t>643</t>
  </si>
  <si>
    <t>646</t>
  </si>
  <si>
    <t>650</t>
  </si>
  <si>
    <t>654</t>
  </si>
  <si>
    <t>658</t>
  </si>
  <si>
    <t>689</t>
  </si>
  <si>
    <t>692</t>
  </si>
  <si>
    <t>695</t>
  </si>
  <si>
    <t>730</t>
  </si>
  <si>
    <t>761</t>
  </si>
  <si>
    <t>796</t>
  </si>
  <si>
    <t>800</t>
  </si>
  <si>
    <t>803</t>
  </si>
  <si>
    <t>831</t>
  </si>
  <si>
    <t>835</t>
  </si>
  <si>
    <t>838</t>
  </si>
  <si>
    <t>861</t>
  </si>
  <si>
    <t>864</t>
  </si>
  <si>
    <t>882</t>
  </si>
  <si>
    <t>886</t>
  </si>
  <si>
    <t>889</t>
  </si>
  <si>
    <t>907</t>
  </si>
  <si>
    <t>914</t>
  </si>
  <si>
    <t>925</t>
  </si>
  <si>
    <t>928</t>
  </si>
  <si>
    <t>946</t>
  </si>
  <si>
    <t>956</t>
  </si>
  <si>
    <t>959</t>
  </si>
  <si>
    <t>974</t>
  </si>
  <si>
    <t>977</t>
  </si>
  <si>
    <t>1001</t>
  </si>
  <si>
    <t>1005</t>
  </si>
  <si>
    <t>1008</t>
  </si>
  <si>
    <t>NEW PHASE</t>
  </si>
  <si>
    <t>Site 5326</t>
  </si>
  <si>
    <t>1.1.1</t>
  </si>
  <si>
    <t>1.1.1.1</t>
  </si>
  <si>
    <t>1.1.1.1.1</t>
  </si>
  <si>
    <t>1.1.1.2</t>
  </si>
  <si>
    <t>1.1.1.2.1</t>
  </si>
  <si>
    <t>1.1.1.3</t>
  </si>
  <si>
    <t>1.1.1.3.1</t>
  </si>
  <si>
    <t>1.1.1.3.2</t>
  </si>
  <si>
    <t>1.1.1.3.3</t>
  </si>
  <si>
    <t>1.1.1.3.4</t>
  </si>
  <si>
    <t>1.1.1.3.5</t>
  </si>
  <si>
    <t>1.1.1.3.6</t>
  </si>
  <si>
    <t>30</t>
  </si>
  <si>
    <t>1.1.1.3.7</t>
  </si>
  <si>
    <t>31</t>
  </si>
  <si>
    <t>1.1.1.3.8</t>
  </si>
  <si>
    <t>32</t>
  </si>
  <si>
    <t>1.1.1.4</t>
  </si>
  <si>
    <t>34</t>
  </si>
  <si>
    <t>1.1.1.4.1</t>
  </si>
  <si>
    <t>35</t>
  </si>
  <si>
    <t>1.1.1.4.1.1</t>
  </si>
  <si>
    <t>37</t>
  </si>
  <si>
    <t>1.1.1.4.1.2</t>
  </si>
  <si>
    <t>38</t>
  </si>
  <si>
    <t>1.1.1.4.1.3</t>
  </si>
  <si>
    <t>39</t>
  </si>
  <si>
    <t>1.1.1.4.1.4</t>
  </si>
  <si>
    <t>40</t>
  </si>
  <si>
    <t>1.1.1.4.1.5</t>
  </si>
  <si>
    <t>41</t>
  </si>
  <si>
    <t>1.1.1.4.1.6</t>
  </si>
  <si>
    <t>42</t>
  </si>
  <si>
    <t>1.1.1.4.1.7</t>
  </si>
  <si>
    <t>43</t>
  </si>
  <si>
    <t>1.1.1.4.1.8</t>
  </si>
  <si>
    <t>44</t>
  </si>
  <si>
    <t>1.1.1.4.1.9</t>
  </si>
  <si>
    <t>45</t>
  </si>
  <si>
    <t>1.1.1.4.1.10</t>
  </si>
  <si>
    <t>46</t>
  </si>
  <si>
    <t>1.1.2</t>
  </si>
  <si>
    <t>48</t>
  </si>
  <si>
    <t>1.1.2.1</t>
  </si>
  <si>
    <t>49</t>
  </si>
  <si>
    <t>1.1.2.1.1</t>
  </si>
  <si>
    <t>50</t>
  </si>
  <si>
    <t>1.1.2.2</t>
  </si>
  <si>
    <t>52</t>
  </si>
  <si>
    <t>1.1.2.2.1</t>
  </si>
  <si>
    <t>53</t>
  </si>
  <si>
    <t>1.1.2.2.2</t>
  </si>
  <si>
    <t>54</t>
  </si>
  <si>
    <t>1.1.2.2.3</t>
  </si>
  <si>
    <t>55</t>
  </si>
  <si>
    <t>1.1.2.2.4</t>
  </si>
  <si>
    <t>56</t>
  </si>
  <si>
    <t>1.1.2.2.5</t>
  </si>
  <si>
    <t>57</t>
  </si>
  <si>
    <t>1.1.2.2.6</t>
  </si>
  <si>
    <t>58</t>
  </si>
  <si>
    <t>1.1.2.2.7</t>
  </si>
  <si>
    <t>59</t>
  </si>
  <si>
    <t>1.1.2.2.8</t>
  </si>
  <si>
    <t>60</t>
  </si>
  <si>
    <t>1.1.3</t>
  </si>
  <si>
    <t>Batteries 1</t>
  </si>
  <si>
    <t>62</t>
  </si>
  <si>
    <t>1.1.3.1</t>
  </si>
  <si>
    <t>63</t>
  </si>
  <si>
    <t>1.1.3.1.1</t>
  </si>
  <si>
    <t>64</t>
  </si>
  <si>
    <t>1.1.4</t>
  </si>
  <si>
    <t>3G 3cc 2nd Carrier: EUL 17</t>
  </si>
  <si>
    <t>66</t>
  </si>
  <si>
    <t>1.1.4.1</t>
  </si>
  <si>
    <t>67</t>
  </si>
  <si>
    <t>1.1.4.1.1</t>
  </si>
  <si>
    <t>68</t>
  </si>
  <si>
    <t>3G 3cc 2nd Carrier: For HSDPA IFLS 17</t>
  </si>
  <si>
    <t>70</t>
  </si>
  <si>
    <t>1.1.5.1</t>
  </si>
  <si>
    <t>71</t>
  </si>
  <si>
    <t>1.1.5.1.1</t>
  </si>
  <si>
    <t>72</t>
  </si>
  <si>
    <t>3G 3cc 1st Carrier: For HSDPA IFLS 3</t>
  </si>
  <si>
    <t>74</t>
  </si>
  <si>
    <t>75</t>
  </si>
  <si>
    <t>76</t>
  </si>
  <si>
    <t>3G 3cc 2nd Carrier: Existing 3HScc SW Features 17</t>
  </si>
  <si>
    <t>78</t>
  </si>
  <si>
    <t>79</t>
  </si>
  <si>
    <t>80</t>
  </si>
  <si>
    <t>81</t>
  </si>
  <si>
    <t>83</t>
  </si>
  <si>
    <t>84</t>
  </si>
  <si>
    <t>86</t>
  </si>
  <si>
    <t>87</t>
  </si>
  <si>
    <t>89</t>
  </si>
  <si>
    <t>90</t>
  </si>
  <si>
    <t>1.2</t>
  </si>
  <si>
    <t>Site 5014</t>
  </si>
  <si>
    <t>92</t>
  </si>
  <si>
    <t>1.2.1</t>
  </si>
  <si>
    <t>Additional 1 Sector For LTE</t>
  </si>
  <si>
    <t>93</t>
  </si>
  <si>
    <t>1.2.1.1</t>
  </si>
  <si>
    <t>2F LC-LC SM RRUS02, RRUS11 5M</t>
  </si>
  <si>
    <t>94</t>
  </si>
  <si>
    <t>1.2.1.1.1</t>
  </si>
  <si>
    <t>95</t>
  </si>
  <si>
    <t>1.2.1.2</t>
  </si>
  <si>
    <t>Additional 10MHz Bandwidth HWAC</t>
  </si>
  <si>
    <t>97</t>
  </si>
  <si>
    <t>1.2.1.2.1</t>
  </si>
  <si>
    <t>Upgrade From 10MHz to 20MHz</t>
  </si>
  <si>
    <t>98</t>
  </si>
  <si>
    <t>1.2.1.3</t>
  </si>
  <si>
    <t>Additional Output Power HWAC 20W-&gt;40W (per RU)</t>
  </si>
  <si>
    <t>100</t>
  </si>
  <si>
    <t>1.2.1.3.1</t>
  </si>
  <si>
    <t>101</t>
  </si>
  <si>
    <t>1.2.1.4</t>
  </si>
  <si>
    <t>Additional Output Power HWAC 40W-&gt;60W (per RU)</t>
  </si>
  <si>
    <t>103</t>
  </si>
  <si>
    <t>1.2.1.4.1</t>
  </si>
  <si>
    <t>104</t>
  </si>
  <si>
    <t>1.2.1.5</t>
  </si>
  <si>
    <t>Dual-TX RRUS-11B7 (2600MHz) -48VDC, 10W+10W HW Activation incl.</t>
  </si>
  <si>
    <t>106</t>
  </si>
  <si>
    <t>1.2.1.5.1</t>
  </si>
  <si>
    <t>107</t>
  </si>
  <si>
    <t>1.2.1.6</t>
  </si>
  <si>
    <t>Dual-TX RRUS-12B3 (1800MHz) -48VDC, 10W+10W HW Activation incl.</t>
  </si>
  <si>
    <t>109</t>
  </si>
  <si>
    <t>1.2.1.6.1</t>
  </si>
  <si>
    <t>110</t>
  </si>
  <si>
    <t>1.2.1.7</t>
  </si>
  <si>
    <t>DUL with 63Mbps* (Indoor)</t>
  </si>
  <si>
    <t>112</t>
  </si>
  <si>
    <t>1.2.1.7.1</t>
  </si>
  <si>
    <t>Indoor DUL with 63 Mbps</t>
  </si>
  <si>
    <t>113</t>
  </si>
  <si>
    <t>1.2.1.8</t>
  </si>
  <si>
    <t>LTE-FDD Cell Carrier 10MHz Bandwidth HWAC</t>
  </si>
  <si>
    <t>115</t>
  </si>
  <si>
    <t>1.2.1.8.1</t>
  </si>
  <si>
    <t>116</t>
  </si>
  <si>
    <t>1.2.1.9</t>
  </si>
  <si>
    <t>118</t>
  </si>
  <si>
    <t>1.2.1.9.1</t>
  </si>
  <si>
    <t>119</t>
  </si>
  <si>
    <t>1.2.1.10</t>
  </si>
  <si>
    <t>121</t>
  </si>
  <si>
    <t>1.2.1.10.1</t>
  </si>
  <si>
    <t>122</t>
  </si>
  <si>
    <t>1.2.1.11</t>
  </si>
  <si>
    <t>SSC02 (Addn 1x32A)</t>
  </si>
  <si>
    <t>124</t>
  </si>
  <si>
    <t>1.2.1.11.1</t>
  </si>
  <si>
    <t>125</t>
  </si>
  <si>
    <t>1.2.1.11.1.1</t>
  </si>
  <si>
    <t>127</t>
  </si>
  <si>
    <t>1.2.1.11.1.2</t>
  </si>
  <si>
    <t>128</t>
  </si>
  <si>
    <t>1.2.2</t>
  </si>
  <si>
    <t>130</t>
  </si>
  <si>
    <t>1.2.2.1</t>
  </si>
  <si>
    <t>131</t>
  </si>
  <si>
    <t>1.2.2.1.1</t>
  </si>
  <si>
    <t>132</t>
  </si>
  <si>
    <t>1.2.2.2</t>
  </si>
  <si>
    <t>134</t>
  </si>
  <si>
    <t>1.2.2.2.1</t>
  </si>
  <si>
    <t>135</t>
  </si>
  <si>
    <t>1.2.2.3</t>
  </si>
  <si>
    <t>137</t>
  </si>
  <si>
    <t>1.2.2.3.1</t>
  </si>
  <si>
    <t>138</t>
  </si>
  <si>
    <t>1.2.2.3.2</t>
  </si>
  <si>
    <t>139</t>
  </si>
  <si>
    <t>1.2.2.3.3</t>
  </si>
  <si>
    <t>140</t>
  </si>
  <si>
    <t>1.2.2.3.4</t>
  </si>
  <si>
    <t>141</t>
  </si>
  <si>
    <t>1.2.2.3.5</t>
  </si>
  <si>
    <t>142</t>
  </si>
  <si>
    <t>1.2.2.3.6</t>
  </si>
  <si>
    <t>143</t>
  </si>
  <si>
    <t>1.2.2.3.7</t>
  </si>
  <si>
    <t>144</t>
  </si>
  <si>
    <t>1.2.2.3.8</t>
  </si>
  <si>
    <t>145</t>
  </si>
  <si>
    <t>1.2.2.3.9</t>
  </si>
  <si>
    <t>146</t>
  </si>
  <si>
    <t>1.2.2.4</t>
  </si>
  <si>
    <t>148</t>
  </si>
  <si>
    <t>1.2.2.4.1</t>
  </si>
  <si>
    <t>149</t>
  </si>
  <si>
    <t>1.2.2.4.1.1</t>
  </si>
  <si>
    <t>151</t>
  </si>
  <si>
    <t>1.2.2.4.1.2</t>
  </si>
  <si>
    <t>152</t>
  </si>
  <si>
    <t>1.2.2.4.1.3</t>
  </si>
  <si>
    <t>153</t>
  </si>
  <si>
    <t>1.2.2.4.1.4</t>
  </si>
  <si>
    <t>154</t>
  </si>
  <si>
    <t>1.2.2.4.1.5</t>
  </si>
  <si>
    <t>155</t>
  </si>
  <si>
    <t>1.2.2.4.1.6</t>
  </si>
  <si>
    <t>156</t>
  </si>
  <si>
    <t>1.2.2.4.1.7</t>
  </si>
  <si>
    <t>157</t>
  </si>
  <si>
    <t>1.2.2.4.1.8</t>
  </si>
  <si>
    <t>158</t>
  </si>
  <si>
    <t>1.2.2.4.1.9</t>
  </si>
  <si>
    <t>159</t>
  </si>
  <si>
    <t>1.2.2.4.1.10</t>
  </si>
  <si>
    <t>160</t>
  </si>
  <si>
    <t>1.2.3</t>
  </si>
  <si>
    <t>162</t>
  </si>
  <si>
    <t>1.2.3.1</t>
  </si>
  <si>
    <t>163</t>
  </si>
  <si>
    <t>1.2.3.1.1</t>
  </si>
  <si>
    <t>164</t>
  </si>
  <si>
    <t>1.2.4</t>
  </si>
  <si>
    <t>166</t>
  </si>
  <si>
    <t>1.2.4.1</t>
  </si>
  <si>
    <t>167</t>
  </si>
  <si>
    <t>1.2.4.1.1</t>
  </si>
  <si>
    <t>168</t>
  </si>
  <si>
    <t>1.2.5</t>
  </si>
  <si>
    <t>170</t>
  </si>
  <si>
    <t>1.2.5.1</t>
  </si>
  <si>
    <t>171</t>
  </si>
  <si>
    <t>1.2.5.1.1</t>
  </si>
  <si>
    <t>172</t>
  </si>
  <si>
    <t>1.2.5.2</t>
  </si>
  <si>
    <t>174</t>
  </si>
  <si>
    <t>1.2.5.2.1</t>
  </si>
  <si>
    <t>175</t>
  </si>
  <si>
    <t>1.2.5.2.2</t>
  </si>
  <si>
    <t>176</t>
  </si>
  <si>
    <t>1.2.5.2.3</t>
  </si>
  <si>
    <t>177</t>
  </si>
  <si>
    <t>1.2.5.2.4</t>
  </si>
  <si>
    <t>178</t>
  </si>
  <si>
    <t>1.2.5.2.5</t>
  </si>
  <si>
    <t>179</t>
  </si>
  <si>
    <t>1.2.5.2.6</t>
  </si>
  <si>
    <t>180</t>
  </si>
  <si>
    <t>1.2.5.2.7</t>
  </si>
  <si>
    <t>181</t>
  </si>
  <si>
    <t>1.2.5.2.8</t>
  </si>
  <si>
    <t>182</t>
  </si>
  <si>
    <t>1.2.6</t>
  </si>
  <si>
    <t>Batteries</t>
  </si>
  <si>
    <t>184</t>
  </si>
  <si>
    <t>1.2.6.1</t>
  </si>
  <si>
    <t>185</t>
  </si>
  <si>
    <t>1.2.6.1.1</t>
  </si>
  <si>
    <t>186</t>
  </si>
  <si>
    <t>1.2.7</t>
  </si>
  <si>
    <t>Additional 1 Sector</t>
  </si>
  <si>
    <t>188</t>
  </si>
  <si>
    <t>1.2.7.1</t>
  </si>
  <si>
    <t>RBS 6601_Additional 1 Sector of 3cc@20Wpcc</t>
  </si>
  <si>
    <t>189</t>
  </si>
  <si>
    <t>1.2.7.1.1</t>
  </si>
  <si>
    <t>PRODUCT PACKAGE/WCDMA Expansions or Upgr (FAP1301603/2)</t>
  </si>
  <si>
    <t>190</t>
  </si>
  <si>
    <t>1.2.7.1.1.1</t>
  </si>
  <si>
    <t>192</t>
  </si>
  <si>
    <t>1.2.7.1.1.2</t>
  </si>
  <si>
    <t>193</t>
  </si>
  <si>
    <t>1.2.7.1.1.3</t>
  </si>
  <si>
    <t>194</t>
  </si>
  <si>
    <t>1.2.7.1.1.4</t>
  </si>
  <si>
    <t>195</t>
  </si>
  <si>
    <t>1.2.7.1.2</t>
  </si>
  <si>
    <t>196</t>
  </si>
  <si>
    <t>1.2.7.1.2.1</t>
  </si>
  <si>
    <t>198</t>
  </si>
  <si>
    <t>1.2.7.1.2.2</t>
  </si>
  <si>
    <t>199</t>
  </si>
  <si>
    <t>1.2.7.1.2.3</t>
  </si>
  <si>
    <t>200</t>
  </si>
  <si>
    <t>1.2.8</t>
  </si>
  <si>
    <t>3G 3cc 2nd Carrier: Existing 3HScc SW Features 7</t>
  </si>
  <si>
    <t>202</t>
  </si>
  <si>
    <t>1.2.8.1</t>
  </si>
  <si>
    <t>203</t>
  </si>
  <si>
    <t>1.2.8.1.1</t>
  </si>
  <si>
    <t>204</t>
  </si>
  <si>
    <t>1.2.8.1.2</t>
  </si>
  <si>
    <t>205</t>
  </si>
  <si>
    <t>1.2.8.2</t>
  </si>
  <si>
    <t>207</t>
  </si>
  <si>
    <t>1.2.8.2.1</t>
  </si>
  <si>
    <t>208</t>
  </si>
  <si>
    <t>1.2.8.3</t>
  </si>
  <si>
    <t>210</t>
  </si>
  <si>
    <t>1.2.8.3.1</t>
  </si>
  <si>
    <t>211</t>
  </si>
  <si>
    <t>1.2.8.4</t>
  </si>
  <si>
    <t>213</t>
  </si>
  <si>
    <t>1.2.8.4.1</t>
  </si>
  <si>
    <t>214</t>
  </si>
  <si>
    <t>1.2.9</t>
  </si>
  <si>
    <t>3G 3cc 2nd Carrier: For HSDPA IFLS 7</t>
  </si>
  <si>
    <t>216</t>
  </si>
  <si>
    <t>1.2.9.1</t>
  </si>
  <si>
    <t>217</t>
  </si>
  <si>
    <t>1.2.9.1.1</t>
  </si>
  <si>
    <t>218</t>
  </si>
  <si>
    <t>1.2.10</t>
  </si>
  <si>
    <t>3G 3cc 2nd Carrier: EUL 7</t>
  </si>
  <si>
    <t>220</t>
  </si>
  <si>
    <t>1.2.10.1</t>
  </si>
  <si>
    <t>221</t>
  </si>
  <si>
    <t>1.2.10.1.1</t>
  </si>
  <si>
    <t>222</t>
  </si>
  <si>
    <t>1.3</t>
  </si>
  <si>
    <t>Site 5327</t>
  </si>
  <si>
    <t>224</t>
  </si>
  <si>
    <t>1.3.1</t>
  </si>
  <si>
    <t>Additional 1 Sector For LTE 1</t>
  </si>
  <si>
    <t>225</t>
  </si>
  <si>
    <t>1.3.1.1</t>
  </si>
  <si>
    <t>226</t>
  </si>
  <si>
    <t>1.3.1.1.1</t>
  </si>
  <si>
    <t>227</t>
  </si>
  <si>
    <t>1.3.1.2</t>
  </si>
  <si>
    <t>229</t>
  </si>
  <si>
    <t>1.3.1.2.1</t>
  </si>
  <si>
    <t>230</t>
  </si>
  <si>
    <t>1.3.1.3</t>
  </si>
  <si>
    <t>232</t>
  </si>
  <si>
    <t>1.3.1.3.1</t>
  </si>
  <si>
    <t>233</t>
  </si>
  <si>
    <t>1.3.1.4</t>
  </si>
  <si>
    <t>235</t>
  </si>
  <si>
    <t>1.3.1.4.1</t>
  </si>
  <si>
    <t>236</t>
  </si>
  <si>
    <t>1.3.1.5</t>
  </si>
  <si>
    <t>238</t>
  </si>
  <si>
    <t>1.3.1.5.1</t>
  </si>
  <si>
    <t>239</t>
  </si>
  <si>
    <t>1.3.1.6</t>
  </si>
  <si>
    <t>241</t>
  </si>
  <si>
    <t>1.3.1.6.1</t>
  </si>
  <si>
    <t>242</t>
  </si>
  <si>
    <t>1.3.1.7</t>
  </si>
  <si>
    <t>244</t>
  </si>
  <si>
    <t>1.3.1.7.1</t>
  </si>
  <si>
    <t>245</t>
  </si>
  <si>
    <t>1.3.1.8</t>
  </si>
  <si>
    <t>NSB Battery, 48V/13Ah For PBC-02</t>
  </si>
  <si>
    <t>247</t>
  </si>
  <si>
    <t>1.3.1.8.1</t>
  </si>
  <si>
    <t>Battery 48V / 12 Ah</t>
  </si>
  <si>
    <t>248</t>
  </si>
  <si>
    <t>1.3.1.9</t>
  </si>
  <si>
    <t>250</t>
  </si>
  <si>
    <t>1.3.1.9.1</t>
  </si>
  <si>
    <t>251</t>
  </si>
  <si>
    <t>1.3.1.10</t>
  </si>
  <si>
    <t>PBC-02 MU2 ( 1200 W) incl. sunshield</t>
  </si>
  <si>
    <t>253</t>
  </si>
  <si>
    <t>1.3.1.10.1</t>
  </si>
  <si>
    <t>254</t>
  </si>
  <si>
    <t>1.3.1.11</t>
  </si>
  <si>
    <t>256</t>
  </si>
  <si>
    <t>1.3.1.11.1</t>
  </si>
  <si>
    <t>257</t>
  </si>
  <si>
    <t>1.3.1.12</t>
  </si>
  <si>
    <t>Pole Mounting Kits, PBC-02</t>
  </si>
  <si>
    <t>259</t>
  </si>
  <si>
    <t>1.3.1.12.1</t>
  </si>
  <si>
    <t>260</t>
  </si>
  <si>
    <t>1.3.1.13</t>
  </si>
  <si>
    <t>Single Radio Unit RUS-01B7 (2600MHz) 20W HW Activation incl.</t>
  </si>
  <si>
    <t>262</t>
  </si>
  <si>
    <t>1.3.1.13.1</t>
  </si>
  <si>
    <t>263</t>
  </si>
  <si>
    <t>1.3.2</t>
  </si>
  <si>
    <t>265</t>
  </si>
  <si>
    <t>1.3.2.1</t>
  </si>
  <si>
    <t>266</t>
  </si>
  <si>
    <t>1.3.2.1.1</t>
  </si>
  <si>
    <t>267</t>
  </si>
  <si>
    <t>1.3.2.2</t>
  </si>
  <si>
    <t>269</t>
  </si>
  <si>
    <t>1.3.2.2.1</t>
  </si>
  <si>
    <t>270</t>
  </si>
  <si>
    <t>1.3.2.3</t>
  </si>
  <si>
    <t>272</t>
  </si>
  <si>
    <t>1.3.2.3.1</t>
  </si>
  <si>
    <t>273</t>
  </si>
  <si>
    <t>1.3.2.3.2</t>
  </si>
  <si>
    <t>274</t>
  </si>
  <si>
    <t>1.3.2.3.3</t>
  </si>
  <si>
    <t>275</t>
  </si>
  <si>
    <t>1.3.2.3.4</t>
  </si>
  <si>
    <t>276</t>
  </si>
  <si>
    <t>1.3.2.3.5</t>
  </si>
  <si>
    <t>277</t>
  </si>
  <si>
    <t>1.3.2.3.6</t>
  </si>
  <si>
    <t>278</t>
  </si>
  <si>
    <t>1.3.2.3.7</t>
  </si>
  <si>
    <t>279</t>
  </si>
  <si>
    <t>1.3.2.3.8</t>
  </si>
  <si>
    <t>280</t>
  </si>
  <si>
    <t>1.3.2.3.9</t>
  </si>
  <si>
    <t>281</t>
  </si>
  <si>
    <t>1.3.2.3.10</t>
  </si>
  <si>
    <t>282</t>
  </si>
  <si>
    <t>1.3.2.3.11</t>
  </si>
  <si>
    <t>283</t>
  </si>
  <si>
    <t>1.3.2.3.12</t>
  </si>
  <si>
    <t>284</t>
  </si>
  <si>
    <t>1.3.2.3.13</t>
  </si>
  <si>
    <t>285</t>
  </si>
  <si>
    <t>1.3.2.3.14</t>
  </si>
  <si>
    <t>286</t>
  </si>
  <si>
    <t>1.3.2.3.15</t>
  </si>
  <si>
    <t>287</t>
  </si>
  <si>
    <t>1.3.2.3.16</t>
  </si>
  <si>
    <t>288</t>
  </si>
  <si>
    <t>1.3.2.3.17</t>
  </si>
  <si>
    <t>1.3.2.3.18</t>
  </si>
  <si>
    <t>1.3.2.3.19</t>
  </si>
  <si>
    <t>1.3.2.3.20</t>
  </si>
  <si>
    <t>1.3.2.3.21</t>
  </si>
  <si>
    <t>1.3.2.3.22</t>
  </si>
  <si>
    <t>1.3.3</t>
  </si>
  <si>
    <t>3G RBS6101 1x2 to 1x3 20Wpcc Additional DUW30(Additional 30HS codes)</t>
  </si>
  <si>
    <t>1.3.3.1</t>
  </si>
  <si>
    <t>1.3.3.1.1</t>
  </si>
  <si>
    <t>1.3.3.2</t>
  </si>
  <si>
    <t>RBS6101 WCDMA 1x2 30Wpcc to 1x3 20Wpcc_DUW20/30(0UL/0DL/15Code)_Rev A</t>
  </si>
  <si>
    <t>1.3.3.2.1</t>
  </si>
  <si>
    <t>1.3.3.2.2</t>
  </si>
  <si>
    <t>1.3.3.2.3</t>
  </si>
  <si>
    <t>1.3.3.2.4</t>
  </si>
  <si>
    <t>1.3.3.2.5</t>
  </si>
  <si>
    <t>1.3.3.2.6</t>
  </si>
  <si>
    <t>1.3.4</t>
  </si>
  <si>
    <t>Batteries 2</t>
  </si>
  <si>
    <t>1.3.4.1</t>
  </si>
  <si>
    <t>1.3.4.1.1</t>
  </si>
  <si>
    <t>1.3.4.1.2</t>
  </si>
  <si>
    <t>1.3.4.1.3</t>
  </si>
  <si>
    <t>1.3.4.2</t>
  </si>
  <si>
    <t>1.3.4.2.1</t>
  </si>
  <si>
    <t>1.3.5</t>
  </si>
  <si>
    <t>Additional 1 Sector 1</t>
  </si>
  <si>
    <t>1.3.5.1</t>
  </si>
  <si>
    <t>RBS 6101_Additional 1 Sector of 3cc@20Wpcc (Addn 1xPSU, 1xPDU)</t>
  </si>
  <si>
    <t>1.3.5.1.1</t>
  </si>
  <si>
    <t>1.3.5.1.1.1</t>
  </si>
  <si>
    <t>1.3.5.1.1.2</t>
  </si>
  <si>
    <t>1.3.5.1.1.3</t>
  </si>
  <si>
    <t>1.3.5.1.1.4</t>
  </si>
  <si>
    <t>1.3.5.1.1.5</t>
  </si>
  <si>
    <t>1.3.5.1.1.6</t>
  </si>
  <si>
    <t>1.3.6</t>
  </si>
  <si>
    <t>3G 3cc 2nd Carrier: Existing 3HScc SW Features 11</t>
  </si>
  <si>
    <t>1.3.6.1</t>
  </si>
  <si>
    <t>1.3.6.1.1</t>
  </si>
  <si>
    <t>1.3.6.1.2</t>
  </si>
  <si>
    <t>1.3.6.2</t>
  </si>
  <si>
    <t>1.3.6.2.1</t>
  </si>
  <si>
    <t>1.3.6.3</t>
  </si>
  <si>
    <t>1.3.6.3.1</t>
  </si>
  <si>
    <t>1.3.6.4</t>
  </si>
  <si>
    <t>1.3.6.4.1</t>
  </si>
  <si>
    <t>1.3.7</t>
  </si>
  <si>
    <t>3G 3cc 2nd Carrier: For HSDPA IFLS 11</t>
  </si>
  <si>
    <t>1.3.7.1</t>
  </si>
  <si>
    <t>1.3.7.1.1</t>
  </si>
  <si>
    <t>1.3.8</t>
  </si>
  <si>
    <t>3G 3cc 2nd Carrier: EUL 11</t>
  </si>
  <si>
    <t>1.3.8.1</t>
  </si>
  <si>
    <t>1.3.8.1.1</t>
  </si>
  <si>
    <t>1.3.9</t>
  </si>
  <si>
    <t>3G 3cc 1st Carrier: For HSDPA IFLS 1</t>
  </si>
  <si>
    <t>1.3.9.1</t>
  </si>
  <si>
    <t>1.3.9.1.1</t>
  </si>
  <si>
    <t>1.3.10</t>
  </si>
  <si>
    <t>3G 3cc 3rd Carrier: EUL 1</t>
  </si>
  <si>
    <t>1.3.10.1</t>
  </si>
  <si>
    <t>1.3.10.1.1</t>
  </si>
  <si>
    <t>1.4</t>
  </si>
  <si>
    <t>Site 5163</t>
  </si>
  <si>
    <t>1.4.1</t>
  </si>
  <si>
    <t>Additional 1 Sector For LTE 1 1</t>
  </si>
  <si>
    <t>1.4.1.1</t>
  </si>
  <si>
    <t>1.4.1.1.1</t>
  </si>
  <si>
    <t>1.4.1.2</t>
  </si>
  <si>
    <t>1.4.1.2.1</t>
  </si>
  <si>
    <t>1.4.1.3</t>
  </si>
  <si>
    <t>1.4.1.3.1</t>
  </si>
  <si>
    <t>1.4.1.4</t>
  </si>
  <si>
    <t>1.4.1.4.1</t>
  </si>
  <si>
    <t>1.4.1.5</t>
  </si>
  <si>
    <t>1.4.1.5.1</t>
  </si>
  <si>
    <t>1.4.1.6</t>
  </si>
  <si>
    <t>1.4.1.6.1</t>
  </si>
  <si>
    <t>1.4.1.7</t>
  </si>
  <si>
    <t>Indoor DUL with 63 Mbps to 127 Mbps</t>
  </si>
  <si>
    <t>1.4.1.7.1</t>
  </si>
  <si>
    <t>1.4.1.8</t>
  </si>
  <si>
    <t>1.4.1.8.1</t>
  </si>
  <si>
    <t>1.4.1.9</t>
  </si>
  <si>
    <t>1.4.1.9.1</t>
  </si>
  <si>
    <t>1.4.1.10</t>
  </si>
  <si>
    <t>1.4.1.10.1</t>
  </si>
  <si>
    <t>1.4.1.11</t>
  </si>
  <si>
    <t>1.4.1.11.1</t>
  </si>
  <si>
    <t>1.4.1.12</t>
  </si>
  <si>
    <t>1.4.1.12.1</t>
  </si>
  <si>
    <t>1.4.1.13</t>
  </si>
  <si>
    <t>1.4.1.13.1</t>
  </si>
  <si>
    <t>1.4.1.14</t>
  </si>
  <si>
    <t>1.4.1.14.1</t>
  </si>
  <si>
    <t>1.4.2</t>
  </si>
  <si>
    <t>3G RBS6101 1x2 to 1x3 20Wpcc Additional DUW30(Addi 1</t>
  </si>
  <si>
    <t>1.4.2.1</t>
  </si>
  <si>
    <t>1.4.2.1.1</t>
  </si>
  <si>
    <t>1.4.2.2</t>
  </si>
  <si>
    <t>1.4.2.2.1</t>
  </si>
  <si>
    <t>1.4.2.2.2</t>
  </si>
  <si>
    <t>1.4.2.2.3</t>
  </si>
  <si>
    <t>1.4.2.2.4</t>
  </si>
  <si>
    <t>1.4.2.2.5</t>
  </si>
  <si>
    <t>1.4.2.2.6</t>
  </si>
  <si>
    <t>1.4.3</t>
  </si>
  <si>
    <t>Additional 1 Sector 2</t>
  </si>
  <si>
    <t>1.4.3.1</t>
  </si>
  <si>
    <t>RBS 6101_Additional 1 Sector of 3cc@20Wpcc</t>
  </si>
  <si>
    <t>1.4.3.1.1</t>
  </si>
  <si>
    <t>1.4.3.1.1.1</t>
  </si>
  <si>
    <t>1.4.3.1.1.2</t>
  </si>
  <si>
    <t>1.4.3.1.1.3</t>
  </si>
  <si>
    <t>1.4.3.1.1.4</t>
  </si>
  <si>
    <t>1.4.4</t>
  </si>
  <si>
    <t>3G 3cc 2nd Carrier: Existing 3HScc SW Features 16</t>
  </si>
  <si>
    <t>1.4.4.1</t>
  </si>
  <si>
    <t>1.4.4.1.1</t>
  </si>
  <si>
    <t>1.4.4.1.2</t>
  </si>
  <si>
    <t>1.4.4.2</t>
  </si>
  <si>
    <t>1.4.4.2.1</t>
  </si>
  <si>
    <t>1.4.4.3</t>
  </si>
  <si>
    <t>1.4.4.3.1</t>
  </si>
  <si>
    <t>1.4.4.4</t>
  </si>
  <si>
    <t>1.4.4.4.1</t>
  </si>
  <si>
    <t>1.4.5</t>
  </si>
  <si>
    <t>3G 3cc 2nd Carrier: For HSDPA IFLS 16</t>
  </si>
  <si>
    <t>1.4.5.1</t>
  </si>
  <si>
    <t>1.4.5.1.1</t>
  </si>
  <si>
    <t>1.4.6</t>
  </si>
  <si>
    <t>3G 3cc 2nd Carrier: EUL 16</t>
  </si>
  <si>
    <t>1.4.6.1</t>
  </si>
  <si>
    <t>1.4.6.1.1</t>
  </si>
  <si>
    <t>1.4.7</t>
  </si>
  <si>
    <t>3G 3cc 1st Carrier: For HSDPA IFLS 2</t>
  </si>
  <si>
    <t>1.4.7.1</t>
  </si>
  <si>
    <t>1.4.7.1.1</t>
  </si>
  <si>
    <t>1.4.8</t>
  </si>
  <si>
    <t>3G 3cc 3rd Carrier: EUL 2</t>
  </si>
  <si>
    <t>1.4.8.1</t>
  </si>
  <si>
    <t>1.4.8.1.1</t>
  </si>
  <si>
    <t>1.5</t>
  </si>
  <si>
    <t>Site 5323</t>
  </si>
  <si>
    <t>1.5.1</t>
  </si>
  <si>
    <t>Additional 1 Sector For LTE 1 1 1</t>
  </si>
  <si>
    <t>1.5.1.1</t>
  </si>
  <si>
    <t>1.5.1.1.1</t>
  </si>
  <si>
    <t>1.5.1.2</t>
  </si>
  <si>
    <t>1.5.1.2.1</t>
  </si>
  <si>
    <t>1.5.1.3</t>
  </si>
  <si>
    <t>1.5.1.3.1</t>
  </si>
  <si>
    <t>1.5.1.4</t>
  </si>
  <si>
    <t>1.5.1.4.1</t>
  </si>
  <si>
    <t>1.5.1.5</t>
  </si>
  <si>
    <t>Single Radio Unit RUS 02B3 (1800MHz) 20W HW Activation incl.</t>
  </si>
  <si>
    <t>1.5.1.5.1</t>
  </si>
  <si>
    <t>1.5.1.6</t>
  </si>
  <si>
    <t>1.5.1.6.1</t>
  </si>
  <si>
    <t>1.5.2</t>
  </si>
  <si>
    <t>Additional 1 Sector 2 1</t>
  </si>
  <si>
    <t>1.5.2.1</t>
  </si>
  <si>
    <t>1.5.2.1.1</t>
  </si>
  <si>
    <t>1.5.2.1.1.1</t>
  </si>
  <si>
    <t>1.5.2.1.1.2</t>
  </si>
  <si>
    <t>1.5.2.1.1.3</t>
  </si>
  <si>
    <t>1.5.2.1.1.4</t>
  </si>
  <si>
    <t>1.5.3</t>
  </si>
  <si>
    <t>3G 3cc 2nd Carrier: Existing 3HScc SW Features 13</t>
  </si>
  <si>
    <t>1.5.3.1</t>
  </si>
  <si>
    <t>1.5.3.1.1</t>
  </si>
  <si>
    <t>1.5.3.1.2</t>
  </si>
  <si>
    <t>1.5.3.2</t>
  </si>
  <si>
    <t>1.5.3.2.1</t>
  </si>
  <si>
    <t>1.5.3.3</t>
  </si>
  <si>
    <t>1.5.3.3.1</t>
  </si>
  <si>
    <t>1.5.3.4</t>
  </si>
  <si>
    <t>1.5.3.4.1</t>
  </si>
  <si>
    <t>1.5.4</t>
  </si>
  <si>
    <t>3G 3cc 2nd Carrier: For HSDPA IFLS 13</t>
  </si>
  <si>
    <t>1.5.4.1</t>
  </si>
  <si>
    <t>1.5.4.1.1</t>
  </si>
  <si>
    <t>1.5.5</t>
  </si>
  <si>
    <t>3G 3cc 2nd Carrier: EUL 13</t>
  </si>
  <si>
    <t>1.5.5.1</t>
  </si>
  <si>
    <t>1.5.5.1.1</t>
  </si>
  <si>
    <t>1.6</t>
  </si>
  <si>
    <t>Site 5156</t>
  </si>
  <si>
    <t>1.6.1</t>
  </si>
  <si>
    <t>Additional 1 Sector For LTE 1 1 1 1</t>
  </si>
  <si>
    <t>1.6.1.1</t>
  </si>
  <si>
    <t>1.6.1.1.1</t>
  </si>
  <si>
    <t>1.6.1.2</t>
  </si>
  <si>
    <t>1.6.1.2.1</t>
  </si>
  <si>
    <t>1.6.1.3</t>
  </si>
  <si>
    <t>1.6.1.3.1</t>
  </si>
  <si>
    <t>1.6.1.4</t>
  </si>
  <si>
    <t>1.6.1.4.1</t>
  </si>
  <si>
    <t>1.6.1.5</t>
  </si>
  <si>
    <t>1.6.1.5.1</t>
  </si>
  <si>
    <t>1.6.1.6</t>
  </si>
  <si>
    <t>1.6.1.6.1</t>
  </si>
  <si>
    <t>1.6.1.7</t>
  </si>
  <si>
    <t>1.6.1.7.1</t>
  </si>
  <si>
    <t>1.6.1.8</t>
  </si>
  <si>
    <t>1.6.1.8.1</t>
  </si>
  <si>
    <t>1.6.1.9</t>
  </si>
  <si>
    <t>1.6.1.9.1</t>
  </si>
  <si>
    <t>1.6.1.10</t>
  </si>
  <si>
    <t>1.6.1.10.1</t>
  </si>
  <si>
    <t>1.6.1.11</t>
  </si>
  <si>
    <t>1.6.1.11.1</t>
  </si>
  <si>
    <t>1.6.1.12</t>
  </si>
  <si>
    <t>1.6.1.12.1</t>
  </si>
  <si>
    <t>1.6.1.13</t>
  </si>
  <si>
    <t>1.6.1.13.1</t>
  </si>
  <si>
    <t>1.6.1.14</t>
  </si>
  <si>
    <t>1.6.1.14.1</t>
  </si>
  <si>
    <t>1.6.2</t>
  </si>
  <si>
    <t>Additional 1 Sector 2 2</t>
  </si>
  <si>
    <t>1.6.2.1</t>
  </si>
  <si>
    <t>1.6.2.1.1</t>
  </si>
  <si>
    <t>1.6.2.1.1.1</t>
  </si>
  <si>
    <t>1.6.2.1.1.2</t>
  </si>
  <si>
    <t>1.6.2.1.1.3</t>
  </si>
  <si>
    <t>1.6.2.1.1.4</t>
  </si>
  <si>
    <t>1.6.3</t>
  </si>
  <si>
    <t>3G 3cc 2nd Carrier: Existing 3HScc SW Features 14</t>
  </si>
  <si>
    <t>1.6.3.1</t>
  </si>
  <si>
    <t>1.6.3.1.1</t>
  </si>
  <si>
    <t>1.6.3.1.2</t>
  </si>
  <si>
    <t>1.6.3.2</t>
  </si>
  <si>
    <t>1.6.3.2.1</t>
  </si>
  <si>
    <t>1.6.3.3</t>
  </si>
  <si>
    <t>1.6.3.3.1</t>
  </si>
  <si>
    <t>1.6.3.4</t>
  </si>
  <si>
    <t>1.6.3.4.1</t>
  </si>
  <si>
    <t>1.6.4</t>
  </si>
  <si>
    <t>3G 3cc 2nd Carrier: For HSDPA IFLS 14</t>
  </si>
  <si>
    <t>1.6.4.1</t>
  </si>
  <si>
    <t>1.6.4.1.1</t>
  </si>
  <si>
    <t>1.6.5</t>
  </si>
  <si>
    <t>3G 3cc 2nd Carrier: EUL 14</t>
  </si>
  <si>
    <t>1.6.5.1</t>
  </si>
  <si>
    <t>1.6.5.1.1</t>
  </si>
  <si>
    <t>1.7</t>
  </si>
  <si>
    <t>Site 5006</t>
  </si>
  <si>
    <t>1.7.1</t>
  </si>
  <si>
    <t>Additional 1 Sector for LTE 2</t>
  </si>
  <si>
    <t>1.7.1.1</t>
  </si>
  <si>
    <t>1xBatt Shelf</t>
  </si>
  <si>
    <t>1.7.1.1.1</t>
  </si>
  <si>
    <t>1.7.1.2</t>
  </si>
  <si>
    <t>1xECU</t>
  </si>
  <si>
    <t>1.7.1.2.1</t>
  </si>
  <si>
    <t>1.7.1.3</t>
  </si>
  <si>
    <t>1xPDU</t>
  </si>
  <si>
    <t>1.7.1.3.1</t>
  </si>
  <si>
    <t>1.7.1.4</t>
  </si>
  <si>
    <t>1xPSU</t>
  </si>
  <si>
    <t>1.7.1.4.1</t>
  </si>
  <si>
    <t>1.7.1.5</t>
  </si>
  <si>
    <t>1xRadio Shelf</t>
  </si>
  <si>
    <t>1.7.1.5.1</t>
  </si>
  <si>
    <t>1.7.1.6</t>
  </si>
  <si>
    <t>1.7.1.6.1</t>
  </si>
  <si>
    <t>1.7.1.7</t>
  </si>
  <si>
    <t>1.7.1.7.1</t>
  </si>
  <si>
    <t>1.7.1.8</t>
  </si>
  <si>
    <t>1.7.1.8.1</t>
  </si>
  <si>
    <t>1.7.1.9</t>
  </si>
  <si>
    <t>1.7.1.9.1</t>
  </si>
  <si>
    <t>1.7.1.10</t>
  </si>
  <si>
    <t>1.7.1.10.1</t>
  </si>
  <si>
    <t>1.7.1.11</t>
  </si>
  <si>
    <t>1.7.1.11.1</t>
  </si>
  <si>
    <t>1.7.1.12</t>
  </si>
  <si>
    <t>RBS6102 Cabinet Only</t>
  </si>
  <si>
    <t>1.7.1.12.1</t>
  </si>
  <si>
    <t>1.7.1.12.2</t>
  </si>
  <si>
    <t>1.7.1.12.3</t>
  </si>
  <si>
    <t>1.7.1.12.4</t>
  </si>
  <si>
    <t>1.7.1.12.5</t>
  </si>
  <si>
    <t>1.7.1.12.6</t>
  </si>
  <si>
    <t>1.7.1.12.7</t>
  </si>
  <si>
    <t>1.7.1.12.8</t>
  </si>
  <si>
    <t>1.7.1.12.9</t>
  </si>
  <si>
    <t>1.7.1.12.10</t>
  </si>
  <si>
    <t>1.7.1.12.11</t>
  </si>
  <si>
    <t>1.7.1.12.12</t>
  </si>
  <si>
    <t>1.7.1.12.13</t>
  </si>
  <si>
    <t>1.7.1.12.14</t>
  </si>
  <si>
    <t>1.7.1.12.15</t>
  </si>
  <si>
    <t>1.7.1.12.16</t>
  </si>
  <si>
    <t>1.7.1.13</t>
  </si>
  <si>
    <t>1.7.1.13.1</t>
  </si>
  <si>
    <t>1.7.1.14</t>
  </si>
  <si>
    <t>1.7.1.14.1</t>
  </si>
  <si>
    <t>1.7.2</t>
  </si>
  <si>
    <t>Additional 1 Sector 2 1 1</t>
  </si>
  <si>
    <t>1.7.2.1</t>
  </si>
  <si>
    <t>1.7.2.1.1</t>
  </si>
  <si>
    <t>1.7.2.1.1.1</t>
  </si>
  <si>
    <t>1.7.2.1.1.2</t>
  </si>
  <si>
    <t>1.7.2.1.1.3</t>
  </si>
  <si>
    <t>1.7.2.1.1.4</t>
  </si>
  <si>
    <t>1.7.2.1.1.5</t>
  </si>
  <si>
    <t>1.7.2.1.1.6</t>
  </si>
  <si>
    <t>1.7.3</t>
  </si>
  <si>
    <t>3G 3cc 2nd Carrier: Existing 3HScc SW Features 5</t>
  </si>
  <si>
    <t>1.7.3.1</t>
  </si>
  <si>
    <t>1.7.3.1.1</t>
  </si>
  <si>
    <t>1.7.3.1.2</t>
  </si>
  <si>
    <t>1.7.3.2</t>
  </si>
  <si>
    <t>1.7.3.2.1</t>
  </si>
  <si>
    <t>1.7.3.3</t>
  </si>
  <si>
    <t>1.7.3.3.1</t>
  </si>
  <si>
    <t>1.7.3.4</t>
  </si>
  <si>
    <t>1.7.3.4.1</t>
  </si>
  <si>
    <t>1.7.4</t>
  </si>
  <si>
    <t>3G 3cc 2nd Carrier: For HSDPA IFLS 5</t>
  </si>
  <si>
    <t>1.7.4.1</t>
  </si>
  <si>
    <t>1.7.4.1.1</t>
  </si>
  <si>
    <t>1.7.5</t>
  </si>
  <si>
    <t>3G 3cc 2nd Carrier: EUL 5</t>
  </si>
  <si>
    <t>1.7.5.1</t>
  </si>
  <si>
    <t>1.7.5.1.1</t>
  </si>
  <si>
    <t>1.8</t>
  </si>
  <si>
    <t>Site 5013</t>
  </si>
  <si>
    <t>1.8.1</t>
  </si>
  <si>
    <t>Additional 1 Sector for LTE 2 1</t>
  </si>
  <si>
    <t>1.8.1.1</t>
  </si>
  <si>
    <t>1.8.1.1.1</t>
  </si>
  <si>
    <t>1.8.1.2</t>
  </si>
  <si>
    <t>1.8.1.2.1</t>
  </si>
  <si>
    <t>1.8.1.3</t>
  </si>
  <si>
    <t>1.8.1.3.1</t>
  </si>
  <si>
    <t>1.8.1.4</t>
  </si>
  <si>
    <t>1.8.1.4.1</t>
  </si>
  <si>
    <t>1.8.1.5</t>
  </si>
  <si>
    <t>1.8.1.5.1</t>
  </si>
  <si>
    <t>1.8.1.6</t>
  </si>
  <si>
    <t>1.8.1.6.1</t>
  </si>
  <si>
    <t>1.8.1.7</t>
  </si>
  <si>
    <t>1.8.1.7.1</t>
  </si>
  <si>
    <t>1.8.1.8</t>
  </si>
  <si>
    <t>1.8.1.8.1</t>
  </si>
  <si>
    <t>1.8.1.9</t>
  </si>
  <si>
    <t>1.8.1.9.1</t>
  </si>
  <si>
    <t>1.8.1.10</t>
  </si>
  <si>
    <t>1.8.1.10.1</t>
  </si>
  <si>
    <t>1.8.1.11</t>
  </si>
  <si>
    <t>1.8.1.11.1</t>
  </si>
  <si>
    <t>1.8.1.12</t>
  </si>
  <si>
    <t>1.8.1.12.1</t>
  </si>
  <si>
    <t>1.8.1.12.2</t>
  </si>
  <si>
    <t>1.8.1.12.3</t>
  </si>
  <si>
    <t>1.8.1.12.4</t>
  </si>
  <si>
    <t>1.8.1.12.5</t>
  </si>
  <si>
    <t>1.8.1.12.6</t>
  </si>
  <si>
    <t>1.8.1.12.7</t>
  </si>
  <si>
    <t>1.8.1.12.8</t>
  </si>
  <si>
    <t>1.8.1.12.9</t>
  </si>
  <si>
    <t>1.8.1.12.10</t>
  </si>
  <si>
    <t>1.8.1.12.11</t>
  </si>
  <si>
    <t>1.8.1.12.12</t>
  </si>
  <si>
    <t>1.8.1.12.13</t>
  </si>
  <si>
    <t>1.8.1.12.14</t>
  </si>
  <si>
    <t>1.8.1.12.15</t>
  </si>
  <si>
    <t>1.8.1.12.16</t>
  </si>
  <si>
    <t>1.8.1.13</t>
  </si>
  <si>
    <t>1.8.1.13.1</t>
  </si>
  <si>
    <t>1.8.1.14</t>
  </si>
  <si>
    <t>1.8.1.14.1</t>
  </si>
  <si>
    <t>1.8.2</t>
  </si>
  <si>
    <t>Additional 1 Sector 2 1 1 1</t>
  </si>
  <si>
    <t>1.8.2.1</t>
  </si>
  <si>
    <t>1.8.2.1.1</t>
  </si>
  <si>
    <t>1.8.2.1.1.1</t>
  </si>
  <si>
    <t>1.8.2.1.1.2</t>
  </si>
  <si>
    <t>1.8.2.1.1.3</t>
  </si>
  <si>
    <t>1.8.2.1.1.4</t>
  </si>
  <si>
    <t>1.8.3</t>
  </si>
  <si>
    <t>3G 3cc 2nd Carrier: Existing 3HScc SW Features 6</t>
  </si>
  <si>
    <t>1.8.3.1</t>
  </si>
  <si>
    <t>1.8.3.1.1</t>
  </si>
  <si>
    <t>1.8.3.1.2</t>
  </si>
  <si>
    <t>1.8.3.2</t>
  </si>
  <si>
    <t>1.8.3.2.1</t>
  </si>
  <si>
    <t>1.8.3.3</t>
  </si>
  <si>
    <t>1.8.3.3.1</t>
  </si>
  <si>
    <t>1.8.3.4</t>
  </si>
  <si>
    <t>1.8.3.4.1</t>
  </si>
  <si>
    <t>1.8.4</t>
  </si>
  <si>
    <t>3G 3cc 2nd Carrier: For HSDPA IFLS 6</t>
  </si>
  <si>
    <t>1.8.4.1</t>
  </si>
  <si>
    <t>1.8.4.1.1</t>
  </si>
  <si>
    <t>1.8.5</t>
  </si>
  <si>
    <t>3G 3cc 2nd Carrier: EUL 6</t>
  </si>
  <si>
    <t>1.8.5.1</t>
  </si>
  <si>
    <t>1.8.5.1.1</t>
  </si>
  <si>
    <t>1.9</t>
  </si>
  <si>
    <t>Site 5068</t>
  </si>
  <si>
    <t>1.9.1</t>
  </si>
  <si>
    <t>Additional 1 Sector for LTE 2 2</t>
  </si>
  <si>
    <t>1.9.1.1</t>
  </si>
  <si>
    <t>1.9.1.1.1</t>
  </si>
  <si>
    <t>1.9.1.2</t>
  </si>
  <si>
    <t>1.9.1.2.1</t>
  </si>
  <si>
    <t>1.9.1.3</t>
  </si>
  <si>
    <t>1.9.1.3.1</t>
  </si>
  <si>
    <t>1.9.1.4</t>
  </si>
  <si>
    <t>1.9.1.4.1</t>
  </si>
  <si>
    <t>1.9.1.5</t>
  </si>
  <si>
    <t>1.9.1.5.1</t>
  </si>
  <si>
    <t>1.9.1.6</t>
  </si>
  <si>
    <t>1.9.1.6.1</t>
  </si>
  <si>
    <t>1.9.1.7</t>
  </si>
  <si>
    <t>1.9.1.7.1</t>
  </si>
  <si>
    <t>1.9.1.8</t>
  </si>
  <si>
    <t>1.9.1.8.1</t>
  </si>
  <si>
    <t>1.9.1.9</t>
  </si>
  <si>
    <t>1.9.1.9.1</t>
  </si>
  <si>
    <t>1.9.1.10</t>
  </si>
  <si>
    <t>1.9.1.10.1</t>
  </si>
  <si>
    <t>1.9.1.11</t>
  </si>
  <si>
    <t>1.9.1.11.1</t>
  </si>
  <si>
    <t>1.9.1.12</t>
  </si>
  <si>
    <t>1.9.1.12.1</t>
  </si>
  <si>
    <t>1.9.1.12.2</t>
  </si>
  <si>
    <t>1.9.1.12.3</t>
  </si>
  <si>
    <t>1.9.1.12.4</t>
  </si>
  <si>
    <t>1.9.1.12.5</t>
  </si>
  <si>
    <t>1.9.1.12.6</t>
  </si>
  <si>
    <t>1.9.1.12.7</t>
  </si>
  <si>
    <t>1.9.1.12.8</t>
  </si>
  <si>
    <t>1.9.1.12.9</t>
  </si>
  <si>
    <t>1.9.1.12.10</t>
  </si>
  <si>
    <t>1.9.1.12.11</t>
  </si>
  <si>
    <t>1.9.1.12.12</t>
  </si>
  <si>
    <t>1.9.1.12.13</t>
  </si>
  <si>
    <t>1.9.1.12.14</t>
  </si>
  <si>
    <t>1.9.1.12.15</t>
  </si>
  <si>
    <t>1.9.1.12.16</t>
  </si>
  <si>
    <t>1.9.1.13</t>
  </si>
  <si>
    <t>1.9.1.13.1</t>
  </si>
  <si>
    <t>1.9.1.14</t>
  </si>
  <si>
    <t>1.9.1.14.1</t>
  </si>
  <si>
    <t>1.9.2</t>
  </si>
  <si>
    <t>1.9.2.1</t>
  </si>
  <si>
    <t>1.9.2.1.1</t>
  </si>
  <si>
    <t>1.9.2.1.2</t>
  </si>
  <si>
    <t>1.9.2.2</t>
  </si>
  <si>
    <t>1.9.2.2.1</t>
  </si>
  <si>
    <t>1.9.2.3</t>
  </si>
  <si>
    <t>1.9.2.3.1</t>
  </si>
  <si>
    <t>1.9.2.4</t>
  </si>
  <si>
    <t>1.9.2.4.1</t>
  </si>
  <si>
    <t>1.9.3</t>
  </si>
  <si>
    <t>1.9.3.1</t>
  </si>
  <si>
    <t>1.9.3.1.1</t>
  </si>
  <si>
    <t>1.9.4</t>
  </si>
  <si>
    <t>1.9.4.1</t>
  </si>
  <si>
    <t>1.9.4.1.1</t>
  </si>
  <si>
    <t>1.9.5</t>
  </si>
  <si>
    <t>Additional 1 Sector 2 1 1 2</t>
  </si>
  <si>
    <t>1.9.5.1</t>
  </si>
  <si>
    <t>1.9.5.1.1</t>
  </si>
  <si>
    <t>1.9.5.1.1.1</t>
  </si>
  <si>
    <t>1.9.5.1.1.2</t>
  </si>
  <si>
    <t>1.9.5.1.1.3</t>
  </si>
  <si>
    <t>1.9.5.1.1.4</t>
  </si>
  <si>
    <t>1.9.5.1.1.5</t>
  </si>
  <si>
    <t>1.9.5.1.1.6</t>
  </si>
  <si>
    <t>1.10</t>
  </si>
  <si>
    <t>Site 5324</t>
  </si>
  <si>
    <t>1.10.1</t>
  </si>
  <si>
    <t>Additional 1 Sector for LTE 2 2 1</t>
  </si>
  <si>
    <t>1.10.1.1</t>
  </si>
  <si>
    <t>1.10.1.1.1</t>
  </si>
  <si>
    <t>1.10.1.2</t>
  </si>
  <si>
    <t>1.10.1.2.1</t>
  </si>
  <si>
    <t>1.10.1.3</t>
  </si>
  <si>
    <t>1.10.1.3.1</t>
  </si>
  <si>
    <t>1.10.1.4</t>
  </si>
  <si>
    <t>1.10.1.4.1</t>
  </si>
  <si>
    <t>1.10.1.5</t>
  </si>
  <si>
    <t>1.10.1.5.1</t>
  </si>
  <si>
    <t>1.10.1.6</t>
  </si>
  <si>
    <t>1.10.1.6.1</t>
  </si>
  <si>
    <t>1.10.1.7</t>
  </si>
  <si>
    <t>1.10.1.7.1</t>
  </si>
  <si>
    <t>1.10.1.8</t>
  </si>
  <si>
    <t>1.10.1.8.1</t>
  </si>
  <si>
    <t>1.10.1.9</t>
  </si>
  <si>
    <t>1.10.1.9.1</t>
  </si>
  <si>
    <t>1.10.1.10</t>
  </si>
  <si>
    <t>1.10.1.10.1</t>
  </si>
  <si>
    <t>1.10.1.11</t>
  </si>
  <si>
    <t>1.10.1.11.1</t>
  </si>
  <si>
    <t>1.10.1.12</t>
  </si>
  <si>
    <t>1.10.1.12.1</t>
  </si>
  <si>
    <t>1.10.1.12.2</t>
  </si>
  <si>
    <t>1.10.1.12.3</t>
  </si>
  <si>
    <t>1.10.1.12.4</t>
  </si>
  <si>
    <t>1.10.1.12.5</t>
  </si>
  <si>
    <t>1.10.1.12.6</t>
  </si>
  <si>
    <t>1.10.1.12.7</t>
  </si>
  <si>
    <t>1.10.1.12.8</t>
  </si>
  <si>
    <t>1.10.1.12.9</t>
  </si>
  <si>
    <t>1.10.1.12.10</t>
  </si>
  <si>
    <t>1.10.1.12.11</t>
  </si>
  <si>
    <t>1.10.1.12.12</t>
  </si>
  <si>
    <t>1.10.1.12.13</t>
  </si>
  <si>
    <t>1.10.1.12.14</t>
  </si>
  <si>
    <t>1.10.1.12.15</t>
  </si>
  <si>
    <t>1.10.1.12.16</t>
  </si>
  <si>
    <t>1.10.1.13</t>
  </si>
  <si>
    <t>1.10.1.13.1</t>
  </si>
  <si>
    <t>1.10.1.14</t>
  </si>
  <si>
    <t>1.10.1.14.1</t>
  </si>
  <si>
    <t>1.10.2</t>
  </si>
  <si>
    <t>Additional 1 Sector 2 1 1 1 1</t>
  </si>
  <si>
    <t>1.10.2.1</t>
  </si>
  <si>
    <t>RBS 6102_Additional 1 Sector of 3cc@20Wpcc (Addn 1xPDU)</t>
  </si>
  <si>
    <t>1.10.2.1.1</t>
  </si>
  <si>
    <t>1.10.2.1.1.1</t>
  </si>
  <si>
    <t>1.10.2.1.1.2</t>
  </si>
  <si>
    <t>1.10.2.1.1.3</t>
  </si>
  <si>
    <t>1.10.2.1.1.4</t>
  </si>
  <si>
    <t>1.10.2.1.1.5</t>
  </si>
  <si>
    <t>1.10.3</t>
  </si>
  <si>
    <t>3G 3cc 2nd Carrier: Existing 3HScc SW Features 15</t>
  </si>
  <si>
    <t>1.10.3.1</t>
  </si>
  <si>
    <t>1.10.3.1.1</t>
  </si>
  <si>
    <t>1.10.3.1.2</t>
  </si>
  <si>
    <t>1.10.3.2</t>
  </si>
  <si>
    <t>1.10.3.2.1</t>
  </si>
  <si>
    <t>1.10.3.3</t>
  </si>
  <si>
    <t>1.10.3.3.1</t>
  </si>
  <si>
    <t>1.10.3.4</t>
  </si>
  <si>
    <t>1.10.3.4.1</t>
  </si>
  <si>
    <t>1.10.4</t>
  </si>
  <si>
    <t>3G 3cc 2nd Carrier: For HSDPA IFLS 15</t>
  </si>
  <si>
    <t>1.10.4.1</t>
  </si>
  <si>
    <t>1.10.4.1.1</t>
  </si>
  <si>
    <t>1.10.5</t>
  </si>
  <si>
    <t>3G 3cc 2nd Carrier: EUL 15</t>
  </si>
  <si>
    <t>1.10.5.1</t>
  </si>
  <si>
    <t>1.10.5.1.1</t>
  </si>
  <si>
    <t>1.11</t>
  </si>
  <si>
    <t>Site 5043</t>
  </si>
  <si>
    <t>1.11.1</t>
  </si>
  <si>
    <t>Additional 1 Sector for LTE 2 2 1 1</t>
  </si>
  <si>
    <t>1.11.1.1</t>
  </si>
  <si>
    <t>1.11.1.1.1</t>
  </si>
  <si>
    <t>1.11.1.2</t>
  </si>
  <si>
    <t>1.11.1.2.1</t>
  </si>
  <si>
    <t>1.11.1.3</t>
  </si>
  <si>
    <t>1.11.1.3.1</t>
  </si>
  <si>
    <t>1.11.1.4</t>
  </si>
  <si>
    <t>1.11.1.4.1</t>
  </si>
  <si>
    <t>1.11.1.5</t>
  </si>
  <si>
    <t>1.11.1.5.1</t>
  </si>
  <si>
    <t>1.11.1.6</t>
  </si>
  <si>
    <t>1.11.1.6.1</t>
  </si>
  <si>
    <t>1.11.1.7</t>
  </si>
  <si>
    <t>BBS6201 Expansion to support 2nd RBS6201</t>
  </si>
  <si>
    <t>1.11.1.7.1</t>
  </si>
  <si>
    <t>1.11.1.7.2</t>
  </si>
  <si>
    <t>1.11.1.8</t>
  </si>
  <si>
    <t>1.11.1.8.1</t>
  </si>
  <si>
    <t>1.11.1.9</t>
  </si>
  <si>
    <t>1.11.1.9.1</t>
  </si>
  <si>
    <t>1.11.1.10</t>
  </si>
  <si>
    <t>1.11.1.10.1</t>
  </si>
  <si>
    <t>1.11.1.11</t>
  </si>
  <si>
    <t>RBS6201 Cabinet Only</t>
  </si>
  <si>
    <t>1.11.1.11.1</t>
  </si>
  <si>
    <t>1.11.1.11.2</t>
  </si>
  <si>
    <t>1.11.1.11.3</t>
  </si>
  <si>
    <t>1.11.1.11.4</t>
  </si>
  <si>
    <t>1.11.1.11.5</t>
  </si>
  <si>
    <t>1.11.1.11.6</t>
  </si>
  <si>
    <t>1.11.1.12</t>
  </si>
  <si>
    <t>1.11.1.12.1</t>
  </si>
  <si>
    <t>1.11.1.13</t>
  </si>
  <si>
    <t>1.11.1.13.1</t>
  </si>
  <si>
    <t>1.11.2</t>
  </si>
  <si>
    <t>Additional 1 Sector 2 1 1 1 1 1</t>
  </si>
  <si>
    <t>1.11.2.1</t>
  </si>
  <si>
    <t>RBS 6201_Additional 1 Sector of 3cc@20Wpcc</t>
  </si>
  <si>
    <t>1.11.2.1.1</t>
  </si>
  <si>
    <t>1.11.2.1.1.1</t>
  </si>
  <si>
    <t>1.11.2.1.1.2</t>
  </si>
  <si>
    <t>1.11.2.1.1.3</t>
  </si>
  <si>
    <t>1.11.2.1.1.4</t>
  </si>
  <si>
    <t>1.11.3</t>
  </si>
  <si>
    <t>3G 3cc 2nd Carrier: Existing 3HScc SW Features 9</t>
  </si>
  <si>
    <t>1.11.3.1</t>
  </si>
  <si>
    <t>1.11.3.1.1</t>
  </si>
  <si>
    <t>1.11.3.1.2</t>
  </si>
  <si>
    <t>1.11.3.2</t>
  </si>
  <si>
    <t>1.11.3.2.1</t>
  </si>
  <si>
    <t>1.11.3.3</t>
  </si>
  <si>
    <t>1.11.3.3.1</t>
  </si>
  <si>
    <t>1.11.3.4</t>
  </si>
  <si>
    <t>1.11.3.4.1</t>
  </si>
  <si>
    <t>1.11.4</t>
  </si>
  <si>
    <t>3G 3cc 2nd Carrier: For HSDPA IFLS 9</t>
  </si>
  <si>
    <t>1.11.4.1</t>
  </si>
  <si>
    <t>1.11.4.1.1</t>
  </si>
  <si>
    <t>1.11.5</t>
  </si>
  <si>
    <t>3G 3cc 2nd Carrier: EUL 9</t>
  </si>
  <si>
    <t>1.11.5.1</t>
  </si>
  <si>
    <t>1.11.5.1.1</t>
  </si>
  <si>
    <t>1.12</t>
  </si>
  <si>
    <t>Site 5045</t>
  </si>
  <si>
    <t>1.12.1</t>
  </si>
  <si>
    <t>Additional 1 Sector for LTE 2 2 1 1 1</t>
  </si>
  <si>
    <t>1.12.1.1</t>
  </si>
  <si>
    <t>1.12.1.1.1</t>
  </si>
  <si>
    <t>1.12.1.2</t>
  </si>
  <si>
    <t>1.12.1.2.1</t>
  </si>
  <si>
    <t>1.12.1.3</t>
  </si>
  <si>
    <t>1.12.1.3.1</t>
  </si>
  <si>
    <t>1.12.1.4</t>
  </si>
  <si>
    <t>1.12.1.4.1</t>
  </si>
  <si>
    <t>1.12.1.5</t>
  </si>
  <si>
    <t>1036</t>
  </si>
  <si>
    <t>1.12.1.5.1</t>
  </si>
  <si>
    <t>1.12.1.6</t>
  </si>
  <si>
    <t>1039</t>
  </si>
  <si>
    <t>1.12.1.6.1</t>
  </si>
  <si>
    <t>1.12.1.7</t>
  </si>
  <si>
    <t>1.12.1.7.1</t>
  </si>
  <si>
    <t>1.12.1.7.2</t>
  </si>
  <si>
    <t>1.12.1.8</t>
  </si>
  <si>
    <t>1.12.1.8.1</t>
  </si>
  <si>
    <t>1.12.1.9</t>
  </si>
  <si>
    <t>1.12.1.9.1</t>
  </si>
  <si>
    <t>1.12.1.10</t>
  </si>
  <si>
    <t>1.12.1.10.1</t>
  </si>
  <si>
    <t>1.12.1.11</t>
  </si>
  <si>
    <t>1.12.1.11.1</t>
  </si>
  <si>
    <t>1.12.1.11.2</t>
  </si>
  <si>
    <t>1.12.1.11.3</t>
  </si>
  <si>
    <t>1.12.1.11.4</t>
  </si>
  <si>
    <t>1.12.1.11.5</t>
  </si>
  <si>
    <t>1.12.1.11.6</t>
  </si>
  <si>
    <t>1.12.1.12</t>
  </si>
  <si>
    <t>1.12.1.12.1</t>
  </si>
  <si>
    <t>1.12.1.13</t>
  </si>
  <si>
    <t>1.12.1.13.1</t>
  </si>
  <si>
    <t>1.12.2</t>
  </si>
  <si>
    <t>Additional 1 Sector 2 1 1 1 1 2</t>
  </si>
  <si>
    <t>1069</t>
  </si>
  <si>
    <t>1.12.2.1</t>
  </si>
  <si>
    <t>1.12.2.1.1</t>
  </si>
  <si>
    <t>1.12.2.1.1.1</t>
  </si>
  <si>
    <t>1073</t>
  </si>
  <si>
    <t>1.12.2.1.1.2</t>
  </si>
  <si>
    <t>1.12.2.1.1.3</t>
  </si>
  <si>
    <t>1.12.2.1.1.4</t>
  </si>
  <si>
    <t>1076</t>
  </si>
  <si>
    <t>1.12.3</t>
  </si>
  <si>
    <t>3G 3cc 2nd Carrier: Existing 3HScc SW Features 10</t>
  </si>
  <si>
    <t>1.12.3.1</t>
  </si>
  <si>
    <t>1.12.3.1.1</t>
  </si>
  <si>
    <t>1.12.3.1.2</t>
  </si>
  <si>
    <t>1.12.3.2</t>
  </si>
  <si>
    <t>1.12.3.2.1</t>
  </si>
  <si>
    <t>1.12.3.3</t>
  </si>
  <si>
    <t>1.12.3.3.1</t>
  </si>
  <si>
    <t>1.12.3.4</t>
  </si>
  <si>
    <t>1.12.3.4.1</t>
  </si>
  <si>
    <t>1.12.4</t>
  </si>
  <si>
    <t>3G 3cc 2nd Carrier: For HSDPA IFLS 10</t>
  </si>
  <si>
    <t>1.12.4.1</t>
  </si>
  <si>
    <t>1.12.4.1.1</t>
  </si>
  <si>
    <t>1.12.5</t>
  </si>
  <si>
    <t>3G 3cc 2nd Carrier: EUL 10</t>
  </si>
  <si>
    <t>1.12.5.1</t>
  </si>
  <si>
    <t>1.12.5.1.1</t>
  </si>
  <si>
    <t>1.13</t>
  </si>
  <si>
    <t>Site 5039</t>
  </si>
  <si>
    <t>1.13.1</t>
  </si>
  <si>
    <t>Additional 1 Sector for LTE 2 2 1 1 1 1</t>
  </si>
  <si>
    <t>1.13.1.1</t>
  </si>
  <si>
    <t>1102</t>
  </si>
  <si>
    <t>1.13.1.1.1</t>
  </si>
  <si>
    <t>1.13.1.2</t>
  </si>
  <si>
    <t>1.13.1.2.1</t>
  </si>
  <si>
    <t>1.13.1.3</t>
  </si>
  <si>
    <t>1.13.1.3.1</t>
  </si>
  <si>
    <t>1.13.1.4</t>
  </si>
  <si>
    <t>1.13.1.4.1</t>
  </si>
  <si>
    <t>1.13.1.5</t>
  </si>
  <si>
    <t>1.13.1.5.1</t>
  </si>
  <si>
    <t>1.13.1.6</t>
  </si>
  <si>
    <t>1117</t>
  </si>
  <si>
    <t>1.13.1.6.1</t>
  </si>
  <si>
    <t>1.13.1.7</t>
  </si>
  <si>
    <t>1120</t>
  </si>
  <si>
    <t>1.13.1.7.1</t>
  </si>
  <si>
    <t>1.13.1.7.2</t>
  </si>
  <si>
    <t>1.13.1.8</t>
  </si>
  <si>
    <t>1.13.1.8.1</t>
  </si>
  <si>
    <t>1.13.1.9</t>
  </si>
  <si>
    <t>1.13.1.9.1</t>
  </si>
  <si>
    <t>1.13.1.10</t>
  </si>
  <si>
    <t>1.13.1.10.1</t>
  </si>
  <si>
    <t>1.13.1.11</t>
  </si>
  <si>
    <t>1.13.1.11.1</t>
  </si>
  <si>
    <t>1.13.1.11.2</t>
  </si>
  <si>
    <t>1.13.1.11.3</t>
  </si>
  <si>
    <t>1.13.1.11.4</t>
  </si>
  <si>
    <t>1.13.1.11.5</t>
  </si>
  <si>
    <t>1.13.1.11.6</t>
  </si>
  <si>
    <t>1.13.1.12</t>
  </si>
  <si>
    <t>1.13.1.12.1</t>
  </si>
  <si>
    <t>1.13.1.13</t>
  </si>
  <si>
    <t>1.13.1.13.1</t>
  </si>
  <si>
    <t>1.13.2</t>
  </si>
  <si>
    <t>Additional 1 Sector 2 1 1 1 1 2 1</t>
  </si>
  <si>
    <t>1.13.2.1</t>
  </si>
  <si>
    <t>1.13.2.1.1</t>
  </si>
  <si>
    <t>1.13.2.1.1.1</t>
  </si>
  <si>
    <t>1151</t>
  </si>
  <si>
    <t>1.13.2.1.1.2</t>
  </si>
  <si>
    <t>1.13.2.1.1.3</t>
  </si>
  <si>
    <t>1.13.2.1.1.4</t>
  </si>
  <si>
    <t>1.13.3</t>
  </si>
  <si>
    <t>3G 3cc 3rd Carrier: HS on 3rd Carrier 2</t>
  </si>
  <si>
    <t>1.13.3.1</t>
  </si>
  <si>
    <t>1.13.3.1.1</t>
  </si>
  <si>
    <t>1158</t>
  </si>
  <si>
    <t>1.13.3.1.2</t>
  </si>
  <si>
    <t>1.13.3.2</t>
  </si>
  <si>
    <t>1.13.3.2.1</t>
  </si>
  <si>
    <t>1.13.3.3</t>
  </si>
  <si>
    <t>1.13.3.3.1</t>
  </si>
  <si>
    <t>1.13.3.4</t>
  </si>
  <si>
    <t>1.13.3.4.1</t>
  </si>
  <si>
    <t>1.13.3.5</t>
  </si>
  <si>
    <t>1.13.3.5.1</t>
  </si>
  <si>
    <t>1.14</t>
  </si>
  <si>
    <t>Site 5038</t>
  </si>
  <si>
    <t>1.14.1</t>
  </si>
  <si>
    <t>Additional 1 Sector for LTE 2 2 1 1 1 1 1</t>
  </si>
  <si>
    <t>1.14.1.1</t>
  </si>
  <si>
    <t>1.14.1.1.1</t>
  </si>
  <si>
    <t>1.14.1.2</t>
  </si>
  <si>
    <t>1.14.1.2.1</t>
  </si>
  <si>
    <t>1.14.1.3</t>
  </si>
  <si>
    <t>1.14.1.3.1</t>
  </si>
  <si>
    <t>1.14.1.4</t>
  </si>
  <si>
    <t>1.14.1.4.1</t>
  </si>
  <si>
    <t>1.14.1.5</t>
  </si>
  <si>
    <t>1.14.1.5.1</t>
  </si>
  <si>
    <t>1188</t>
  </si>
  <si>
    <t>1.14.1.6</t>
  </si>
  <si>
    <t>1190</t>
  </si>
  <si>
    <t>1.14.1.6.1</t>
  </si>
  <si>
    <t>1191</t>
  </si>
  <si>
    <t>1.14.1.7</t>
  </si>
  <si>
    <t>1193</t>
  </si>
  <si>
    <t>1.14.1.7.1</t>
  </si>
  <si>
    <t>1194</t>
  </si>
  <si>
    <t>1.14.1.7.2</t>
  </si>
  <si>
    <t>1195</t>
  </si>
  <si>
    <t>1.14.1.8</t>
  </si>
  <si>
    <t>1197</t>
  </si>
  <si>
    <t>1.14.1.8.1</t>
  </si>
  <si>
    <t>1198</t>
  </si>
  <si>
    <t>1.14.1.9</t>
  </si>
  <si>
    <t>1200</t>
  </si>
  <si>
    <t>1.14.1.9.1</t>
  </si>
  <si>
    <t>1201</t>
  </si>
  <si>
    <t>1.14.1.10</t>
  </si>
  <si>
    <t>1203</t>
  </si>
  <si>
    <t>1.14.1.10.1</t>
  </si>
  <si>
    <t>1204</t>
  </si>
  <si>
    <t>1.14.1.11</t>
  </si>
  <si>
    <t>1206</t>
  </si>
  <si>
    <t>1.14.1.11.1</t>
  </si>
  <si>
    <t>1207</t>
  </si>
  <si>
    <t>1.14.1.11.2</t>
  </si>
  <si>
    <t>1208</t>
  </si>
  <si>
    <t>1.14.1.11.3</t>
  </si>
  <si>
    <t>1209</t>
  </si>
  <si>
    <t>1.14.1.11.4</t>
  </si>
  <si>
    <t>1210</t>
  </si>
  <si>
    <t>1.14.1.11.5</t>
  </si>
  <si>
    <t>1211</t>
  </si>
  <si>
    <t>1.14.1.11.6</t>
  </si>
  <si>
    <t>1212</t>
  </si>
  <si>
    <t>1.14.1.12</t>
  </si>
  <si>
    <t>1214</t>
  </si>
  <si>
    <t>1.14.1.12.1</t>
  </si>
  <si>
    <t>1215</t>
  </si>
  <si>
    <t>1.14.1.13</t>
  </si>
  <si>
    <t>1217</t>
  </si>
  <si>
    <t>1.14.1.13.1</t>
  </si>
  <si>
    <t>1218</t>
  </si>
  <si>
    <t>1.14.2</t>
  </si>
  <si>
    <t>Additional 1 Sector 2 1 1 1 1 2 1 1</t>
  </si>
  <si>
    <t>1220</t>
  </si>
  <si>
    <t>1.14.2.1</t>
  </si>
  <si>
    <t>RBS 6201_Additional 1 Sector of 3cc@20Wpcc (Addn 1xPDU)</t>
  </si>
  <si>
    <t>1221</t>
  </si>
  <si>
    <t>1.14.2.1.1</t>
  </si>
  <si>
    <t>1222</t>
  </si>
  <si>
    <t>1.14.2.1.1.1</t>
  </si>
  <si>
    <t>1224</t>
  </si>
  <si>
    <t>1.14.2.1.1.2</t>
  </si>
  <si>
    <t>1225</t>
  </si>
  <si>
    <t>1.14.2.1.1.3</t>
  </si>
  <si>
    <t>1226</t>
  </si>
  <si>
    <t>1.14.2.1.1.4</t>
  </si>
  <si>
    <t>1227</t>
  </si>
  <si>
    <t>1.14.2.1.1.5</t>
  </si>
  <si>
    <t>1228</t>
  </si>
  <si>
    <t>1.14.3</t>
  </si>
  <si>
    <t>3G 3cc 3rd Carrier: HS on 3rd Carrier 1</t>
  </si>
  <si>
    <t>1230</t>
  </si>
  <si>
    <t>1.14.3.1</t>
  </si>
  <si>
    <t>1231</t>
  </si>
  <si>
    <t>1.14.3.1.1</t>
  </si>
  <si>
    <t>1232</t>
  </si>
  <si>
    <t>1.14.3.1.2</t>
  </si>
  <si>
    <t>1233</t>
  </si>
  <si>
    <t>1.14.3.2</t>
  </si>
  <si>
    <t>1235</t>
  </si>
  <si>
    <t>1.14.3.2.1</t>
  </si>
  <si>
    <t>1236</t>
  </si>
  <si>
    <t>1.14.3.3</t>
  </si>
  <si>
    <t>1238</t>
  </si>
  <si>
    <t>1.14.3.3.1</t>
  </si>
  <si>
    <t>1239</t>
  </si>
  <si>
    <t>1.14.3.4</t>
  </si>
  <si>
    <t>1241</t>
  </si>
  <si>
    <t>1.14.3.4.1</t>
  </si>
  <si>
    <t>1242</t>
  </si>
  <si>
    <t>1.14.3.5</t>
  </si>
  <si>
    <t>1244</t>
  </si>
  <si>
    <t>1.14.3.5.1</t>
  </si>
  <si>
    <t>1245</t>
  </si>
  <si>
    <t>1.15</t>
  </si>
  <si>
    <t>Site 5190</t>
  </si>
  <si>
    <t>1247</t>
  </si>
  <si>
    <t>1.15.1</t>
  </si>
  <si>
    <t>Additional 1 Sector For LTE 3</t>
  </si>
  <si>
    <t>1248</t>
  </si>
  <si>
    <t>1.15.1.1</t>
  </si>
  <si>
    <t>1249</t>
  </si>
  <si>
    <t>1.15.1.1.1</t>
  </si>
  <si>
    <t>1250</t>
  </si>
  <si>
    <t>1.15.1.2</t>
  </si>
  <si>
    <t>1252</t>
  </si>
  <si>
    <t>1.15.1.2.1</t>
  </si>
  <si>
    <t>1253</t>
  </si>
  <si>
    <t>1.15.1.3</t>
  </si>
  <si>
    <t>1255</t>
  </si>
  <si>
    <t>1.15.1.3.1</t>
  </si>
  <si>
    <t>1256</t>
  </si>
  <si>
    <t>1.15.1.4</t>
  </si>
  <si>
    <t>1258</t>
  </si>
  <si>
    <t>1.15.1.4.1</t>
  </si>
  <si>
    <t>1259</t>
  </si>
  <si>
    <t>1.15.1.5</t>
  </si>
  <si>
    <t>1261</t>
  </si>
  <si>
    <t>1.15.1.5.1</t>
  </si>
  <si>
    <t>1262</t>
  </si>
  <si>
    <t>1.15.1.6</t>
  </si>
  <si>
    <t>1264</t>
  </si>
  <si>
    <t>1.15.1.6.1</t>
  </si>
  <si>
    <t>1265</t>
  </si>
  <si>
    <t>1.15.1.7</t>
  </si>
  <si>
    <t>1267</t>
  </si>
  <si>
    <t>1.15.1.7.1</t>
  </si>
  <si>
    <t>1268</t>
  </si>
  <si>
    <t>1.15.1.8</t>
  </si>
  <si>
    <t>1270</t>
  </si>
  <si>
    <t>1.15.1.8.1</t>
  </si>
  <si>
    <t>1271</t>
  </si>
  <si>
    <t>1.15.1.9</t>
  </si>
  <si>
    <t>1273</t>
  </si>
  <si>
    <t>1.15.1.9.1</t>
  </si>
  <si>
    <t>1274</t>
  </si>
  <si>
    <t>1.15.1.10</t>
  </si>
  <si>
    <t>1276</t>
  </si>
  <si>
    <t>1.15.1.10.1</t>
  </si>
  <si>
    <t>1277</t>
  </si>
  <si>
    <t>1.15.1.11</t>
  </si>
  <si>
    <t>1279</t>
  </si>
  <si>
    <t>1.15.1.11.1</t>
  </si>
  <si>
    <t>1280</t>
  </si>
  <si>
    <t>1.15.1.12</t>
  </si>
  <si>
    <t>1282</t>
  </si>
  <si>
    <t>1.15.1.12.1</t>
  </si>
  <si>
    <t>1283</t>
  </si>
  <si>
    <t>1.15.1.12.1.1</t>
  </si>
  <si>
    <t>1285</t>
  </si>
  <si>
    <t>1.15.1.12.1.2</t>
  </si>
  <si>
    <t>1286</t>
  </si>
  <si>
    <t>1.15.2</t>
  </si>
  <si>
    <t>Additional 1 Sector 3</t>
  </si>
  <si>
    <t>1288</t>
  </si>
  <si>
    <t>1.15.2.1</t>
  </si>
  <si>
    <t>1289</t>
  </si>
  <si>
    <t>1.15.2.1.1</t>
  </si>
  <si>
    <t>1290</t>
  </si>
  <si>
    <t>1.15.2.1.1.1</t>
  </si>
  <si>
    <t>1292</t>
  </si>
  <si>
    <t>1.15.2.1.1.2</t>
  </si>
  <si>
    <t>1293</t>
  </si>
  <si>
    <t>1.15.2.1.1.3</t>
  </si>
  <si>
    <t>1294</t>
  </si>
  <si>
    <t>1.15.2.1.1.4</t>
  </si>
  <si>
    <t>1295</t>
  </si>
  <si>
    <t>1.15.2.1.2</t>
  </si>
  <si>
    <t>1296</t>
  </si>
  <si>
    <t>1.15.2.1.2.1</t>
  </si>
  <si>
    <t>1298</t>
  </si>
  <si>
    <t>1.15.2.1.2.2</t>
  </si>
  <si>
    <t>1299</t>
  </si>
  <si>
    <t>1.15.2.1.2.3</t>
  </si>
  <si>
    <t>1300</t>
  </si>
  <si>
    <t>1.15.3</t>
  </si>
  <si>
    <t>3G 3cc 2nd Carrier: Existing 3HScc SW Features 3</t>
  </si>
  <si>
    <t>1302</t>
  </si>
  <si>
    <t>1.15.3.1</t>
  </si>
  <si>
    <t>1303</t>
  </si>
  <si>
    <t>1.15.3.1.1</t>
  </si>
  <si>
    <t>1304</t>
  </si>
  <si>
    <t>1.15.3.1.2</t>
  </si>
  <si>
    <t>1305</t>
  </si>
  <si>
    <t>1.15.3.2</t>
  </si>
  <si>
    <t>1307</t>
  </si>
  <si>
    <t>1.15.3.2.1</t>
  </si>
  <si>
    <t>1308</t>
  </si>
  <si>
    <t>1.15.3.3</t>
  </si>
  <si>
    <t>1310</t>
  </si>
  <si>
    <t>1.15.3.3.1</t>
  </si>
  <si>
    <t>1311</t>
  </si>
  <si>
    <t>1.15.3.4</t>
  </si>
  <si>
    <t>1313</t>
  </si>
  <si>
    <t>1.15.3.4.1</t>
  </si>
  <si>
    <t>1314</t>
  </si>
  <si>
    <t>1.15.4</t>
  </si>
  <si>
    <t>3G 3cc 2nd Carrier: For HSDPA IFLS 3</t>
  </si>
  <si>
    <t>1316</t>
  </si>
  <si>
    <t>1.15.4.1</t>
  </si>
  <si>
    <t>1317</t>
  </si>
  <si>
    <t>1.15.4.1.1</t>
  </si>
  <si>
    <t>1318</t>
  </si>
  <si>
    <t>1.15.5</t>
  </si>
  <si>
    <t>3G 3cc 2nd Carrier: EUL 3</t>
  </si>
  <si>
    <t>1320</t>
  </si>
  <si>
    <t>1.15.5.1</t>
  </si>
  <si>
    <t>1321</t>
  </si>
  <si>
    <t>1.15.5.1.1</t>
  </si>
  <si>
    <t>1322</t>
  </si>
  <si>
    <t>1.16</t>
  </si>
  <si>
    <t>Site 5083</t>
  </si>
  <si>
    <t>1324</t>
  </si>
  <si>
    <t>1.16.1</t>
  </si>
  <si>
    <t>Additional 1 Sector For LTE 3 1</t>
  </si>
  <si>
    <t>1325</t>
  </si>
  <si>
    <t>1.16.1.1</t>
  </si>
  <si>
    <t>1326</t>
  </si>
  <si>
    <t>1.16.1.1.1</t>
  </si>
  <si>
    <t>1327</t>
  </si>
  <si>
    <t>1.16.1.2</t>
  </si>
  <si>
    <t>1329</t>
  </si>
  <si>
    <t>1.16.1.2.1</t>
  </si>
  <si>
    <t>1330</t>
  </si>
  <si>
    <t>1.16.1.3</t>
  </si>
  <si>
    <t>1332</t>
  </si>
  <si>
    <t>1.16.1.3.1</t>
  </si>
  <si>
    <t>1333</t>
  </si>
  <si>
    <t>1.16.1.4</t>
  </si>
  <si>
    <t>1335</t>
  </si>
  <si>
    <t>1.16.1.4.1</t>
  </si>
  <si>
    <t>1336</t>
  </si>
  <si>
    <t>1.16.1.5</t>
  </si>
  <si>
    <t>Alarm Cable, Spooled Cable, 10m</t>
  </si>
  <si>
    <t>1338</t>
  </si>
  <si>
    <t>1.16.1.5.1</t>
  </si>
  <si>
    <t>1339</t>
  </si>
  <si>
    <t>1.16.1.6</t>
  </si>
  <si>
    <t>Double-mount kit to attach one BU to one MU</t>
  </si>
  <si>
    <t>1341</t>
  </si>
  <si>
    <t>1.16.1.6.1</t>
  </si>
  <si>
    <t>1342</t>
  </si>
  <si>
    <t>1.16.1.7</t>
  </si>
  <si>
    <t>1344</t>
  </si>
  <si>
    <t>1.16.1.7.1</t>
  </si>
  <si>
    <t>1345</t>
  </si>
  <si>
    <t>1.16.1.8</t>
  </si>
  <si>
    <t>1347</t>
  </si>
  <si>
    <t>1.16.1.8.1</t>
  </si>
  <si>
    <t>1348</t>
  </si>
  <si>
    <t>1.16.1.9</t>
  </si>
  <si>
    <t>1350</t>
  </si>
  <si>
    <t>1.16.1.9.1</t>
  </si>
  <si>
    <t>1351</t>
  </si>
  <si>
    <t>1.16.1.10</t>
  </si>
  <si>
    <t>1353</t>
  </si>
  <si>
    <t>1.16.1.10.1</t>
  </si>
  <si>
    <t>1354</t>
  </si>
  <si>
    <t>1.16.1.11</t>
  </si>
  <si>
    <t>1356</t>
  </si>
  <si>
    <t>1.16.1.11.1</t>
  </si>
  <si>
    <t>1357</t>
  </si>
  <si>
    <t>1.16.1.12</t>
  </si>
  <si>
    <t>1359</t>
  </si>
  <si>
    <t>1.16.1.12.1</t>
  </si>
  <si>
    <t>1360</t>
  </si>
  <si>
    <t>1.16.1.13</t>
  </si>
  <si>
    <t>1362</t>
  </si>
  <si>
    <t>1.16.1.13.1</t>
  </si>
  <si>
    <t>1363</t>
  </si>
  <si>
    <t>1.16.1.14</t>
  </si>
  <si>
    <t>PBC-02 BU2 prepared for 2 x 12 Ah battery</t>
  </si>
  <si>
    <t>1365</t>
  </si>
  <si>
    <t>1.16.1.14.1</t>
  </si>
  <si>
    <t>1366</t>
  </si>
  <si>
    <t>1.16.1.15</t>
  </si>
  <si>
    <t>1368</t>
  </si>
  <si>
    <t>1.16.1.15.1</t>
  </si>
  <si>
    <t>1369</t>
  </si>
  <si>
    <t>1.16.1.16</t>
  </si>
  <si>
    <t>1371</t>
  </si>
  <si>
    <t>1.16.1.16.1</t>
  </si>
  <si>
    <t>1372</t>
  </si>
  <si>
    <t>1.16.1.17</t>
  </si>
  <si>
    <t>1374</t>
  </si>
  <si>
    <t>1.16.1.17.1</t>
  </si>
  <si>
    <t>1375</t>
  </si>
  <si>
    <t>1.16.1.18</t>
  </si>
  <si>
    <t>1377</t>
  </si>
  <si>
    <t>1.16.1.18.1</t>
  </si>
  <si>
    <t>1378</t>
  </si>
  <si>
    <t>1.16.1.18.1.1</t>
  </si>
  <si>
    <t>1380</t>
  </si>
  <si>
    <t>1.16.1.18.1.2</t>
  </si>
  <si>
    <t>1381</t>
  </si>
  <si>
    <t>1.16.2</t>
  </si>
  <si>
    <t>Additional 1 Sector 3 1</t>
  </si>
  <si>
    <t>1383</t>
  </si>
  <si>
    <t>1.16.2.1</t>
  </si>
  <si>
    <t>1384</t>
  </si>
  <si>
    <t>1.16.2.1.1</t>
  </si>
  <si>
    <t>1385</t>
  </si>
  <si>
    <t>1.16.2.1.1.1</t>
  </si>
  <si>
    <t>1387</t>
  </si>
  <si>
    <t>1.16.2.1.1.2</t>
  </si>
  <si>
    <t>1388</t>
  </si>
  <si>
    <t>1.16.2.1.1.3</t>
  </si>
  <si>
    <t>1389</t>
  </si>
  <si>
    <t>1.16.2.1.1.4</t>
  </si>
  <si>
    <t>1390</t>
  </si>
  <si>
    <t>1.16.2.1.2</t>
  </si>
  <si>
    <t>1391</t>
  </si>
  <si>
    <t>1.16.2.1.2.1</t>
  </si>
  <si>
    <t>1393</t>
  </si>
  <si>
    <t>1.16.2.1.2.2</t>
  </si>
  <si>
    <t>1394</t>
  </si>
  <si>
    <t>1.16.2.1.2.3</t>
  </si>
  <si>
    <t>1395</t>
  </si>
  <si>
    <t>1.16.3</t>
  </si>
  <si>
    <t>3G 3cc 3rd Carrier: HS on 3rd Carrier 1 1</t>
  </si>
  <si>
    <t>1397</t>
  </si>
  <si>
    <t>1.16.3.1</t>
  </si>
  <si>
    <t>1398</t>
  </si>
  <si>
    <t>1.16.3.1.1</t>
  </si>
  <si>
    <t>1399</t>
  </si>
  <si>
    <t>1.16.3.1.2</t>
  </si>
  <si>
    <t>1400</t>
  </si>
  <si>
    <t>1.16.3.2</t>
  </si>
  <si>
    <t>1402</t>
  </si>
  <si>
    <t>1.16.3.2.1</t>
  </si>
  <si>
    <t>1403</t>
  </si>
  <si>
    <t>1.16.3.3</t>
  </si>
  <si>
    <t>1405</t>
  </si>
  <si>
    <t>1.16.3.3.1</t>
  </si>
  <si>
    <t>1406</t>
  </si>
  <si>
    <t>1.16.3.4</t>
  </si>
  <si>
    <t>1408</t>
  </si>
  <si>
    <t>1.16.3.4.1</t>
  </si>
  <si>
    <t>1409</t>
  </si>
  <si>
    <t>1.16.3.5</t>
  </si>
  <si>
    <t>1411</t>
  </si>
  <si>
    <t>1.16.3.5.1</t>
  </si>
  <si>
    <t>1412</t>
  </si>
  <si>
    <t>1.17</t>
  </si>
  <si>
    <t>Site 5130</t>
  </si>
  <si>
    <t>1414</t>
  </si>
  <si>
    <t>1.17.1</t>
  </si>
  <si>
    <t>Additional 1 Sector For LTE 3 1 1</t>
  </si>
  <si>
    <t>1415</t>
  </si>
  <si>
    <t>1.17.1.1</t>
  </si>
  <si>
    <t>1416</t>
  </si>
  <si>
    <t>1.17.1.1.1</t>
  </si>
  <si>
    <t>1417</t>
  </si>
  <si>
    <t>1.17.1.2</t>
  </si>
  <si>
    <t>1419</t>
  </si>
  <si>
    <t>1.17.1.2.1</t>
  </si>
  <si>
    <t>1420</t>
  </si>
  <si>
    <t>1.17.1.3</t>
  </si>
  <si>
    <t>1422</t>
  </si>
  <si>
    <t>1.17.1.3.1</t>
  </si>
  <si>
    <t>1423</t>
  </si>
  <si>
    <t>1.17.1.4</t>
  </si>
  <si>
    <t>1425</t>
  </si>
  <si>
    <t>1.17.1.4.1</t>
  </si>
  <si>
    <t>1426</t>
  </si>
  <si>
    <t>1.17.1.5</t>
  </si>
  <si>
    <t>1428</t>
  </si>
  <si>
    <t>1.17.1.5.1</t>
  </si>
  <si>
    <t>1429</t>
  </si>
  <si>
    <t>1.17.1.6</t>
  </si>
  <si>
    <t>1431</t>
  </si>
  <si>
    <t>1.17.1.6.1</t>
  </si>
  <si>
    <t>1432</t>
  </si>
  <si>
    <t>1.17.1.7</t>
  </si>
  <si>
    <t>BBS6301 (No Batteries)</t>
  </si>
  <si>
    <t>1434</t>
  </si>
  <si>
    <t>1.17.1.7.1</t>
  </si>
  <si>
    <t>BBS 6301 cab. w active cooling</t>
  </si>
  <si>
    <t>1435</t>
  </si>
  <si>
    <t>1.17.1.7.2</t>
  </si>
  <si>
    <t>Temperature sensor cable, 4.5 m</t>
  </si>
  <si>
    <t>1436</t>
  </si>
  <si>
    <t>1.17.1.7.3</t>
  </si>
  <si>
    <t>Alarm cable, 15 m</t>
  </si>
  <si>
    <t>1437</t>
  </si>
  <si>
    <t>1.17.1.7.4</t>
  </si>
  <si>
    <t>Customer Specific Door Lock/Key</t>
  </si>
  <si>
    <t>1438</t>
  </si>
  <si>
    <t>1.17.1.8</t>
  </si>
  <si>
    <t>1440</t>
  </si>
  <si>
    <t>1.17.1.8.1</t>
  </si>
  <si>
    <t>1441</t>
  </si>
  <si>
    <t>1.17.1.9</t>
  </si>
  <si>
    <t>1443</t>
  </si>
  <si>
    <t>1.17.1.9.1</t>
  </si>
  <si>
    <t>1444</t>
  </si>
  <si>
    <t>1.17.1.10</t>
  </si>
  <si>
    <t>1446</t>
  </si>
  <si>
    <t>1.17.1.10.1</t>
  </si>
  <si>
    <t>1447</t>
  </si>
  <si>
    <t>1.17.1.11</t>
  </si>
  <si>
    <t>1449</t>
  </si>
  <si>
    <t>1.17.1.11.1</t>
  </si>
  <si>
    <t>1450</t>
  </si>
  <si>
    <t>1.17.1.12</t>
  </si>
  <si>
    <t>1452</t>
  </si>
  <si>
    <t>1.17.1.12.1</t>
  </si>
  <si>
    <t>1453</t>
  </si>
  <si>
    <t>1.17.1.13</t>
  </si>
  <si>
    <t>NSB Std Battery Set, 48V/100Ah For BBS6301 (1 Set)</t>
  </si>
  <si>
    <t>1455</t>
  </si>
  <si>
    <t>1.17.1.13.1</t>
  </si>
  <si>
    <t>Battery Set, 48V/100 Ah (NSB Std)</t>
  </si>
  <si>
    <t>1456</t>
  </si>
  <si>
    <t>1.17.1.14</t>
  </si>
  <si>
    <t>1458</t>
  </si>
  <si>
    <t>1.17.1.14.1</t>
  </si>
  <si>
    <t>1459</t>
  </si>
  <si>
    <t>1.17.1.15</t>
  </si>
  <si>
    <t>1461</t>
  </si>
  <si>
    <t>1.17.1.15.1</t>
  </si>
  <si>
    <t>1462</t>
  </si>
  <si>
    <t>1.17.1.16</t>
  </si>
  <si>
    <t>RBS6301 Cabinet</t>
  </si>
  <si>
    <t>1464</t>
  </si>
  <si>
    <t>1.17.1.16.1</t>
  </si>
  <si>
    <t>RBS 6301 Main Unit, 230 VAC (no Digital Unit, no RRU, no PSU) prep.for 2 DU</t>
  </si>
  <si>
    <t>1465</t>
  </si>
  <si>
    <t>1.17.1.16.2</t>
  </si>
  <si>
    <t>Prepared for external battery back-up BBS 6301</t>
  </si>
  <si>
    <t>1466</t>
  </si>
  <si>
    <t>1.17.1.16.3</t>
  </si>
  <si>
    <t>Service Outlet RBS 6301</t>
  </si>
  <si>
    <t>1467</t>
  </si>
  <si>
    <t>1.17.1.16.4</t>
  </si>
  <si>
    <t>1468</t>
  </si>
  <si>
    <t>1.17.1.16.5</t>
  </si>
  <si>
    <t>1469</t>
  </si>
  <si>
    <t>1.17.1.16.6</t>
  </si>
  <si>
    <t>1470</t>
  </si>
  <si>
    <t>1.17.1.16.6.1</t>
  </si>
  <si>
    <t>Pole mount side, RBS/BBS 6301</t>
  </si>
  <si>
    <t>1472</t>
  </si>
  <si>
    <t>1.17.1.16.7</t>
  </si>
  <si>
    <t>1473</t>
  </si>
  <si>
    <t>1.17.1.16.8</t>
  </si>
  <si>
    <t>1474</t>
  </si>
  <si>
    <t>1.17.1.17</t>
  </si>
  <si>
    <t>Surge Protection Device, SPD kit -48 V DC out</t>
  </si>
  <si>
    <t>1476</t>
  </si>
  <si>
    <t>1.17.1.17.1</t>
  </si>
  <si>
    <t>1477</t>
  </si>
  <si>
    <t>1.17.2</t>
  </si>
  <si>
    <t>Additional 1 Sector 3 1 1</t>
  </si>
  <si>
    <t>1479</t>
  </si>
  <si>
    <t>1.17.2.1</t>
  </si>
  <si>
    <t>1480</t>
  </si>
  <si>
    <t>1.17.2.1.1</t>
  </si>
  <si>
    <t>1481</t>
  </si>
  <si>
    <t>1.17.2.1.1.1</t>
  </si>
  <si>
    <t>1483</t>
  </si>
  <si>
    <t>1.17.2.1.1.2</t>
  </si>
  <si>
    <t>1484</t>
  </si>
  <si>
    <t>1.17.2.1.1.3</t>
  </si>
  <si>
    <t>1485</t>
  </si>
  <si>
    <t>1.17.2.1.1.4</t>
  </si>
  <si>
    <t>1486</t>
  </si>
  <si>
    <t>1.17.2.1.2</t>
  </si>
  <si>
    <t>1487</t>
  </si>
  <si>
    <t>1.17.2.1.2.1</t>
  </si>
  <si>
    <t>1489</t>
  </si>
  <si>
    <t>1.17.2.1.2.2</t>
  </si>
  <si>
    <t>1490</t>
  </si>
  <si>
    <t>1.17.2.1.2.3</t>
  </si>
  <si>
    <t>1491</t>
  </si>
  <si>
    <t>1.17.3</t>
  </si>
  <si>
    <t>3G 3cc 2nd Carrier: Existing 3HScc SW Features 12</t>
  </si>
  <si>
    <t>1493</t>
  </si>
  <si>
    <t>1.17.3.1</t>
  </si>
  <si>
    <t>1494</t>
  </si>
  <si>
    <t>1.17.3.1.1</t>
  </si>
  <si>
    <t>1495</t>
  </si>
  <si>
    <t>1.17.3.1.2</t>
  </si>
  <si>
    <t>1496</t>
  </si>
  <si>
    <t>1.17.3.2</t>
  </si>
  <si>
    <t>1498</t>
  </si>
  <si>
    <t>1.17.3.2.1</t>
  </si>
  <si>
    <t>1499</t>
  </si>
  <si>
    <t>1.17.3.3</t>
  </si>
  <si>
    <t>1501</t>
  </si>
  <si>
    <t>1.17.3.3.1</t>
  </si>
  <si>
    <t>1502</t>
  </si>
  <si>
    <t>1.17.3.4</t>
  </si>
  <si>
    <t>1504</t>
  </si>
  <si>
    <t>1.17.3.4.1</t>
  </si>
  <si>
    <t>1505</t>
  </si>
  <si>
    <t>1.17.4</t>
  </si>
  <si>
    <t>3G 3cc 2nd Carrier: For HSDPA IFLS 12</t>
  </si>
  <si>
    <t>1507</t>
  </si>
  <si>
    <t>1.17.4.1</t>
  </si>
  <si>
    <t>1508</t>
  </si>
  <si>
    <t>1.17.4.1.1</t>
  </si>
  <si>
    <t>1509</t>
  </si>
  <si>
    <t>1.17.5</t>
  </si>
  <si>
    <t>3G 3cc 2nd Carrier: EUL 12</t>
  </si>
  <si>
    <t>1511</t>
  </si>
  <si>
    <t>1.17.5.1</t>
  </si>
  <si>
    <t>1512</t>
  </si>
  <si>
    <t>1.17.5.1.1</t>
  </si>
  <si>
    <t>1513</t>
  </si>
  <si>
    <t>1.18</t>
  </si>
  <si>
    <t>Site 5328</t>
  </si>
  <si>
    <t>1515</t>
  </si>
  <si>
    <t>1.18.1</t>
  </si>
  <si>
    <t>Additional 1 Sector For LTE 3 1 1 1</t>
  </si>
  <si>
    <t>1516</t>
  </si>
  <si>
    <t>1.18.1.1</t>
  </si>
  <si>
    <t>1517</t>
  </si>
  <si>
    <t>1.18.1.1.1</t>
  </si>
  <si>
    <t>1518</t>
  </si>
  <si>
    <t>1.18.1.2</t>
  </si>
  <si>
    <t>1520</t>
  </si>
  <si>
    <t>1.18.1.2.1</t>
  </si>
  <si>
    <t>1521</t>
  </si>
  <si>
    <t>1.18.1.3</t>
  </si>
  <si>
    <t>1523</t>
  </si>
  <si>
    <t>1.18.1.3.1</t>
  </si>
  <si>
    <t>1524</t>
  </si>
  <si>
    <t>1.18.1.4</t>
  </si>
  <si>
    <t>1526</t>
  </si>
  <si>
    <t>1.18.1.4.1</t>
  </si>
  <si>
    <t>1527</t>
  </si>
  <si>
    <t>1.18.1.5</t>
  </si>
  <si>
    <t>1529</t>
  </si>
  <si>
    <t>1.18.1.5.1</t>
  </si>
  <si>
    <t>1530</t>
  </si>
  <si>
    <t>1.18.1.6</t>
  </si>
  <si>
    <t>1532</t>
  </si>
  <si>
    <t>1.18.1.6.1</t>
  </si>
  <si>
    <t>1533</t>
  </si>
  <si>
    <t>1.18.1.7</t>
  </si>
  <si>
    <t>1535</t>
  </si>
  <si>
    <t>1.18.1.7.1</t>
  </si>
  <si>
    <t>1536</t>
  </si>
  <si>
    <t>1.18.1.7.2</t>
  </si>
  <si>
    <t>1537</t>
  </si>
  <si>
    <t>1.18.1.7.3</t>
  </si>
  <si>
    <t>1538</t>
  </si>
  <si>
    <t>1.18.1.7.4</t>
  </si>
  <si>
    <t>1539</t>
  </si>
  <si>
    <t>1.18.1.8</t>
  </si>
  <si>
    <t>1541</t>
  </si>
  <si>
    <t>1.18.1.8.1</t>
  </si>
  <si>
    <t>1542</t>
  </si>
  <si>
    <t>1.18.1.9</t>
  </si>
  <si>
    <t>1544</t>
  </si>
  <si>
    <t>1.18.1.9.1</t>
  </si>
  <si>
    <t>1545</t>
  </si>
  <si>
    <t>1.18.1.10</t>
  </si>
  <si>
    <t>1547</t>
  </si>
  <si>
    <t>1.18.1.10.1</t>
  </si>
  <si>
    <t>1548</t>
  </si>
  <si>
    <t>1.18.1.11</t>
  </si>
  <si>
    <t>1550</t>
  </si>
  <si>
    <t>1.18.1.11.1</t>
  </si>
  <si>
    <t>1551</t>
  </si>
  <si>
    <t>1.18.1.12</t>
  </si>
  <si>
    <t>1553</t>
  </si>
  <si>
    <t>1.18.1.12.1</t>
  </si>
  <si>
    <t>1554</t>
  </si>
  <si>
    <t>1.18.1.13</t>
  </si>
  <si>
    <t>1556</t>
  </si>
  <si>
    <t>1.18.1.13.1</t>
  </si>
  <si>
    <t>1557</t>
  </si>
  <si>
    <t>1.18.1.14</t>
  </si>
  <si>
    <t>1559</t>
  </si>
  <si>
    <t>1.18.1.14.1</t>
  </si>
  <si>
    <t>1560</t>
  </si>
  <si>
    <t>1.18.1.15</t>
  </si>
  <si>
    <t>1562</t>
  </si>
  <si>
    <t>1.18.1.15.1</t>
  </si>
  <si>
    <t>1563</t>
  </si>
  <si>
    <t>1.18.1.15.2</t>
  </si>
  <si>
    <t>1564</t>
  </si>
  <si>
    <t>1.18.1.15.3</t>
  </si>
  <si>
    <t>1565</t>
  </si>
  <si>
    <t>1.18.1.15.4</t>
  </si>
  <si>
    <t>1566</t>
  </si>
  <si>
    <t>1.18.1.15.5</t>
  </si>
  <si>
    <t>1567</t>
  </si>
  <si>
    <t>1.18.1.15.6</t>
  </si>
  <si>
    <t>1568</t>
  </si>
  <si>
    <t>1.18.1.15.6.1</t>
  </si>
  <si>
    <t>1570</t>
  </si>
  <si>
    <t>1.18.1.15.7</t>
  </si>
  <si>
    <t>1571</t>
  </si>
  <si>
    <t>1.18.1.15.8</t>
  </si>
  <si>
    <t>1572</t>
  </si>
  <si>
    <t>1.18.1.16</t>
  </si>
  <si>
    <t>1574</t>
  </si>
  <si>
    <t>1.18.1.16.1</t>
  </si>
  <si>
    <t>1575</t>
  </si>
  <si>
    <t>1.18.2</t>
  </si>
  <si>
    <t>Additional 1 Sector 3 1 2</t>
  </si>
  <si>
    <t>1577</t>
  </si>
  <si>
    <t>1.18.2.1</t>
  </si>
  <si>
    <t>1578</t>
  </si>
  <si>
    <t>1.18.2.1.1</t>
  </si>
  <si>
    <t>1579</t>
  </si>
  <si>
    <t>1.18.2.1.1.1</t>
  </si>
  <si>
    <t>1581</t>
  </si>
  <si>
    <t>1.18.2.1.1.2</t>
  </si>
  <si>
    <t>1582</t>
  </si>
  <si>
    <t>1.18.2.1.1.3</t>
  </si>
  <si>
    <t>1583</t>
  </si>
  <si>
    <t>1.18.2.1.1.4</t>
  </si>
  <si>
    <t>1584</t>
  </si>
  <si>
    <t>1.18.2.1.2</t>
  </si>
  <si>
    <t>1585</t>
  </si>
  <si>
    <t>1.18.2.1.2.1</t>
  </si>
  <si>
    <t>1587</t>
  </si>
  <si>
    <t>1.18.2.1.2.2</t>
  </si>
  <si>
    <t>1588</t>
  </si>
  <si>
    <t>1.18.2.1.2.3</t>
  </si>
  <si>
    <t>1589</t>
  </si>
  <si>
    <t>1.18.3</t>
  </si>
  <si>
    <t>3G 3cc 2nd Carrier: Existing 3HScc SW Features 8</t>
  </si>
  <si>
    <t>1591</t>
  </si>
  <si>
    <t>1.18.3.1</t>
  </si>
  <si>
    <t>1592</t>
  </si>
  <si>
    <t>1.18.3.1.1</t>
  </si>
  <si>
    <t>1593</t>
  </si>
  <si>
    <t>1.18.3.1.2</t>
  </si>
  <si>
    <t>1594</t>
  </si>
  <si>
    <t>1.18.3.2</t>
  </si>
  <si>
    <t>1596</t>
  </si>
  <si>
    <t>1.18.3.2.1</t>
  </si>
  <si>
    <t>1597</t>
  </si>
  <si>
    <t>1.18.3.3</t>
  </si>
  <si>
    <t>1599</t>
  </si>
  <si>
    <t>1.18.3.3.1</t>
  </si>
  <si>
    <t>1600</t>
  </si>
  <si>
    <t>1.18.3.4</t>
  </si>
  <si>
    <t>1602</t>
  </si>
  <si>
    <t>1.18.3.4.1</t>
  </si>
  <si>
    <t>1603</t>
  </si>
  <si>
    <t>1.18.4</t>
  </si>
  <si>
    <t>3G 3cc 2nd Carrier: For HSDPA IFLS 8</t>
  </si>
  <si>
    <t>1605</t>
  </si>
  <si>
    <t>1.18.4.1</t>
  </si>
  <si>
    <t>1606</t>
  </si>
  <si>
    <t>1.18.4.1.1</t>
  </si>
  <si>
    <t>1607</t>
  </si>
  <si>
    <t>1.18.5</t>
  </si>
  <si>
    <t>3G 3cc 2nd Carrier: EUL 8</t>
  </si>
  <si>
    <t>1609</t>
  </si>
  <si>
    <t>1.18.5.1</t>
  </si>
  <si>
    <t>1610</t>
  </si>
  <si>
    <t>1.18.5.1.1</t>
  </si>
  <si>
    <t>1611</t>
  </si>
  <si>
    <t>1.19</t>
  </si>
  <si>
    <t>Site 5329</t>
  </si>
  <si>
    <t>1613</t>
  </si>
  <si>
    <t>1.19.1</t>
  </si>
  <si>
    <t>Additional 1 Sector For LTE 3 1 1 1 1</t>
  </si>
  <si>
    <t>1614</t>
  </si>
  <si>
    <t>1.19.1.1</t>
  </si>
  <si>
    <t>1615</t>
  </si>
  <si>
    <t>1.19.1.1.1</t>
  </si>
  <si>
    <t>1616</t>
  </si>
  <si>
    <t>1.19.1.2</t>
  </si>
  <si>
    <t>1618</t>
  </si>
  <si>
    <t>1.19.1.2.1</t>
  </si>
  <si>
    <t>1619</t>
  </si>
  <si>
    <t>1.19.1.3</t>
  </si>
  <si>
    <t>1621</t>
  </si>
  <si>
    <t>1.19.1.3.1</t>
  </si>
  <si>
    <t>1622</t>
  </si>
  <si>
    <t>1.19.1.4</t>
  </si>
  <si>
    <t>1624</t>
  </si>
  <si>
    <t>1.19.1.4.1</t>
  </si>
  <si>
    <t>1625</t>
  </si>
  <si>
    <t>1.19.1.5</t>
  </si>
  <si>
    <t>1627</t>
  </si>
  <si>
    <t>1.19.1.5.1</t>
  </si>
  <si>
    <t>1628</t>
  </si>
  <si>
    <t>1.19.1.6</t>
  </si>
  <si>
    <t>1630</t>
  </si>
  <si>
    <t>1.19.1.6.1</t>
  </si>
  <si>
    <t>1631</t>
  </si>
  <si>
    <t>1.19.1.7</t>
  </si>
  <si>
    <t>1633</t>
  </si>
  <si>
    <t>1.19.1.7.1</t>
  </si>
  <si>
    <t>1634</t>
  </si>
  <si>
    <t>1.19.1.7.2</t>
  </si>
  <si>
    <t>1635</t>
  </si>
  <si>
    <t>1.19.1.7.3</t>
  </si>
  <si>
    <t>1636</t>
  </si>
  <si>
    <t>1.19.1.7.4</t>
  </si>
  <si>
    <t>1637</t>
  </si>
  <si>
    <t>1.19.1.8</t>
  </si>
  <si>
    <t>1639</t>
  </si>
  <si>
    <t>1.19.1.8.1</t>
  </si>
  <si>
    <t>1640</t>
  </si>
  <si>
    <t>1.19.1.9</t>
  </si>
  <si>
    <t>1642</t>
  </si>
  <si>
    <t>1.19.1.9.1</t>
  </si>
  <si>
    <t>1643</t>
  </si>
  <si>
    <t>1.19.1.10</t>
  </si>
  <si>
    <t>1645</t>
  </si>
  <si>
    <t>1.19.1.10.1</t>
  </si>
  <si>
    <t>1646</t>
  </si>
  <si>
    <t>1.19.1.11</t>
  </si>
  <si>
    <t>1648</t>
  </si>
  <si>
    <t>1.19.1.11.1</t>
  </si>
  <si>
    <t>1649</t>
  </si>
  <si>
    <t>1.19.1.12</t>
  </si>
  <si>
    <t>1651</t>
  </si>
  <si>
    <t>1.19.1.12.1</t>
  </si>
  <si>
    <t>1652</t>
  </si>
  <si>
    <t>1.19.1.13</t>
  </si>
  <si>
    <t>1654</t>
  </si>
  <si>
    <t>1.19.1.13.1</t>
  </si>
  <si>
    <t>1655</t>
  </si>
  <si>
    <t>1.19.1.14</t>
  </si>
  <si>
    <t>1657</t>
  </si>
  <si>
    <t>1.19.1.14.1</t>
  </si>
  <si>
    <t>1658</t>
  </si>
  <si>
    <t>1.19.1.15</t>
  </si>
  <si>
    <t>1660</t>
  </si>
  <si>
    <t>1.19.1.15.1</t>
  </si>
  <si>
    <t>1661</t>
  </si>
  <si>
    <t>1.19.1.15.2</t>
  </si>
  <si>
    <t>1662</t>
  </si>
  <si>
    <t>1.19.1.15.3</t>
  </si>
  <si>
    <t>1663</t>
  </si>
  <si>
    <t>1.19.1.15.4</t>
  </si>
  <si>
    <t>1664</t>
  </si>
  <si>
    <t>1.19.1.15.5</t>
  </si>
  <si>
    <t>1665</t>
  </si>
  <si>
    <t>1.19.1.15.6</t>
  </si>
  <si>
    <t>1666</t>
  </si>
  <si>
    <t>1.19.1.15.6.1</t>
  </si>
  <si>
    <t>1668</t>
  </si>
  <si>
    <t>1.19.1.15.7</t>
  </si>
  <si>
    <t>1669</t>
  </si>
  <si>
    <t>1.19.1.15.8</t>
  </si>
  <si>
    <t>1670</t>
  </si>
  <si>
    <t>1.19.1.16</t>
  </si>
  <si>
    <t>1672</t>
  </si>
  <si>
    <t>1.19.1.16.1</t>
  </si>
  <si>
    <t>1673</t>
  </si>
  <si>
    <t>1.19.2</t>
  </si>
  <si>
    <t>Additional 1 Sector 3 1 3</t>
  </si>
  <si>
    <t>1675</t>
  </si>
  <si>
    <t>1.19.2.1</t>
  </si>
  <si>
    <t>1676</t>
  </si>
  <si>
    <t>1.19.2.1.1</t>
  </si>
  <si>
    <t>1677</t>
  </si>
  <si>
    <t>1.19.2.1.1.1</t>
  </si>
  <si>
    <t>1679</t>
  </si>
  <si>
    <t>1.19.2.1.1.2</t>
  </si>
  <si>
    <t>1680</t>
  </si>
  <si>
    <t>1.19.2.1.1.3</t>
  </si>
  <si>
    <t>1681</t>
  </si>
  <si>
    <t>1.19.2.1.1.4</t>
  </si>
  <si>
    <t>1682</t>
  </si>
  <si>
    <t>1.19.2.1.2</t>
  </si>
  <si>
    <t>1683</t>
  </si>
  <si>
    <t>1.19.2.1.2.1</t>
  </si>
  <si>
    <t>1685</t>
  </si>
  <si>
    <t>1.19.2.1.2.2</t>
  </si>
  <si>
    <t>1686</t>
  </si>
  <si>
    <t>1.19.2.1.2.3</t>
  </si>
  <si>
    <t>1687</t>
  </si>
  <si>
    <t>1.19.3</t>
  </si>
  <si>
    <t>3G 3cc 2nd Carrier: Existing 3HScc SW Features 4</t>
  </si>
  <si>
    <t>1689</t>
  </si>
  <si>
    <t>1.19.3.1</t>
  </si>
  <si>
    <t>1690</t>
  </si>
  <si>
    <t>1.19.3.1.1</t>
  </si>
  <si>
    <t>1691</t>
  </si>
  <si>
    <t>1.19.3.1.2</t>
  </si>
  <si>
    <t>1692</t>
  </si>
  <si>
    <t>1.19.3.2</t>
  </si>
  <si>
    <t>1694</t>
  </si>
  <si>
    <t>1.19.3.2.1</t>
  </si>
  <si>
    <t>1695</t>
  </si>
  <si>
    <t>1.19.3.3</t>
  </si>
  <si>
    <t>1697</t>
  </si>
  <si>
    <t>1.19.3.3.1</t>
  </si>
  <si>
    <t>1698</t>
  </si>
  <si>
    <t>1.19.3.4</t>
  </si>
  <si>
    <t>1700</t>
  </si>
  <si>
    <t>1.19.3.4.1</t>
  </si>
  <si>
    <t>1701</t>
  </si>
  <si>
    <t>1.19.4</t>
  </si>
  <si>
    <t>3G 3cc 2nd Carrier: For HSDPA IFLS 4</t>
  </si>
  <si>
    <t>1703</t>
  </si>
  <si>
    <t>1.19.4.1</t>
  </si>
  <si>
    <t>1704</t>
  </si>
  <si>
    <t>1.19.4.1.1</t>
  </si>
  <si>
    <t>1705</t>
  </si>
  <si>
    <t>1.19.5</t>
  </si>
  <si>
    <t>3G 3cc 2nd Carrier: EUL 4</t>
  </si>
  <si>
    <t>1707</t>
  </si>
  <si>
    <t>1.19.5.1</t>
  </si>
  <si>
    <t>1708</t>
  </si>
  <si>
    <t>1.19.5.1.1</t>
  </si>
  <si>
    <t>1709</t>
  </si>
  <si>
    <t>1.20</t>
  </si>
  <si>
    <t>Site 5195</t>
  </si>
  <si>
    <t>1711</t>
  </si>
  <si>
    <t>1.20.1</t>
  </si>
  <si>
    <t>Additional 1 Sector For LTE 3 1 1 1 1 1</t>
  </si>
  <si>
    <t>1712</t>
  </si>
  <si>
    <t>1.20.1.1</t>
  </si>
  <si>
    <t>1713</t>
  </si>
  <si>
    <t>1.20.1.1.1</t>
  </si>
  <si>
    <t>1714</t>
  </si>
  <si>
    <t>1.20.1.2</t>
  </si>
  <si>
    <t>1716</t>
  </si>
  <si>
    <t>1.20.1.2.1</t>
  </si>
  <si>
    <t>1717</t>
  </si>
  <si>
    <t>1.20.1.3</t>
  </si>
  <si>
    <t>1719</t>
  </si>
  <si>
    <t>1.20.1.3.1</t>
  </si>
  <si>
    <t>1720</t>
  </si>
  <si>
    <t>1.20.1.4</t>
  </si>
  <si>
    <t>1722</t>
  </si>
  <si>
    <t>1.20.1.4.1</t>
  </si>
  <si>
    <t>1723</t>
  </si>
  <si>
    <t>1.20.1.5</t>
  </si>
  <si>
    <t>1725</t>
  </si>
  <si>
    <t>1.20.1.5.1</t>
  </si>
  <si>
    <t>1726</t>
  </si>
  <si>
    <t>1.20.1.6</t>
  </si>
  <si>
    <t>1728</t>
  </si>
  <si>
    <t>1.20.1.6.1</t>
  </si>
  <si>
    <t>1729</t>
  </si>
  <si>
    <t>1.20.1.7</t>
  </si>
  <si>
    <t>1731</t>
  </si>
  <si>
    <t>1.20.1.7.1</t>
  </si>
  <si>
    <t>1732</t>
  </si>
  <si>
    <t>1.20.1.7.2</t>
  </si>
  <si>
    <t>1733</t>
  </si>
  <si>
    <t>1.20.1.7.3</t>
  </si>
  <si>
    <t>1734</t>
  </si>
  <si>
    <t>1.20.1.7.4</t>
  </si>
  <si>
    <t>1735</t>
  </si>
  <si>
    <t>1.20.1.8</t>
  </si>
  <si>
    <t>1737</t>
  </si>
  <si>
    <t>1.20.1.8.1</t>
  </si>
  <si>
    <t>1738</t>
  </si>
  <si>
    <t>1.20.1.9</t>
  </si>
  <si>
    <t>1740</t>
  </si>
  <si>
    <t>1.20.1.9.1</t>
  </si>
  <si>
    <t>1741</t>
  </si>
  <si>
    <t>1.20.1.10</t>
  </si>
  <si>
    <t>1743</t>
  </si>
  <si>
    <t>1.20.1.10.1</t>
  </si>
  <si>
    <t>1744</t>
  </si>
  <si>
    <t>1.20.1.11</t>
  </si>
  <si>
    <t>1746</t>
  </si>
  <si>
    <t>1.20.1.11.1</t>
  </si>
  <si>
    <t>1747</t>
  </si>
  <si>
    <t>1.20.1.12</t>
  </si>
  <si>
    <t>1749</t>
  </si>
  <si>
    <t>1.20.1.12.1</t>
  </si>
  <si>
    <t>1750</t>
  </si>
  <si>
    <t>1.20.1.13</t>
  </si>
  <si>
    <t>1752</t>
  </si>
  <si>
    <t>1.20.1.13.1</t>
  </si>
  <si>
    <t>1753</t>
  </si>
  <si>
    <t>1.20.1.14</t>
  </si>
  <si>
    <t>1755</t>
  </si>
  <si>
    <t>1.20.1.14.1</t>
  </si>
  <si>
    <t>1756</t>
  </si>
  <si>
    <t>1.20.1.15</t>
  </si>
  <si>
    <t>1758</t>
  </si>
  <si>
    <t>1.20.1.15.1</t>
  </si>
  <si>
    <t>1759</t>
  </si>
  <si>
    <t>1.20.1.15.2</t>
  </si>
  <si>
    <t>1760</t>
  </si>
  <si>
    <t>1.20.1.15.3</t>
  </si>
  <si>
    <t>1761</t>
  </si>
  <si>
    <t>1.20.1.15.4</t>
  </si>
  <si>
    <t>1762</t>
  </si>
  <si>
    <t>1.20.1.15.5</t>
  </si>
  <si>
    <t>1763</t>
  </si>
  <si>
    <t>1.20.1.15.6</t>
  </si>
  <si>
    <t>1764</t>
  </si>
  <si>
    <t>1.20.1.15.6.1</t>
  </si>
  <si>
    <t>1766</t>
  </si>
  <si>
    <t>1.20.1.15.7</t>
  </si>
  <si>
    <t>1767</t>
  </si>
  <si>
    <t>1.20.1.15.8</t>
  </si>
  <si>
    <t>1768</t>
  </si>
  <si>
    <t>1.20.1.16</t>
  </si>
  <si>
    <t>1770</t>
  </si>
  <si>
    <t>1.20.1.16.1</t>
  </si>
  <si>
    <t>1771</t>
  </si>
  <si>
    <t>1.20.2</t>
  </si>
  <si>
    <t>Additional 1 Sector 3 1 3 1</t>
  </si>
  <si>
    <t>1773</t>
  </si>
  <si>
    <t>1.20.2.1</t>
  </si>
  <si>
    <t>1774</t>
  </si>
  <si>
    <t>1.20.2.1.1</t>
  </si>
  <si>
    <t>1775</t>
  </si>
  <si>
    <t>1.20.2.1.1.1</t>
  </si>
  <si>
    <t>1777</t>
  </si>
  <si>
    <t>1.20.2.1.1.2</t>
  </si>
  <si>
    <t>1778</t>
  </si>
  <si>
    <t>1.20.2.1.1.3</t>
  </si>
  <si>
    <t>1779</t>
  </si>
  <si>
    <t>1.20.2.1.1.4</t>
  </si>
  <si>
    <t>1780</t>
  </si>
  <si>
    <t>1.20.2.1.2</t>
  </si>
  <si>
    <t>1781</t>
  </si>
  <si>
    <t>1.20.2.1.2.1</t>
  </si>
  <si>
    <t>1783</t>
  </si>
  <si>
    <t>1.20.2.1.2.2</t>
  </si>
  <si>
    <t>1784</t>
  </si>
  <si>
    <t>1.20.2.1.2.3</t>
  </si>
  <si>
    <t>1785</t>
  </si>
  <si>
    <t>1.20.3</t>
  </si>
  <si>
    <t>3G 3cc 2nd Carrier: Existing 3HScc SW Features 9 1</t>
  </si>
  <si>
    <t>1787</t>
  </si>
  <si>
    <t>1.20.3.1</t>
  </si>
  <si>
    <t>1788</t>
  </si>
  <si>
    <t>1.20.3.1.1</t>
  </si>
  <si>
    <t>1789</t>
  </si>
  <si>
    <t>1.20.3.1.2</t>
  </si>
  <si>
    <t>1790</t>
  </si>
  <si>
    <t>1.20.3.2</t>
  </si>
  <si>
    <t>1792</t>
  </si>
  <si>
    <t>1.20.3.2.1</t>
  </si>
  <si>
    <t>1793</t>
  </si>
  <si>
    <t>1.20.3.3</t>
  </si>
  <si>
    <t>1795</t>
  </si>
  <si>
    <t>1.20.3.3.1</t>
  </si>
  <si>
    <t>1796</t>
  </si>
  <si>
    <t>1.20.3.4</t>
  </si>
  <si>
    <t>1798</t>
  </si>
  <si>
    <t>1.20.3.4.1</t>
  </si>
  <si>
    <t>1799</t>
  </si>
  <si>
    <t>1.20.4</t>
  </si>
  <si>
    <t>3G 3cc 2nd Carrier: For HSDPA IFLS 9 1</t>
  </si>
  <si>
    <t>1801</t>
  </si>
  <si>
    <t>1.20.4.1</t>
  </si>
  <si>
    <t>1802</t>
  </si>
  <si>
    <t>1.20.4.1.1</t>
  </si>
  <si>
    <t>1803</t>
  </si>
  <si>
    <t>1.20.5</t>
  </si>
  <si>
    <t>3G 3cc 2nd Carrier: EUL 9 1</t>
  </si>
  <si>
    <t>1805</t>
  </si>
  <si>
    <t>1.20.5.1</t>
  </si>
  <si>
    <t>1806</t>
  </si>
  <si>
    <t>1.20.5.1.1</t>
  </si>
  <si>
    <t>1807</t>
  </si>
  <si>
    <t>1.21</t>
  </si>
  <si>
    <t>Site 5122</t>
  </si>
  <si>
    <t>1809</t>
  </si>
  <si>
    <t>1.21.1</t>
  </si>
  <si>
    <t>Additional 2 Sector for LTE</t>
  </si>
  <si>
    <t>1810</t>
  </si>
  <si>
    <t>1.21.1.1</t>
  </si>
  <si>
    <t>1xDUx</t>
  </si>
  <si>
    <t>1811</t>
  </si>
  <si>
    <t>1.21.1.1.1</t>
  </si>
  <si>
    <t>RBS 6000 Optional DU Adaptor kit</t>
  </si>
  <si>
    <t>1812</t>
  </si>
  <si>
    <t>1.21.1.2</t>
  </si>
  <si>
    <t>1814</t>
  </si>
  <si>
    <t>1.21.1.2.1</t>
  </si>
  <si>
    <t>1815</t>
  </si>
  <si>
    <t>1.21.1.3</t>
  </si>
  <si>
    <t>1817</t>
  </si>
  <si>
    <t>1.21.1.3.1</t>
  </si>
  <si>
    <t>1818</t>
  </si>
  <si>
    <t>1.21.1.4</t>
  </si>
  <si>
    <t>1820</t>
  </si>
  <si>
    <t>1.21.1.4.1</t>
  </si>
  <si>
    <t>1821</t>
  </si>
  <si>
    <t>1.21.1.5</t>
  </si>
  <si>
    <t>1823</t>
  </si>
  <si>
    <t>1.21.1.5.1</t>
  </si>
  <si>
    <t>1824</t>
  </si>
  <si>
    <t>1.21.1.6</t>
  </si>
  <si>
    <t>1826</t>
  </si>
  <si>
    <t>1.21.1.6.1</t>
  </si>
  <si>
    <t>1827</t>
  </si>
  <si>
    <t>1.21.1.7</t>
  </si>
  <si>
    <t>1829</t>
  </si>
  <si>
    <t>1.21.1.7.1</t>
  </si>
  <si>
    <t>1830</t>
  </si>
  <si>
    <t>1.21.2</t>
  </si>
  <si>
    <t>2G RBS6201 1xRUS 1xDUG20 Co-site 3G</t>
  </si>
  <si>
    <t>1832</t>
  </si>
  <si>
    <t>1.21.2.1</t>
  </si>
  <si>
    <t>Parts for RBS6201 External Alarm</t>
  </si>
  <si>
    <t>1833</t>
  </si>
  <si>
    <t>1.21.2.1.1</t>
  </si>
  <si>
    <t>PRODUCT PACKAGE/RBS DF-OVP for indoor RB (FAP1300289)</t>
  </si>
  <si>
    <t>1834</t>
  </si>
  <si>
    <t>1.21.2.1.1.1</t>
  </si>
  <si>
    <t>DISTRIBUTION FRAME/DF-OVP FOR GSM &amp; WCDM</t>
  </si>
  <si>
    <t>1836</t>
  </si>
  <si>
    <t>1.21.2.1.1.2</t>
  </si>
  <si>
    <t>OVP kit, 8 Ext Alarm for SAU</t>
  </si>
  <si>
    <t>1837</t>
  </si>
  <si>
    <t>1.21.2.1.1.3</t>
  </si>
  <si>
    <t>SAU kit, DF-OVP V2, 10m</t>
  </si>
  <si>
    <t>1838</t>
  </si>
  <si>
    <t>1.21.2.2</t>
  </si>
  <si>
    <t>RBS6201 1xRUS_1xDUG20_Stand-Alone (No TRX_No Power HWAC)</t>
  </si>
  <si>
    <t>1840</t>
  </si>
  <si>
    <t>1.21.2.2.1</t>
  </si>
  <si>
    <t>1841</t>
  </si>
  <si>
    <t>1.21.2.2.2</t>
  </si>
  <si>
    <t>1842</t>
  </si>
  <si>
    <t>1.21.2.2.3</t>
  </si>
  <si>
    <t>1843</t>
  </si>
  <si>
    <t>1.21.2.2.4</t>
  </si>
  <si>
    <t>1844</t>
  </si>
  <si>
    <t>1.21.2.2.5</t>
  </si>
  <si>
    <t>1845</t>
  </si>
  <si>
    <t>1.21.2.2.6</t>
  </si>
  <si>
    <t>1846</t>
  </si>
  <si>
    <t>1.21.2.2.7</t>
  </si>
  <si>
    <t>Single Radio Unit RUS 01B8 (900E MHz) 20W HW Activation incl.</t>
  </si>
  <si>
    <t>1847</t>
  </si>
  <si>
    <t>1.21.2.2.8</t>
  </si>
  <si>
    <t>1848</t>
  </si>
  <si>
    <t>1.21.2.2.9</t>
  </si>
  <si>
    <t>Digital Unit DUG 20 Basic HW Module (excl.Activation Keys) for E1/T1</t>
  </si>
  <si>
    <t>1849</t>
  </si>
  <si>
    <t>1.21.2.2.10</t>
  </si>
  <si>
    <t>1850</t>
  </si>
  <si>
    <t>1.21.2.2.11</t>
  </si>
  <si>
    <t>GSM Cell Carrier (TRX equiv.) HWAC</t>
  </si>
  <si>
    <t>1851</t>
  </si>
  <si>
    <t>1.21.2.3</t>
  </si>
  <si>
    <t>SAU for RBS6201</t>
  </si>
  <si>
    <t>1853</t>
  </si>
  <si>
    <t>1.21.2.3.1</t>
  </si>
  <si>
    <t>PRODUCT PACKAGE/SP RBS 6102 Large Outdoo (FAP1302026)</t>
  </si>
  <si>
    <t>1854</t>
  </si>
  <si>
    <t>1.21.2.3.1.1</t>
  </si>
  <si>
    <t>SAU;Support Alarm Unit</t>
  </si>
  <si>
    <t>1856</t>
  </si>
  <si>
    <t>1.21.3</t>
  </si>
  <si>
    <t>2G TRX &amp; Power HWAC for Co-site 3G</t>
  </si>
  <si>
    <t>1858</t>
  </si>
  <si>
    <t>1.21.3.1</t>
  </si>
  <si>
    <t>1859</t>
  </si>
  <si>
    <t>1.21.3.1.1</t>
  </si>
  <si>
    <t>1860</t>
  </si>
  <si>
    <t>1.21.3.2</t>
  </si>
  <si>
    <t>GSM TRX HWAC</t>
  </si>
  <si>
    <t>1862</t>
  </si>
  <si>
    <t>1.21.3.2.1</t>
  </si>
  <si>
    <t>1863</t>
  </si>
  <si>
    <t>1.21.4</t>
  </si>
  <si>
    <t>Batteries 3</t>
  </si>
  <si>
    <t>1865</t>
  </si>
  <si>
    <t>1.21.4.1</t>
  </si>
  <si>
    <t>1866</t>
  </si>
  <si>
    <t>1.21.4.1.1</t>
  </si>
  <si>
    <t>1867</t>
  </si>
  <si>
    <t>1.21.4.2</t>
  </si>
  <si>
    <t>1869</t>
  </si>
  <si>
    <t>1.21.4.2.1</t>
  </si>
  <si>
    <t>1870</t>
  </si>
  <si>
    <t>1.21.4.2.2</t>
  </si>
  <si>
    <t>1871</t>
  </si>
  <si>
    <t>1.21.4.2.3</t>
  </si>
  <si>
    <t>1872</t>
  </si>
  <si>
    <t>1.21.4.2.4</t>
  </si>
  <si>
    <t>1873</t>
  </si>
  <si>
    <t>1.21.5</t>
  </si>
  <si>
    <t>1875</t>
  </si>
  <si>
    <t>1.21.5.1</t>
  </si>
  <si>
    <t>1876</t>
  </si>
  <si>
    <t>1.21.5.1.1</t>
  </si>
  <si>
    <t>1877</t>
  </si>
  <si>
    <t>1.21.5.2</t>
  </si>
  <si>
    <t>1879</t>
  </si>
  <si>
    <t>1.21.5.2.1</t>
  </si>
  <si>
    <t>1880</t>
  </si>
  <si>
    <t>1.21.5.2.2</t>
  </si>
  <si>
    <t>1881</t>
  </si>
  <si>
    <t>1.21.5.2.3</t>
  </si>
  <si>
    <t>1882</t>
  </si>
  <si>
    <t>1.21.6</t>
  </si>
  <si>
    <t>1884</t>
  </si>
  <si>
    <t>1.21.6.1</t>
  </si>
  <si>
    <t>1885</t>
  </si>
  <si>
    <t>1.21.6.1.1</t>
  </si>
  <si>
    <t>1886</t>
  </si>
  <si>
    <t>1.21.6.2</t>
  </si>
  <si>
    <t>1888</t>
  </si>
  <si>
    <t>1.21.6.2.1</t>
  </si>
  <si>
    <t>1889</t>
  </si>
  <si>
    <t>1.21.6.3</t>
  </si>
  <si>
    <t>1891</t>
  </si>
  <si>
    <t>1.21.6.3.1</t>
  </si>
  <si>
    <t>1892</t>
  </si>
  <si>
    <t>1.21.6.3.2</t>
  </si>
  <si>
    <t>1893</t>
  </si>
  <si>
    <t>1.21.6.3.3</t>
  </si>
  <si>
    <t>1894</t>
  </si>
  <si>
    <t>1.21.6.3.4</t>
  </si>
  <si>
    <t>1895</t>
  </si>
  <si>
    <t>1.21.6.3.5</t>
  </si>
  <si>
    <t>1896</t>
  </si>
  <si>
    <t>1.21.6.3.6</t>
  </si>
  <si>
    <t>1897</t>
  </si>
  <si>
    <t>1.21.6.3.7</t>
  </si>
  <si>
    <t>1898</t>
  </si>
  <si>
    <t>1.21.6.3.8</t>
  </si>
  <si>
    <t>1899</t>
  </si>
  <si>
    <t>1.21.6.3.9</t>
  </si>
  <si>
    <t>1900</t>
  </si>
  <si>
    <t>1.21.6.3.10</t>
  </si>
  <si>
    <t>1901</t>
  </si>
  <si>
    <t>1.21.6.3.11</t>
  </si>
  <si>
    <t>1902</t>
  </si>
  <si>
    <t>1.21.6.3.12</t>
  </si>
  <si>
    <t>1903</t>
  </si>
  <si>
    <t>1.21.6.3.13</t>
  </si>
  <si>
    <t>1904</t>
  </si>
  <si>
    <t>1.21.6.3.14</t>
  </si>
  <si>
    <t>1905</t>
  </si>
  <si>
    <t>1.21.6.3.15</t>
  </si>
  <si>
    <t>1906</t>
  </si>
  <si>
    <t>1.21.6.3.16</t>
  </si>
  <si>
    <t>1907</t>
  </si>
  <si>
    <t>1.21.6.3.17</t>
  </si>
  <si>
    <t>1908</t>
  </si>
  <si>
    <t>1.21.7</t>
  </si>
  <si>
    <t>Additional 2 Sector</t>
  </si>
  <si>
    <t>1910</t>
  </si>
  <si>
    <t>1.21.7.1</t>
  </si>
  <si>
    <t>RBS 6201_Additional 2 Sector of 3cc@20Wpcc (Addn 1xPSU, 1xPDU)</t>
  </si>
  <si>
    <t>1911</t>
  </si>
  <si>
    <t>1.21.7.1.1</t>
  </si>
  <si>
    <t>1912</t>
  </si>
  <si>
    <t>1.21.7.1.1.1</t>
  </si>
  <si>
    <t>1914</t>
  </si>
  <si>
    <t>1.21.7.1.1.2</t>
  </si>
  <si>
    <t>1915</t>
  </si>
  <si>
    <t>1.21.7.1.1.3</t>
  </si>
  <si>
    <t>1916</t>
  </si>
  <si>
    <t>1.21.7.1.1.4</t>
  </si>
  <si>
    <t>1917</t>
  </si>
  <si>
    <t>1.21.7.1.1.5</t>
  </si>
  <si>
    <t>1918</t>
  </si>
  <si>
    <t>1.21.7.1.1.6</t>
  </si>
  <si>
    <t>1919</t>
  </si>
  <si>
    <t>1.21.8</t>
  </si>
  <si>
    <t>3G 3cc 2nd Carrier: EUL 18 1 1</t>
  </si>
  <si>
    <t>1921</t>
  </si>
  <si>
    <t>1.21.8.1</t>
  </si>
  <si>
    <t>1922</t>
  </si>
  <si>
    <t>1.21.8.1.1</t>
  </si>
  <si>
    <t>1923</t>
  </si>
  <si>
    <t>1.21.9</t>
  </si>
  <si>
    <t>3G 3cc 2nd Carrier: For HSDPA IFLS 18 1 1</t>
  </si>
  <si>
    <t>1925</t>
  </si>
  <si>
    <t>1.21.9.1</t>
  </si>
  <si>
    <t>1926</t>
  </si>
  <si>
    <t>1.21.9.1.1</t>
  </si>
  <si>
    <t>1927</t>
  </si>
  <si>
    <t>1.21.10</t>
  </si>
  <si>
    <t>3G 3cc 3rd Carrier: HS on 3rd Carrier 3 1 1</t>
  </si>
  <si>
    <t>1929</t>
  </si>
  <si>
    <t>1.21.10.1</t>
  </si>
  <si>
    <t>1930</t>
  </si>
  <si>
    <t>1.21.10.1.1</t>
  </si>
  <si>
    <t>1931</t>
  </si>
  <si>
    <t>1.21.10.1.2</t>
  </si>
  <si>
    <t>1932</t>
  </si>
  <si>
    <t>1.21.10.2</t>
  </si>
  <si>
    <t>1934</t>
  </si>
  <si>
    <t>1.21.10.2.1</t>
  </si>
  <si>
    <t>1935</t>
  </si>
  <si>
    <t>1.21.10.3</t>
  </si>
  <si>
    <t>1937</t>
  </si>
  <si>
    <t>1.21.10.3.1</t>
  </si>
  <si>
    <t>1938</t>
  </si>
  <si>
    <t>1.21.10.4</t>
  </si>
  <si>
    <t>1940</t>
  </si>
  <si>
    <t>1.21.10.4.1</t>
  </si>
  <si>
    <t>1941</t>
  </si>
  <si>
    <t>1.21.10.5</t>
  </si>
  <si>
    <t>1943</t>
  </si>
  <si>
    <t>1.21.10.5.1</t>
  </si>
  <si>
    <t>1944</t>
  </si>
  <si>
    <t>1.21.11</t>
  </si>
  <si>
    <t>3G 3cc 2nd Carrier: Existing 3HScc SW Features 18  1</t>
  </si>
  <si>
    <t>1946</t>
  </si>
  <si>
    <t>1.21.11.1</t>
  </si>
  <si>
    <t>1947</t>
  </si>
  <si>
    <t>1.21.11.1.1</t>
  </si>
  <si>
    <t>1948</t>
  </si>
  <si>
    <t>1.21.11.1.2</t>
  </si>
  <si>
    <t>1949</t>
  </si>
  <si>
    <t>1.21.11.2</t>
  </si>
  <si>
    <t>1951</t>
  </si>
  <si>
    <t>1.21.11.2.1</t>
  </si>
  <si>
    <t>1952</t>
  </si>
  <si>
    <t>1.21.11.3</t>
  </si>
  <si>
    <t>1954</t>
  </si>
  <si>
    <t>1.21.11.3.1</t>
  </si>
  <si>
    <t>1955</t>
  </si>
  <si>
    <t>1.21.11.4</t>
  </si>
  <si>
    <t>1957</t>
  </si>
  <si>
    <t>1.21.11.4.1</t>
  </si>
  <si>
    <t>1958</t>
  </si>
  <si>
    <t>1.22</t>
  </si>
  <si>
    <t>Site 5679</t>
  </si>
  <si>
    <t>1960</t>
  </si>
  <si>
    <t>1.22.1</t>
  </si>
  <si>
    <t>Additional 1 Sector for LTE 2 1 2</t>
  </si>
  <si>
    <t>1961</t>
  </si>
  <si>
    <t>1.22.1.1</t>
  </si>
  <si>
    <t>1962</t>
  </si>
  <si>
    <t>1.22.1.1.1</t>
  </si>
  <si>
    <t>1963</t>
  </si>
  <si>
    <t>1.22.1.2</t>
  </si>
  <si>
    <t>1965</t>
  </si>
  <si>
    <t>1.22.1.2.1</t>
  </si>
  <si>
    <t>1966</t>
  </si>
  <si>
    <t>1.22.1.3</t>
  </si>
  <si>
    <t>1968</t>
  </si>
  <si>
    <t>1.22.1.3.1</t>
  </si>
  <si>
    <t>1969</t>
  </si>
  <si>
    <t>1.22.1.4</t>
  </si>
  <si>
    <t>1971</t>
  </si>
  <si>
    <t>1.22.1.4.1</t>
  </si>
  <si>
    <t>1972</t>
  </si>
  <si>
    <t>1.22.1.5</t>
  </si>
  <si>
    <t>1974</t>
  </si>
  <si>
    <t>1.22.1.5.1</t>
  </si>
  <si>
    <t>1975</t>
  </si>
  <si>
    <t>1.22.1.6</t>
  </si>
  <si>
    <t>1977</t>
  </si>
  <si>
    <t>1.22.1.6.1</t>
  </si>
  <si>
    <t>1978</t>
  </si>
  <si>
    <t>1.22.1.7</t>
  </si>
  <si>
    <t>1980</t>
  </si>
  <si>
    <t>1.22.1.7.1</t>
  </si>
  <si>
    <t>1981</t>
  </si>
  <si>
    <t>1.22.1.8</t>
  </si>
  <si>
    <t>1983</t>
  </si>
  <si>
    <t>1.22.1.8.1</t>
  </si>
  <si>
    <t>1984</t>
  </si>
  <si>
    <t>1.22.1.9</t>
  </si>
  <si>
    <t>1986</t>
  </si>
  <si>
    <t>1.22.1.9.1</t>
  </si>
  <si>
    <t>1987</t>
  </si>
  <si>
    <t>1.22.1.10</t>
  </si>
  <si>
    <t>1989</t>
  </si>
  <si>
    <t>1.22.1.10.1</t>
  </si>
  <si>
    <t>1990</t>
  </si>
  <si>
    <t>1.22.1.11</t>
  </si>
  <si>
    <t>1992</t>
  </si>
  <si>
    <t>1.22.1.11.1</t>
  </si>
  <si>
    <t>1993</t>
  </si>
  <si>
    <t>1.22.1.12</t>
  </si>
  <si>
    <t>1995</t>
  </si>
  <si>
    <t>1.22.1.12.1</t>
  </si>
  <si>
    <t>1996</t>
  </si>
  <si>
    <t>1.22.1.12.2</t>
  </si>
  <si>
    <t>1997</t>
  </si>
  <si>
    <t>1.22.1.12.3</t>
  </si>
  <si>
    <t>1998</t>
  </si>
  <si>
    <t>1.22.1.12.4</t>
  </si>
  <si>
    <t>1999</t>
  </si>
  <si>
    <t>1.22.1.12.5</t>
  </si>
  <si>
    <t>2000</t>
  </si>
  <si>
    <t>1.22.1.12.6</t>
  </si>
  <si>
    <t>2001</t>
  </si>
  <si>
    <t>1.22.1.12.7</t>
  </si>
  <si>
    <t>2002</t>
  </si>
  <si>
    <t>1.22.1.12.8</t>
  </si>
  <si>
    <t>2003</t>
  </si>
  <si>
    <t>1.22.1.12.9</t>
  </si>
  <si>
    <t>2004</t>
  </si>
  <si>
    <t>1.22.1.12.10</t>
  </si>
  <si>
    <t>2005</t>
  </si>
  <si>
    <t>1.22.1.12.11</t>
  </si>
  <si>
    <t>2006</t>
  </si>
  <si>
    <t>1.22.1.12.12</t>
  </si>
  <si>
    <t>2007</t>
  </si>
  <si>
    <t>1.22.1.12.13</t>
  </si>
  <si>
    <t>2008</t>
  </si>
  <si>
    <t>1.22.1.12.14</t>
  </si>
  <si>
    <t>2009</t>
  </si>
  <si>
    <t>1.22.1.12.15</t>
  </si>
  <si>
    <t>2010</t>
  </si>
  <si>
    <t>1.22.1.12.16</t>
  </si>
  <si>
    <t>2011</t>
  </si>
  <si>
    <t>1.22.1.13</t>
  </si>
  <si>
    <t>2013</t>
  </si>
  <si>
    <t>1.22.1.13.1</t>
  </si>
  <si>
    <t>2014</t>
  </si>
  <si>
    <t>1.22.1.14</t>
  </si>
  <si>
    <t>2016</t>
  </si>
  <si>
    <t>1.22.1.14.1</t>
  </si>
  <si>
    <t>2017</t>
  </si>
  <si>
    <t>1.22.2</t>
  </si>
  <si>
    <t>2019</t>
  </si>
  <si>
    <t>1.22.2.1</t>
  </si>
  <si>
    <t>2020</t>
  </si>
  <si>
    <t>1.22.2.1.1</t>
  </si>
  <si>
    <t>2021</t>
  </si>
  <si>
    <t>1.22.2.1.2</t>
  </si>
  <si>
    <t>2022</t>
  </si>
  <si>
    <t>1.22.2.2</t>
  </si>
  <si>
    <t>2024</t>
  </si>
  <si>
    <t>1.22.2.2.1</t>
  </si>
  <si>
    <t>2025</t>
  </si>
  <si>
    <t>1.22.2.3</t>
  </si>
  <si>
    <t>2027</t>
  </si>
  <si>
    <t>1.22.2.3.1</t>
  </si>
  <si>
    <t>2028</t>
  </si>
  <si>
    <t>1.22.2.4</t>
  </si>
  <si>
    <t>2030</t>
  </si>
  <si>
    <t>1.22.2.4.1</t>
  </si>
  <si>
    <t>2031</t>
  </si>
  <si>
    <t>1.22.2.5</t>
  </si>
  <si>
    <t>2033</t>
  </si>
  <si>
    <t>1.22.2.5.1</t>
  </si>
  <si>
    <t>2034</t>
  </si>
  <si>
    <t>1.22.3</t>
  </si>
  <si>
    <t>Additional 1 Sector 2 1 1 1 2</t>
  </si>
  <si>
    <t>2036</t>
  </si>
  <si>
    <t>1.22.3.1</t>
  </si>
  <si>
    <t>2037</t>
  </si>
  <si>
    <t>1.22.3.1.1</t>
  </si>
  <si>
    <t>2038</t>
  </si>
  <si>
    <t>1.22.3.1.1.1</t>
  </si>
  <si>
    <t>2040</t>
  </si>
  <si>
    <t>1.22.3.1.1.2</t>
  </si>
  <si>
    <t>2041</t>
  </si>
  <si>
    <t>1.22.3.1.1.3</t>
  </si>
  <si>
    <t>2042</t>
  </si>
  <si>
    <t>1.22.3.1.1.4</t>
  </si>
  <si>
    <t>2043</t>
  </si>
  <si>
    <t>1.23</t>
  </si>
  <si>
    <t>Site 5283</t>
  </si>
  <si>
    <t>2045</t>
  </si>
  <si>
    <t>1.23.1</t>
  </si>
  <si>
    <t>Additional 2 Sector for LTE 1</t>
  </si>
  <si>
    <t>2046</t>
  </si>
  <si>
    <t>1.23.1.1</t>
  </si>
  <si>
    <t>2047</t>
  </si>
  <si>
    <t>1.23.1.1.1</t>
  </si>
  <si>
    <t>2048</t>
  </si>
  <si>
    <t>1.23.1.2</t>
  </si>
  <si>
    <t>2050</t>
  </si>
  <si>
    <t>1.23.1.2.1</t>
  </si>
  <si>
    <t>2051</t>
  </si>
  <si>
    <t>1.23.1.3</t>
  </si>
  <si>
    <t>2053</t>
  </si>
  <si>
    <t>1.23.1.3.1</t>
  </si>
  <si>
    <t>2054</t>
  </si>
  <si>
    <t>1.23.1.4</t>
  </si>
  <si>
    <t>2056</t>
  </si>
  <si>
    <t>1.23.1.4.1</t>
  </si>
  <si>
    <t>2057</t>
  </si>
  <si>
    <t>1.23.1.5</t>
  </si>
  <si>
    <t>2059</t>
  </si>
  <si>
    <t>1.23.1.5.1</t>
  </si>
  <si>
    <t>2060</t>
  </si>
  <si>
    <t>1.23.1.6</t>
  </si>
  <si>
    <t>2062</t>
  </si>
  <si>
    <t>1.23.1.6.1</t>
  </si>
  <si>
    <t>2063</t>
  </si>
  <si>
    <t>1.23.1.7</t>
  </si>
  <si>
    <t>2065</t>
  </si>
  <si>
    <t>1.23.1.7.1</t>
  </si>
  <si>
    <t>2066</t>
  </si>
  <si>
    <t>1.23.1.8</t>
  </si>
  <si>
    <t>2068</t>
  </si>
  <si>
    <t>1.23.1.8.1</t>
  </si>
  <si>
    <t>2069</t>
  </si>
  <si>
    <t>1.23.1.9</t>
  </si>
  <si>
    <t>2071</t>
  </si>
  <si>
    <t>1.23.1.9.1</t>
  </si>
  <si>
    <t>2072</t>
  </si>
  <si>
    <t>1.23.1.10</t>
  </si>
  <si>
    <t>2074</t>
  </si>
  <si>
    <t>1.23.1.10.1</t>
  </si>
  <si>
    <t>2075</t>
  </si>
  <si>
    <t>1.23.1.11</t>
  </si>
  <si>
    <t>2077</t>
  </si>
  <si>
    <t>1.23.1.11.1</t>
  </si>
  <si>
    <t>2078</t>
  </si>
  <si>
    <t>1.23.1.12</t>
  </si>
  <si>
    <t>2080</t>
  </si>
  <si>
    <t>1.23.1.12.1</t>
  </si>
  <si>
    <t>2081</t>
  </si>
  <si>
    <t>1.23.1.12.2</t>
  </si>
  <si>
    <t>2082</t>
  </si>
  <si>
    <t>1.23.1.12.3</t>
  </si>
  <si>
    <t>2083</t>
  </si>
  <si>
    <t>1.23.1.12.4</t>
  </si>
  <si>
    <t>2084</t>
  </si>
  <si>
    <t>1.23.1.12.5</t>
  </si>
  <si>
    <t>2085</t>
  </si>
  <si>
    <t>1.23.1.12.6</t>
  </si>
  <si>
    <t>2086</t>
  </si>
  <si>
    <t>1.23.1.12.7</t>
  </si>
  <si>
    <t>2087</t>
  </si>
  <si>
    <t>1.23.1.12.8</t>
  </si>
  <si>
    <t>2088</t>
  </si>
  <si>
    <t>1.23.1.12.9</t>
  </si>
  <si>
    <t>2089</t>
  </si>
  <si>
    <t>1.23.1.12.10</t>
  </si>
  <si>
    <t>2090</t>
  </si>
  <si>
    <t>1.23.1.12.11</t>
  </si>
  <si>
    <t>2091</t>
  </si>
  <si>
    <t>1.23.1.12.12</t>
  </si>
  <si>
    <t>2092</t>
  </si>
  <si>
    <t>1.23.1.12.13</t>
  </si>
  <si>
    <t>2093</t>
  </si>
  <si>
    <t>1.23.1.12.14</t>
  </si>
  <si>
    <t>2094</t>
  </si>
  <si>
    <t>1.23.1.12.15</t>
  </si>
  <si>
    <t>2095</t>
  </si>
  <si>
    <t>1.23.1.12.16</t>
  </si>
  <si>
    <t>2096</t>
  </si>
  <si>
    <t>1.23.1.13</t>
  </si>
  <si>
    <t>2098</t>
  </si>
  <si>
    <t>1.23.1.13.1</t>
  </si>
  <si>
    <t>2099</t>
  </si>
  <si>
    <t>1.23.1.14</t>
  </si>
  <si>
    <t>2101</t>
  </si>
  <si>
    <t>1.23.1.14.1</t>
  </si>
  <si>
    <t>2102</t>
  </si>
  <si>
    <t>1.23.2</t>
  </si>
  <si>
    <t>Additional 2 Sector 1</t>
  </si>
  <si>
    <t>2104</t>
  </si>
  <si>
    <t>1.23.2.1</t>
  </si>
  <si>
    <t>RBS 6101_Additional 2 Sector of 3cc@20Wpcc (Addn 1xPSU, 1xPDU)</t>
  </si>
  <si>
    <t>2105</t>
  </si>
  <si>
    <t>1.23.2.1.1</t>
  </si>
  <si>
    <t>2106</t>
  </si>
  <si>
    <t>1.23.2.1.1.1</t>
  </si>
  <si>
    <t>2108</t>
  </si>
  <si>
    <t>1.23.2.1.1.2</t>
  </si>
  <si>
    <t>2109</t>
  </si>
  <si>
    <t>1.23.2.1.1.3</t>
  </si>
  <si>
    <t>2110</t>
  </si>
  <si>
    <t>1.23.2.1.1.4</t>
  </si>
  <si>
    <t>2111</t>
  </si>
  <si>
    <t>1.23.2.1.1.5</t>
  </si>
  <si>
    <t>2112</t>
  </si>
  <si>
    <t>1.23.2.1.1.6</t>
  </si>
  <si>
    <t>2113</t>
  </si>
  <si>
    <t>1.23.3</t>
  </si>
  <si>
    <t>3G 3cc 2nd Carrier: EUL 18</t>
  </si>
  <si>
    <t>2115</t>
  </si>
  <si>
    <t>1.23.3.1</t>
  </si>
  <si>
    <t>2116</t>
  </si>
  <si>
    <t>1.23.3.1.1</t>
  </si>
  <si>
    <t>2117</t>
  </si>
  <si>
    <t>1.23.4</t>
  </si>
  <si>
    <t>3G 3cc 2nd Carrier: For HSDPA IFLS 18</t>
  </si>
  <si>
    <t>2119</t>
  </si>
  <si>
    <t>1.23.4.1</t>
  </si>
  <si>
    <t>2120</t>
  </si>
  <si>
    <t>1.23.4.1.1</t>
  </si>
  <si>
    <t>2121</t>
  </si>
  <si>
    <t>1.23.5</t>
  </si>
  <si>
    <t>3G 3cc 3rd Carrier: HS on 3rd Carrier 3</t>
  </si>
  <si>
    <t>2123</t>
  </si>
  <si>
    <t>1.23.5.1</t>
  </si>
  <si>
    <t>2124</t>
  </si>
  <si>
    <t>1.23.5.1.1</t>
  </si>
  <si>
    <t>2125</t>
  </si>
  <si>
    <t>1.23.5.1.2</t>
  </si>
  <si>
    <t>2126</t>
  </si>
  <si>
    <t>1.23.5.2</t>
  </si>
  <si>
    <t>2128</t>
  </si>
  <si>
    <t>1.23.5.2.1</t>
  </si>
  <si>
    <t>2129</t>
  </si>
  <si>
    <t>1.23.5.3</t>
  </si>
  <si>
    <t>2131</t>
  </si>
  <si>
    <t>1.23.5.3.1</t>
  </si>
  <si>
    <t>2132</t>
  </si>
  <si>
    <t>1.23.5.4</t>
  </si>
  <si>
    <t>2134</t>
  </si>
  <si>
    <t>1.23.5.4.1</t>
  </si>
  <si>
    <t>2135</t>
  </si>
  <si>
    <t>1.23.5.5</t>
  </si>
  <si>
    <t>2137</t>
  </si>
  <si>
    <t>1.23.5.5.1</t>
  </si>
  <si>
    <t>2138</t>
  </si>
  <si>
    <t>1.23.6</t>
  </si>
  <si>
    <t>3G 3cc 2nd Carrier: Existing 3HScc SW Features 18</t>
  </si>
  <si>
    <t>2140</t>
  </si>
  <si>
    <t>1.23.6.1</t>
  </si>
  <si>
    <t>2141</t>
  </si>
  <si>
    <t>1.23.6.1.1</t>
  </si>
  <si>
    <t>2142</t>
  </si>
  <si>
    <t>1.23.6.1.2</t>
  </si>
  <si>
    <t>2143</t>
  </si>
  <si>
    <t>1.23.6.2</t>
  </si>
  <si>
    <t>2145</t>
  </si>
  <si>
    <t>1.23.6.2.1</t>
  </si>
  <si>
    <t>2146</t>
  </si>
  <si>
    <t>1.23.6.3</t>
  </si>
  <si>
    <t>2148</t>
  </si>
  <si>
    <t>1.23.6.3.1</t>
  </si>
  <si>
    <t>2149</t>
  </si>
  <si>
    <t>1.23.6.4</t>
  </si>
  <si>
    <t>2151</t>
  </si>
  <si>
    <t>1.23.6.4.1</t>
  </si>
  <si>
    <t>2152</t>
  </si>
  <si>
    <t>1.24</t>
  </si>
  <si>
    <t>Site 5087</t>
  </si>
  <si>
    <t>2154</t>
  </si>
  <si>
    <t>1.24.1</t>
  </si>
  <si>
    <t>Additional 2 Sector For LTE 2</t>
  </si>
  <si>
    <t>2155</t>
  </si>
  <si>
    <t>1.24.1.1</t>
  </si>
  <si>
    <t>2156</t>
  </si>
  <si>
    <t>1.24.1.1.1</t>
  </si>
  <si>
    <t>2157</t>
  </si>
  <si>
    <t>1.24.1.2</t>
  </si>
  <si>
    <t>2159</t>
  </si>
  <si>
    <t>1.24.1.2.1</t>
  </si>
  <si>
    <t>2160</t>
  </si>
  <si>
    <t>1.24.1.3</t>
  </si>
  <si>
    <t>2162</t>
  </si>
  <si>
    <t>1.24.1.3.1</t>
  </si>
  <si>
    <t>2163</t>
  </si>
  <si>
    <t>1.24.1.4</t>
  </si>
  <si>
    <t>2165</t>
  </si>
  <si>
    <t>1.24.1.4.1</t>
  </si>
  <si>
    <t>2166</t>
  </si>
  <si>
    <t>1.24.1.5</t>
  </si>
  <si>
    <t>2168</t>
  </si>
  <si>
    <t>1.24.1.5.1</t>
  </si>
  <si>
    <t>2169</t>
  </si>
  <si>
    <t>1.24.1.6</t>
  </si>
  <si>
    <t>2171</t>
  </si>
  <si>
    <t>1.24.1.6.1</t>
  </si>
  <si>
    <t>2172</t>
  </si>
  <si>
    <t>1.24.1.7</t>
  </si>
  <si>
    <t>2174</t>
  </si>
  <si>
    <t>1.24.1.7.1</t>
  </si>
  <si>
    <t>2175</t>
  </si>
  <si>
    <t>1.24.1.8</t>
  </si>
  <si>
    <t>2177</t>
  </si>
  <si>
    <t>1.24.1.8.1</t>
  </si>
  <si>
    <t>2178</t>
  </si>
  <si>
    <t>1.24.1.9</t>
  </si>
  <si>
    <t>2180</t>
  </si>
  <si>
    <t>1.24.1.9.1</t>
  </si>
  <si>
    <t>2181</t>
  </si>
  <si>
    <t>1.24.1.10</t>
  </si>
  <si>
    <t>2183</t>
  </si>
  <si>
    <t>1.24.1.10.1</t>
  </si>
  <si>
    <t>2184</t>
  </si>
  <si>
    <t>1.24.1.11</t>
  </si>
  <si>
    <t>2186</t>
  </si>
  <si>
    <t>1.24.1.11.1</t>
  </si>
  <si>
    <t>2187</t>
  </si>
  <si>
    <t>1.24.1.12</t>
  </si>
  <si>
    <t>2189</t>
  </si>
  <si>
    <t>1.24.1.12.1</t>
  </si>
  <si>
    <t>2190</t>
  </si>
  <si>
    <t>1.24.1.13</t>
  </si>
  <si>
    <t>2192</t>
  </si>
  <si>
    <t>1.24.1.13.1</t>
  </si>
  <si>
    <t>2193</t>
  </si>
  <si>
    <t>1.24.1.14</t>
  </si>
  <si>
    <t>2195</t>
  </si>
  <si>
    <t>1.24.1.14.1</t>
  </si>
  <si>
    <t>2196</t>
  </si>
  <si>
    <t>1.24.1.15</t>
  </si>
  <si>
    <t>2198</t>
  </si>
  <si>
    <t>1.24.1.15.1</t>
  </si>
  <si>
    <t>2199</t>
  </si>
  <si>
    <t>1.24.1.16</t>
  </si>
  <si>
    <t>2201</t>
  </si>
  <si>
    <t>1.24.1.16.1</t>
  </si>
  <si>
    <t>2202</t>
  </si>
  <si>
    <t>1.24.1.17</t>
  </si>
  <si>
    <t>2204</t>
  </si>
  <si>
    <t>1.24.1.17.1</t>
  </si>
  <si>
    <t>2205</t>
  </si>
  <si>
    <t>1.24.2</t>
  </si>
  <si>
    <t>Additional 2 Sector 1 1</t>
  </si>
  <si>
    <t>2207</t>
  </si>
  <si>
    <t>1.24.2.1</t>
  </si>
  <si>
    <t>RBS 3106_Additional 2 Sector of 3cc@30Wpcc</t>
  </si>
  <si>
    <t>2208</t>
  </si>
  <si>
    <t>1.24.2.1.1</t>
  </si>
  <si>
    <t>PRODUCT PACKAGE/WCDMA RBS 3206/3106 (FAP130731)</t>
  </si>
  <si>
    <t>2209</t>
  </si>
  <si>
    <t>1.24.2.1.1.1</t>
  </si>
  <si>
    <t>1 Dual carrier/sector exp. 60W (RU22, FU12 kit) 2100</t>
  </si>
  <si>
    <t>2211</t>
  </si>
  <si>
    <t>1.24.2.1.1.2</t>
  </si>
  <si>
    <t>PSU AC</t>
  </si>
  <si>
    <t>2212</t>
  </si>
  <si>
    <t>1.24.3</t>
  </si>
  <si>
    <t>3G 3cc 2nd Carrier: EUL 18 1</t>
  </si>
  <si>
    <t>2214</t>
  </si>
  <si>
    <t>1.24.3.1</t>
  </si>
  <si>
    <t>2215</t>
  </si>
  <si>
    <t>1.24.3.1.1</t>
  </si>
  <si>
    <t>2216</t>
  </si>
  <si>
    <t>1.24.4</t>
  </si>
  <si>
    <t>3G 3cc 2nd Carrier: For HSDPA IFLS 18 1</t>
  </si>
  <si>
    <t>2218</t>
  </si>
  <si>
    <t>1.24.4.1</t>
  </si>
  <si>
    <t>2219</t>
  </si>
  <si>
    <t>1.24.4.1.1</t>
  </si>
  <si>
    <t>2220</t>
  </si>
  <si>
    <t>1.24.5</t>
  </si>
  <si>
    <t>3G 3cc 3rd Carrier: HS on 3rd Carrier 3 1</t>
  </si>
  <si>
    <t>2222</t>
  </si>
  <si>
    <t>1.24.5.1</t>
  </si>
  <si>
    <t>2223</t>
  </si>
  <si>
    <t>1.24.5.1.1</t>
  </si>
  <si>
    <t>2224</t>
  </si>
  <si>
    <t>1.24.5.1.2</t>
  </si>
  <si>
    <t>2225</t>
  </si>
  <si>
    <t>1.24.5.2</t>
  </si>
  <si>
    <t>2227</t>
  </si>
  <si>
    <t>1.24.5.2.1</t>
  </si>
  <si>
    <t>2228</t>
  </si>
  <si>
    <t>1.24.5.3</t>
  </si>
  <si>
    <t>2230</t>
  </si>
  <si>
    <t>1.24.5.3.1</t>
  </si>
  <si>
    <t>2231</t>
  </si>
  <si>
    <t>1.24.5.4</t>
  </si>
  <si>
    <t>2233</t>
  </si>
  <si>
    <t>1.24.5.4.1</t>
  </si>
  <si>
    <t>2234</t>
  </si>
  <si>
    <t>1.24.5.5</t>
  </si>
  <si>
    <t>2236</t>
  </si>
  <si>
    <t>1.24.5.5.1</t>
  </si>
  <si>
    <t>2237</t>
  </si>
  <si>
    <t>1.24.6</t>
  </si>
  <si>
    <t>3G 3cc 2nd Carrier: Existing 3HScc SW Features 18 1</t>
  </si>
  <si>
    <t>2239</t>
  </si>
  <si>
    <t>1.24.6.1</t>
  </si>
  <si>
    <t>2240</t>
  </si>
  <si>
    <t>1.24.6.1.1</t>
  </si>
  <si>
    <t>2241</t>
  </si>
  <si>
    <t>1.24.6.1.2</t>
  </si>
  <si>
    <t>2242</t>
  </si>
  <si>
    <t>1.24.6.2</t>
  </si>
  <si>
    <t>2244</t>
  </si>
  <si>
    <t>1.24.6.2.1</t>
  </si>
  <si>
    <t>2245</t>
  </si>
  <si>
    <t>1.24.6.3</t>
  </si>
  <si>
    <t>2247</t>
  </si>
  <si>
    <t>1.24.6.3.1</t>
  </si>
  <si>
    <t>2248</t>
  </si>
  <si>
    <t>1.24.6.4</t>
  </si>
  <si>
    <t>2250</t>
  </si>
  <si>
    <t>1.24.6.4.1</t>
  </si>
  <si>
    <t>2251</t>
  </si>
  <si>
    <t>1.25</t>
  </si>
  <si>
    <t>Site 5042</t>
  </si>
  <si>
    <t>2253</t>
  </si>
  <si>
    <t>1.25.1</t>
  </si>
  <si>
    <t>2254</t>
  </si>
  <si>
    <t>1.25.1.1</t>
  </si>
  <si>
    <t>2255</t>
  </si>
  <si>
    <t>1.25.1.1.1</t>
  </si>
  <si>
    <t>2256</t>
  </si>
  <si>
    <t>1.25.2</t>
  </si>
  <si>
    <t>3G Change-out RBS6601 with SSC-02 1x2 30Wpcc 1xDUW 1</t>
  </si>
  <si>
    <t>2258</t>
  </si>
  <si>
    <t>1.25.2.1</t>
  </si>
  <si>
    <t>2259</t>
  </si>
  <si>
    <t>1.25.2.1.1</t>
  </si>
  <si>
    <t>2260</t>
  </si>
  <si>
    <t>1.25.2.2</t>
  </si>
  <si>
    <t>2262</t>
  </si>
  <si>
    <t>1.25.2.2.1</t>
  </si>
  <si>
    <t>2263</t>
  </si>
  <si>
    <t>1.25.2.3</t>
  </si>
  <si>
    <t>2265</t>
  </si>
  <si>
    <t>1.25.2.3.1</t>
  </si>
  <si>
    <t>2266</t>
  </si>
  <si>
    <t>1.25.2.3.2</t>
  </si>
  <si>
    <t>2267</t>
  </si>
  <si>
    <t>1.25.2.3.3</t>
  </si>
  <si>
    <t>2268</t>
  </si>
  <si>
    <t>1.25.2.3.4</t>
  </si>
  <si>
    <t>2269</t>
  </si>
  <si>
    <t>1.25.2.3.5</t>
  </si>
  <si>
    <t>2270</t>
  </si>
  <si>
    <t>1.25.2.3.6</t>
  </si>
  <si>
    <t>2271</t>
  </si>
  <si>
    <t>1.25.2.3.7</t>
  </si>
  <si>
    <t>2272</t>
  </si>
  <si>
    <t>1.25.2.3.8</t>
  </si>
  <si>
    <t>2273</t>
  </si>
  <si>
    <t>1.25.2.3.9</t>
  </si>
  <si>
    <t>2274</t>
  </si>
  <si>
    <t>1.25.2.4</t>
  </si>
  <si>
    <t>2276</t>
  </si>
  <si>
    <t>1.25.2.4.1</t>
  </si>
  <si>
    <t>2277</t>
  </si>
  <si>
    <t>1.25.2.4.1.1</t>
  </si>
  <si>
    <t>2279</t>
  </si>
  <si>
    <t>1.25.2.4.1.2</t>
  </si>
  <si>
    <t>2280</t>
  </si>
  <si>
    <t>1.25.2.4.1.3</t>
  </si>
  <si>
    <t>2281</t>
  </si>
  <si>
    <t>1.25.2.4.1.4</t>
  </si>
  <si>
    <t>2282</t>
  </si>
  <si>
    <t>1.25.2.4.1.5</t>
  </si>
  <si>
    <t>2283</t>
  </si>
  <si>
    <t>1.25.2.4.1.6</t>
  </si>
  <si>
    <t>2284</t>
  </si>
  <si>
    <t>1.25.2.4.1.7</t>
  </si>
  <si>
    <t>2285</t>
  </si>
  <si>
    <t>1.25.2.4.1.8</t>
  </si>
  <si>
    <t>2286</t>
  </si>
  <si>
    <t>1.25.2.4.1.9</t>
  </si>
  <si>
    <t>2287</t>
  </si>
  <si>
    <t>1.25.2.4.1.10</t>
  </si>
  <si>
    <t>2288</t>
  </si>
  <si>
    <t>1.25.3</t>
  </si>
  <si>
    <t>3G RBS6601 1x2 to 1x3 20Wpcc Additional DUW30(Addi 1</t>
  </si>
  <si>
    <t>2290</t>
  </si>
  <si>
    <t>1.25.3.1</t>
  </si>
  <si>
    <t>2291</t>
  </si>
  <si>
    <t>1.25.3.1.1</t>
  </si>
  <si>
    <t>2292</t>
  </si>
  <si>
    <t>1.25.3.2</t>
  </si>
  <si>
    <t>2294</t>
  </si>
  <si>
    <t>1.25.3.2.1</t>
  </si>
  <si>
    <t>2295</t>
  </si>
  <si>
    <t>1.25.3.2.2</t>
  </si>
  <si>
    <t>2296</t>
  </si>
  <si>
    <t>1.25.3.2.3</t>
  </si>
  <si>
    <t>2297</t>
  </si>
  <si>
    <t>1.25.3.2.4</t>
  </si>
  <si>
    <t>2298</t>
  </si>
  <si>
    <t>1.25.3.2.5</t>
  </si>
  <si>
    <t>2299</t>
  </si>
  <si>
    <t>1.25.3.2.6</t>
  </si>
  <si>
    <t>2300</t>
  </si>
  <si>
    <t>1.25.3.2.7</t>
  </si>
  <si>
    <t>2301</t>
  </si>
  <si>
    <t>1.25.3.2.8</t>
  </si>
  <si>
    <t>2302</t>
  </si>
  <si>
    <t>1.25.4</t>
  </si>
  <si>
    <t>3G 3cc 1st Carrier: For HSDPA IFLS 4</t>
  </si>
  <si>
    <t>2304</t>
  </si>
  <si>
    <t>1.25.4.1</t>
  </si>
  <si>
    <t>2305</t>
  </si>
  <si>
    <t>1.25.4.1.1</t>
  </si>
  <si>
    <t>2306</t>
  </si>
  <si>
    <t>1.25.5</t>
  </si>
  <si>
    <t>3G 3cc 3rd Carrier: EUL 3</t>
  </si>
  <si>
    <t>2308</t>
  </si>
  <si>
    <t>1.25.5.1</t>
  </si>
  <si>
    <t>2309</t>
  </si>
  <si>
    <t>1.25.5.1.1</t>
  </si>
  <si>
    <t>2310</t>
  </si>
  <si>
    <t>1.26</t>
  </si>
  <si>
    <t>Site 5143</t>
  </si>
  <si>
    <t>2312</t>
  </si>
  <si>
    <t>1.26.1</t>
  </si>
  <si>
    <t>2G RBS6201 1xRUS 1xDUG20 Co-site 3G 1</t>
  </si>
  <si>
    <t>2313</t>
  </si>
  <si>
    <t>1.26.1.1</t>
  </si>
  <si>
    <t>2314</t>
  </si>
  <si>
    <t>1.26.1.1.1</t>
  </si>
  <si>
    <t>2315</t>
  </si>
  <si>
    <t>1.26.1.1.1.1</t>
  </si>
  <si>
    <t>2317</t>
  </si>
  <si>
    <t>1.26.1.1.1.2</t>
  </si>
  <si>
    <t>2318</t>
  </si>
  <si>
    <t>1.26.1.1.1.3</t>
  </si>
  <si>
    <t>2319</t>
  </si>
  <si>
    <t>1.26.1.2</t>
  </si>
  <si>
    <t>2321</t>
  </si>
  <si>
    <t>1.26.1.2.1</t>
  </si>
  <si>
    <t>2322</t>
  </si>
  <si>
    <t>1.26.1.2.2</t>
  </si>
  <si>
    <t>2323</t>
  </si>
  <si>
    <t>1.26.1.2.3</t>
  </si>
  <si>
    <t>2324</t>
  </si>
  <si>
    <t>1.26.1.2.4</t>
  </si>
  <si>
    <t>2325</t>
  </si>
  <si>
    <t>1.26.1.2.5</t>
  </si>
  <si>
    <t>2326</t>
  </si>
  <si>
    <t>1.26.1.2.6</t>
  </si>
  <si>
    <t>2327</t>
  </si>
  <si>
    <t>1.26.1.2.7</t>
  </si>
  <si>
    <t>2328</t>
  </si>
  <si>
    <t>1.26.1.2.8</t>
  </si>
  <si>
    <t>2329</t>
  </si>
  <si>
    <t>1.26.1.2.9</t>
  </si>
  <si>
    <t>2330</t>
  </si>
  <si>
    <t>1.26.1.2.10</t>
  </si>
  <si>
    <t>2331</t>
  </si>
  <si>
    <t>1.26.1.2.11</t>
  </si>
  <si>
    <t>2332</t>
  </si>
  <si>
    <t>1.26.1.3</t>
  </si>
  <si>
    <t>2334</t>
  </si>
  <si>
    <t>1.26.1.3.1</t>
  </si>
  <si>
    <t>2335</t>
  </si>
  <si>
    <t>1.26.1.3.1.1</t>
  </si>
  <si>
    <t>2337</t>
  </si>
  <si>
    <t>1.26.2</t>
  </si>
  <si>
    <t>2G TRX &amp; Power HWAC for Co-site 3G 1</t>
  </si>
  <si>
    <t>2339</t>
  </si>
  <si>
    <t>1.26.2.1</t>
  </si>
  <si>
    <t>2340</t>
  </si>
  <si>
    <t>1.26.2.1.1</t>
  </si>
  <si>
    <t>2341</t>
  </si>
  <si>
    <t>1.26.2.2</t>
  </si>
  <si>
    <t>2343</t>
  </si>
  <si>
    <t>1.26.2.2.1</t>
  </si>
  <si>
    <t>2344</t>
  </si>
  <si>
    <t>1.26.2.3</t>
  </si>
  <si>
    <t>Additional Output Power HWAC 60W-&gt;80W (per RU)</t>
  </si>
  <si>
    <t>2346</t>
  </si>
  <si>
    <t>1.26.2.3.1</t>
  </si>
  <si>
    <t>Output Power HWAC 60W-&gt;80W (per RU)</t>
  </si>
  <si>
    <t>2347</t>
  </si>
  <si>
    <t>1.26.2.4</t>
  </si>
  <si>
    <t>2349</t>
  </si>
  <si>
    <t>1.26.2.4.1</t>
  </si>
  <si>
    <t>2350</t>
  </si>
  <si>
    <t>1.26.3</t>
  </si>
  <si>
    <t>Batteries 3 1</t>
  </si>
  <si>
    <t>2352</t>
  </si>
  <si>
    <t>1.26.3.1</t>
  </si>
  <si>
    <t>2353</t>
  </si>
  <si>
    <t>1.26.3.1.1</t>
  </si>
  <si>
    <t>2354</t>
  </si>
  <si>
    <t>1.26.3.2</t>
  </si>
  <si>
    <t>2356</t>
  </si>
  <si>
    <t>1.26.3.2.1</t>
  </si>
  <si>
    <t>2357</t>
  </si>
  <si>
    <t>1.26.3.2.2</t>
  </si>
  <si>
    <t>2358</t>
  </si>
  <si>
    <t>1.26.3.2.3</t>
  </si>
  <si>
    <t>2359</t>
  </si>
  <si>
    <t>1.26.3.2.4</t>
  </si>
  <si>
    <t>2360</t>
  </si>
  <si>
    <t>1.26.4</t>
  </si>
  <si>
    <t>3G Change-out RBS6201 1x2 30Wpcc 1xDUW20(15HS code 1</t>
  </si>
  <si>
    <t>2362</t>
  </si>
  <si>
    <t>1.26.4.1</t>
  </si>
  <si>
    <t>2363</t>
  </si>
  <si>
    <t>1.26.4.1.1</t>
  </si>
  <si>
    <t>2364</t>
  </si>
  <si>
    <t>1.26.4.2</t>
  </si>
  <si>
    <t>2366</t>
  </si>
  <si>
    <t>1.26.4.2.1</t>
  </si>
  <si>
    <t>2367</t>
  </si>
  <si>
    <t>1.26.4.3</t>
  </si>
  <si>
    <t>2369</t>
  </si>
  <si>
    <t>1.26.4.3.1</t>
  </si>
  <si>
    <t>2370</t>
  </si>
  <si>
    <t>1.26.4.3.2</t>
  </si>
  <si>
    <t>2371</t>
  </si>
  <si>
    <t>1.26.4.3.3</t>
  </si>
  <si>
    <t>2372</t>
  </si>
  <si>
    <t>1.26.4.3.4</t>
  </si>
  <si>
    <t>2373</t>
  </si>
  <si>
    <t>1.26.4.3.5</t>
  </si>
  <si>
    <t>2374</t>
  </si>
  <si>
    <t>1.26.4.3.6</t>
  </si>
  <si>
    <t>2375</t>
  </si>
  <si>
    <t>1.26.4.3.7</t>
  </si>
  <si>
    <t>2376</t>
  </si>
  <si>
    <t>1.26.4.3.8</t>
  </si>
  <si>
    <t>2377</t>
  </si>
  <si>
    <t>1.26.4.3.9</t>
  </si>
  <si>
    <t>2378</t>
  </si>
  <si>
    <t>1.26.4.3.10</t>
  </si>
  <si>
    <t>2379</t>
  </si>
  <si>
    <t>1.26.4.3.11</t>
  </si>
  <si>
    <t>2380</t>
  </si>
  <si>
    <t>1.26.4.3.12</t>
  </si>
  <si>
    <t>2381</t>
  </si>
  <si>
    <t>1.26.4.3.13</t>
  </si>
  <si>
    <t>2382</t>
  </si>
  <si>
    <t>1.26.4.3.14</t>
  </si>
  <si>
    <t>2383</t>
  </si>
  <si>
    <t>1.26.4.3.15</t>
  </si>
  <si>
    <t>2384</t>
  </si>
  <si>
    <t>1.26.4.3.16</t>
  </si>
  <si>
    <t>2385</t>
  </si>
  <si>
    <t>1.26.4.3.17</t>
  </si>
  <si>
    <t>2386</t>
  </si>
  <si>
    <t>1.26.5</t>
  </si>
  <si>
    <t>3G RBS6201 1x2 to 1x3 20Wpcc Additional DUW30(Addi 1</t>
  </si>
  <si>
    <t>2388</t>
  </si>
  <si>
    <t>1.26.5.1</t>
  </si>
  <si>
    <t>2389</t>
  </si>
  <si>
    <t>1.26.5.1.1</t>
  </si>
  <si>
    <t>2390</t>
  </si>
  <si>
    <t>1.26.5.2</t>
  </si>
  <si>
    <t>2392</t>
  </si>
  <si>
    <t>1.26.5.2.1</t>
  </si>
  <si>
    <t>2393</t>
  </si>
  <si>
    <t>1.26.5.2.2</t>
  </si>
  <si>
    <t>2394</t>
  </si>
  <si>
    <t>1.26.5.2.3</t>
  </si>
  <si>
    <t>2395</t>
  </si>
  <si>
    <t>1.26.6</t>
  </si>
  <si>
    <t>3G 3cc 1st Carrier: For HSDPA IFLS 4 2</t>
  </si>
  <si>
    <t>2397</t>
  </si>
  <si>
    <t>1.26.6.1</t>
  </si>
  <si>
    <t>2398</t>
  </si>
  <si>
    <t>1.26.6.1.1</t>
  </si>
  <si>
    <t>2399</t>
  </si>
  <si>
    <t>1.26.7</t>
  </si>
  <si>
    <t>3G 3cc 3rd Carrier: EUL 3 2</t>
  </si>
  <si>
    <t>2401</t>
  </si>
  <si>
    <t>1.26.7.1</t>
  </si>
  <si>
    <t>2402</t>
  </si>
  <si>
    <t>1.26.7.1.1</t>
  </si>
  <si>
    <t>2403</t>
  </si>
  <si>
    <t>=SUM(K7)</t>
  </si>
  <si>
    <t>=SUM(K9)</t>
  </si>
  <si>
    <t>=SUM(K11,K12,K13,K14,K15,K16,K17,K18)</t>
  </si>
  <si>
    <t>=SUM(K21,K22,K23,K24,K25,K26,K27,K28,K29,K30)</t>
  </si>
  <si>
    <t>=SUM(K33)</t>
  </si>
  <si>
    <t>=SUM(K35,K36,K37,K38,K39,K40,K41,K42)</t>
  </si>
  <si>
    <t>=SUM(K45)</t>
  </si>
  <si>
    <t>=SUM(K48)</t>
  </si>
  <si>
    <t>=SUM(K51)</t>
  </si>
  <si>
    <t>=SUM(K54)</t>
  </si>
  <si>
    <t>=SUM(K57,K58)</t>
  </si>
  <si>
    <t>=SUM(K60)</t>
  </si>
  <si>
    <t>=SUM(K62)</t>
  </si>
  <si>
    <t>=SUM(K64)</t>
  </si>
  <si>
    <t>=SUM(K640)</t>
  </si>
  <si>
    <t>=SUM(K662,K663,K664,K665,K666,K667,K668,K669,K670,K671,K672,K673,K674,K675,K676,K677)</t>
  </si>
  <si>
    <t>=SUM(K679)</t>
  </si>
  <si>
    <t>=SUM(K681)</t>
  </si>
  <si>
    <t>=SUM(K642)</t>
  </si>
  <si>
    <t>=SUM(K644)</t>
  </si>
  <si>
    <t>=SUM(K646)</t>
  </si>
  <si>
    <t>=SUM(K648)</t>
  </si>
  <si>
    <t>=SUM(K650)</t>
  </si>
  <si>
    <t>=SUM(K652)</t>
  </si>
  <si>
    <t>=SUM(K654)</t>
  </si>
  <si>
    <t>=SUM(K656)</t>
  </si>
  <si>
    <t>=SUM(K685,K686,K687,K688,K689)</t>
  </si>
  <si>
    <t>=SUM(K692,K693)</t>
  </si>
  <si>
    <t>=SUM(K695)</t>
  </si>
  <si>
    <t>=SUM(K697)</t>
  </si>
  <si>
    <t>=SUM(K699)</t>
  </si>
  <si>
    <t>=SUM(K702)</t>
  </si>
  <si>
    <t>=SUM(K705)</t>
  </si>
  <si>
    <t>=SUM(K709)</t>
  </si>
  <si>
    <t>=SUM(K728)</t>
  </si>
  <si>
    <t>=SUM(K730,K731,K732,K733,K734,K735)</t>
  </si>
  <si>
    <t>=SUM(K739)</t>
  </si>
  <si>
    <t>=SUM(K711)</t>
  </si>
  <si>
    <t>=SUM(K717)</t>
  </si>
  <si>
    <t>=SUM(K719)</t>
  </si>
  <si>
    <t>=SUM(K721,K722)</t>
  </si>
  <si>
    <t>=SUM(K724)</t>
  </si>
  <si>
    <t>=SUM(K726)</t>
  </si>
  <si>
    <t>=SUM(K743,K744,K745,K746)</t>
  </si>
  <si>
    <t>=SUM(K749,K750)</t>
  </si>
  <si>
    <t>=SUM(K752)</t>
  </si>
  <si>
    <t>=SUM(K754)</t>
  </si>
  <si>
    <t>=SUM(K756)</t>
  </si>
  <si>
    <t>=SUM(K762)</t>
  </si>
  <si>
    <t>=SUM(K766)</t>
  </si>
  <si>
    <t>=SUM(K785)</t>
  </si>
  <si>
    <t>=SUM(K787,K788,K789,K790,K791,K792)</t>
  </si>
  <si>
    <t>=SUM(K794)</t>
  </si>
  <si>
    <t>=SUM(K796)</t>
  </si>
  <si>
    <t>=SUM(K768)</t>
  </si>
  <si>
    <t>=SUM(K770)</t>
  </si>
  <si>
    <t>=SUM(K772)</t>
  </si>
  <si>
    <t>=SUM(K774)</t>
  </si>
  <si>
    <t>=SUM(K776)</t>
  </si>
  <si>
    <t>=SUM(K778,K779)</t>
  </si>
  <si>
    <t>=SUM(K781)</t>
  </si>
  <si>
    <t>=SUM(K783)</t>
  </si>
  <si>
    <t>=SUM(K800,K801,K802,K803)</t>
  </si>
  <si>
    <t>=SUM(K806,K807)</t>
  </si>
  <si>
    <t>=SUM(K809)</t>
  </si>
  <si>
    <t>=SUM(K811)</t>
  </si>
  <si>
    <t>=SUM(K813)</t>
  </si>
  <si>
    <t>=SUM(K816)</t>
  </si>
  <si>
    <t>=SUM(K819)</t>
  </si>
  <si>
    <t>=SUM(K842)</t>
  </si>
  <si>
    <t>=SUM(K844,K845,K846,K847,K848,K849)</t>
  </si>
  <si>
    <t>=SUM(K851)</t>
  </si>
  <si>
    <t>=SUM(K853)</t>
  </si>
  <si>
    <t>=SUM(K825)</t>
  </si>
  <si>
    <t>=SUM(K827)</t>
  </si>
  <si>
    <t>=SUM(K829)</t>
  </si>
  <si>
    <t>=SUM(K831)</t>
  </si>
  <si>
    <t>=SUM(K833)</t>
  </si>
  <si>
    <t>=SUM(K835,K836)</t>
  </si>
  <si>
    <t>=SUM(K840)</t>
  </si>
  <si>
    <t>=SUM(K857,K858,K859,K860)</t>
  </si>
  <si>
    <t>=SUM(K863,K864)</t>
  </si>
  <si>
    <t>=SUM(K868)</t>
  </si>
  <si>
    <t>=SUM(K870)</t>
  </si>
  <si>
    <t>=SUM(K872)</t>
  </si>
  <si>
    <t>=SUM(K876)</t>
  </si>
  <si>
    <t>=SUM(K895)</t>
  </si>
  <si>
    <t>=SUM(K897,K898,K899,K900,K901,K902)</t>
  </si>
  <si>
    <t>=SUM(K904)</t>
  </si>
  <si>
    <t>=SUM(K906)</t>
  </si>
  <si>
    <t>=SUM(K878)</t>
  </si>
  <si>
    <t>=SUM(K880)</t>
  </si>
  <si>
    <t>=SUM(K882)</t>
  </si>
  <si>
    <t>=SUM(K884)</t>
  </si>
  <si>
    <t>=SUM(K886)</t>
  </si>
  <si>
    <t>=SUM(K888,K889)</t>
  </si>
  <si>
    <t>=SUM(K891)</t>
  </si>
  <si>
    <t>=SUM(K893)</t>
  </si>
  <si>
    <t>=SUM(K910,K911,K912,K913,K914)</t>
  </si>
  <si>
    <t>=SUM(K917,K918)</t>
  </si>
  <si>
    <t>=SUM(K920)</t>
  </si>
  <si>
    <t>=SUM(K922)</t>
  </si>
  <si>
    <t>=SUM(K924)</t>
  </si>
  <si>
    <t>=SUM(K926)</t>
  </si>
  <si>
    <t>=SUM(K930)</t>
  </si>
  <si>
    <t>=SUM(K948)</t>
  </si>
  <si>
    <t>=SUM(K950)</t>
  </si>
  <si>
    <t>=SUM(K953,K954)</t>
  </si>
  <si>
    <t>=SUM(K932)</t>
  </si>
  <si>
    <t>=SUM(K934)</t>
  </si>
  <si>
    <t>=SUM(K940)</t>
  </si>
  <si>
    <t>=SUM(K942)</t>
  </si>
  <si>
    <t>=SUM(K944)</t>
  </si>
  <si>
    <t>=SUM(K946)</t>
  </si>
  <si>
    <t>=SUM(K958,K959,K960,K961)</t>
  </si>
  <si>
    <t>=SUM(K963,K964,K965)</t>
  </si>
  <si>
    <t>=SUM(K968,K969)</t>
  </si>
  <si>
    <t>=SUM(K975)</t>
  </si>
  <si>
    <t>=SUM(K978)</t>
  </si>
  <si>
    <t>=SUM(K981)</t>
  </si>
  <si>
    <t>=SUM(K985)</t>
  </si>
  <si>
    <t>=SUM(K1003)</t>
  </si>
  <si>
    <t>=SUM(K1005)</t>
  </si>
  <si>
    <t>=SUM(K1007)</t>
  </si>
  <si>
    <t>=SUM(K1009)</t>
  </si>
  <si>
    <t>=SUM(K1011)</t>
  </si>
  <si>
    <t>=SUM(K1013)</t>
  </si>
  <si>
    <t>=SUM(K1015)</t>
  </si>
  <si>
    <t>=SUM(K1017)</t>
  </si>
  <si>
    <t>=SUM(K1020,K1021)</t>
  </si>
  <si>
    <t>=SUM(K987)</t>
  </si>
  <si>
    <t>=SUM(K989)</t>
  </si>
  <si>
    <t>=SUM(K991)</t>
  </si>
  <si>
    <t>=SUM(K993)</t>
  </si>
  <si>
    <t>=SUM(K995)</t>
  </si>
  <si>
    <t>=SUM(K997)</t>
  </si>
  <si>
    <t>=SUM(K999)</t>
  </si>
  <si>
    <t>=SUM(K1001)</t>
  </si>
  <si>
    <t>=SUM(K1025,K1026,K1027,K1028)</t>
  </si>
  <si>
    <t>=SUM(K1030,K1031,K1032)</t>
  </si>
  <si>
    <t>=SUM(K1035,K1036)</t>
  </si>
  <si>
    <t>=SUM(K1038)</t>
  </si>
  <si>
    <t>=SUM(K1040)</t>
  </si>
  <si>
    <t>=SUM(K1042)</t>
  </si>
  <si>
    <t>=SUM(K1044)</t>
  </si>
  <si>
    <t>=SUM(K1048)</t>
  </si>
  <si>
    <t>=SUM(K1069)</t>
  </si>
  <si>
    <t>=SUM(K1071)</t>
  </si>
  <si>
    <t>=SUM(K1073)</t>
  </si>
  <si>
    <t>=SUM(K1075)</t>
  </si>
  <si>
    <t>=SUM(K1077)</t>
  </si>
  <si>
    <t>=SUM(K1079)</t>
  </si>
  <si>
    <t>=SUM(K1081,K1082,K1083,K1084,K1085,K1086,K1088,K1089)</t>
  </si>
  <si>
    <t>=SUM(K1087)</t>
  </si>
  <si>
    <t>=SUM(K1091)</t>
  </si>
  <si>
    <t>=SUM(K1050)</t>
  </si>
  <si>
    <t>=SUM(K1052)</t>
  </si>
  <si>
    <t>=SUM(K1054)</t>
  </si>
  <si>
    <t>=SUM(K1056)</t>
  </si>
  <si>
    <t>=SUM(K1058)</t>
  </si>
  <si>
    <t>=SUM(K1060,K1061,K1062,K1063)</t>
  </si>
  <si>
    <t>=SUM(K1065)</t>
  </si>
  <si>
    <t>=SUM(K1067)</t>
  </si>
  <si>
    <t>=SUM(K1095,K1096,K1097,K1098)</t>
  </si>
  <si>
    <t>=SUM(K1100,K1101,K1102)</t>
  </si>
  <si>
    <t>=SUM(K1105,K1106)</t>
  </si>
  <si>
    <t>=SUM(K1108)</t>
  </si>
  <si>
    <t>=SUM(K1110)</t>
  </si>
  <si>
    <t>=SUM(K1112)</t>
  </si>
  <si>
    <t>=SUM(K1115)</t>
  </si>
  <si>
    <t>=SUM(K1118)</t>
  </si>
  <si>
    <t>=SUM(K1122)</t>
  </si>
  <si>
    <t>=SUM(K1143)</t>
  </si>
  <si>
    <t>=SUM(K1145)</t>
  </si>
  <si>
    <t>=SUM(K1147)</t>
  </si>
  <si>
    <t>=SUM(K1149)</t>
  </si>
  <si>
    <t>=SUM(K1151)</t>
  </si>
  <si>
    <t>=SUM(K1153,K1154,K1155,K1156,K1157,K1158,K1160,K1161)</t>
  </si>
  <si>
    <t>=SUM(K1159)</t>
  </si>
  <si>
    <t>=SUM(K1163)</t>
  </si>
  <si>
    <t>=SUM(K1124)</t>
  </si>
  <si>
    <t>=SUM(K1126)</t>
  </si>
  <si>
    <t>=SUM(K1128)</t>
  </si>
  <si>
    <t>=SUM(K1130)</t>
  </si>
  <si>
    <t>=SUM(K1132)</t>
  </si>
  <si>
    <t>=SUM(K1134,K1135,K1136,K1137)</t>
  </si>
  <si>
    <t>=SUM(K1139)</t>
  </si>
  <si>
    <t>=SUM(K1141)</t>
  </si>
  <si>
    <t>=SUM(K1167,K1168,K1169,K1170)</t>
  </si>
  <si>
    <t>=SUM(K1172,K1173,K1174)</t>
  </si>
  <si>
    <t>=SUM(K1177,K1178)</t>
  </si>
  <si>
    <t>=SUM(K1180)</t>
  </si>
  <si>
    <t>=SUM(K1182)</t>
  </si>
  <si>
    <t>=SUM(K1184)</t>
  </si>
  <si>
    <t>=SUM(K1187)</t>
  </si>
  <si>
    <t>=SUM(K1190)</t>
  </si>
  <si>
    <t>=SUM(K1194)</t>
  </si>
  <si>
    <t>=SUM(K1215)</t>
  </si>
  <si>
    <t>=SUM(K1217)</t>
  </si>
  <si>
    <t>=SUM(K1219)</t>
  </si>
  <si>
    <t>=SUM(K1221)</t>
  </si>
  <si>
    <t>=SUM(K1223)</t>
  </si>
  <si>
    <t>=SUM(K1225,K1226,K1227,K1228,K1229,K1230,K1232,K1233)</t>
  </si>
  <si>
    <t>=SUM(K1231)</t>
  </si>
  <si>
    <t>=SUM(K1235)</t>
  </si>
  <si>
    <t>=SUM(K1196)</t>
  </si>
  <si>
    <t>=SUM(K1198)</t>
  </si>
  <si>
    <t>=SUM(K1200)</t>
  </si>
  <si>
    <t>=SUM(K1202)</t>
  </si>
  <si>
    <t>=SUM(K1204)</t>
  </si>
  <si>
    <t>=SUM(K1206,K1207,K1208,K1209)</t>
  </si>
  <si>
    <t>=SUM(K1211)</t>
  </si>
  <si>
    <t>=SUM(K1213)</t>
  </si>
  <si>
    <t>=SUM(K1239,K1240,K1241,K1242)</t>
  </si>
  <si>
    <t>=SUM(K1244,K1245,K1246)</t>
  </si>
  <si>
    <t>=SUM(K1249,K1250)</t>
  </si>
  <si>
    <t>=SUM(K1252)</t>
  </si>
  <si>
    <t>=SUM(K1254)</t>
  </si>
  <si>
    <t>=SUM(K1256)</t>
  </si>
  <si>
    <t>=SUM(K1259)</t>
  </si>
  <si>
    <t>=SUM(K1262)</t>
  </si>
  <si>
    <t>=SUM(K68)</t>
  </si>
  <si>
    <t>=SUM(K86)</t>
  </si>
  <si>
    <t>=SUM(K89,K90)</t>
  </si>
  <si>
    <t>=SUM(K70)</t>
  </si>
  <si>
    <t>=SUM(K72)</t>
  </si>
  <si>
    <t>=SUM(K74)</t>
  </si>
  <si>
    <t>=SUM(K76)</t>
  </si>
  <si>
    <t>=SUM(K78)</t>
  </si>
  <si>
    <t>=SUM(K80)</t>
  </si>
  <si>
    <t>=SUM(K82)</t>
  </si>
  <si>
    <t>=SUM(K84)</t>
  </si>
  <si>
    <t>=SUM(K165)</t>
  </si>
  <si>
    <t>=SUM(K93)</t>
  </si>
  <si>
    <t>=SUM(K95)</t>
  </si>
  <si>
    <t>=SUM(K97,K98,K99,K100,K101,K102,K103,K104,K105)</t>
  </si>
  <si>
    <t>=SUM(K108,K109,K110,K111,K112,K113,K114,K115,K116,K117)</t>
  </si>
  <si>
    <t>=SUM(K120)</t>
  </si>
  <si>
    <t>=SUM(K123)</t>
  </si>
  <si>
    <t>=SUM(K126)</t>
  </si>
  <si>
    <t>=SUM(K128,K129,K130,K131,K132,K133,K134,K135)</t>
  </si>
  <si>
    <t>=SUM(K138)</t>
  </si>
  <si>
    <t>=SUM(K142,K143,K144,K145)</t>
  </si>
  <si>
    <t>=SUM(K147,K148,K149)</t>
  </si>
  <si>
    <t>=SUM(K152,K153)</t>
  </si>
  <si>
    <t>=SUM(K155)</t>
  </si>
  <si>
    <t>=SUM(K157)</t>
  </si>
  <si>
    <t>=SUM(K159)</t>
  </si>
  <si>
    <t>=SUM(K162)</t>
  </si>
  <si>
    <t>=SUM(K1266)</t>
  </si>
  <si>
    <t>=SUM(K1287)</t>
  </si>
  <si>
    <t>=SUM(K1289)</t>
  </si>
  <si>
    <t>=SUM(K1291)</t>
  </si>
  <si>
    <t>=SUM(K1293)</t>
  </si>
  <si>
    <t>=SUM(K1295)</t>
  </si>
  <si>
    <t>=SUM(K1297,K1298,K1299,K1300,K1301,K1302,K1304,K1305)</t>
  </si>
  <si>
    <t>=SUM(K1303)</t>
  </si>
  <si>
    <t>=SUM(K1307)</t>
  </si>
  <si>
    <t>=SUM(K1268)</t>
  </si>
  <si>
    <t>=SUM(K1270)</t>
  </si>
  <si>
    <t>=SUM(K1272)</t>
  </si>
  <si>
    <t>=SUM(K1274)</t>
  </si>
  <si>
    <t>=SUM(K1276)</t>
  </si>
  <si>
    <t>=SUM(K1278,K1279,K1280,K1281)</t>
  </si>
  <si>
    <t>=SUM(K1283)</t>
  </si>
  <si>
    <t>=SUM(K1285)</t>
  </si>
  <si>
    <t>=SUM(K1311,K1312,K1313,K1314)</t>
  </si>
  <si>
    <t>=SUM(K1316,K1317,K1318)</t>
  </si>
  <si>
    <t>=SUM(K1321,K1322)</t>
  </si>
  <si>
    <t>=SUM(K1324)</t>
  </si>
  <si>
    <t>=SUM(K1326)</t>
  </si>
  <si>
    <t>=SUM(K1328)</t>
  </si>
  <si>
    <t>=SUM(K1331)</t>
  </si>
  <si>
    <t>=SUM(K1334)</t>
  </si>
  <si>
    <t>=SUM(K1338)</t>
  </si>
  <si>
    <t>=SUM(K1340)</t>
  </si>
  <si>
    <t>=SUM(K1342)</t>
  </si>
  <si>
    <t>=SUM(K1344)</t>
  </si>
  <si>
    <t>=SUM(K1346)</t>
  </si>
  <si>
    <t>=SUM(K1348)</t>
  </si>
  <si>
    <t>=SUM(K1350)</t>
  </si>
  <si>
    <t>=SUM(K1432,K1433)</t>
  </si>
  <si>
    <t>=SUM(K1435)</t>
  </si>
  <si>
    <t>=SUM(K1437)</t>
  </si>
  <si>
    <t>=SUM(K1439)</t>
  </si>
  <si>
    <t>=SUM(K1441)</t>
  </si>
  <si>
    <t>=SUM(K1444,K1445)</t>
  </si>
  <si>
    <t>=SUM(K1447)</t>
  </si>
  <si>
    <t>=SUM(K1449)</t>
  </si>
  <si>
    <t>=SUM(K1451)</t>
  </si>
  <si>
    <t>=SUM(K1354,K1355,K1356)</t>
  </si>
  <si>
    <t>=SUM(K1358,K1359,K1360,K1361,K1362,K1363,K1364,K1365,K1366,K1367,K1368)</t>
  </si>
  <si>
    <t>=SUM(K1371)</t>
  </si>
  <si>
    <t>=SUM(K1374)</t>
  </si>
  <si>
    <t>=SUM(K1376)</t>
  </si>
  <si>
    <t>=SUM(K1379)</t>
  </si>
  <si>
    <t>=SUM(K1381,K1382,K1383,K1384)</t>
  </si>
  <si>
    <t>=SUM(K1387)</t>
  </si>
  <si>
    <t>=SUM(K1389,K1390,K1391)</t>
  </si>
  <si>
    <t>=SUM(K1394)</t>
  </si>
  <si>
    <t>=SUM(K1396)</t>
  </si>
  <si>
    <t>=SUM(K1398,K1399,K1400,K1401,K1402,K1403,K1404,K1405,K1406,K1407,K1408,K1409,K1410,K1411,K1412,K1413,K1414)</t>
  </si>
  <si>
    <t>=SUM(K1418,K1419,K1420,K1421,K1422,K1423)</t>
  </si>
  <si>
    <t>=SUM(K1426)</t>
  </si>
  <si>
    <t>=SUM(K1429)</t>
  </si>
  <si>
    <t>=SUM(K1455)</t>
  </si>
  <si>
    <t>=SUM(K1473)</t>
  </si>
  <si>
    <t>=SUM(K1475)</t>
  </si>
  <si>
    <t>=SUM(K1477,K1478,K1479,K1480,K1481,K1482,K1483,K1484,K1485,K1486,K1487,K1488,K1489,K1490,K1491,K1492)</t>
  </si>
  <si>
    <t>=SUM(K1494)</t>
  </si>
  <si>
    <t>=SUM(K1496)</t>
  </si>
  <si>
    <t>=SUM(K1457)</t>
  </si>
  <si>
    <t>=SUM(K1459)</t>
  </si>
  <si>
    <t>=SUM(K1461)</t>
  </si>
  <si>
    <t>=SUM(K1463)</t>
  </si>
  <si>
    <t>=SUM(K1465)</t>
  </si>
  <si>
    <t>=SUM(K1467)</t>
  </si>
  <si>
    <t>=SUM(K1469)</t>
  </si>
  <si>
    <t>=SUM(K1471)</t>
  </si>
  <si>
    <t>=SUM(K1499,K1500)</t>
  </si>
  <si>
    <t>=SUM(K1502)</t>
  </si>
  <si>
    <t>=SUM(K1504)</t>
  </si>
  <si>
    <t>=SUM(K1506)</t>
  </si>
  <si>
    <t>=SUM(K1508)</t>
  </si>
  <si>
    <t>=SUM(K1512,K1513,K1514,K1515)</t>
  </si>
  <si>
    <t>=SUM(K1519)</t>
  </si>
  <si>
    <t>=SUM(K1537)</t>
  </si>
  <si>
    <t>=SUM(K1539)</t>
  </si>
  <si>
    <t>=SUM(K1541,K1542,K1543,K1544,K1545,K1546,K1547,K1548,K1549,K1550,K1551,K1552,K1553,K1554,K1555,K1556)</t>
  </si>
  <si>
    <t>=SUM(K1558)</t>
  </si>
  <si>
    <t>=SUM(K1560)</t>
  </si>
  <si>
    <t>=SUM(K1521)</t>
  </si>
  <si>
    <t>=SUM(K1523)</t>
  </si>
  <si>
    <t>=SUM(K1525)</t>
  </si>
  <si>
    <t>=SUM(K1527)</t>
  </si>
  <si>
    <t>=SUM(K1529)</t>
  </si>
  <si>
    <t>=SUM(K1531)</t>
  </si>
  <si>
    <t>=SUM(K1533)</t>
  </si>
  <si>
    <t>=SUM(K1535)</t>
  </si>
  <si>
    <t>=SUM(K1564,K1565,K1566,K1567,K1568,K1569)</t>
  </si>
  <si>
    <t>=SUM(K1572)</t>
  </si>
  <si>
    <t>=SUM(K1575)</t>
  </si>
  <si>
    <t>=SUM(K1578,K1579)</t>
  </si>
  <si>
    <t>=SUM(K1581)</t>
  </si>
  <si>
    <t>=SUM(K1583)</t>
  </si>
  <si>
    <t>=SUM(K1585)</t>
  </si>
  <si>
    <t>=SUM(K1587)</t>
  </si>
  <si>
    <t>=SUM(K1590,K1591)</t>
  </si>
  <si>
    <t>=SUM(K1593)</t>
  </si>
  <si>
    <t>=SUM(K1595)</t>
  </si>
  <si>
    <t>=SUM(K1597)</t>
  </si>
  <si>
    <t>=SUM(K1601)</t>
  </si>
  <si>
    <t>=SUM(K1619)</t>
  </si>
  <si>
    <t>=SUM(K1621)</t>
  </si>
  <si>
    <t>=SUM(K1623)</t>
  </si>
  <si>
    <t>=SUM(K1625)</t>
  </si>
  <si>
    <t>=SUM(K1627)</t>
  </si>
  <si>
    <t>=SUM(K1629)</t>
  </si>
  <si>
    <t>=SUM(K1631)</t>
  </si>
  <si>
    <t>=SUM(K1633)</t>
  </si>
  <si>
    <t>=SUM(K1603)</t>
  </si>
  <si>
    <t>=SUM(K1605)</t>
  </si>
  <si>
    <t>=SUM(K1607)</t>
  </si>
  <si>
    <t>=SUM(K1609)</t>
  </si>
  <si>
    <t>=SUM(K1611)</t>
  </si>
  <si>
    <t>=SUM(K1613)</t>
  </si>
  <si>
    <t>=SUM(K1615)</t>
  </si>
  <si>
    <t>=SUM(K1617)</t>
  </si>
  <si>
    <t>=SUM(K1637,K1638)</t>
  </si>
  <si>
    <t>=SUM(K1641)</t>
  </si>
  <si>
    <t>=SUM(K1644)</t>
  </si>
  <si>
    <t>=SUM(K1647,K1648)</t>
  </si>
  <si>
    <t>=SUM(K1650)</t>
  </si>
  <si>
    <t>=SUM(K1652)</t>
  </si>
  <si>
    <t>=SUM(K1654)</t>
  </si>
  <si>
    <t>=SUM(K1656)</t>
  </si>
  <si>
    <t>=SUM(K1659,K1660)</t>
  </si>
  <si>
    <t>=SUM(K1662)</t>
  </si>
  <si>
    <t>=SUM(K1664)</t>
  </si>
  <si>
    <t>=SUM(K1666)</t>
  </si>
  <si>
    <t>=SUM(K1670)</t>
  </si>
  <si>
    <t>=SUM(K1673)</t>
  </si>
  <si>
    <t>=SUM(K1675)</t>
  </si>
  <si>
    <t>=SUM(K1677,K1678,K1679,K1680,K1681,K1682,K1683,K1684,K1685)</t>
  </si>
  <si>
    <t>=SUM(K1688,K1689,K1690,K1691,K1692,K1693,K1694,K1695,K1696,K1697)</t>
  </si>
  <si>
    <t>=SUM(K1700)</t>
  </si>
  <si>
    <t>=SUM(K1702,K1703,K1704,K1705,K1706,K1707,K1708,K1709)</t>
  </si>
  <si>
    <t>=SUM(K1712)</t>
  </si>
  <si>
    <t>=SUM(K1715)</t>
  </si>
  <si>
    <t>=SUM(K1720,K1721,K1722)</t>
  </si>
  <si>
    <t>=SUM(K1724,K1725,K1726,K1727,K1728,K1729,K1730,K1731,K1732,K1733,K1734)</t>
  </si>
  <si>
    <t>=SUM(K1737)</t>
  </si>
  <si>
    <t>=SUM(K1740)</t>
  </si>
  <si>
    <t>=SUM(K1742)</t>
  </si>
  <si>
    <t>=SUM(K1744)</t>
  </si>
  <si>
    <t>=SUM(K1746)</t>
  </si>
  <si>
    <t>=SUM(K1749)</t>
  </si>
  <si>
    <t>=SUM(K1751,K1752,K1753,K1754)</t>
  </si>
  <si>
    <t>=SUM(K1757)</t>
  </si>
  <si>
    <t>=SUM(K1759)</t>
  </si>
  <si>
    <t>=SUM(K1761,K1762,K1763,K1764,K1765,K1766,K1767,K1768,K1769,K1770,K1771,K1772,K1773,K1774,K1775,K1776,K1777)</t>
  </si>
  <si>
    <t>=SUM(K1780)</t>
  </si>
  <si>
    <t>=SUM(K1782,K1783,K1784)</t>
  </si>
  <si>
    <t>=SUM(K1787)</t>
  </si>
  <si>
    <t>=SUM(K1790)</t>
  </si>
  <si>
    <t>=SUM(K169)</t>
  </si>
  <si>
    <t>=SUM(K187)</t>
  </si>
  <si>
    <t>=SUM(K189)</t>
  </si>
  <si>
    <t>=SUM(K191)</t>
  </si>
  <si>
    <t>=SUM(K193)</t>
  </si>
  <si>
    <t>=SUM(K171)</t>
  </si>
  <si>
    <t>=SUM(K173)</t>
  </si>
  <si>
    <t>=SUM(K175)</t>
  </si>
  <si>
    <t>=SUM(K177)</t>
  </si>
  <si>
    <t>=SUM(K179)</t>
  </si>
  <si>
    <t>=SUM(K181)</t>
  </si>
  <si>
    <t>=SUM(K183)</t>
  </si>
  <si>
    <t>=SUM(K185)</t>
  </si>
  <si>
    <t>=SUM(K269)</t>
  </si>
  <si>
    <t>=SUM(K196)</t>
  </si>
  <si>
    <t>=SUM(K198)</t>
  </si>
  <si>
    <t>=SUM(K200,K201,K202,K203,K204,K205,K206,K207,K208,K209,K210,K211,K212,K213,K214,K215,K216,K217,K218,K219,K220,K221)</t>
  </si>
  <si>
    <t>=SUM(K224)</t>
  </si>
  <si>
    <t>=SUM(K226,K227,K228,K229,K230,K231)</t>
  </si>
  <si>
    <t>=SUM(K234,K235,K236)</t>
  </si>
  <si>
    <t>=SUM(K238)</t>
  </si>
  <si>
    <t>=SUM(K242,K243,K244,K245,K246,K247)</t>
  </si>
  <si>
    <t>=SUM(K250,K251)</t>
  </si>
  <si>
    <t>=SUM(K253)</t>
  </si>
  <si>
    <t>=SUM(K255)</t>
  </si>
  <si>
    <t>=SUM(K257)</t>
  </si>
  <si>
    <t>=SUM(K260)</t>
  </si>
  <si>
    <t>=SUM(K263)</t>
  </si>
  <si>
    <t>=SUM(K266)</t>
  </si>
  <si>
    <t>=SUM(K273)</t>
  </si>
  <si>
    <t>=SUM(K291)</t>
  </si>
  <si>
    <t>=SUM(K293)</t>
  </si>
  <si>
    <t>=SUM(K295)</t>
  </si>
  <si>
    <t>=SUM(K297)</t>
  </si>
  <si>
    <t>=SUM(K299)</t>
  </si>
  <si>
    <t>=SUM(K275)</t>
  </si>
  <si>
    <t>=SUM(K277)</t>
  </si>
  <si>
    <t>=SUM(K279)</t>
  </si>
  <si>
    <t>=SUM(K281)</t>
  </si>
  <si>
    <t>=SUM(K285)</t>
  </si>
  <si>
    <t>=SUM(K287)</t>
  </si>
  <si>
    <t>=SUM(K289)</t>
  </si>
  <si>
    <t>=SUM(K302)</t>
  </si>
  <si>
    <t>=SUM(K304,K305,K306,K307,K308,K309)</t>
  </si>
  <si>
    <t>=SUM(K313,K314,K315,K316)</t>
  </si>
  <si>
    <t>=SUM(K319,K320)</t>
  </si>
  <si>
    <t>=SUM(K322)</t>
  </si>
  <si>
    <t>=SUM(K324)</t>
  </si>
  <si>
    <t>=SUM(K326)</t>
  </si>
  <si>
    <t>=SUM(K329)</t>
  </si>
  <si>
    <t>=SUM(K332)</t>
  </si>
  <si>
    <t>=SUM(K335)</t>
  </si>
  <si>
    <t>=SUM(K338)</t>
  </si>
  <si>
    <t>=SUM(K342)</t>
  </si>
  <si>
    <t>=SUM(K344)</t>
  </si>
  <si>
    <t>=SUM(K346)</t>
  </si>
  <si>
    <t>=SUM(K348)</t>
  </si>
  <si>
    <t>=SUM(K352)</t>
  </si>
  <si>
    <t>=SUM(K356,K357,K358,K359)</t>
  </si>
  <si>
    <t>=SUM(K362,K363)</t>
  </si>
  <si>
    <t>=SUM(K365)</t>
  </si>
  <si>
    <t>=SUM(K367)</t>
  </si>
  <si>
    <t>=SUM(K369)</t>
  </si>
  <si>
    <t>=SUM(K372)</t>
  </si>
  <si>
    <t>=SUM(K375)</t>
  </si>
  <si>
    <t>=SUM(K379)</t>
  </si>
  <si>
    <t>=SUM(K397)</t>
  </si>
  <si>
    <t>=SUM(K399)</t>
  </si>
  <si>
    <t>=SUM(K401)</t>
  </si>
  <si>
    <t>=SUM(K403)</t>
  </si>
  <si>
    <t>=SUM(K405)</t>
  </si>
  <si>
    <t>=SUM(K381)</t>
  </si>
  <si>
    <t>=SUM(K383)</t>
  </si>
  <si>
    <t>=SUM(K385)</t>
  </si>
  <si>
    <t>=SUM(K387)</t>
  </si>
  <si>
    <t>=SUM(K389)</t>
  </si>
  <si>
    <t>=SUM(K391)</t>
  </si>
  <si>
    <t>=SUM(K393)</t>
  </si>
  <si>
    <t>=SUM(K409,K410,K411,K412)</t>
  </si>
  <si>
    <t>=SUM(K415,K416)</t>
  </si>
  <si>
    <t>=SUM(K418)</t>
  </si>
  <si>
    <t>=SUM(K420)</t>
  </si>
  <si>
    <t>=SUM(K422)</t>
  </si>
  <si>
    <t>=SUM(K428)</t>
  </si>
  <si>
    <t>=SUM(K432)</t>
  </si>
  <si>
    <t>=SUM(K450)</t>
  </si>
  <si>
    <t>=SUM(K452)</t>
  </si>
  <si>
    <t>=SUM(K454,K455,K456,K457,K458,K459,K460,K461,K462,K463,K464,K465,K466,K467,K468,K469)</t>
  </si>
  <si>
    <t>=SUM(K471)</t>
  </si>
  <si>
    <t>=SUM(K473)</t>
  </si>
  <si>
    <t>=SUM(K434)</t>
  </si>
  <si>
    <t>=SUM(K436)</t>
  </si>
  <si>
    <t>=SUM(K438)</t>
  </si>
  <si>
    <t>=SUM(K440)</t>
  </si>
  <si>
    <t>=SUM(K442)</t>
  </si>
  <si>
    <t>=SUM(K448)</t>
  </si>
  <si>
    <t>=SUM(K477,K478,K479,K480,K481,K482)</t>
  </si>
  <si>
    <t>=SUM(K485,K486)</t>
  </si>
  <si>
    <t>=SUM(K488)</t>
  </si>
  <si>
    <t>=SUM(K490)</t>
  </si>
  <si>
    <t>=SUM(K495)</t>
  </si>
  <si>
    <t>=SUM(K498)</t>
  </si>
  <si>
    <t>=SUM(K502)</t>
  </si>
  <si>
    <t>=SUM(K524,K525,K526,K527,K528,K529,K530,K531,K532,K533,K534,K535,K536,K537,K538,K539)</t>
  </si>
  <si>
    <t>=SUM(K504)</t>
  </si>
  <si>
    <t>=SUM(K506)</t>
  </si>
  <si>
    <t>=SUM(K508)</t>
  </si>
  <si>
    <t>=SUM(K516)</t>
  </si>
  <si>
    <t>=SUM(K518)</t>
  </si>
  <si>
    <t>=SUM(K547,K548,K549,K550)</t>
  </si>
  <si>
    <t>=SUM(K553,K554)</t>
  </si>
  <si>
    <t>=SUM(K556)</t>
  </si>
  <si>
    <t>=SUM(K558)</t>
  </si>
  <si>
    <t>=SUM(K560)</t>
  </si>
  <si>
    <t>=SUM(K570)</t>
  </si>
  <si>
    <t>=SUM(K588)</t>
  </si>
  <si>
    <t>=SUM(K590)</t>
  </si>
  <si>
    <t>=SUM(K592,K593,K594,K595,K596,K597,K598,K599,K600,K601,K602,K603,K604,K605,K606,K607)</t>
  </si>
  <si>
    <t>=SUM(K609)</t>
  </si>
  <si>
    <t>=SUM(K611)</t>
  </si>
  <si>
    <t>=SUM(K572)</t>
  </si>
  <si>
    <t>=SUM(K574)</t>
  </si>
  <si>
    <t>=SUM(K576)</t>
  </si>
  <si>
    <t>=SUM(K578)</t>
  </si>
  <si>
    <t>=SUM(K580)</t>
  </si>
  <si>
    <t>=SUM(K582)</t>
  </si>
  <si>
    <t>=SUM(K584)</t>
  </si>
  <si>
    <t>=SUM(K586)</t>
  </si>
  <si>
    <t>=SUM(K614,K615)</t>
  </si>
  <si>
    <t>=SUM(K617)</t>
  </si>
  <si>
    <t>=SUM(K619)</t>
  </si>
  <si>
    <t>=SUM(K621)</t>
  </si>
  <si>
    <t>=SUM(K624)</t>
  </si>
  <si>
    <t>=SUM(K627)</t>
  </si>
  <si>
    <t>=SUM(K631,K632,K633,K634,K635,K636)</t>
  </si>
  <si>
    <t>=I6*SUM(M7)</t>
  </si>
  <si>
    <t>=I8*SUM(M9)</t>
  </si>
  <si>
    <t>=I10*SUM(M11,M12,M13,M14,M15,M16,M17,M18)</t>
  </si>
  <si>
    <t>=I20*SUM(M21,M22,M23,M24,M25,M26,M27,M28,M29,M30)</t>
  </si>
  <si>
    <t>=I32*SUM(M33)</t>
  </si>
  <si>
    <t>=I34*SUM(M35,M36,M37,M38,M39,M40,M41,M42)</t>
  </si>
  <si>
    <t>=I44*SUM(M45)</t>
  </si>
  <si>
    <t>=I47*SUM(M48)</t>
  </si>
  <si>
    <t>=I50*SUM(M51)</t>
  </si>
  <si>
    <t>=I53*SUM(M54)</t>
  </si>
  <si>
    <t>=I56*SUM(M57,M58)</t>
  </si>
  <si>
    <t>=I59*SUM(M60)</t>
  </si>
  <si>
    <t>=I61*SUM(M62)</t>
  </si>
  <si>
    <t>=I63*SUM(M64)</t>
  </si>
  <si>
    <t>=I639*SUM(M640)</t>
  </si>
  <si>
    <t>=I661*SUM(M662,M663,M664,M665,M666,M667,M668,M669,M670,M671,M672,M673,M674,M675,M676,M677)</t>
  </si>
  <si>
    <t>=I678*SUM(M679)</t>
  </si>
  <si>
    <t>=I680*SUM(M681)</t>
  </si>
  <si>
    <t>=I641*SUM(M642)</t>
  </si>
  <si>
    <t>=I643*SUM(M644)</t>
  </si>
  <si>
    <t>=I645*SUM(M646)</t>
  </si>
  <si>
    <t>=I647*SUM(M648)</t>
  </si>
  <si>
    <t>=I649*SUM(M650)</t>
  </si>
  <si>
    <t>=I651*SUM(M652)</t>
  </si>
  <si>
    <t>=I653*SUM(M654)</t>
  </si>
  <si>
    <t>=I655*SUM(M656)</t>
  </si>
  <si>
    <t>=I684*SUM(M685,M686,M687,M688,M689)</t>
  </si>
  <si>
    <t>=I691*SUM(M692,M693)</t>
  </si>
  <si>
    <t>=I694*SUM(M695)</t>
  </si>
  <si>
    <t>=I696*SUM(M697)</t>
  </si>
  <si>
    <t>=I698*SUM(M699)</t>
  </si>
  <si>
    <t>=I701*SUM(M702)</t>
  </si>
  <si>
    <t>=I704*SUM(M705)</t>
  </si>
  <si>
    <t>=I708*SUM(M709)</t>
  </si>
  <si>
    <t>=I727*SUM(M728)</t>
  </si>
  <si>
    <t>=I729*SUM(M730,M731,M732,M733,M734,M735)</t>
  </si>
  <si>
    <t>=I738*SUM(M739)</t>
  </si>
  <si>
    <t>=I710*SUM(M711)</t>
  </si>
  <si>
    <t>=I716*SUM(M717)</t>
  </si>
  <si>
    <t>=I718*SUM(M719)</t>
  </si>
  <si>
    <t>=I720*SUM(M721,M722)</t>
  </si>
  <si>
    <t>=I723*SUM(M724)</t>
  </si>
  <si>
    <t>=I725*SUM(M726)</t>
  </si>
  <si>
    <t>=I742*SUM(M743,M744,M745,M746)</t>
  </si>
  <si>
    <t>=I748*SUM(M749,M750)</t>
  </si>
  <si>
    <t>=I751*SUM(M752)</t>
  </si>
  <si>
    <t>=I753*SUM(M754)</t>
  </si>
  <si>
    <t>=I755*SUM(M756)</t>
  </si>
  <si>
    <t>=I761*SUM(M762)</t>
  </si>
  <si>
    <t>=I765*SUM(M766)</t>
  </si>
  <si>
    <t>=I784*SUM(M785)</t>
  </si>
  <si>
    <t>=I786*SUM(M787,M788,M789,M790,M791,M792)</t>
  </si>
  <si>
    <t>=I793*SUM(M794)</t>
  </si>
  <si>
    <t>=I795*SUM(M796)</t>
  </si>
  <si>
    <t>=I767*SUM(M768)</t>
  </si>
  <si>
    <t>=I769*SUM(M770)</t>
  </si>
  <si>
    <t>=I771*SUM(M772)</t>
  </si>
  <si>
    <t>=I773*SUM(M774)</t>
  </si>
  <si>
    <t>=I775*SUM(M776)</t>
  </si>
  <si>
    <t>=I777*SUM(M778,M779)</t>
  </si>
  <si>
    <t>=I780*SUM(M781)</t>
  </si>
  <si>
    <t>=I782*SUM(M783)</t>
  </si>
  <si>
    <t>=I799*SUM(M800,M801,M802,M803)</t>
  </si>
  <si>
    <t>=I805*SUM(M806,M807)</t>
  </si>
  <si>
    <t>=I808*SUM(M809)</t>
  </si>
  <si>
    <t>=I810*SUM(M811)</t>
  </si>
  <si>
    <t>=I812*SUM(M813)</t>
  </si>
  <si>
    <t>=I815*SUM(M816)</t>
  </si>
  <si>
    <t>=I818*SUM(M819)</t>
  </si>
  <si>
    <t>=I841*SUM(M842)</t>
  </si>
  <si>
    <t>=I843*SUM(M844,M845,M846,M847,M848,M849)</t>
  </si>
  <si>
    <t>=I850*SUM(M851)</t>
  </si>
  <si>
    <t>=I852*SUM(M853)</t>
  </si>
  <si>
    <t>=I824*SUM(M825)</t>
  </si>
  <si>
    <t>=I826*SUM(M827)</t>
  </si>
  <si>
    <t>=I828*SUM(M829)</t>
  </si>
  <si>
    <t>=I830*SUM(M831)</t>
  </si>
  <si>
    <t>=I832*SUM(M833)</t>
  </si>
  <si>
    <t>=I834*SUM(M835,M836)</t>
  </si>
  <si>
    <t>=I839*SUM(M840)</t>
  </si>
  <si>
    <t>=I856*SUM(M857,M858,M859,M860)</t>
  </si>
  <si>
    <t>=I862*SUM(M863,M864)</t>
  </si>
  <si>
    <t>=I867*SUM(M868)</t>
  </si>
  <si>
    <t>=I869*SUM(M870)</t>
  </si>
  <si>
    <t>=I871*SUM(M872)</t>
  </si>
  <si>
    <t>=I875*SUM(M876)</t>
  </si>
  <si>
    <t>=I894*SUM(M895)</t>
  </si>
  <si>
    <t>=I896*SUM(M897,M898,M899,M900,M901,M902)</t>
  </si>
  <si>
    <t>=I903*SUM(M904)</t>
  </si>
  <si>
    <t>=I905*SUM(M906)</t>
  </si>
  <si>
    <t>=I877*SUM(M878)</t>
  </si>
  <si>
    <t>=I879*SUM(M880)</t>
  </si>
  <si>
    <t>=I881*SUM(M882)</t>
  </si>
  <si>
    <t>=I883*SUM(M884)</t>
  </si>
  <si>
    <t>=I885*SUM(M886)</t>
  </si>
  <si>
    <t>=I887*SUM(M888,M889)</t>
  </si>
  <si>
    <t>=I890*SUM(M891)</t>
  </si>
  <si>
    <t>=I892*SUM(M893)</t>
  </si>
  <si>
    <t>=I909*SUM(M910,M911,M912,M913,M914)</t>
  </si>
  <si>
    <t>=I916*SUM(M917,M918)</t>
  </si>
  <si>
    <t>=I919*SUM(M920)</t>
  </si>
  <si>
    <t>=I921*SUM(M922)</t>
  </si>
  <si>
    <t>=I923*SUM(M924)</t>
  </si>
  <si>
    <t>=I925*SUM(M926)</t>
  </si>
  <si>
    <t>=I929*SUM(M930)</t>
  </si>
  <si>
    <t>=I947*SUM(M948)</t>
  </si>
  <si>
    <t>=I949*SUM(M950)</t>
  </si>
  <si>
    <t>=I952*SUM(M953,M954)</t>
  </si>
  <si>
    <t>=I931*SUM(M932)</t>
  </si>
  <si>
    <t>=I933*SUM(M934)</t>
  </si>
  <si>
    <t>=I939*SUM(M940)</t>
  </si>
  <si>
    <t>=I941*SUM(M942)</t>
  </si>
  <si>
    <t>=I943*SUM(M944)</t>
  </si>
  <si>
    <t>=I945*SUM(M946)</t>
  </si>
  <si>
    <t>=I957*SUM(M958,M959,M960,M961)</t>
  </si>
  <si>
    <t>=I962*SUM(M963,M964,M965)</t>
  </si>
  <si>
    <t>=I967*SUM(M968,M969)</t>
  </si>
  <si>
    <t>=I974*SUM(M975)</t>
  </si>
  <si>
    <t>=I977*SUM(M978)</t>
  </si>
  <si>
    <t>=I980*SUM(M981)</t>
  </si>
  <si>
    <t>=I984*SUM(M985)</t>
  </si>
  <si>
    <t>=I1002*SUM(M1003)</t>
  </si>
  <si>
    <t>=I1004*SUM(M1005)</t>
  </si>
  <si>
    <t>=I1006*SUM(M1007)</t>
  </si>
  <si>
    <t>=I1008*SUM(M1009)</t>
  </si>
  <si>
    <t>=I1010*SUM(M1011)</t>
  </si>
  <si>
    <t>=I1012*SUM(M1013)</t>
  </si>
  <si>
    <t>=I1014*SUM(M1015)</t>
  </si>
  <si>
    <t>=I1016*SUM(M1017)</t>
  </si>
  <si>
    <t>=I1019*SUM(M1020,M1021)</t>
  </si>
  <si>
    <t>=I986*SUM(M987)</t>
  </si>
  <si>
    <t>=I988*SUM(M989)</t>
  </si>
  <si>
    <t>=I990*SUM(M991)</t>
  </si>
  <si>
    <t>=I992*SUM(M993)</t>
  </si>
  <si>
    <t>=I994*SUM(M995)</t>
  </si>
  <si>
    <t>=I996*SUM(M997)</t>
  </si>
  <si>
    <t>=I998*SUM(M999)</t>
  </si>
  <si>
    <t>=I1000*SUM(M1001)</t>
  </si>
  <si>
    <t>=I1024*SUM(M1025,M1026,M1027,M1028)</t>
  </si>
  <si>
    <t>=I1029*SUM(M1030,M1031,M1032)</t>
  </si>
  <si>
    <t>=I1034*SUM(M1035,M1036)</t>
  </si>
  <si>
    <t>=I1037*SUM(M1038)</t>
  </si>
  <si>
    <t>=I1039*SUM(M1040)</t>
  </si>
  <si>
    <t>=I1041*SUM(M1042)</t>
  </si>
  <si>
    <t>=I1043*SUM(M1044)</t>
  </si>
  <si>
    <t>=I1047*SUM(M1048)</t>
  </si>
  <si>
    <t>=I1068*SUM(M1069)</t>
  </si>
  <si>
    <t>=I1070*SUM(M1071)</t>
  </si>
  <si>
    <t>=I1072*SUM(M1073)</t>
  </si>
  <si>
    <t>=I1074*SUM(M1075)</t>
  </si>
  <si>
    <t>=I1076*SUM(M1077)</t>
  </si>
  <si>
    <t>=I1078*SUM(M1079)</t>
  </si>
  <si>
    <t>=I1080*SUM(M1081,M1082,M1083,M1084,M1085,M1086,M1088,M1089)</t>
  </si>
  <si>
    <t>=I1086*SUM(M1087)</t>
  </si>
  <si>
    <t>=I1090*SUM(M1091)</t>
  </si>
  <si>
    <t>=I1049*SUM(M1050)</t>
  </si>
  <si>
    <t>=I1051*SUM(M1052)</t>
  </si>
  <si>
    <t>=I1053*SUM(M1054)</t>
  </si>
  <si>
    <t>=I1055*SUM(M1056)</t>
  </si>
  <si>
    <t>=I1057*SUM(M1058)</t>
  </si>
  <si>
    <t>=I1059*SUM(M1060,M1061,M1062,M1063)</t>
  </si>
  <si>
    <t>=I1064*SUM(M1065)</t>
  </si>
  <si>
    <t>=I1066*SUM(M1067)</t>
  </si>
  <si>
    <t>=I1094*SUM(M1095,M1096,M1097,M1098)</t>
  </si>
  <si>
    <t>=I1099*SUM(M1100,M1101,M1102)</t>
  </si>
  <si>
    <t>=I1104*SUM(M1105,M1106)</t>
  </si>
  <si>
    <t>=I1107*SUM(M1108)</t>
  </si>
  <si>
    <t>=I1109*SUM(M1110)</t>
  </si>
  <si>
    <t>=I1111*SUM(M1112)</t>
  </si>
  <si>
    <t>=I1114*SUM(M1115)</t>
  </si>
  <si>
    <t>=I1117*SUM(M1118)</t>
  </si>
  <si>
    <t>=I1121*SUM(M1122)</t>
  </si>
  <si>
    <t>=I1142*SUM(M1143)</t>
  </si>
  <si>
    <t>=I1144*SUM(M1145)</t>
  </si>
  <si>
    <t>=I1146*SUM(M1147)</t>
  </si>
  <si>
    <t>=I1148*SUM(M1149)</t>
  </si>
  <si>
    <t>=I1150*SUM(M1151)</t>
  </si>
  <si>
    <t>=I1152*SUM(M1153,M1154,M1155,M1156,M1157,M1158,M1160,M1161)</t>
  </si>
  <si>
    <t>=I1158*SUM(M1159)</t>
  </si>
  <si>
    <t>=I1162*SUM(M1163)</t>
  </si>
  <si>
    <t>=I1123*SUM(M1124)</t>
  </si>
  <si>
    <t>=I1125*SUM(M1126)</t>
  </si>
  <si>
    <t>=I1127*SUM(M1128)</t>
  </si>
  <si>
    <t>=I1129*SUM(M1130)</t>
  </si>
  <si>
    <t>=I1131*SUM(M1132)</t>
  </si>
  <si>
    <t>=I1133*SUM(M1134,M1135,M1136,M1137)</t>
  </si>
  <si>
    <t>=I1138*SUM(M1139)</t>
  </si>
  <si>
    <t>=I1140*SUM(M1141)</t>
  </si>
  <si>
    <t>=I1166*SUM(M1167,M1168,M1169,M1170)</t>
  </si>
  <si>
    <t>=I1171*SUM(M1172,M1173,M1174)</t>
  </si>
  <si>
    <t>=I1176*SUM(M1177,M1178)</t>
  </si>
  <si>
    <t>=I1179*SUM(M1180)</t>
  </si>
  <si>
    <t>=I1181*SUM(M1182)</t>
  </si>
  <si>
    <t>=I1183*SUM(M1184)</t>
  </si>
  <si>
    <t>=I1186*SUM(M1187)</t>
  </si>
  <si>
    <t>=I1189*SUM(M1190)</t>
  </si>
  <si>
    <t>=I1193*SUM(M1194)</t>
  </si>
  <si>
    <t>=I1214*SUM(M1215)</t>
  </si>
  <si>
    <t>=I1216*SUM(M1217)</t>
  </si>
  <si>
    <t>=I1218*SUM(M1219)</t>
  </si>
  <si>
    <t>=I1220*SUM(M1221)</t>
  </si>
  <si>
    <t>=I1222*SUM(M1223)</t>
  </si>
  <si>
    <t>=I1224*SUM(M1225,M1226,M1227,M1228,M1229,M1230,M1232,M1233)</t>
  </si>
  <si>
    <t>=I1230*SUM(M1231)</t>
  </si>
  <si>
    <t>=I1234*SUM(M1235)</t>
  </si>
  <si>
    <t>=I1195*SUM(M1196)</t>
  </si>
  <si>
    <t>=I1197*SUM(M1198)</t>
  </si>
  <si>
    <t>=I1199*SUM(M1200)</t>
  </si>
  <si>
    <t>=I1201*SUM(M1202)</t>
  </si>
  <si>
    <t>=I1203*SUM(M1204)</t>
  </si>
  <si>
    <t>=I1205*SUM(M1206,M1207,M1208,M1209)</t>
  </si>
  <si>
    <t>=I1210*SUM(M1211)</t>
  </si>
  <si>
    <t>=I1212*SUM(M1213)</t>
  </si>
  <si>
    <t>=I1238*SUM(M1239,M1240,M1241,M1242)</t>
  </si>
  <si>
    <t>=I1243*SUM(M1244,M1245,M1246)</t>
  </si>
  <si>
    <t>=I1248*SUM(M1249,M1250)</t>
  </si>
  <si>
    <t>=I1251*SUM(M1252)</t>
  </si>
  <si>
    <t>=I1253*SUM(M1254)</t>
  </si>
  <si>
    <t>=I1255*SUM(M1256)</t>
  </si>
  <si>
    <t>=I1258*SUM(M1259)</t>
  </si>
  <si>
    <t>=I1261*SUM(M1262)</t>
  </si>
  <si>
    <t>=I67*SUM(M68)</t>
  </si>
  <si>
    <t>=I85*SUM(M86)</t>
  </si>
  <si>
    <t>=I88*SUM(M89,M90)</t>
  </si>
  <si>
    <t>=I69*SUM(M70)</t>
  </si>
  <si>
    <t>=I71*SUM(M72)</t>
  </si>
  <si>
    <t>=I73*SUM(M74)</t>
  </si>
  <si>
    <t>=I75*SUM(M76)</t>
  </si>
  <si>
    <t>=I77*SUM(M78)</t>
  </si>
  <si>
    <t>=I79*SUM(M80)</t>
  </si>
  <si>
    <t>=I81*SUM(M82)</t>
  </si>
  <si>
    <t>=I83*SUM(M84)</t>
  </si>
  <si>
    <t>=I164*SUM(M165)</t>
  </si>
  <si>
    <t>=I92*SUM(M93)</t>
  </si>
  <si>
    <t>=I94*SUM(M95)</t>
  </si>
  <si>
    <t>=I96*SUM(M97,M98,M99,M100,M101,M102,M103,M104,M105)</t>
  </si>
  <si>
    <t>=I107*SUM(M108,M109,M110,M111,M112,M113,M114,M115,M116,M117)</t>
  </si>
  <si>
    <t>=I119*SUM(M120)</t>
  </si>
  <si>
    <t>=I122*SUM(M123)</t>
  </si>
  <si>
    <t>=I125*SUM(M126)</t>
  </si>
  <si>
    <t>=I127*SUM(M128,M129,M130,M131,M132,M133,M134,M135)</t>
  </si>
  <si>
    <t>=I137*SUM(M138)</t>
  </si>
  <si>
    <t>=I141*SUM(M142,M143,M144,M145)</t>
  </si>
  <si>
    <t>=I146*SUM(M147,M148,M149)</t>
  </si>
  <si>
    <t>=I151*SUM(M152,M153)</t>
  </si>
  <si>
    <t>=I154*SUM(M155)</t>
  </si>
  <si>
    <t>=I156*SUM(M157)</t>
  </si>
  <si>
    <t>=I158*SUM(M159)</t>
  </si>
  <si>
    <t>=I161*SUM(M162)</t>
  </si>
  <si>
    <t>=I1265*SUM(M1266)</t>
  </si>
  <si>
    <t>=I1286*SUM(M1287)</t>
  </si>
  <si>
    <t>=I1288*SUM(M1289)</t>
  </si>
  <si>
    <t>=I1290*SUM(M1291)</t>
  </si>
  <si>
    <t>=I1292*SUM(M1293)</t>
  </si>
  <si>
    <t>=I1294*SUM(M1295)</t>
  </si>
  <si>
    <t>=I1296*SUM(M1297,M1298,M1299,M1300,M1301,M1302,M1304,M1305)</t>
  </si>
  <si>
    <t>=I1302*SUM(M1303)</t>
  </si>
  <si>
    <t>=I1306*SUM(M1307)</t>
  </si>
  <si>
    <t>=I1267*SUM(M1268)</t>
  </si>
  <si>
    <t>=I1269*SUM(M1270)</t>
  </si>
  <si>
    <t>=I1271*SUM(M1272)</t>
  </si>
  <si>
    <t>=I1273*SUM(M1274)</t>
  </si>
  <si>
    <t>=I1275*SUM(M1276)</t>
  </si>
  <si>
    <t>=I1277*SUM(M1278,M1279,M1280,M1281)</t>
  </si>
  <si>
    <t>=I1282*SUM(M1283)</t>
  </si>
  <si>
    <t>=I1284*SUM(M1285)</t>
  </si>
  <si>
    <t>=I1310*SUM(M1311,M1312,M1313,M1314)</t>
  </si>
  <si>
    <t>=I1315*SUM(M1316,M1317,M1318)</t>
  </si>
  <si>
    <t>=I1320*SUM(M1321,M1322)</t>
  </si>
  <si>
    <t>=I1323*SUM(M1324)</t>
  </si>
  <si>
    <t>=I1325*SUM(M1326)</t>
  </si>
  <si>
    <t>=I1327*SUM(M1328)</t>
  </si>
  <si>
    <t>=I1330*SUM(M1331)</t>
  </si>
  <si>
    <t>=I1333*SUM(M1334)</t>
  </si>
  <si>
    <t>=I1337*SUM(M1338)</t>
  </si>
  <si>
    <t>=I1339*SUM(M1340)</t>
  </si>
  <si>
    <t>=I1341*SUM(M1342)</t>
  </si>
  <si>
    <t>=I1343*SUM(M1344)</t>
  </si>
  <si>
    <t>=I1345*SUM(M1346)</t>
  </si>
  <si>
    <t>=I1347*SUM(M1348)</t>
  </si>
  <si>
    <t>=I1349*SUM(M1350)</t>
  </si>
  <si>
    <t>=I1431*SUM(M1432,M1433)</t>
  </si>
  <si>
    <t>=I1434*SUM(M1435)</t>
  </si>
  <si>
    <t>=I1436*SUM(M1437)</t>
  </si>
  <si>
    <t>=I1438*SUM(M1439)</t>
  </si>
  <si>
    <t>=I1440*SUM(M1441)</t>
  </si>
  <si>
    <t>=I1443*SUM(M1444,M1445)</t>
  </si>
  <si>
    <t>=I1446*SUM(M1447)</t>
  </si>
  <si>
    <t>=I1448*SUM(M1449)</t>
  </si>
  <si>
    <t>=I1450*SUM(M1451)</t>
  </si>
  <si>
    <t>=I1353*SUM(M1354,M1355,M1356)</t>
  </si>
  <si>
    <t>=I1357*SUM(M1358,M1359,M1360,M1361,M1362,M1363,M1364,M1365,M1366,M1367,M1368)</t>
  </si>
  <si>
    <t>=I1370*SUM(M1371)</t>
  </si>
  <si>
    <t>=I1373*SUM(M1374)</t>
  </si>
  <si>
    <t>=I1375*SUM(M1376)</t>
  </si>
  <si>
    <t>=I1378*SUM(M1379)</t>
  </si>
  <si>
    <t>=I1380*SUM(M1381,M1382,M1383,M1384)</t>
  </si>
  <si>
    <t>=I1386*SUM(M1387)</t>
  </si>
  <si>
    <t>=I1388*SUM(M1389,M1390,M1391)</t>
  </si>
  <si>
    <t>=I1393*SUM(M1394)</t>
  </si>
  <si>
    <t>=I1395*SUM(M1396)</t>
  </si>
  <si>
    <t>=I1397*SUM(M1398,M1399,M1400,M1401,M1402,M1403,M1404,M1405,M1406,M1407,M1408,M1409,M1410,M1411,M1412,M1413,M1414)</t>
  </si>
  <si>
    <t>=I1417*SUM(M1418,M1419,M1420,M1421,M1422,M1423)</t>
  </si>
  <si>
    <t>=I1425*SUM(M1426)</t>
  </si>
  <si>
    <t>=I1428*SUM(M1429)</t>
  </si>
  <si>
    <t>=I1454*SUM(M1455)</t>
  </si>
  <si>
    <t>=I1472*SUM(M1473)</t>
  </si>
  <si>
    <t>=I1474*SUM(M1475)</t>
  </si>
  <si>
    <t>=I1476*SUM(M1477,M1478,M1479,M1480,M1481,M1482,M1483,M1484,M1485,M1486,M1487,M1488,M1489,M1490,M1491,M1492)</t>
  </si>
  <si>
    <t>=I1493*SUM(M1494)</t>
  </si>
  <si>
    <t>=I1495*SUM(M1496)</t>
  </si>
  <si>
    <t>=I1456*SUM(M1457)</t>
  </si>
  <si>
    <t>=I1458*SUM(M1459)</t>
  </si>
  <si>
    <t>=I1460*SUM(M1461)</t>
  </si>
  <si>
    <t>=I1462*SUM(M1463)</t>
  </si>
  <si>
    <t>=I1464*SUM(M1465)</t>
  </si>
  <si>
    <t>=I1466*SUM(M1467)</t>
  </si>
  <si>
    <t>=I1468*SUM(M1469)</t>
  </si>
  <si>
    <t>=I1470*SUM(M1471)</t>
  </si>
  <si>
    <t>=I1498*SUM(M1499,M1500)</t>
  </si>
  <si>
    <t>=I1501*SUM(M1502)</t>
  </si>
  <si>
    <t>=I1503*SUM(M1504)</t>
  </si>
  <si>
    <t>=I1505*SUM(M1506)</t>
  </si>
  <si>
    <t>=I1507*SUM(M1508)</t>
  </si>
  <si>
    <t>=I1511*SUM(M1512,M1513,M1514,M1515)</t>
  </si>
  <si>
    <t>=I1518*SUM(M1519)</t>
  </si>
  <si>
    <t>=I1536*SUM(M1537)</t>
  </si>
  <si>
    <t>=I1538*SUM(M1539)</t>
  </si>
  <si>
    <t>=I1540*SUM(M1541,M1542,M1543,M1544,M1545,M1546,M1547,M1548,M1549,M1550,M1551,M1552,M1553,M1554,M1555,M1556)</t>
  </si>
  <si>
    <t>=I1557*SUM(M1558)</t>
  </si>
  <si>
    <t>=I1559*SUM(M1560)</t>
  </si>
  <si>
    <t>=I1520*SUM(M1521)</t>
  </si>
  <si>
    <t>=I1522*SUM(M1523)</t>
  </si>
  <si>
    <t>=I1524*SUM(M1525)</t>
  </si>
  <si>
    <t>=I1526*SUM(M1527)</t>
  </si>
  <si>
    <t>=I1528*SUM(M1529)</t>
  </si>
  <si>
    <t>=I1530*SUM(M1531)</t>
  </si>
  <si>
    <t>=I1532*SUM(M1533)</t>
  </si>
  <si>
    <t>=I1534*SUM(M1535)</t>
  </si>
  <si>
    <t>=I1563*SUM(M1564,M1565,M1566,M1567,M1568,M1569)</t>
  </si>
  <si>
    <t>=I1571*SUM(M1572)</t>
  </si>
  <si>
    <t>=I1574*SUM(M1575)</t>
  </si>
  <si>
    <t>=I1577*SUM(M1578,M1579)</t>
  </si>
  <si>
    <t>=I1580*SUM(M1581)</t>
  </si>
  <si>
    <t>=I1582*SUM(M1583)</t>
  </si>
  <si>
    <t>=I1584*SUM(M1585)</t>
  </si>
  <si>
    <t>=I1586*SUM(M1587)</t>
  </si>
  <si>
    <t>=I1589*SUM(M1590,M1591)</t>
  </si>
  <si>
    <t>=I1592*SUM(M1593)</t>
  </si>
  <si>
    <t>=I1594*SUM(M1595)</t>
  </si>
  <si>
    <t>=I1596*SUM(M1597)</t>
  </si>
  <si>
    <t>=I1600*SUM(M1601)</t>
  </si>
  <si>
    <t>=I1618*SUM(M1619)</t>
  </si>
  <si>
    <t>=I1620*SUM(M1621)</t>
  </si>
  <si>
    <t>=I1622*SUM(M1623)</t>
  </si>
  <si>
    <t>=I1624*SUM(M1625)</t>
  </si>
  <si>
    <t>=I1626*SUM(M1627)</t>
  </si>
  <si>
    <t>=I1628*SUM(M1629)</t>
  </si>
  <si>
    <t>=I1630*SUM(M1631)</t>
  </si>
  <si>
    <t>=I1632*SUM(M1633)</t>
  </si>
  <si>
    <t>=I1602*SUM(M1603)</t>
  </si>
  <si>
    <t>=I1604*SUM(M1605)</t>
  </si>
  <si>
    <t>=I1606*SUM(M1607)</t>
  </si>
  <si>
    <t>=I1608*SUM(M1609)</t>
  </si>
  <si>
    <t>=I1610*SUM(M1611)</t>
  </si>
  <si>
    <t>=I1612*SUM(M1613)</t>
  </si>
  <si>
    <t>=I1614*SUM(M1615)</t>
  </si>
  <si>
    <t>=I1616*SUM(M1617)</t>
  </si>
  <si>
    <t>=I1636*SUM(M1637,M1638)</t>
  </si>
  <si>
    <t>=I1640*SUM(M1641)</t>
  </si>
  <si>
    <t>=I1643*SUM(M1644)</t>
  </si>
  <si>
    <t>=I1646*SUM(M1647,M1648)</t>
  </si>
  <si>
    <t>=I1649*SUM(M1650)</t>
  </si>
  <si>
    <t>=I1651*SUM(M1652)</t>
  </si>
  <si>
    <t>=I1653*SUM(M1654)</t>
  </si>
  <si>
    <t>=I1655*SUM(M1656)</t>
  </si>
  <si>
    <t>=I1658*SUM(M1659,M1660)</t>
  </si>
  <si>
    <t>=I1661*SUM(M1662)</t>
  </si>
  <si>
    <t>=I1663*SUM(M1664)</t>
  </si>
  <si>
    <t>=I1665*SUM(M1666)</t>
  </si>
  <si>
    <t>=I1669*SUM(M1670)</t>
  </si>
  <si>
    <t>=I1672*SUM(M1673)</t>
  </si>
  <si>
    <t>=I1674*SUM(M1675)</t>
  </si>
  <si>
    <t>=I1676*SUM(M1677,M1678,M1679,M1680,M1681,M1682,M1683,M1684,M1685)</t>
  </si>
  <si>
    <t>=I1687*SUM(M1688,M1689,M1690,M1691,M1692,M1693,M1694,M1695,M1696,M1697)</t>
  </si>
  <si>
    <t>=I1699*SUM(M1700)</t>
  </si>
  <si>
    <t>=I1701*SUM(M1702,M1703,M1704,M1705,M1706,M1707,M1708,M1709)</t>
  </si>
  <si>
    <t>=I1711*SUM(M1712)</t>
  </si>
  <si>
    <t>=I1714*SUM(M1715)</t>
  </si>
  <si>
    <t>=I1719*SUM(M1720,M1721,M1722)</t>
  </si>
  <si>
    <t>=I1723*SUM(M1724,M1725,M1726,M1727,M1728,M1729,M1730,M1731,M1732,M1733,M1734)</t>
  </si>
  <si>
    <t>=I1736*SUM(M1737)</t>
  </si>
  <si>
    <t>=I1739*SUM(M1740)</t>
  </si>
  <si>
    <t>=I1741*SUM(M1742)</t>
  </si>
  <si>
    <t>=I1743*SUM(M1744)</t>
  </si>
  <si>
    <t>=I1745*SUM(M1746)</t>
  </si>
  <si>
    <t>=I1748*SUM(M1749)</t>
  </si>
  <si>
    <t>=I1750*SUM(M1751,M1752,M1753,M1754)</t>
  </si>
  <si>
    <t>=I1756*SUM(M1757)</t>
  </si>
  <si>
    <t>=I1758*SUM(M1759)</t>
  </si>
  <si>
    <t>=I1760*SUM(M1761,M1762,M1763,M1764,M1765,M1766,M1767,M1768,M1769,M1770,M1771,M1772,M1773,M1774,M1775,M1776,M1777)</t>
  </si>
  <si>
    <t>=I1779*SUM(M1780)</t>
  </si>
  <si>
    <t>=I1781*SUM(M1782,M1783,M1784)</t>
  </si>
  <si>
    <t>=I1786*SUM(M1787)</t>
  </si>
  <si>
    <t>=I1789*SUM(M1790)</t>
  </si>
  <si>
    <t>=I168*SUM(M169)</t>
  </si>
  <si>
    <t>=I186*SUM(M187)</t>
  </si>
  <si>
    <t>=I188*SUM(M189)</t>
  </si>
  <si>
    <t>=I190*SUM(M191)</t>
  </si>
  <si>
    <t>=I192*SUM(M193)</t>
  </si>
  <si>
    <t>=I170*SUM(M171)</t>
  </si>
  <si>
    <t>=I172*SUM(M173)</t>
  </si>
  <si>
    <t>=I174*SUM(M175)</t>
  </si>
  <si>
    <t>=I176*SUM(M177)</t>
  </si>
  <si>
    <t>=I178*SUM(M179)</t>
  </si>
  <si>
    <t>=I180*SUM(M181)</t>
  </si>
  <si>
    <t>=I182*SUM(M183)</t>
  </si>
  <si>
    <t>=I184*SUM(M185)</t>
  </si>
  <si>
    <t>=I268*SUM(M269)</t>
  </si>
  <si>
    <t>=I195*SUM(M196)</t>
  </si>
  <si>
    <t>=I197*SUM(M198)</t>
  </si>
  <si>
    <t>=I199*SUM(M200,M201,M202,M203,M204,M205,M206,M207,M208,M209,M210,M211,M212,M213,M214,M215,M216,M217,M218,M219,M220,M221)</t>
  </si>
  <si>
    <t>=I223*SUM(M224)</t>
  </si>
  <si>
    <t>=I225*SUM(M226,M227,M228,M229,M230,M231)</t>
  </si>
  <si>
    <t>=I233*SUM(M234,M235,M236)</t>
  </si>
  <si>
    <t>=I237*SUM(M238)</t>
  </si>
  <si>
    <t>=I241*SUM(M242,M243,M244,M245,M246,M247)</t>
  </si>
  <si>
    <t>=I249*SUM(M250,M251)</t>
  </si>
  <si>
    <t>=I252*SUM(M253)</t>
  </si>
  <si>
    <t>=I254*SUM(M255)</t>
  </si>
  <si>
    <t>=I256*SUM(M257)</t>
  </si>
  <si>
    <t>=I259*SUM(M260)</t>
  </si>
  <si>
    <t>=I262*SUM(M263)</t>
  </si>
  <si>
    <t>=I265*SUM(M266)</t>
  </si>
  <si>
    <t>=I272*SUM(M273)</t>
  </si>
  <si>
    <t>=I290*SUM(M291)</t>
  </si>
  <si>
    <t>=I292*SUM(M293)</t>
  </si>
  <si>
    <t>=I294*SUM(M295)</t>
  </si>
  <si>
    <t>=I296*SUM(M297)</t>
  </si>
  <si>
    <t>=I298*SUM(M299)</t>
  </si>
  <si>
    <t>=I274*SUM(M275)</t>
  </si>
  <si>
    <t>=I276*SUM(M277)</t>
  </si>
  <si>
    <t>=I278*SUM(M279)</t>
  </si>
  <si>
    <t>=I280*SUM(M281)</t>
  </si>
  <si>
    <t>=I284*SUM(M285)</t>
  </si>
  <si>
    <t>=I286*SUM(M287)</t>
  </si>
  <si>
    <t>=I288*SUM(M289)</t>
  </si>
  <si>
    <t>=I301*SUM(M302)</t>
  </si>
  <si>
    <t>=I303*SUM(M304,M305,M306,M307,M308,M309)</t>
  </si>
  <si>
    <t>=I312*SUM(M313,M314,M315,M316)</t>
  </si>
  <si>
    <t>=I318*SUM(M319,M320)</t>
  </si>
  <si>
    <t>=I321*SUM(M322)</t>
  </si>
  <si>
    <t>=I323*SUM(M324)</t>
  </si>
  <si>
    <t>=I325*SUM(M326)</t>
  </si>
  <si>
    <t>=I328*SUM(M329)</t>
  </si>
  <si>
    <t>=I331*SUM(M332)</t>
  </si>
  <si>
    <t>=I334*SUM(M335)</t>
  </si>
  <si>
    <t>=I337*SUM(M338)</t>
  </si>
  <si>
    <t>=I341*SUM(M342)</t>
  </si>
  <si>
    <t>=I343*SUM(M344)</t>
  </si>
  <si>
    <t>=I345*SUM(M346)</t>
  </si>
  <si>
    <t>=I347*SUM(M348)</t>
  </si>
  <si>
    <t>=I351*SUM(M352)</t>
  </si>
  <si>
    <t>=I355*SUM(M356,M357,M358,M359)</t>
  </si>
  <si>
    <t>=I361*SUM(M362,M363)</t>
  </si>
  <si>
    <t>=I364*SUM(M365)</t>
  </si>
  <si>
    <t>=I366*SUM(M367)</t>
  </si>
  <si>
    <t>=I368*SUM(M369)</t>
  </si>
  <si>
    <t>=I371*SUM(M372)</t>
  </si>
  <si>
    <t>=I374*SUM(M375)</t>
  </si>
  <si>
    <t>=I378*SUM(M379)</t>
  </si>
  <si>
    <t>=I396*SUM(M397)</t>
  </si>
  <si>
    <t>=I398*SUM(M399)</t>
  </si>
  <si>
    <t>=I400*SUM(M401)</t>
  </si>
  <si>
    <t>=I402*SUM(M403)</t>
  </si>
  <si>
    <t>=I404*SUM(M405)</t>
  </si>
  <si>
    <t>=I380*SUM(M381)</t>
  </si>
  <si>
    <t>=I382*SUM(M383)</t>
  </si>
  <si>
    <t>=I384*SUM(M385)</t>
  </si>
  <si>
    <t>=I386*SUM(M387)</t>
  </si>
  <si>
    <t>=I388*SUM(M389)</t>
  </si>
  <si>
    <t>=I390*SUM(M391)</t>
  </si>
  <si>
    <t>=I392*SUM(M393)</t>
  </si>
  <si>
    <t>=I408*SUM(M409,M410,M411,M412)</t>
  </si>
  <si>
    <t>=I414*SUM(M415,M416)</t>
  </si>
  <si>
    <t>=I417*SUM(M418)</t>
  </si>
  <si>
    <t>=I419*SUM(M420)</t>
  </si>
  <si>
    <t>=I421*SUM(M422)</t>
  </si>
  <si>
    <t>=I427*SUM(M428)</t>
  </si>
  <si>
    <t>=I431*SUM(M432)</t>
  </si>
  <si>
    <t>=I449*SUM(M450)</t>
  </si>
  <si>
    <t>=I451*SUM(M452)</t>
  </si>
  <si>
    <t>=I453*SUM(M454,M455,M456,M457,M458,M459,M460,M461,M462,M463,M464,M465,M466,M467,M468,M469)</t>
  </si>
  <si>
    <t>=I470*SUM(M471)</t>
  </si>
  <si>
    <t>=I472*SUM(M473)</t>
  </si>
  <si>
    <t>=I433*SUM(M434)</t>
  </si>
  <si>
    <t>=I435*SUM(M436)</t>
  </si>
  <si>
    <t>=I437*SUM(M438)</t>
  </si>
  <si>
    <t>=I439*SUM(M440)</t>
  </si>
  <si>
    <t>=I441*SUM(M442)</t>
  </si>
  <si>
    <t>=I447*SUM(M448)</t>
  </si>
  <si>
    <t>=I476*SUM(M477,M478,M479,M480,M481,M482)</t>
  </si>
  <si>
    <t>=I484*SUM(M485,M486)</t>
  </si>
  <si>
    <t>=I487*SUM(M488)</t>
  </si>
  <si>
    <t>=I489*SUM(M490)</t>
  </si>
  <si>
    <t>=I494*SUM(M495)</t>
  </si>
  <si>
    <t>=I497*SUM(M498)</t>
  </si>
  <si>
    <t>=I501*SUM(M502)</t>
  </si>
  <si>
    <t>=I523*SUM(M524,M525,M526,M527,M528,M529,M530,M531,M532,M533,M534,M535,M536,M537,M538,M539)</t>
  </si>
  <si>
    <t>=I503*SUM(M504)</t>
  </si>
  <si>
    <t>=I505*SUM(M506)</t>
  </si>
  <si>
    <t>=I507*SUM(M508)</t>
  </si>
  <si>
    <t>=I515*SUM(M516)</t>
  </si>
  <si>
    <t>=I517*SUM(M518)</t>
  </si>
  <si>
    <t>=I546*SUM(M547,M548,M549,M550)</t>
  </si>
  <si>
    <t>=I552*SUM(M553,M554)</t>
  </si>
  <si>
    <t>=I555*SUM(M556)</t>
  </si>
  <si>
    <t>=I557*SUM(M558)</t>
  </si>
  <si>
    <t>=I559*SUM(M560)</t>
  </si>
  <si>
    <t>=I569*SUM(M570)</t>
  </si>
  <si>
    <t>=I587*SUM(M588)</t>
  </si>
  <si>
    <t>=I589*SUM(M590)</t>
  </si>
  <si>
    <t>=I591*SUM(M592,M593,M594,M595,M596,M597,M598,M599,M600,M601,M602,M603,M604,M605,M606,M607)</t>
  </si>
  <si>
    <t>=I608*SUM(M609)</t>
  </si>
  <si>
    <t>=I610*SUM(M611)</t>
  </si>
  <si>
    <t>=I571*SUM(M572)</t>
  </si>
  <si>
    <t>=I573*SUM(M574)</t>
  </si>
  <si>
    <t>=I575*SUM(M576)</t>
  </si>
  <si>
    <t>=I577*SUM(M578)</t>
  </si>
  <si>
    <t>=I579*SUM(M580)</t>
  </si>
  <si>
    <t>=I581*SUM(M582)</t>
  </si>
  <si>
    <t>=I583*SUM(M584)</t>
  </si>
  <si>
    <t>=I585*SUM(M586)</t>
  </si>
  <si>
    <t>=I613*SUM(M614,M615)</t>
  </si>
  <si>
    <t>=I616*SUM(M617)</t>
  </si>
  <si>
    <t>=I618*SUM(M619)</t>
  </si>
  <si>
    <t>=I620*SUM(M621)</t>
  </si>
  <si>
    <t>=I623*SUM(M624)</t>
  </si>
  <si>
    <t>=I626*SUM(M627)</t>
  </si>
  <si>
    <t>=I630*SUM(M631,M632,M633,M634,M635,M636)</t>
  </si>
  <si>
    <t>=I6*J6</t>
  </si>
  <si>
    <t>=I8*J8</t>
  </si>
  <si>
    <t>=I10*J10</t>
  </si>
  <si>
    <t>=I20*J20</t>
  </si>
  <si>
    <t>=I32*J32</t>
  </si>
  <si>
    <t>=I34*J34</t>
  </si>
  <si>
    <t>=I44*J44</t>
  </si>
  <si>
    <t>=I47*J47</t>
  </si>
  <si>
    <t>=I50*J50</t>
  </si>
  <si>
    <t>=I53*J53</t>
  </si>
  <si>
    <t>=I56*J56</t>
  </si>
  <si>
    <t>=I59*J59</t>
  </si>
  <si>
    <t>=I61*J61</t>
  </si>
  <si>
    <t>=I63*J63</t>
  </si>
  <si>
    <t>=I639*J639</t>
  </si>
  <si>
    <t>=I678*J678</t>
  </si>
  <si>
    <t>=I680*J680</t>
  </si>
  <si>
    <t>=I641*J641</t>
  </si>
  <si>
    <t>=I643*J643</t>
  </si>
  <si>
    <t>=I645*J645</t>
  </si>
  <si>
    <t>=I647*J647</t>
  </si>
  <si>
    <t>=I649*J649</t>
  </si>
  <si>
    <t>=I651*J651</t>
  </si>
  <si>
    <t>=I653*J653</t>
  </si>
  <si>
    <t>=I655*J655</t>
  </si>
  <si>
    <t>=I684*J684</t>
  </si>
  <si>
    <t>=I694*J694</t>
  </si>
  <si>
    <t>=I696*J696</t>
  </si>
  <si>
    <t>=I698*J698</t>
  </si>
  <si>
    <t>=I701*J701</t>
  </si>
  <si>
    <t>=I704*J704</t>
  </si>
  <si>
    <t>=I708*J708</t>
  </si>
  <si>
    <t>=I727*J727</t>
  </si>
  <si>
    <t>=I729*J729</t>
  </si>
  <si>
    <t>=I710*J710</t>
  </si>
  <si>
    <t>=I718*J718</t>
  </si>
  <si>
    <t>=I720*J720</t>
  </si>
  <si>
    <t>=I723*J723</t>
  </si>
  <si>
    <t>=I725*J725</t>
  </si>
  <si>
    <t>=I742*J742</t>
  </si>
  <si>
    <t>=I748*J748</t>
  </si>
  <si>
    <t>=I751*J751</t>
  </si>
  <si>
    <t>=I753*J753</t>
  </si>
  <si>
    <t>=I761*J761</t>
  </si>
  <si>
    <t>=I765*J765</t>
  </si>
  <si>
    <t>=I784*J784</t>
  </si>
  <si>
    <t>=I786*J786</t>
  </si>
  <si>
    <t>=I793*J793</t>
  </si>
  <si>
    <t>=I795*J795</t>
  </si>
  <si>
    <t>=I767*J767</t>
  </si>
  <si>
    <t>=I769*J769</t>
  </si>
  <si>
    <t>=I773*J773</t>
  </si>
  <si>
    <t>=I775*J775</t>
  </si>
  <si>
    <t>=I777*J777</t>
  </si>
  <si>
    <t>=I780*J780</t>
  </si>
  <si>
    <t>=I799*J799</t>
  </si>
  <si>
    <t>=I805*J805</t>
  </si>
  <si>
    <t>=I810*J810</t>
  </si>
  <si>
    <t>=I812*J812</t>
  </si>
  <si>
    <t>=I815*J815</t>
  </si>
  <si>
    <t>=I818*J818</t>
  </si>
  <si>
    <t>=I841*J841</t>
  </si>
  <si>
    <t>=I843*J843</t>
  </si>
  <si>
    <t>=I850*J850</t>
  </si>
  <si>
    <t>=I852*J852</t>
  </si>
  <si>
    <t>=I824*J824</t>
  </si>
  <si>
    <t>=I826*J826</t>
  </si>
  <si>
    <t>=I828*J828</t>
  </si>
  <si>
    <t>=I830*J830</t>
  </si>
  <si>
    <t>=I832*J832</t>
  </si>
  <si>
    <t>=I856*J856</t>
  </si>
  <si>
    <t>=I869*J869</t>
  </si>
  <si>
    <t>=I871*J871</t>
  </si>
  <si>
    <t>=I875*J875</t>
  </si>
  <si>
    <t>=I894*J894</t>
  </si>
  <si>
    <t>=I903*J903</t>
  </si>
  <si>
    <t>=I905*J905</t>
  </si>
  <si>
    <t>=I877*J877</t>
  </si>
  <si>
    <t>=I879*J879</t>
  </si>
  <si>
    <t>=I881*J881</t>
  </si>
  <si>
    <t>=I883*J883</t>
  </si>
  <si>
    <t>=I885*J885</t>
  </si>
  <si>
    <t>=I887*J887</t>
  </si>
  <si>
    <t>=I890*J890</t>
  </si>
  <si>
    <t>=I892*J892</t>
  </si>
  <si>
    <t>=I909*J909</t>
  </si>
  <si>
    <t>=I916*J916</t>
  </si>
  <si>
    <t>=I921*J921</t>
  </si>
  <si>
    <t>=I923*J923</t>
  </si>
  <si>
    <t>=I925*J925</t>
  </si>
  <si>
    <t>=I929*J929</t>
  </si>
  <si>
    <t>=I947*J947</t>
  </si>
  <si>
    <t>=I949*J949</t>
  </si>
  <si>
    <t>=I952*J952</t>
  </si>
  <si>
    <t>=I931*J931</t>
  </si>
  <si>
    <t>=I933*J933</t>
  </si>
  <si>
    <t>=I941*J941</t>
  </si>
  <si>
    <t>=I943*J943</t>
  </si>
  <si>
    <t>=I945*J945</t>
  </si>
  <si>
    <t>=I957*J957</t>
  </si>
  <si>
    <t>=I962*J962</t>
  </si>
  <si>
    <t>=I967*J967</t>
  </si>
  <si>
    <t>=I977*J977</t>
  </si>
  <si>
    <t>=I980*J980</t>
  </si>
  <si>
    <t>=I984*J984</t>
  </si>
  <si>
    <t>=I1002*J1002</t>
  </si>
  <si>
    <t>=I1004*J1004</t>
  </si>
  <si>
    <t>=I1006*J1006</t>
  </si>
  <si>
    <t>=I1008*J1008</t>
  </si>
  <si>
    <t>=I1010*J1010</t>
  </si>
  <si>
    <t>=I1012*J1012</t>
  </si>
  <si>
    <t>=I1014*J1014</t>
  </si>
  <si>
    <t>=I1016*J1016</t>
  </si>
  <si>
    <t>=I1019*J1019</t>
  </si>
  <si>
    <t>=I986*J986</t>
  </si>
  <si>
    <t>=I988*J988</t>
  </si>
  <si>
    <t>=I990*J990</t>
  </si>
  <si>
    <t>=I992*J992</t>
  </si>
  <si>
    <t>=I994*J994</t>
  </si>
  <si>
    <t>=I996*J996</t>
  </si>
  <si>
    <t>=I998*J998</t>
  </si>
  <si>
    <t>=I1000*J1000</t>
  </si>
  <si>
    <t>=I1024*J1024</t>
  </si>
  <si>
    <t>=I1029*J1029</t>
  </si>
  <si>
    <t>=I1034*J1034</t>
  </si>
  <si>
    <t>=I1037*J1037</t>
  </si>
  <si>
    <t>=I1039*J1039</t>
  </si>
  <si>
    <t>=I1041*J1041</t>
  </si>
  <si>
    <t>=I1043*J1043</t>
  </si>
  <si>
    <t>=I1047*J1047</t>
  </si>
  <si>
    <t>=I1068*J1068</t>
  </si>
  <si>
    <t>=I1070*J1070</t>
  </si>
  <si>
    <t>=I1072*J1072</t>
  </si>
  <si>
    <t>=I1074*J1074</t>
  </si>
  <si>
    <t>=I1076*J1076</t>
  </si>
  <si>
    <t>=I1078*J1078</t>
  </si>
  <si>
    <t>=I1080*J1080</t>
  </si>
  <si>
    <t>=I1086*J1086</t>
  </si>
  <si>
    <t>=I1090*J1090</t>
  </si>
  <si>
    <t>=I1049*J1049</t>
  </si>
  <si>
    <t>=I1051*J1051</t>
  </si>
  <si>
    <t>=I1053*J1053</t>
  </si>
  <si>
    <t>=I1055*J1055</t>
  </si>
  <si>
    <t>=I1057*J1057</t>
  </si>
  <si>
    <t>=I1059*J1059</t>
  </si>
  <si>
    <t>=I1064*J1064</t>
  </si>
  <si>
    <t>=I1066*J1066</t>
  </si>
  <si>
    <t>=I1094*J1094</t>
  </si>
  <si>
    <t>=I1099*J1099</t>
  </si>
  <si>
    <t>=I1104*J1104</t>
  </si>
  <si>
    <t>=I1107*J1107</t>
  </si>
  <si>
    <t>=I1109*J1109</t>
  </si>
  <si>
    <t>=I1111*J1111</t>
  </si>
  <si>
    <t>=I1114*J1114</t>
  </si>
  <si>
    <t>=I1117*J1117</t>
  </si>
  <si>
    <t>=I1121*J1121</t>
  </si>
  <si>
    <t>=I1142*J1142</t>
  </si>
  <si>
    <t>=I1144*J1144</t>
  </si>
  <si>
    <t>=I1146*J1146</t>
  </si>
  <si>
    <t>=I1148*J1148</t>
  </si>
  <si>
    <t>=I1150*J1150</t>
  </si>
  <si>
    <t>=I1152*J1152</t>
  </si>
  <si>
    <t>=I1158*J1158</t>
  </si>
  <si>
    <t>=I1162*J1162</t>
  </si>
  <si>
    <t>=I1123*J1123</t>
  </si>
  <si>
    <t>=I1125*J1125</t>
  </si>
  <si>
    <t>=I1127*J1127</t>
  </si>
  <si>
    <t>=I1129*J1129</t>
  </si>
  <si>
    <t>=I1131*J1131</t>
  </si>
  <si>
    <t>=I1133*J1133</t>
  </si>
  <si>
    <t>=I1138*J1138</t>
  </si>
  <si>
    <t>=I1140*J1140</t>
  </si>
  <si>
    <t>=I1166*J1166</t>
  </si>
  <si>
    <t>=I1171*J1171</t>
  </si>
  <si>
    <t>=I1176*J1176</t>
  </si>
  <si>
    <t>=I1179*J1179</t>
  </si>
  <si>
    <t>=I1181*J1181</t>
  </si>
  <si>
    <t>=I1183*J1183</t>
  </si>
  <si>
    <t>=I1186*J1186</t>
  </si>
  <si>
    <t>=I1189*J1189</t>
  </si>
  <si>
    <t>=I1193*J1193</t>
  </si>
  <si>
    <t>=I1214*J1214</t>
  </si>
  <si>
    <t>=I1216*J1216</t>
  </si>
  <si>
    <t>=I1218*J1218</t>
  </si>
  <si>
    <t>=I1220*J1220</t>
  </si>
  <si>
    <t>=I1222*J1222</t>
  </si>
  <si>
    <t>=I1224*J1224</t>
  </si>
  <si>
    <t>=I1230*J1230</t>
  </si>
  <si>
    <t>=I1234*J1234</t>
  </si>
  <si>
    <t>=I1195*J1195</t>
  </si>
  <si>
    <t>=I1197*J1197</t>
  </si>
  <si>
    <t>=I1199*J1199</t>
  </si>
  <si>
    <t>=I1201*J1201</t>
  </si>
  <si>
    <t>=I1203*J1203</t>
  </si>
  <si>
    <t>=I1205*J1205</t>
  </si>
  <si>
    <t>=I1210*J1210</t>
  </si>
  <si>
    <t>=I1212*J1212</t>
  </si>
  <si>
    <t>=I1238*J1238</t>
  </si>
  <si>
    <t>=I1243*J1243</t>
  </si>
  <si>
    <t>=I1248*J1248</t>
  </si>
  <si>
    <t>=I1251*J1251</t>
  </si>
  <si>
    <t>=I1253*J1253</t>
  </si>
  <si>
    <t>=I1255*J1255</t>
  </si>
  <si>
    <t>=I1258*J1258</t>
  </si>
  <si>
    <t>=I1261*J1261</t>
  </si>
  <si>
    <t>=I67*J67</t>
  </si>
  <si>
    <t>=I85*J85</t>
  </si>
  <si>
    <t>=I88*J88</t>
  </si>
  <si>
    <t>=I69*J69</t>
  </si>
  <si>
    <t>=I71*J71</t>
  </si>
  <si>
    <t>=I73*J73</t>
  </si>
  <si>
    <t>=I75*J75</t>
  </si>
  <si>
    <t>=I77*J77</t>
  </si>
  <si>
    <t>=I79*J79</t>
  </si>
  <si>
    <t>=I81*J81</t>
  </si>
  <si>
    <t>=I83*J83</t>
  </si>
  <si>
    <t>=I164*J164</t>
  </si>
  <si>
    <t>=I92*J92</t>
  </si>
  <si>
    <t>=I94*J94</t>
  </si>
  <si>
    <t>=I96*J96</t>
  </si>
  <si>
    <t>=I107*J107</t>
  </si>
  <si>
    <t>=I119*J119</t>
  </si>
  <si>
    <t>=I122*J122</t>
  </si>
  <si>
    <t>=I125*J125</t>
  </si>
  <si>
    <t>=I127*J127</t>
  </si>
  <si>
    <t>=I137*J137</t>
  </si>
  <si>
    <t>=I141*J141</t>
  </si>
  <si>
    <t>=I146*J146</t>
  </si>
  <si>
    <t>=I151*J151</t>
  </si>
  <si>
    <t>=I154*J154</t>
  </si>
  <si>
    <t>=I156*J156</t>
  </si>
  <si>
    <t>=I158*J158</t>
  </si>
  <si>
    <t>=I161*J161</t>
  </si>
  <si>
    <t>=I1265*J1265</t>
  </si>
  <si>
    <t>=I1286*J1286</t>
  </si>
  <si>
    <t>=I1288*J1288</t>
  </si>
  <si>
    <t>=I1290*J1290</t>
  </si>
  <si>
    <t>=I1292*J1292</t>
  </si>
  <si>
    <t>=I1294*J1294</t>
  </si>
  <si>
    <t>=I1296*J1296</t>
  </si>
  <si>
    <t>=I1302*J1302</t>
  </si>
  <si>
    <t>=I1306*J1306</t>
  </si>
  <si>
    <t>=I1267*J1267</t>
  </si>
  <si>
    <t>=I1269*J1269</t>
  </si>
  <si>
    <t>=I1271*J1271</t>
  </si>
  <si>
    <t>=I1273*J1273</t>
  </si>
  <si>
    <t>=I1275*J1275</t>
  </si>
  <si>
    <t>=I1277*J1277</t>
  </si>
  <si>
    <t>=I1282*J1282</t>
  </si>
  <si>
    <t>=I1284*J1284</t>
  </si>
  <si>
    <t>=I1310*J1310</t>
  </si>
  <si>
    <t>=I1315*J1315</t>
  </si>
  <si>
    <t>=I1320*J1320</t>
  </si>
  <si>
    <t>=I1323*J1323</t>
  </si>
  <si>
    <t>=I1325*J1325</t>
  </si>
  <si>
    <t>=I1327*J1327</t>
  </si>
  <si>
    <t>=I1330*J1330</t>
  </si>
  <si>
    <t>=I1333*J1333</t>
  </si>
  <si>
    <t>=I1337*J1337</t>
  </si>
  <si>
    <t>=I1339*J1339</t>
  </si>
  <si>
    <t>=I1341*J1341</t>
  </si>
  <si>
    <t>=I1343*J1343</t>
  </si>
  <si>
    <t>=I1345*J1345</t>
  </si>
  <si>
    <t>=I1347*J1347</t>
  </si>
  <si>
    <t>=I1349*J1349</t>
  </si>
  <si>
    <t>=I1431*J1431</t>
  </si>
  <si>
    <t>=I1434*J1434</t>
  </si>
  <si>
    <t>=I1436*J1436</t>
  </si>
  <si>
    <t>=I1438*J1438</t>
  </si>
  <si>
    <t>=I1440*J1440</t>
  </si>
  <si>
    <t>=I1443*J1443</t>
  </si>
  <si>
    <t>=I1446*J1446</t>
  </si>
  <si>
    <t>=I1448*J1448</t>
  </si>
  <si>
    <t>=I1450*J1450</t>
  </si>
  <si>
    <t>=I1353*J1353</t>
  </si>
  <si>
    <t>=I1357*J1357</t>
  </si>
  <si>
    <t>=I1370*J1370</t>
  </si>
  <si>
    <t>=I1373*J1373</t>
  </si>
  <si>
    <t>=I1375*J1375</t>
  </si>
  <si>
    <t>=I1378*J1378</t>
  </si>
  <si>
    <t>=I1380*J1380</t>
  </si>
  <si>
    <t>=I1386*J1386</t>
  </si>
  <si>
    <t>=I1388*J1388</t>
  </si>
  <si>
    <t>=I1393*J1393</t>
  </si>
  <si>
    <t>=I1395*J1395</t>
  </si>
  <si>
    <t>=I1397*J1397</t>
  </si>
  <si>
    <t>=I1417*J1417</t>
  </si>
  <si>
    <t>=I1425*J1425</t>
  </si>
  <si>
    <t>=I1428*J1428</t>
  </si>
  <si>
    <t>=I1454*J1454</t>
  </si>
  <si>
    <t>=I1472*J1472</t>
  </si>
  <si>
    <t>=I1474*J1474</t>
  </si>
  <si>
    <t>=I1476*J1476</t>
  </si>
  <si>
    <t>=I1493*J1493</t>
  </si>
  <si>
    <t>=I1495*J1495</t>
  </si>
  <si>
    <t>=I1456*J1456</t>
  </si>
  <si>
    <t>=I1458*J1458</t>
  </si>
  <si>
    <t>=I1460*J1460</t>
  </si>
  <si>
    <t>=I1462*J1462</t>
  </si>
  <si>
    <t>=I1464*J1464</t>
  </si>
  <si>
    <t>=I1466*J1466</t>
  </si>
  <si>
    <t>=I1468*J1468</t>
  </si>
  <si>
    <t>=I1470*J1470</t>
  </si>
  <si>
    <t>=I1498*J1498</t>
  </si>
  <si>
    <t>=I1501*J1501</t>
  </si>
  <si>
    <t>=I1503*J1503</t>
  </si>
  <si>
    <t>=I1505*J1505</t>
  </si>
  <si>
    <t>=I1507*J1507</t>
  </si>
  <si>
    <t>=I1511*J1511</t>
  </si>
  <si>
    <t>=I1518*J1518</t>
  </si>
  <si>
    <t>=I1536*J1536</t>
  </si>
  <si>
    <t>=I1538*J1538</t>
  </si>
  <si>
    <t>=I1540*J1540</t>
  </si>
  <si>
    <t>=I1557*J1557</t>
  </si>
  <si>
    <t>=I1559*J1559</t>
  </si>
  <si>
    <t>=I1520*J1520</t>
  </si>
  <si>
    <t>=I1522*J1522</t>
  </si>
  <si>
    <t>=I1524*J1524</t>
  </si>
  <si>
    <t>=I1526*J1526</t>
  </si>
  <si>
    <t>=I1528*J1528</t>
  </si>
  <si>
    <t>=I1530*J1530</t>
  </si>
  <si>
    <t>=I1532*J1532</t>
  </si>
  <si>
    <t>=I1534*J1534</t>
  </si>
  <si>
    <t>=I1563*J1563</t>
  </si>
  <si>
    <t>=I1571*J1571</t>
  </si>
  <si>
    <t>=I1574*J1574</t>
  </si>
  <si>
    <t>=I1577*J1577</t>
  </si>
  <si>
    <t>=I1580*J1580</t>
  </si>
  <si>
    <t>=I1582*J1582</t>
  </si>
  <si>
    <t>=I1584*J1584</t>
  </si>
  <si>
    <t>=I1586*J1586</t>
  </si>
  <si>
    <t>=I1589*J1589</t>
  </si>
  <si>
    <t>=I1592*J1592</t>
  </si>
  <si>
    <t>=I1594*J1594</t>
  </si>
  <si>
    <t>=I1596*J1596</t>
  </si>
  <si>
    <t>=I1600*J1600</t>
  </si>
  <si>
    <t>=I1618*J1618</t>
  </si>
  <si>
    <t>=I1620*J1620</t>
  </si>
  <si>
    <t>=I1622*J1622</t>
  </si>
  <si>
    <t>=I1624*J1624</t>
  </si>
  <si>
    <t>=I1626*J1626</t>
  </si>
  <si>
    <t>=I1628*J1628</t>
  </si>
  <si>
    <t>=I1630*J1630</t>
  </si>
  <si>
    <t>=I1632*J1632</t>
  </si>
  <si>
    <t>=I1602*J1602</t>
  </si>
  <si>
    <t>=I1604*J1604</t>
  </si>
  <si>
    <t>=I1606*J1606</t>
  </si>
  <si>
    <t>=I1608*J1608</t>
  </si>
  <si>
    <t>=I1610*J1610</t>
  </si>
  <si>
    <t>=I1612*J1612</t>
  </si>
  <si>
    <t>=I1614*J1614</t>
  </si>
  <si>
    <t>=I1616*J1616</t>
  </si>
  <si>
    <t>=I1636*J1636</t>
  </si>
  <si>
    <t>=I1640*J1640</t>
  </si>
  <si>
    <t>=I1643*J1643</t>
  </si>
  <si>
    <t>=I1646*J1646</t>
  </si>
  <si>
    <t>=I1649*J1649</t>
  </si>
  <si>
    <t>=I1651*J1651</t>
  </si>
  <si>
    <t>=I1653*J1653</t>
  </si>
  <si>
    <t>=I1655*J1655</t>
  </si>
  <si>
    <t>=I1658*J1658</t>
  </si>
  <si>
    <t>=I1661*J1661</t>
  </si>
  <si>
    <t>=I1663*J1663</t>
  </si>
  <si>
    <t>=I1665*J1665</t>
  </si>
  <si>
    <t>=I1669*J1669</t>
  </si>
  <si>
    <t>=I1672*J1672</t>
  </si>
  <si>
    <t>=I1674*J1674</t>
  </si>
  <si>
    <t>=I1676*J1676</t>
  </si>
  <si>
    <t>=I1687*J1687</t>
  </si>
  <si>
    <t>=I1699*J1699</t>
  </si>
  <si>
    <t>=I1701*J1701</t>
  </si>
  <si>
    <t>=I1711*J1711</t>
  </si>
  <si>
    <t>=I1714*J1714</t>
  </si>
  <si>
    <t>=I1719*J1719</t>
  </si>
  <si>
    <t>=I1723*J1723</t>
  </si>
  <si>
    <t>=I1736*J1736</t>
  </si>
  <si>
    <t>=I1739*J1739</t>
  </si>
  <si>
    <t>=I1741*J1741</t>
  </si>
  <si>
    <t>=I1743*J1743</t>
  </si>
  <si>
    <t>=I1745*J1745</t>
  </si>
  <si>
    <t>=I1748*J1748</t>
  </si>
  <si>
    <t>=I1750*J1750</t>
  </si>
  <si>
    <t>=I1756*J1756</t>
  </si>
  <si>
    <t>=I1758*J1758</t>
  </si>
  <si>
    <t>=I1760*J1760</t>
  </si>
  <si>
    <t>=I1779*J1779</t>
  </si>
  <si>
    <t>=I1781*J1781</t>
  </si>
  <si>
    <t>=I1786*J1786</t>
  </si>
  <si>
    <t>=I1789*J1789</t>
  </si>
  <si>
    <t>=I168*J168</t>
  </si>
  <si>
    <t>=I186*J186</t>
  </si>
  <si>
    <t>=I188*J188</t>
  </si>
  <si>
    <t>=I190*J190</t>
  </si>
  <si>
    <t>=I192*J192</t>
  </si>
  <si>
    <t>=I170*J170</t>
  </si>
  <si>
    <t>=I172*J172</t>
  </si>
  <si>
    <t>=I174*J174</t>
  </si>
  <si>
    <t>=I176*J176</t>
  </si>
  <si>
    <t>=I178*J178</t>
  </si>
  <si>
    <t>=I180*J180</t>
  </si>
  <si>
    <t>=I182*J182</t>
  </si>
  <si>
    <t>=I184*J184</t>
  </si>
  <si>
    <t>=I268*J268</t>
  </si>
  <si>
    <t>=I195*J195</t>
  </si>
  <si>
    <t>=I197*J197</t>
  </si>
  <si>
    <t>=I199*J199</t>
  </si>
  <si>
    <t>=I223*J223</t>
  </si>
  <si>
    <t>=I225*J225</t>
  </si>
  <si>
    <t>=I233*J233</t>
  </si>
  <si>
    <t>=I237*J237</t>
  </si>
  <si>
    <t>=I241*J241</t>
  </si>
  <si>
    <t>=I249*J249</t>
  </si>
  <si>
    <t>=I252*J252</t>
  </si>
  <si>
    <t>=I254*J254</t>
  </si>
  <si>
    <t>=I256*J256</t>
  </si>
  <si>
    <t>=I259*J259</t>
  </si>
  <si>
    <t>=I262*J262</t>
  </si>
  <si>
    <t>=I265*J265</t>
  </si>
  <si>
    <t>=I272*J272</t>
  </si>
  <si>
    <t>=I290*J290</t>
  </si>
  <si>
    <t>=I294*J294</t>
  </si>
  <si>
    <t>=I296*J296</t>
  </si>
  <si>
    <t>=I298*J298</t>
  </si>
  <si>
    <t>=I274*J274</t>
  </si>
  <si>
    <t>=I276*J276</t>
  </si>
  <si>
    <t>=I278*J278</t>
  </si>
  <si>
    <t>=I280*J280</t>
  </si>
  <si>
    <t>=I286*J286</t>
  </si>
  <si>
    <t>=I288*J288</t>
  </si>
  <si>
    <t>=I303*J303</t>
  </si>
  <si>
    <t>=I318*J318</t>
  </si>
  <si>
    <t>=I321*J321</t>
  </si>
  <si>
    <t>=I325*J325</t>
  </si>
  <si>
    <t>=I328*J328</t>
  </si>
  <si>
    <t>=I337*J337</t>
  </si>
  <si>
    <t>=I343*J343</t>
  </si>
  <si>
    <t>=I345*J345</t>
  </si>
  <si>
    <t>=I347*J347</t>
  </si>
  <si>
    <t>=I355*J355</t>
  </si>
  <si>
    <t>=I364*J364</t>
  </si>
  <si>
    <t>=I366*J366</t>
  </si>
  <si>
    <t>=I374*J374</t>
  </si>
  <si>
    <t>=I398*J398</t>
  </si>
  <si>
    <t>=I400*J400</t>
  </si>
  <si>
    <t>=I402*J402</t>
  </si>
  <si>
    <t>=I380*J380</t>
  </si>
  <si>
    <t>=I384*J384</t>
  </si>
  <si>
    <t>=I386*J386</t>
  </si>
  <si>
    <t>=I388*J388</t>
  </si>
  <si>
    <t>=I390*J390</t>
  </si>
  <si>
    <t>=I392*J392</t>
  </si>
  <si>
    <t>=I414*J414</t>
  </si>
  <si>
    <t>=I417*J417</t>
  </si>
  <si>
    <t>=I419*J419</t>
  </si>
  <si>
    <t>=I421*J421</t>
  </si>
  <si>
    <t>=I449*J449</t>
  </si>
  <si>
    <t>=I451*J451</t>
  </si>
  <si>
    <t>=I453*J453</t>
  </si>
  <si>
    <t>=I470*J470</t>
  </si>
  <si>
    <t>=I472*J472</t>
  </si>
  <si>
    <t>=I433*J433</t>
  </si>
  <si>
    <t>=I435*J435</t>
  </si>
  <si>
    <t>=I437*J437</t>
  </si>
  <si>
    <t>=I439*J439</t>
  </si>
  <si>
    <t>=I441*J441</t>
  </si>
  <si>
    <t>=I447*J447</t>
  </si>
  <si>
    <t>=I476*J476</t>
  </si>
  <si>
    <t>=I484*J484</t>
  </si>
  <si>
    <t>=I487*J487</t>
  </si>
  <si>
    <t>=I494*J494</t>
  </si>
  <si>
    <t>=I497*J497</t>
  </si>
  <si>
    <t>=I503*J503</t>
  </si>
  <si>
    <t>=I507*J507</t>
  </si>
  <si>
    <t>=I517*J517</t>
  </si>
  <si>
    <t>=I552*J552</t>
  </si>
  <si>
    <t>=I555*J555</t>
  </si>
  <si>
    <t>=I557*J557</t>
  </si>
  <si>
    <t>=I559*J559</t>
  </si>
  <si>
    <t>=I587*J587</t>
  </si>
  <si>
    <t>=I589*J589</t>
  </si>
  <si>
    <t>=I591*J591</t>
  </si>
  <si>
    <t>=I608*J608</t>
  </si>
  <si>
    <t>=I610*J610</t>
  </si>
  <si>
    <t>=I571*J571</t>
  </si>
  <si>
    <t>=I573*J573</t>
  </si>
  <si>
    <t>=I575*J575</t>
  </si>
  <si>
    <t>=I577*J577</t>
  </si>
  <si>
    <t>=I579*J579</t>
  </si>
  <si>
    <t>=I581*J581</t>
  </si>
  <si>
    <t>=I583*J583</t>
  </si>
  <si>
    <t>=I585*J585</t>
  </si>
  <si>
    <t>=I613*J613</t>
  </si>
  <si>
    <t>=I616*J616</t>
  </si>
  <si>
    <t>=I618*J618</t>
  </si>
  <si>
    <t>=I620*J620</t>
  </si>
  <si>
    <t>=I623*J623</t>
  </si>
  <si>
    <t>=I626*J626</t>
  </si>
  <si>
    <t>=I630*J630</t>
  </si>
  <si>
    <t>=100*(1-(M6/K6))</t>
  </si>
  <si>
    <t>=100*(1-(M8/K8))</t>
  </si>
  <si>
    <t>=100*(1-(M10/K10))</t>
  </si>
  <si>
    <t>=100*(1-(M20/K20))</t>
  </si>
  <si>
    <t>=100*(1-(M32/K32))</t>
  </si>
  <si>
    <t>=100*(1-(M34/K34))</t>
  </si>
  <si>
    <t>=100*(1-(M44/K44))</t>
  </si>
  <si>
    <t>=100*(1-(M47/K47))</t>
  </si>
  <si>
    <t>=100*(1-(M50/K50))</t>
  </si>
  <si>
    <t>=100*(1-(M53/K53))</t>
  </si>
  <si>
    <t>=100*(1-(M56/K56))</t>
  </si>
  <si>
    <t>=100*(1-(M59/K59))</t>
  </si>
  <si>
    <t>=100*(1-(M61/K61))</t>
  </si>
  <si>
    <t>=100*(1-(M63/K63))</t>
  </si>
  <si>
    <t>=100*(1-(M639/K639))</t>
  </si>
  <si>
    <t>=100*(1-(M678/K678))</t>
  </si>
  <si>
    <t>=100*(1-(M680/K680))</t>
  </si>
  <si>
    <t>=100*(1-(M641/K641))</t>
  </si>
  <si>
    <t>=100*(1-(M643/K643))</t>
  </si>
  <si>
    <t>=100*(1-(M645/K645))</t>
  </si>
  <si>
    <t>=100*(1-(M647/K647))</t>
  </si>
  <si>
    <t>=100*(1-(M649/K649))</t>
  </si>
  <si>
    <t>=100*(1-(M651/K651))</t>
  </si>
  <si>
    <t>=100*(1-(M653/K653))</t>
  </si>
  <si>
    <t>=100*(1-(M655/K655))</t>
  </si>
  <si>
    <t>=100*(1-(M684/K684))</t>
  </si>
  <si>
    <t>=100*(1-(M694/K694))</t>
  </si>
  <si>
    <t>=100*(1-(M696/K696))</t>
  </si>
  <si>
    <t>=100*(1-(M698/K698))</t>
  </si>
  <si>
    <t>=100*(1-(M701/K701))</t>
  </si>
  <si>
    <t>=100*(1-(M704/K704))</t>
  </si>
  <si>
    <t>=100*(1-(M708/K708))</t>
  </si>
  <si>
    <t>=100*(1-(M727/K727))</t>
  </si>
  <si>
    <t>=100*(1-(M729/K729))</t>
  </si>
  <si>
    <t>=100*(1-(M710/K710))</t>
  </si>
  <si>
    <t>=100*(1-(M718/K718))</t>
  </si>
  <si>
    <t>=100*(1-(M720/K720))</t>
  </si>
  <si>
    <t>=100*(1-(M723/K723))</t>
  </si>
  <si>
    <t>=100*(1-(M725/K725))</t>
  </si>
  <si>
    <t>=100*(1-(M742/K742))</t>
  </si>
  <si>
    <t>=100*(1-(M748/K748))</t>
  </si>
  <si>
    <t>=100*(1-(M751/K751))</t>
  </si>
  <si>
    <t>=100*(1-(M753/K753))</t>
  </si>
  <si>
    <t>=100*(1-(M761/K761))</t>
  </si>
  <si>
    <t>=100*(1-(M765/K765))</t>
  </si>
  <si>
    <t>=100*(1-(M784/K784))</t>
  </si>
  <si>
    <t>=100*(1-(M786/K786))</t>
  </si>
  <si>
    <t>=100*(1-(M793/K793))</t>
  </si>
  <si>
    <t>=100*(1-(M795/K795))</t>
  </si>
  <si>
    <t>=100*(1-(M767/K767))</t>
  </si>
  <si>
    <t>=100*(1-(M769/K769))</t>
  </si>
  <si>
    <t>=100*(1-(M773/K773))</t>
  </si>
  <si>
    <t>=100*(1-(M775/K775))</t>
  </si>
  <si>
    <t>=100*(1-(M777/K777))</t>
  </si>
  <si>
    <t>=100*(1-(M780/K780))</t>
  </si>
  <si>
    <t>=100*(1-(M799/K799))</t>
  </si>
  <si>
    <t>=100*(1-(M805/K805))</t>
  </si>
  <si>
    <t>=100*(1-(M810/K810))</t>
  </si>
  <si>
    <t>=100*(1-(M812/K812))</t>
  </si>
  <si>
    <t>=100*(1-(M815/K815))</t>
  </si>
  <si>
    <t>=100*(1-(M818/K818))</t>
  </si>
  <si>
    <t>=100*(1-(M841/K841))</t>
  </si>
  <si>
    <t>=100*(1-(M843/K843))</t>
  </si>
  <si>
    <t>=100*(1-(M850/K850))</t>
  </si>
  <si>
    <t>=100*(1-(M852/K852))</t>
  </si>
  <si>
    <t>=100*(1-(M824/K824))</t>
  </si>
  <si>
    <t>=100*(1-(M826/K826))</t>
  </si>
  <si>
    <t>=100*(1-(M828/K828))</t>
  </si>
  <si>
    <t>=100*(1-(M830/K830))</t>
  </si>
  <si>
    <t>=100*(1-(M832/K832))</t>
  </si>
  <si>
    <t>=100*(1-(M856/K856))</t>
  </si>
  <si>
    <t>=100*(1-(M869/K869))</t>
  </si>
  <si>
    <t>=100*(1-(M871/K871))</t>
  </si>
  <si>
    <t>=100*(1-(M875/K875))</t>
  </si>
  <si>
    <t>=100*(1-(M894/K894))</t>
  </si>
  <si>
    <t>=100*(1-(M903/K903))</t>
  </si>
  <si>
    <t>=100*(1-(M905/K905))</t>
  </si>
  <si>
    <t>=100*(1-(M877/K877))</t>
  </si>
  <si>
    <t>=100*(1-(M879/K879))</t>
  </si>
  <si>
    <t>=100*(1-(M881/K881))</t>
  </si>
  <si>
    <t>=100*(1-(M883/K883))</t>
  </si>
  <si>
    <t>=100*(1-(M885/K885))</t>
  </si>
  <si>
    <t>=100*(1-(M887/K887))</t>
  </si>
  <si>
    <t>=100*(1-(M890/K890))</t>
  </si>
  <si>
    <t>=100*(1-(M892/K892))</t>
  </si>
  <si>
    <t>=100*(1-(M909/K909))</t>
  </si>
  <si>
    <t>=100*(1-(M916/K916))</t>
  </si>
  <si>
    <t>=100*(1-(M921/K921))</t>
  </si>
  <si>
    <t>=100*(1-(M923/K923))</t>
  </si>
  <si>
    <t>=100*(1-(M925/K925))</t>
  </si>
  <si>
    <t>=100*(1-(M929/K929))</t>
  </si>
  <si>
    <t>=100*(1-(M947/K947))</t>
  </si>
  <si>
    <t>=100*(1-(M949/K949))</t>
  </si>
  <si>
    <t>=100*(1-(M952/K952))</t>
  </si>
  <si>
    <t>=100*(1-(M931/K931))</t>
  </si>
  <si>
    <t>=100*(1-(M933/K933))</t>
  </si>
  <si>
    <t>=100*(1-(M941/K941))</t>
  </si>
  <si>
    <t>=100*(1-(M943/K943))</t>
  </si>
  <si>
    <t>=100*(1-(M945/K945))</t>
  </si>
  <si>
    <t>=100*(1-(M957/K957))</t>
  </si>
  <si>
    <t>=100*(1-(M962/K962))</t>
  </si>
  <si>
    <t>=100*(1-(M967/K967))</t>
  </si>
  <si>
    <t>=100*(1-(M977/K977))</t>
  </si>
  <si>
    <t>=100*(1-(M980/K980))</t>
  </si>
  <si>
    <t>=100*(1-(M984/K984))</t>
  </si>
  <si>
    <t>=100*(1-(M1002/K1002))</t>
  </si>
  <si>
    <t>=100*(1-(M1004/K1004))</t>
  </si>
  <si>
    <t>=100*(1-(M1006/K1006))</t>
  </si>
  <si>
    <t>=100*(1-(M1008/K1008))</t>
  </si>
  <si>
    <t>=100*(1-(M1010/K1010))</t>
  </si>
  <si>
    <t>=100*(1-(M1012/K1012))</t>
  </si>
  <si>
    <t>=100*(1-(M1014/K1014))</t>
  </si>
  <si>
    <t>=100*(1-(M1016/K1016))</t>
  </si>
  <si>
    <t>=100*(1-(M1019/K1019))</t>
  </si>
  <si>
    <t>=100*(1-(M986/K986))</t>
  </si>
  <si>
    <t>=100*(1-(M988/K988))</t>
  </si>
  <si>
    <t>=100*(1-(M990/K990))</t>
  </si>
  <si>
    <t>=100*(1-(M992/K992))</t>
  </si>
  <si>
    <t>=100*(1-(M994/K994))</t>
  </si>
  <si>
    <t>=100*(1-(M996/K996))</t>
  </si>
  <si>
    <t>=100*(1-(M998/K998))</t>
  </si>
  <si>
    <t>=100*(1-(M1000/K1000))</t>
  </si>
  <si>
    <t>=100*(1-(M1024/K1024))</t>
  </si>
  <si>
    <t>=100*(1-(M1029/K1029))</t>
  </si>
  <si>
    <t>=100*(1-(M1034/K1034))</t>
  </si>
  <si>
    <t>=100*(1-(M1037/K1037))</t>
  </si>
  <si>
    <t>=100*(1-(M1039/K1039))</t>
  </si>
  <si>
    <t>=100*(1-(M1041/K1041))</t>
  </si>
  <si>
    <t>=100*(1-(M1043/K1043))</t>
  </si>
  <si>
    <t>=100*(1-(M1047/K1047))</t>
  </si>
  <si>
    <t>=100*(1-(M1068/K1068))</t>
  </si>
  <si>
    <t>=100*(1-(M1070/K1070))</t>
  </si>
  <si>
    <t>=100*(1-(M1072/K1072))</t>
  </si>
  <si>
    <t>=100*(1-(M1074/K1074))</t>
  </si>
  <si>
    <t>=100*(1-(M1076/K1076))</t>
  </si>
  <si>
    <t>=100*(1-(M1078/K1078))</t>
  </si>
  <si>
    <t>=100*(1-(M1080/K1080))</t>
  </si>
  <si>
    <t>=100*(1-(M1086/K1086))</t>
  </si>
  <si>
    <t>=100*(1-(M1090/K1090))</t>
  </si>
  <si>
    <t>=100*(1-(M1049/K1049))</t>
  </si>
  <si>
    <t>=100*(1-(M1051/K1051))</t>
  </si>
  <si>
    <t>=100*(1-(M1053/K1053))</t>
  </si>
  <si>
    <t>=100*(1-(M1055/K1055))</t>
  </si>
  <si>
    <t>=100*(1-(M1057/K1057))</t>
  </si>
  <si>
    <t>=100*(1-(M1059/K1059))</t>
  </si>
  <si>
    <t>=100*(1-(M1064/K1064))</t>
  </si>
  <si>
    <t>=100*(1-(M1066/K1066))</t>
  </si>
  <si>
    <t>=100*(1-(M1094/K1094))</t>
  </si>
  <si>
    <t>=100*(1-(M1099/K1099))</t>
  </si>
  <si>
    <t>=100*(1-(M1104/K1104))</t>
  </si>
  <si>
    <t>=100*(1-(M1107/K1107))</t>
  </si>
  <si>
    <t>=100*(1-(M1109/K1109))</t>
  </si>
  <si>
    <t>=100*(1-(M1111/K1111))</t>
  </si>
  <si>
    <t>=100*(1-(M1114/K1114))</t>
  </si>
  <si>
    <t>=100*(1-(M1117/K1117))</t>
  </si>
  <si>
    <t>=100*(1-(M1121/K1121))</t>
  </si>
  <si>
    <t>=100*(1-(M1142/K1142))</t>
  </si>
  <si>
    <t>=100*(1-(M1144/K1144))</t>
  </si>
  <si>
    <t>=100*(1-(M1146/K1146))</t>
  </si>
  <si>
    <t>=100*(1-(M1148/K1148))</t>
  </si>
  <si>
    <t>=100*(1-(M1150/K1150))</t>
  </si>
  <si>
    <t>=100*(1-(M1152/K1152))</t>
  </si>
  <si>
    <t>=100*(1-(M1158/K1158))</t>
  </si>
  <si>
    <t>=100*(1-(M1162/K1162))</t>
  </si>
  <si>
    <t>=100*(1-(M1123/K1123))</t>
  </si>
  <si>
    <t>=100*(1-(M1125/K1125))</t>
  </si>
  <si>
    <t>=100*(1-(M1127/K1127))</t>
  </si>
  <si>
    <t>=100*(1-(M1129/K1129))</t>
  </si>
  <si>
    <t>=100*(1-(M1131/K1131))</t>
  </si>
  <si>
    <t>=100*(1-(M1133/K1133))</t>
  </si>
  <si>
    <t>=100*(1-(M1138/K1138))</t>
  </si>
  <si>
    <t>=100*(1-(M1140/K1140))</t>
  </si>
  <si>
    <t>=100*(1-(M1166/K1166))</t>
  </si>
  <si>
    <t>=100*(1-(M1171/K1171))</t>
  </si>
  <si>
    <t>=100*(1-(M1176/K1176))</t>
  </si>
  <si>
    <t>=100*(1-(M1179/K1179))</t>
  </si>
  <si>
    <t>=100*(1-(M1181/K1181))</t>
  </si>
  <si>
    <t>=100*(1-(M1183/K1183))</t>
  </si>
  <si>
    <t>=100*(1-(M1186/K1186))</t>
  </si>
  <si>
    <t>=100*(1-(M1189/K1189))</t>
  </si>
  <si>
    <t>=100*(1-(M1193/K1193))</t>
  </si>
  <si>
    <t>=100*(1-(M1214/K1214))</t>
  </si>
  <si>
    <t>=100*(1-(M1216/K1216))</t>
  </si>
  <si>
    <t>=100*(1-(M1218/K1218))</t>
  </si>
  <si>
    <t>=100*(1-(M1220/K1220))</t>
  </si>
  <si>
    <t>=100*(1-(M1222/K1222))</t>
  </si>
  <si>
    <t>=100*(1-(M1224/K1224))</t>
  </si>
  <si>
    <t>=100*(1-(M1230/K1230))</t>
  </si>
  <si>
    <t>=100*(1-(M1234/K1234))</t>
  </si>
  <si>
    <t>=100*(1-(M1195/K1195))</t>
  </si>
  <si>
    <t>=100*(1-(M1197/K1197))</t>
  </si>
  <si>
    <t>=100*(1-(M1199/K1199))</t>
  </si>
  <si>
    <t>=100*(1-(M1201/K1201))</t>
  </si>
  <si>
    <t>=100*(1-(M1203/K1203))</t>
  </si>
  <si>
    <t>=100*(1-(M1205/K1205))</t>
  </si>
  <si>
    <t>=100*(1-(M1210/K1210))</t>
  </si>
  <si>
    <t>=100*(1-(M1212/K1212))</t>
  </si>
  <si>
    <t>=100*(1-(M1238/K1238))</t>
  </si>
  <si>
    <t>=100*(1-(M1243/K1243))</t>
  </si>
  <si>
    <t>=100*(1-(M1248/K1248))</t>
  </si>
  <si>
    <t>=100*(1-(M1251/K1251))</t>
  </si>
  <si>
    <t>=100*(1-(M1253/K1253))</t>
  </si>
  <si>
    <t>=100*(1-(M1255/K1255))</t>
  </si>
  <si>
    <t>=100*(1-(M1258/K1258))</t>
  </si>
  <si>
    <t>=100*(1-(M1261/K1261))</t>
  </si>
  <si>
    <t>=100*(1-(M67/K67))</t>
  </si>
  <si>
    <t>=100*(1-(M85/K85))</t>
  </si>
  <si>
    <t>=100*(1-(M88/K88))</t>
  </si>
  <si>
    <t>=100*(1-(M69/K69))</t>
  </si>
  <si>
    <t>=100*(1-(M71/K71))</t>
  </si>
  <si>
    <t>=100*(1-(M73/K73))</t>
  </si>
  <si>
    <t>=100*(1-(M75/K75))</t>
  </si>
  <si>
    <t>=100*(1-(M77/K77))</t>
  </si>
  <si>
    <t>=100*(1-(M79/K79))</t>
  </si>
  <si>
    <t>=100*(1-(M81/K81))</t>
  </si>
  <si>
    <t>=100*(1-(M83/K83))</t>
  </si>
  <si>
    <t>=100*(1-(M164/K164))</t>
  </si>
  <si>
    <t>=100*(1-(M92/K92))</t>
  </si>
  <si>
    <t>=100*(1-(M94/K94))</t>
  </si>
  <si>
    <t>=100*(1-(M96/K96))</t>
  </si>
  <si>
    <t>=100*(1-(M107/K107))</t>
  </si>
  <si>
    <t>=100*(1-(M119/K119))</t>
  </si>
  <si>
    <t>=100*(1-(M122/K122))</t>
  </si>
  <si>
    <t>=100*(1-(M125/K125))</t>
  </si>
  <si>
    <t>=100*(1-(M127/K127))</t>
  </si>
  <si>
    <t>=100*(1-(M137/K137))</t>
  </si>
  <si>
    <t>=100*(1-(M141/K141))</t>
  </si>
  <si>
    <t>=100*(1-(M146/K146))</t>
  </si>
  <si>
    <t>=100*(1-(M151/K151))</t>
  </si>
  <si>
    <t>=100*(1-(M154/K154))</t>
  </si>
  <si>
    <t>=100*(1-(M156/K156))</t>
  </si>
  <si>
    <t>=100*(1-(M158/K158))</t>
  </si>
  <si>
    <t>=100*(1-(M161/K161))</t>
  </si>
  <si>
    <t>=100*(1-(M1265/K1265))</t>
  </si>
  <si>
    <t>=100*(1-(M1286/K1286))</t>
  </si>
  <si>
    <t>=100*(1-(M1288/K1288))</t>
  </si>
  <si>
    <t>=100*(1-(M1290/K1290))</t>
  </si>
  <si>
    <t>=100*(1-(M1292/K1292))</t>
  </si>
  <si>
    <t>=100*(1-(M1294/K1294))</t>
  </si>
  <si>
    <t>=100*(1-(M1296/K1296))</t>
  </si>
  <si>
    <t>=100*(1-(M1302/K1302))</t>
  </si>
  <si>
    <t>=100*(1-(M1306/K1306))</t>
  </si>
  <si>
    <t>=100*(1-(M1267/K1267))</t>
  </si>
  <si>
    <t>=100*(1-(M1269/K1269))</t>
  </si>
  <si>
    <t>=100*(1-(M1271/K1271))</t>
  </si>
  <si>
    <t>=100*(1-(M1273/K1273))</t>
  </si>
  <si>
    <t>=100*(1-(M1275/K1275))</t>
  </si>
  <si>
    <t>=100*(1-(M1277/K1277))</t>
  </si>
  <si>
    <t>=100*(1-(M1282/K1282))</t>
  </si>
  <si>
    <t>=100*(1-(M1284/K1284))</t>
  </si>
  <si>
    <t>=100*(1-(M1310/K1310))</t>
  </si>
  <si>
    <t>=100*(1-(M1315/K1315))</t>
  </si>
  <si>
    <t>=100*(1-(M1320/K1320))</t>
  </si>
  <si>
    <t>=100*(1-(M1323/K1323))</t>
  </si>
  <si>
    <t>=100*(1-(M1325/K1325))</t>
  </si>
  <si>
    <t>=100*(1-(M1327/K1327))</t>
  </si>
  <si>
    <t>=100*(1-(M1330/K1330))</t>
  </si>
  <si>
    <t>=100*(1-(M1333/K1333))</t>
  </si>
  <si>
    <t>=100*(1-(M1337/K1337))</t>
  </si>
  <si>
    <t>=100*(1-(M1339/K1339))</t>
  </si>
  <si>
    <t>=100*(1-(M1341/K1341))</t>
  </si>
  <si>
    <t>=100*(1-(M1343/K1343))</t>
  </si>
  <si>
    <t>=100*(1-(M1345/K1345))</t>
  </si>
  <si>
    <t>=100*(1-(M1347/K1347))</t>
  </si>
  <si>
    <t>=100*(1-(M1349/K1349))</t>
  </si>
  <si>
    <t>=100*(1-(M1431/K1431))</t>
  </si>
  <si>
    <t>=100*(1-(M1434/K1434))</t>
  </si>
  <si>
    <t>=100*(1-(M1436/K1436))</t>
  </si>
  <si>
    <t>=100*(1-(M1438/K1438))</t>
  </si>
  <si>
    <t>=100*(1-(M1440/K1440))</t>
  </si>
  <si>
    <t>=100*(1-(M1443/K1443))</t>
  </si>
  <si>
    <t>=100*(1-(M1446/K1446))</t>
  </si>
  <si>
    <t>=100*(1-(M1448/K1448))</t>
  </si>
  <si>
    <t>=100*(1-(M1450/K1450))</t>
  </si>
  <si>
    <t>=100*(1-(M1353/K1353))</t>
  </si>
  <si>
    <t>=100*(1-(M1357/K1357))</t>
  </si>
  <si>
    <t>=100*(1-(M1370/K1370))</t>
  </si>
  <si>
    <t>=100*(1-(M1373/K1373))</t>
  </si>
  <si>
    <t>=100*(1-(M1375/K1375))</t>
  </si>
  <si>
    <t>=100*(1-(M1378/K1378))</t>
  </si>
  <si>
    <t>=100*(1-(M1380/K1380))</t>
  </si>
  <si>
    <t>=100*(1-(M1386/K1386))</t>
  </si>
  <si>
    <t>=100*(1-(M1388/K1388))</t>
  </si>
  <si>
    <t>=100*(1-(M1393/K1393))</t>
  </si>
  <si>
    <t>=100*(1-(M1395/K1395))</t>
  </si>
  <si>
    <t>=100*(1-(M1397/K1397))</t>
  </si>
  <si>
    <t>=100*(1-(M1417/K1417))</t>
  </si>
  <si>
    <t>=100*(1-(M1425/K1425))</t>
  </si>
  <si>
    <t>=100*(1-(M1428/K1428))</t>
  </si>
  <si>
    <t>=100*(1-(M1454/K1454))</t>
  </si>
  <si>
    <t>=100*(1-(M1472/K1472))</t>
  </si>
  <si>
    <t>=100*(1-(M1474/K1474))</t>
  </si>
  <si>
    <t>=100*(1-(M1476/K1476))</t>
  </si>
  <si>
    <t>=100*(1-(M1493/K1493))</t>
  </si>
  <si>
    <t>=100*(1-(M1495/K1495))</t>
  </si>
  <si>
    <t>=100*(1-(M1456/K1456))</t>
  </si>
  <si>
    <t>=100*(1-(M1458/K1458))</t>
  </si>
  <si>
    <t>=100*(1-(M1460/K1460))</t>
  </si>
  <si>
    <t>=100*(1-(M1462/K1462))</t>
  </si>
  <si>
    <t>=100*(1-(M1464/K1464))</t>
  </si>
  <si>
    <t>=100*(1-(M1466/K1466))</t>
  </si>
  <si>
    <t>=100*(1-(M1468/K1468))</t>
  </si>
  <si>
    <t>=100*(1-(M1470/K1470))</t>
  </si>
  <si>
    <t>=100*(1-(M1498/K1498))</t>
  </si>
  <si>
    <t>=100*(1-(M1501/K1501))</t>
  </si>
  <si>
    <t>=100*(1-(M1503/K1503))</t>
  </si>
  <si>
    <t>=100*(1-(M1505/K1505))</t>
  </si>
  <si>
    <t>=100*(1-(M1507/K1507))</t>
  </si>
  <si>
    <t>=100*(1-(M1511/K1511))</t>
  </si>
  <si>
    <t>=100*(1-(M1518/K1518))</t>
  </si>
  <si>
    <t>=100*(1-(M1536/K1536))</t>
  </si>
  <si>
    <t>=100*(1-(M1538/K1538))</t>
  </si>
  <si>
    <t>=100*(1-(M1540/K1540))</t>
  </si>
  <si>
    <t>=100*(1-(M1557/K1557))</t>
  </si>
  <si>
    <t>=100*(1-(M1559/K1559))</t>
  </si>
  <si>
    <t>=100*(1-(M1520/K1520))</t>
  </si>
  <si>
    <t>=100*(1-(M1522/K1522))</t>
  </si>
  <si>
    <t>=100*(1-(M1524/K1524))</t>
  </si>
  <si>
    <t>=100*(1-(M1526/K1526))</t>
  </si>
  <si>
    <t>=100*(1-(M1528/K1528))</t>
  </si>
  <si>
    <t>=100*(1-(M1530/K1530))</t>
  </si>
  <si>
    <t>=100*(1-(M1532/K1532))</t>
  </si>
  <si>
    <t>=100*(1-(M1534/K1534))</t>
  </si>
  <si>
    <t>=100*(1-(M1563/K1563))</t>
  </si>
  <si>
    <t>=100*(1-(M1571/K1571))</t>
  </si>
  <si>
    <t>=100*(1-(M1574/K1574))</t>
  </si>
  <si>
    <t>=100*(1-(M1577/K1577))</t>
  </si>
  <si>
    <t>=100*(1-(M1580/K1580))</t>
  </si>
  <si>
    <t>=100*(1-(M1582/K1582))</t>
  </si>
  <si>
    <t>=100*(1-(M1584/K1584))</t>
  </si>
  <si>
    <t>=100*(1-(M1586/K1586))</t>
  </si>
  <si>
    <t>=100*(1-(M1589/K1589))</t>
  </si>
  <si>
    <t>=100*(1-(M1592/K1592))</t>
  </si>
  <si>
    <t>=100*(1-(M1594/K1594))</t>
  </si>
  <si>
    <t>=100*(1-(M1596/K1596))</t>
  </si>
  <si>
    <t>=100*(1-(M1600/K1600))</t>
  </si>
  <si>
    <t>=100*(1-(M1618/K1618))</t>
  </si>
  <si>
    <t>=100*(1-(M1620/K1620))</t>
  </si>
  <si>
    <t>=100*(1-(M1622/K1622))</t>
  </si>
  <si>
    <t>=100*(1-(M1624/K1624))</t>
  </si>
  <si>
    <t>=100*(1-(M1626/K1626))</t>
  </si>
  <si>
    <t>=100*(1-(M1628/K1628))</t>
  </si>
  <si>
    <t>=100*(1-(M1630/K1630))</t>
  </si>
  <si>
    <t>=100*(1-(M1632/K1632))</t>
  </si>
  <si>
    <t>=100*(1-(M1602/K1602))</t>
  </si>
  <si>
    <t>=100*(1-(M1604/K1604))</t>
  </si>
  <si>
    <t>=100*(1-(M1606/K1606))</t>
  </si>
  <si>
    <t>=100*(1-(M1608/K1608))</t>
  </si>
  <si>
    <t>=100*(1-(M1610/K1610))</t>
  </si>
  <si>
    <t>=100*(1-(M1612/K1612))</t>
  </si>
  <si>
    <t>=100*(1-(M1614/K1614))</t>
  </si>
  <si>
    <t>=100*(1-(M1616/K1616))</t>
  </si>
  <si>
    <t>=100*(1-(M1636/K1636))</t>
  </si>
  <si>
    <t>=100*(1-(M1640/K1640))</t>
  </si>
  <si>
    <t>=100*(1-(M1643/K1643))</t>
  </si>
  <si>
    <t>=100*(1-(M1646/K1646))</t>
  </si>
  <si>
    <t>=100*(1-(M1649/K1649))</t>
  </si>
  <si>
    <t>=100*(1-(M1651/K1651))</t>
  </si>
  <si>
    <t>=100*(1-(M1653/K1653))</t>
  </si>
  <si>
    <t>=100*(1-(M1655/K1655))</t>
  </si>
  <si>
    <t>=100*(1-(M1658/K1658))</t>
  </si>
  <si>
    <t>=100*(1-(M1661/K1661))</t>
  </si>
  <si>
    <t>=100*(1-(M1663/K1663))</t>
  </si>
  <si>
    <t>=100*(1-(M1665/K1665))</t>
  </si>
  <si>
    <t>=100*(1-(M1669/K1669))</t>
  </si>
  <si>
    <t>=100*(1-(M1672/K1672))</t>
  </si>
  <si>
    <t>=100*(1-(M1674/K1674))</t>
  </si>
  <si>
    <t>=100*(1-(M1676/K1676))</t>
  </si>
  <si>
    <t>=100*(1-(M1687/K1687))</t>
  </si>
  <si>
    <t>=100*(1-(M1699/K1699))</t>
  </si>
  <si>
    <t>=100*(1-(M1701/K1701))</t>
  </si>
  <si>
    <t>=100*(1-(M1711/K1711))</t>
  </si>
  <si>
    <t>=100*(1-(M1714/K1714))</t>
  </si>
  <si>
    <t>=100*(1-(M1719/K1719))</t>
  </si>
  <si>
    <t>=100*(1-(M1723/K1723))</t>
  </si>
  <si>
    <t>=100*(1-(M1736/K1736))</t>
  </si>
  <si>
    <t>=100*(1-(M1739/K1739))</t>
  </si>
  <si>
    <t>=100*(1-(M1741/K1741))</t>
  </si>
  <si>
    <t>=100*(1-(M1743/K1743))</t>
  </si>
  <si>
    <t>=100*(1-(M1745/K1745))</t>
  </si>
  <si>
    <t>=100*(1-(M1748/K1748))</t>
  </si>
  <si>
    <t>=100*(1-(M1750/K1750))</t>
  </si>
  <si>
    <t>=100*(1-(M1756/K1756))</t>
  </si>
  <si>
    <t>=100*(1-(M1758/K1758))</t>
  </si>
  <si>
    <t>=100*(1-(M1760/K1760))</t>
  </si>
  <si>
    <t>=100*(1-(M1779/K1779))</t>
  </si>
  <si>
    <t>=100*(1-(M1781/K1781))</t>
  </si>
  <si>
    <t>=100*(1-(M1786/K1786))</t>
  </si>
  <si>
    <t>=100*(1-(M1789/K1789))</t>
  </si>
  <si>
    <t>=100*(1-(M168/K168))</t>
  </si>
  <si>
    <t>=100*(1-(M186/K186))</t>
  </si>
  <si>
    <t>=100*(1-(M188/K188))</t>
  </si>
  <si>
    <t>=100*(1-(M190/K190))</t>
  </si>
  <si>
    <t>=100*(1-(M192/K192))</t>
  </si>
  <si>
    <t>=100*(1-(M170/K170))</t>
  </si>
  <si>
    <t>=100*(1-(M172/K172))</t>
  </si>
  <si>
    <t>=100*(1-(M174/K174))</t>
  </si>
  <si>
    <t>=100*(1-(M176/K176))</t>
  </si>
  <si>
    <t>=100*(1-(M178/K178))</t>
  </si>
  <si>
    <t>=100*(1-(M180/K180))</t>
  </si>
  <si>
    <t>=100*(1-(M182/K182))</t>
  </si>
  <si>
    <t>=100*(1-(M184/K184))</t>
  </si>
  <si>
    <t>=100*(1-(M268/K268))</t>
  </si>
  <si>
    <t>=100*(1-(M195/K195))</t>
  </si>
  <si>
    <t>=100*(1-(M197/K197))</t>
  </si>
  <si>
    <t>=100*(1-(M199/K199))</t>
  </si>
  <si>
    <t>=100*(1-(M223/K223))</t>
  </si>
  <si>
    <t>=100*(1-(M225/K225))</t>
  </si>
  <si>
    <t>=100*(1-(M233/K233))</t>
  </si>
  <si>
    <t>=100*(1-(M237/K237))</t>
  </si>
  <si>
    <t>=100*(1-(M241/K241))</t>
  </si>
  <si>
    <t>=100*(1-(M249/K249))</t>
  </si>
  <si>
    <t>=100*(1-(M252/K252))</t>
  </si>
  <si>
    <t>=100*(1-(M254/K254))</t>
  </si>
  <si>
    <t>=100*(1-(M256/K256))</t>
  </si>
  <si>
    <t>=100*(1-(M259/K259))</t>
  </si>
  <si>
    <t>=100*(1-(M262/K262))</t>
  </si>
  <si>
    <t>=100*(1-(M265/K265))</t>
  </si>
  <si>
    <t>=100*(1-(M272/K272))</t>
  </si>
  <si>
    <t>=100*(1-(M290/K290))</t>
  </si>
  <si>
    <t>=100*(1-(M294/K294))</t>
  </si>
  <si>
    <t>=100*(1-(M296/K296))</t>
  </si>
  <si>
    <t>=100*(1-(M298/K298))</t>
  </si>
  <si>
    <t>=100*(1-(M274/K274))</t>
  </si>
  <si>
    <t>=100*(1-(M276/K276))</t>
  </si>
  <si>
    <t>=100*(1-(M278/K278))</t>
  </si>
  <si>
    <t>=100*(1-(M280/K280))</t>
  </si>
  <si>
    <t>=100*(1-(M286/K286))</t>
  </si>
  <si>
    <t>=100*(1-(M288/K288))</t>
  </si>
  <si>
    <t>=100*(1-(M303/K303))</t>
  </si>
  <si>
    <t>=100*(1-(M318/K318))</t>
  </si>
  <si>
    <t>=100*(1-(M321/K321))</t>
  </si>
  <si>
    <t>=100*(1-(M325/K325))</t>
  </si>
  <si>
    <t>=100*(1-(M328/K328))</t>
  </si>
  <si>
    <t>=100*(1-(M337/K337))</t>
  </si>
  <si>
    <t>=100*(1-(M343/K343))</t>
  </si>
  <si>
    <t>=100*(1-(M345/K345))</t>
  </si>
  <si>
    <t>=100*(1-(M347/K347))</t>
  </si>
  <si>
    <t>=100*(1-(M355/K355))</t>
  </si>
  <si>
    <t>=100*(1-(M364/K364))</t>
  </si>
  <si>
    <t>=100*(1-(M366/K366))</t>
  </si>
  <si>
    <t>=100*(1-(M374/K374))</t>
  </si>
  <si>
    <t>=100*(1-(M398/K398))</t>
  </si>
  <si>
    <t>=100*(1-(M400/K400))</t>
  </si>
  <si>
    <t>=100*(1-(M402/K402))</t>
  </si>
  <si>
    <t>=100*(1-(M380/K380))</t>
  </si>
  <si>
    <t>=100*(1-(M384/K384))</t>
  </si>
  <si>
    <t>=100*(1-(M386/K386))</t>
  </si>
  <si>
    <t>=100*(1-(M388/K388))</t>
  </si>
  <si>
    <t>=100*(1-(M390/K390))</t>
  </si>
  <si>
    <t>=100*(1-(M392/K392))</t>
  </si>
  <si>
    <t>=100*(1-(M414/K414))</t>
  </si>
  <si>
    <t>=100*(1-(M417/K417))</t>
  </si>
  <si>
    <t>=100*(1-(M419/K419))</t>
  </si>
  <si>
    <t>=100*(1-(M421/K421))</t>
  </si>
  <si>
    <t>=100*(1-(M449/K449))</t>
  </si>
  <si>
    <t>=100*(1-(M451/K451))</t>
  </si>
  <si>
    <t>=100*(1-(M453/K453))</t>
  </si>
  <si>
    <t>=100*(1-(M470/K470))</t>
  </si>
  <si>
    <t>=100*(1-(M472/K472))</t>
  </si>
  <si>
    <t>=100*(1-(M433/K433))</t>
  </si>
  <si>
    <t>=100*(1-(M435/K435))</t>
  </si>
  <si>
    <t>=100*(1-(M437/K437))</t>
  </si>
  <si>
    <t>=100*(1-(M439/K439))</t>
  </si>
  <si>
    <t>=100*(1-(M441/K441))</t>
  </si>
  <si>
    <t>=100*(1-(M447/K447))</t>
  </si>
  <si>
    <t>=100*(1-(M476/K476))</t>
  </si>
  <si>
    <t>=100*(1-(M484/K484))</t>
  </si>
  <si>
    <t>=100*(1-(M487/K487))</t>
  </si>
  <si>
    <t>=100*(1-(M494/K494))</t>
  </si>
  <si>
    <t>=100*(1-(M497/K497))</t>
  </si>
  <si>
    <t>=100*(1-(M503/K503))</t>
  </si>
  <si>
    <t>=100*(1-(M507/K507))</t>
  </si>
  <si>
    <t>=100*(1-(M517/K517))</t>
  </si>
  <si>
    <t>=100*(1-(M552/K552))</t>
  </si>
  <si>
    <t>=100*(1-(M555/K555))</t>
  </si>
  <si>
    <t>=100*(1-(M557/K557))</t>
  </si>
  <si>
    <t>=100*(1-(M559/K559))</t>
  </si>
  <si>
    <t>=100*(1-(M587/K587))</t>
  </si>
  <si>
    <t>=100*(1-(M589/K589))</t>
  </si>
  <si>
    <t>=100*(1-(M591/K591))</t>
  </si>
  <si>
    <t>=100*(1-(M608/K608))</t>
  </si>
  <si>
    <t>=100*(1-(M610/K610))</t>
  </si>
  <si>
    <t>=100*(1-(M571/K571))</t>
  </si>
  <si>
    <t>=100*(1-(M573/K573))</t>
  </si>
  <si>
    <t>=100*(1-(M575/K575))</t>
  </si>
  <si>
    <t>=100*(1-(M577/K577))</t>
  </si>
  <si>
    <t>=100*(1-(M579/K579))</t>
  </si>
  <si>
    <t>=100*(1-(M581/K581))</t>
  </si>
  <si>
    <t>=100*(1-(M583/K583))</t>
  </si>
  <si>
    <t>=100*(1-(M585/K585))</t>
  </si>
  <si>
    <t>=100*(1-(M613/K613))</t>
  </si>
  <si>
    <t>=100*(1-(M616/K616))</t>
  </si>
  <si>
    <t>=100*(1-(M618/K618))</t>
  </si>
  <si>
    <t>=100*(1-(M620/K620))</t>
  </si>
  <si>
    <t>=100*(1-(M623/K623))</t>
  </si>
  <si>
    <t>=100*(1-(M626/K626))</t>
  </si>
  <si>
    <t>=100*(1-(M630/K630))</t>
  </si>
  <si>
    <t>=SUM(K6,K8,K10,K19)</t>
  </si>
  <si>
    <t>=SUM(K20)</t>
  </si>
  <si>
    <t>=SUM(K32,K34)</t>
  </si>
  <si>
    <t>=SUM(K44)</t>
  </si>
  <si>
    <t>=SUM(K47)</t>
  </si>
  <si>
    <t>=SUM(K50)</t>
  </si>
  <si>
    <t>=SUM(K53)</t>
  </si>
  <si>
    <t>=SUM(K56,K59,K61,K63)</t>
  </si>
  <si>
    <t>=SUM(K639,K641,K643,K645,K647,K649,K651,K653,K655,K657,K659,K661,K678,K680)</t>
  </si>
  <si>
    <t>=SUM(K684)</t>
  </si>
  <si>
    <t>=SUM(K691,K694,K696,K698)</t>
  </si>
  <si>
    <t>=SUM(K701)</t>
  </si>
  <si>
    <t>=SUM(K704)</t>
  </si>
  <si>
    <t>=SUM(K708,K710,K712,K714,K716,K718,K720,K723,K725,K727,K729,K736,K738)</t>
  </si>
  <si>
    <t>=SUM(K742)</t>
  </si>
  <si>
    <t>=SUM(K748,K751,K753,K755)</t>
  </si>
  <si>
    <t>=SUM(K758)</t>
  </si>
  <si>
    <t>=SUM(K761)</t>
  </si>
  <si>
    <t>=SUM(K765,K767,K769,K771,K773,K775,K777,K780,K782,K784,K786,K793,K795)</t>
  </si>
  <si>
    <t>=SUM(K799)</t>
  </si>
  <si>
    <t>=SUM(K805,K808,K810,K812)</t>
  </si>
  <si>
    <t>=SUM(K815)</t>
  </si>
  <si>
    <t>=SUM(K818)</t>
  </si>
  <si>
    <t>=SUM(K822,K824,K826,K828,K830,K832,K834,K837,K839,K841,K843,K850,K852)</t>
  </si>
  <si>
    <t>=SUM(K856)</t>
  </si>
  <si>
    <t>=SUM(K862,K865,K867,K869,K871)</t>
  </si>
  <si>
    <t>=SUM(K875,K877,K879,K881,K883,K885,K887,K890,K892,K894,K896,K903,K905)</t>
  </si>
  <si>
    <t>=SUM(K909)</t>
  </si>
  <si>
    <t>=SUM(K916,K919,K921,K923,K925)</t>
  </si>
  <si>
    <t>=SUM(K929,K931,K933,K935,K937,K939,K941,K943,K945,K947,K949,K951)</t>
  </si>
  <si>
    <t>=SUM(K952)</t>
  </si>
  <si>
    <t>=SUM(K957,K962)</t>
  </si>
  <si>
    <t>=SUM(K967,K970,K972,K974)</t>
  </si>
  <si>
    <t>=SUM(K977)</t>
  </si>
  <si>
    <t>=SUM(K980)</t>
  </si>
  <si>
    <t>=SUM(K984,K986,K988,K990,K992,K994,K996,K998,K1000,K1002,K1004,K1006,K1008,K1010,K1012,K1014,K1016,K1018)</t>
  </si>
  <si>
    <t>=SUM(K1019)</t>
  </si>
  <si>
    <t>=SUM(K1024,K1029)</t>
  </si>
  <si>
    <t>=SUM(K1034,K1037,K1039,K1041,K1043)</t>
  </si>
  <si>
    <t>=SUM(K1047,K1049,K1051,K1053,K1055,K1057,K1059,K1064,K1066,K1068,K1070,K1072,K1074,K1076,K1078,K1080,K1090)</t>
  </si>
  <si>
    <t>=SUM(K1094,K1099)</t>
  </si>
  <si>
    <t>=SUM(K1104,K1107,K1109,K1111)</t>
  </si>
  <si>
    <t>=SUM(K1114)</t>
  </si>
  <si>
    <t>=SUM(K1117)</t>
  </si>
  <si>
    <t>=SUM(K1121,K1123,K1125,K1127,K1129,K1131,K1133,K1138,K1140,K1142,K1144,K1146,K1148,K1150,K1152,K1162)</t>
  </si>
  <si>
    <t>=SUM(K1166,K1171)</t>
  </si>
  <si>
    <t>=SUM(K1176,K1179,K1181,K1183)</t>
  </si>
  <si>
    <t>=SUM(K1186)</t>
  </si>
  <si>
    <t>=SUM(K1189)</t>
  </si>
  <si>
    <t>=SUM(K1193,K1195,K1197,K1199,K1201,K1203,K1205,K1210,K1212,K1214,K1216,K1218,K1220,K1222,K1224,K1234)</t>
  </si>
  <si>
    <t>=SUM(K1238,K1243)</t>
  </si>
  <si>
    <t>=SUM(K1248,K1251,K1253,K1255)</t>
  </si>
  <si>
    <t>=SUM(K1258)</t>
  </si>
  <si>
    <t>=SUM(K1261)</t>
  </si>
  <si>
    <t>=SUM(K67,K69,K71,K73,K75,K77,K79,K81,K83,K85,K87)</t>
  </si>
  <si>
    <t>=SUM(K88)</t>
  </si>
  <si>
    <t>=SUM(K164)</t>
  </si>
  <si>
    <t>=SUM(K92,K94,K96,K106)</t>
  </si>
  <si>
    <t>=SUM(K107)</t>
  </si>
  <si>
    <t>=SUM(K119)</t>
  </si>
  <si>
    <t>=SUM(K122)</t>
  </si>
  <si>
    <t>=SUM(K125,K127)</t>
  </si>
  <si>
    <t>=SUM(K137)</t>
  </si>
  <si>
    <t>=SUM(K141,K146)</t>
  </si>
  <si>
    <t>=SUM(K151,K154,K156,K158)</t>
  </si>
  <si>
    <t>=SUM(K161)</t>
  </si>
  <si>
    <t>=SUM(K1265,K1267,K1269,K1271,K1273,K1275,K1277,K1282,K1284,K1286,K1288,K1290,K1292,K1294,K1296,K1306)</t>
  </si>
  <si>
    <t>=SUM(K1310,K1315)</t>
  </si>
  <si>
    <t>=SUM(K1320,K1323,K1325,K1327)</t>
  </si>
  <si>
    <t>=SUM(K1330)</t>
  </si>
  <si>
    <t>=SUM(K1333)</t>
  </si>
  <si>
    <t>=SUM(K1337,K1339,K1341,K1343,K1345,K1347,K1349)</t>
  </si>
  <si>
    <t>=SUM(K1431,K1434,K1436,K1438,K1440)</t>
  </si>
  <si>
    <t>=SUM(K1443,K1446,K1448,K1450)</t>
  </si>
  <si>
    <t>=SUM(K1352,K1357,K1369)</t>
  </si>
  <si>
    <t>=SUM(K1353)</t>
  </si>
  <si>
    <t>=SUM(K1370)</t>
  </si>
  <si>
    <t>=SUM(K1373,K1375)</t>
  </si>
  <si>
    <t>=SUM(K1378,K1380)</t>
  </si>
  <si>
    <t>=SUM(K1386,K1388)</t>
  </si>
  <si>
    <t>=SUM(K1393,K1395,K1397)</t>
  </si>
  <si>
    <t>=SUM(K1417)</t>
  </si>
  <si>
    <t>=SUM(K1425)</t>
  </si>
  <si>
    <t>=SUM(K1428)</t>
  </si>
  <si>
    <t>=SUM(K1454,K1456,K1458,K1460,K1462,K1464,K1466,K1468,K1470,K1472,K1474,K1476,K1493,K1495)</t>
  </si>
  <si>
    <t>=SUM(K1498,K1501,K1503,K1505,K1507)</t>
  </si>
  <si>
    <t>=SUM(K1511)</t>
  </si>
  <si>
    <t>=SUM(K1518,K1520,K1522,K1524,K1526,K1528,K1530,K1532,K1534,K1536,K1538,K1540,K1557,K1559)</t>
  </si>
  <si>
    <t>=SUM(K1563)</t>
  </si>
  <si>
    <t>=SUM(K1571)</t>
  </si>
  <si>
    <t>=SUM(K1574)</t>
  </si>
  <si>
    <t>=SUM(K1577,K1580,K1582,K1584,K1586)</t>
  </si>
  <si>
    <t>=SUM(K1589,K1592,K1594,K1596)</t>
  </si>
  <si>
    <t>=SUM(K1600,K1602,K1604,K1606,K1608,K1610,K1612,K1614,K1616,K1618,K1620,K1622,K1624,K1626,K1628,K1630,K1632)</t>
  </si>
  <si>
    <t>=SUM(K1636)</t>
  </si>
  <si>
    <t>=SUM(K1640)</t>
  </si>
  <si>
    <t>=SUM(K1643)</t>
  </si>
  <si>
    <t>=SUM(K1646,K1649,K1651,K1653,K1655)</t>
  </si>
  <si>
    <t>=SUM(K1658,K1661,K1663,K1665)</t>
  </si>
  <si>
    <t>=SUM(K1669)</t>
  </si>
  <si>
    <t>=SUM(K1672,K1674,K1676,K1686)</t>
  </si>
  <si>
    <t>=SUM(K1687)</t>
  </si>
  <si>
    <t>=SUM(K1699,K1701)</t>
  </si>
  <si>
    <t>=SUM(K1711)</t>
  </si>
  <si>
    <t>=SUM(K1714)</t>
  </si>
  <si>
    <t>=SUM(K1718,K1723,K1735)</t>
  </si>
  <si>
    <t>=SUM(K1719)</t>
  </si>
  <si>
    <t>=SUM(K1736)</t>
  </si>
  <si>
    <t>=SUM(K1739,K1741,K1743,K1745)</t>
  </si>
  <si>
    <t>=SUM(K1748,K1750)</t>
  </si>
  <si>
    <t>=SUM(K1756,K1758,K1760)</t>
  </si>
  <si>
    <t>=SUM(K1779,K1781)</t>
  </si>
  <si>
    <t>=SUM(K1786)</t>
  </si>
  <si>
    <t>=SUM(K1789)</t>
  </si>
  <si>
    <t>=SUM(K168,K170,K172,K174,K176,K178,K180,K182,K184,K186,K188,K190,K192)</t>
  </si>
  <si>
    <t>=SUM(K268)</t>
  </si>
  <si>
    <t>=SUM(K195,K197,K199)</t>
  </si>
  <si>
    <t>=SUM(K223,K225)</t>
  </si>
  <si>
    <t>=SUM(K233,K237)</t>
  </si>
  <si>
    <t>=SUM(K241)</t>
  </si>
  <si>
    <t>=SUM(K249,K252,K254,K256)</t>
  </si>
  <si>
    <t>=SUM(K259)</t>
  </si>
  <si>
    <t>=SUM(K262)</t>
  </si>
  <si>
    <t>=SUM(K265)</t>
  </si>
  <si>
    <t>=SUM(K272,K274,K276,K278,K280,K282,K284,K286,K288,K290,K292,K294,K296,K298)</t>
  </si>
  <si>
    <t>=SUM(K301,K303)</t>
  </si>
  <si>
    <t>=SUM(K312)</t>
  </si>
  <si>
    <t>=SUM(K318,K321,K323,K325)</t>
  </si>
  <si>
    <t>=SUM(K328)</t>
  </si>
  <si>
    <t>=SUM(K331)</t>
  </si>
  <si>
    <t>=SUM(K334)</t>
  </si>
  <si>
    <t>=SUM(K337)</t>
  </si>
  <si>
    <t>=SUM(K341,K343,K345,K347,K349,K351)</t>
  </si>
  <si>
    <t>=SUM(K355)</t>
  </si>
  <si>
    <t>=SUM(K361,K364,K366,K368)</t>
  </si>
  <si>
    <t>=SUM(K371)</t>
  </si>
  <si>
    <t>=SUM(K374)</t>
  </si>
  <si>
    <t>=SUM(K378,K380,K382,K384,K386,K388,K390,K392,K394,K396,K398,K400,K402,K404)</t>
  </si>
  <si>
    <t>=SUM(K414,K417,K419,K421)</t>
  </si>
  <si>
    <t>=SUM(K424)</t>
  </si>
  <si>
    <t>=SUM(K431,K433,K435,K437,K439,K441,K443,K445,K447,K449,K451,K453,K470,K472)</t>
  </si>
  <si>
    <t>=SUM(K476)</t>
  </si>
  <si>
    <t>=SUM(K484,K487,K489,K491)</t>
  </si>
  <si>
    <t>=SUM(K501,K503,K505,K507,K509,K511,K513,K515,K517,K519,K521,K523,K540,K542)</t>
  </si>
  <si>
    <t>=SUM(K546)</t>
  </si>
  <si>
    <t>=SUM(K552,K555,K557,K559)</t>
  </si>
  <si>
    <t>=SUM(K562)</t>
  </si>
  <si>
    <t>=SUM(K565)</t>
  </si>
  <si>
    <t>=SUM(K569,K571,K573,K575,K577,K579,K581,K583,K585,K587,K589,K591,K608,K610)</t>
  </si>
  <si>
    <t>=SUM(K613,K616,K618,K620)</t>
  </si>
  <si>
    <t>=SUM(K623)</t>
  </si>
  <si>
    <t>=SUM(K630)</t>
  </si>
  <si>
    <t>=I5*SUM(M6,M8,M10,M19)</t>
  </si>
  <si>
    <t>=I19*SUM(M20)</t>
  </si>
  <si>
    <t>=I31*SUM(M32,M34)</t>
  </si>
  <si>
    <t>=I43*SUM(M44)</t>
  </si>
  <si>
    <t>=I46*SUM(M47)</t>
  </si>
  <si>
    <t>=I49*SUM(M50)</t>
  </si>
  <si>
    <t>=I52*SUM(M53)</t>
  </si>
  <si>
    <t>=I55*SUM(M56,M59,M61,M63)</t>
  </si>
  <si>
    <t>=I638*SUM(M639,M641,M643,M645,M647,M649,M651,M653,M655,M657,M659,M661,M678,M680)</t>
  </si>
  <si>
    <t>=I683*SUM(M684)</t>
  </si>
  <si>
    <t>=I690*SUM(M691,M694,M696,M698)</t>
  </si>
  <si>
    <t>=I700*SUM(M701)</t>
  </si>
  <si>
    <t>=I703*SUM(M704)</t>
  </si>
  <si>
    <t>=I707*SUM(M708,M710,M712,M714,M716,M718,M720,M723,M725,M727,M729,M736,M738)</t>
  </si>
  <si>
    <t>=I741*SUM(M742)</t>
  </si>
  <si>
    <t>=I747*SUM(M748,M751,M753,M755)</t>
  </si>
  <si>
    <t>=I757*SUM(M758)</t>
  </si>
  <si>
    <t>=I760*SUM(M761)</t>
  </si>
  <si>
    <t>=I764*SUM(M765,M767,M769,M771,M773,M775,M777,M780,M782,M784,M786,M793,M795)</t>
  </si>
  <si>
    <t>=I798*SUM(M799)</t>
  </si>
  <si>
    <t>=I804*SUM(M805,M808,M810,M812)</t>
  </si>
  <si>
    <t>=I814*SUM(M815)</t>
  </si>
  <si>
    <t>=I817*SUM(M818)</t>
  </si>
  <si>
    <t>=I821*SUM(M822,M824,M826,M828,M830,M832,M834,M837,M839,M841,M843,M850,M852)</t>
  </si>
  <si>
    <t>=I855*SUM(M856)</t>
  </si>
  <si>
    <t>=I861*SUM(M862,M865,M867,M869,M871)</t>
  </si>
  <si>
    <t>=I874*SUM(M875,M877,M879,M881,M883,M885,M887,M890,M892,M894,M896,M903,M905)</t>
  </si>
  <si>
    <t>=I908*SUM(M909)</t>
  </si>
  <si>
    <t>=I915*SUM(M916,M919,M921,M923,M925)</t>
  </si>
  <si>
    <t>=I928*SUM(M929,M931,M933,M935,M937,M939,M941,M943,M945,M947,M949,M951)</t>
  </si>
  <si>
    <t>=I951*SUM(M952)</t>
  </si>
  <si>
    <t>=I956*SUM(M957,M962)</t>
  </si>
  <si>
    <t>=I966*SUM(M967,M970,M972,M974)</t>
  </si>
  <si>
    <t>=I976*SUM(M977)</t>
  </si>
  <si>
    <t>=I979*SUM(M980)</t>
  </si>
  <si>
    <t>=I983*SUM(M984,M986,M988,M990,M992,M994,M996,M998,M1000,M1002,M1004,M1006,M1008,M1010,M1012,M1014,M1016,M1018)</t>
  </si>
  <si>
    <t>=I1018*SUM(M1019)</t>
  </si>
  <si>
    <t>=I1023*SUM(M1024,M1029)</t>
  </si>
  <si>
    <t>=I1033*SUM(M1034,M1037,M1039,M1041,M1043)</t>
  </si>
  <si>
    <t>=I1046*SUM(M1047,M1049,M1051,M1053,M1055,M1057,M1059,M1064,M1066,M1068,M1070,M1072,M1074,M1076,M1078,M1080,M1090)</t>
  </si>
  <si>
    <t>=I1093*SUM(M1094,M1099)</t>
  </si>
  <si>
    <t>=I1103*SUM(M1104,M1107,M1109,M1111)</t>
  </si>
  <si>
    <t>=I1113*SUM(M1114)</t>
  </si>
  <si>
    <t>=I1116*SUM(M1117)</t>
  </si>
  <si>
    <t>=I1120*SUM(M1121,M1123,M1125,M1127,M1129,M1131,M1133,M1138,M1140,M1142,M1144,M1146,M1148,M1150,M1152,M1162)</t>
  </si>
  <si>
    <t>=I1165*SUM(M1166,M1171)</t>
  </si>
  <si>
    <t>=I1175*SUM(M1176,M1179,M1181,M1183)</t>
  </si>
  <si>
    <t>=I1185*SUM(M1186)</t>
  </si>
  <si>
    <t>=I1188*SUM(M1189)</t>
  </si>
  <si>
    <t>=I1192*SUM(M1193,M1195,M1197,M1199,M1201,M1203,M1205,M1210,M1212,M1214,M1216,M1218,M1220,M1222,M1224,M1234)</t>
  </si>
  <si>
    <t>=I1237*SUM(M1238,M1243)</t>
  </si>
  <si>
    <t>=I1247*SUM(M1248,M1251,M1253,M1255)</t>
  </si>
  <si>
    <t>=I1257*SUM(M1258)</t>
  </si>
  <si>
    <t>=I1260*SUM(M1261)</t>
  </si>
  <si>
    <t>=I66*SUM(M67,M69,M71,M73,M75,M77,M79,M81,M83,M85,M87)</t>
  </si>
  <si>
    <t>=I87*SUM(M88)</t>
  </si>
  <si>
    <t>=I163*SUM(M164)</t>
  </si>
  <si>
    <t>=I91*SUM(M92,M94,M96,M106)</t>
  </si>
  <si>
    <t>=I106*SUM(M107)</t>
  </si>
  <si>
    <t>=I118*SUM(M119)</t>
  </si>
  <si>
    <t>=I121*SUM(M122)</t>
  </si>
  <si>
    <t>=I124*SUM(M125,M127)</t>
  </si>
  <si>
    <t>=I136*SUM(M137)</t>
  </si>
  <si>
    <t>=I140*SUM(M141,M146)</t>
  </si>
  <si>
    <t>=I150*SUM(M151,M154,M156,M158)</t>
  </si>
  <si>
    <t>=I160*SUM(M161)</t>
  </si>
  <si>
    <t>=I1264*SUM(M1265,M1267,M1269,M1271,M1273,M1275,M1277,M1282,M1284,M1286,M1288,M1290,M1292,M1294,M1296,M1306)</t>
  </si>
  <si>
    <t>=I1309*SUM(M1310,M1315)</t>
  </si>
  <si>
    <t>=I1319*SUM(M1320,M1323,M1325,M1327)</t>
  </si>
  <si>
    <t>=I1329*SUM(M1330)</t>
  </si>
  <si>
    <t>=I1332*SUM(M1333)</t>
  </si>
  <si>
    <t>=I1336*SUM(M1337,M1339,M1341,M1343,M1345,M1347,M1349)</t>
  </si>
  <si>
    <t>=I1430*SUM(M1431,M1434,M1436,M1438,M1440)</t>
  </si>
  <si>
    <t>=I1442*SUM(M1443,M1446,M1448,M1450)</t>
  </si>
  <si>
    <t>=I1351*SUM(M1352,M1357,M1369)</t>
  </si>
  <si>
    <t>=I1352*SUM(M1353)</t>
  </si>
  <si>
    <t>=I1369*SUM(M1370)</t>
  </si>
  <si>
    <t>=I1372*SUM(M1373,M1375)</t>
  </si>
  <si>
    <t>=I1377*SUM(M1378,M1380)</t>
  </si>
  <si>
    <t>=I1385*SUM(M1386,M1388)</t>
  </si>
  <si>
    <t>=I1392*SUM(M1393,M1395,M1397)</t>
  </si>
  <si>
    <t>=I1416*SUM(M1417)</t>
  </si>
  <si>
    <t>=I1424*SUM(M1425)</t>
  </si>
  <si>
    <t>=I1427*SUM(M1428)</t>
  </si>
  <si>
    <t>=I1453*SUM(M1454,M1456,M1458,M1460,M1462,M1464,M1466,M1468,M1470,M1472,M1474,M1476,M1493,M1495)</t>
  </si>
  <si>
    <t>=I1497*SUM(M1498,M1501,M1503,M1505,M1507)</t>
  </si>
  <si>
    <t>=I1510*SUM(M1511)</t>
  </si>
  <si>
    <t>=I1517*SUM(M1518,M1520,M1522,M1524,M1526,M1528,M1530,M1532,M1534,M1536,M1538,M1540,M1557,M1559)</t>
  </si>
  <si>
    <t>=I1562*SUM(M1563)</t>
  </si>
  <si>
    <t>=I1570*SUM(M1571)</t>
  </si>
  <si>
    <t>=I1573*SUM(M1574)</t>
  </si>
  <si>
    <t>=I1576*SUM(M1577,M1580,M1582,M1584,M1586)</t>
  </si>
  <si>
    <t>=I1588*SUM(M1589,M1592,M1594,M1596)</t>
  </si>
  <si>
    <t>=I1599*SUM(M1600,M1602,M1604,M1606,M1608,M1610,M1612,M1614,M1616,M1618,M1620,M1622,M1624,M1626,M1628,M1630,M1632)</t>
  </si>
  <si>
    <t>=I1635*SUM(M1636)</t>
  </si>
  <si>
    <t>=I1639*SUM(M1640)</t>
  </si>
  <si>
    <t>=I1642*SUM(M1643)</t>
  </si>
  <si>
    <t>=I1645*SUM(M1646,M1649,M1651,M1653,M1655)</t>
  </si>
  <si>
    <t>=I1657*SUM(M1658,M1661,M1663,M1665)</t>
  </si>
  <si>
    <t>=I1668*SUM(M1669)</t>
  </si>
  <si>
    <t>=I1671*SUM(M1672,M1674,M1676,M1686)</t>
  </si>
  <si>
    <t>=I1686*SUM(M1687)</t>
  </si>
  <si>
    <t>=I1698*SUM(M1699,M1701)</t>
  </si>
  <si>
    <t>=I1710*SUM(M1711)</t>
  </si>
  <si>
    <t>=I1713*SUM(M1714)</t>
  </si>
  <si>
    <t>=I1717*SUM(M1718,M1723,M1735)</t>
  </si>
  <si>
    <t>=I1718*SUM(M1719)</t>
  </si>
  <si>
    <t>=I1735*SUM(M1736)</t>
  </si>
  <si>
    <t>=I1738*SUM(M1739,M1741,M1743,M1745)</t>
  </si>
  <si>
    <t>=I1747*SUM(M1748,M1750)</t>
  </si>
  <si>
    <t>=I1755*SUM(M1756,M1758,M1760)</t>
  </si>
  <si>
    <t>=I1778*SUM(M1779,M1781)</t>
  </si>
  <si>
    <t>=I1785*SUM(M1786)</t>
  </si>
  <si>
    <t>=I1788*SUM(M1789)</t>
  </si>
  <si>
    <t>=I167*SUM(M168,M170,M172,M174,M176,M178,M180,M182,M184,M186,M188,M190,M192)</t>
  </si>
  <si>
    <t>=I267*SUM(M268)</t>
  </si>
  <si>
    <t>=I194*SUM(M195,M197,M199)</t>
  </si>
  <si>
    <t>=I222*SUM(M223,M225)</t>
  </si>
  <si>
    <t>=I232*SUM(M233,M237)</t>
  </si>
  <si>
    <t>=I240*SUM(M241)</t>
  </si>
  <si>
    <t>=I248*SUM(M249,M252,M254,M256)</t>
  </si>
  <si>
    <t>=I258*SUM(M259)</t>
  </si>
  <si>
    <t>=I261*SUM(M262)</t>
  </si>
  <si>
    <t>=I264*SUM(M265)</t>
  </si>
  <si>
    <t>=I271*SUM(M272,M274,M276,M278,M280,M282,M284,M286,M288,M290,M292,M294,M296,M298)</t>
  </si>
  <si>
    <t>=I300*SUM(M301,M303)</t>
  </si>
  <si>
    <t>=I311*SUM(M312)</t>
  </si>
  <si>
    <t>=I317*SUM(M318,M321,M323,M325)</t>
  </si>
  <si>
    <t>=I327*SUM(M328)</t>
  </si>
  <si>
    <t>=I330*SUM(M331)</t>
  </si>
  <si>
    <t>=I333*SUM(M334)</t>
  </si>
  <si>
    <t>=I336*SUM(M337)</t>
  </si>
  <si>
    <t>=I340*SUM(M341,M343,M345,M347,M349,M351)</t>
  </si>
  <si>
    <t>=I354*SUM(M355)</t>
  </si>
  <si>
    <t>=I360*SUM(M361,M364,M366,M368)</t>
  </si>
  <si>
    <t>=I370*SUM(M371)</t>
  </si>
  <si>
    <t>=I373*SUM(M374)</t>
  </si>
  <si>
    <t>=I377*SUM(M378,M380,M382,M384,M386,M388,M390,M392,M394,M396,M398,M400,M402,M404)</t>
  </si>
  <si>
    <t>=I413*SUM(M414,M417,M419,M421)</t>
  </si>
  <si>
    <t>=I423*SUM(M424)</t>
  </si>
  <si>
    <t>=I430*SUM(M431,M433,M435,M437,M439,M441,M443,M445,M447,M449,M451,M453,M470,M472)</t>
  </si>
  <si>
    <t>=I475*SUM(M476)</t>
  </si>
  <si>
    <t>=I483*SUM(M484,M487,M489,M491)</t>
  </si>
  <si>
    <t>=I500*SUM(M501,M503,M505,M507,M509,M511,M513,M515,M517,M519,M521,M523,M540,M542)</t>
  </si>
  <si>
    <t>=I545*SUM(M546)</t>
  </si>
  <si>
    <t>=I551*SUM(M552,M555,M557,M559)</t>
  </si>
  <si>
    <t>=I561*SUM(M562)</t>
  </si>
  <si>
    <t>=I564*SUM(M565)</t>
  </si>
  <si>
    <t>=I568*SUM(M569,M571,M573,M575,M577,M579,M581,M583,M585,M587,M589,M591,M608,M610)</t>
  </si>
  <si>
    <t>=I612*SUM(M613,M616,M618,M620)</t>
  </si>
  <si>
    <t>=I622*SUM(M623)</t>
  </si>
  <si>
    <t>=I629*SUM(M630)</t>
  </si>
  <si>
    <t>=I5*J5</t>
  </si>
  <si>
    <t>=I19*J19</t>
  </si>
  <si>
    <t>=I31*J31</t>
  </si>
  <si>
    <t>=I43*J43</t>
  </si>
  <si>
    <t>=I46*J46</t>
  </si>
  <si>
    <t>=I49*J49</t>
  </si>
  <si>
    <t>=I52*J52</t>
  </si>
  <si>
    <t>=I55*J55</t>
  </si>
  <si>
    <t>=I638*J638</t>
  </si>
  <si>
    <t>=I683*J683</t>
  </si>
  <si>
    <t>=I690*J690</t>
  </si>
  <si>
    <t>=I700*J700</t>
  </si>
  <si>
    <t>=I703*J703</t>
  </si>
  <si>
    <t>=I707*J707</t>
  </si>
  <si>
    <t>=I741*J741</t>
  </si>
  <si>
    <t>=I747*J747</t>
  </si>
  <si>
    <t>=I757*J757</t>
  </si>
  <si>
    <t>=I764*J764</t>
  </si>
  <si>
    <t>=I798*J798</t>
  </si>
  <si>
    <t>=I804*J804</t>
  </si>
  <si>
    <t>=I814*J814</t>
  </si>
  <si>
    <t>=I817*J817</t>
  </si>
  <si>
    <t>=I821*J821</t>
  </si>
  <si>
    <t>=I855*J855</t>
  </si>
  <si>
    <t>=I861*J861</t>
  </si>
  <si>
    <t>=I874*J874</t>
  </si>
  <si>
    <t>=I908*J908</t>
  </si>
  <si>
    <t>=I915*J915</t>
  </si>
  <si>
    <t>=I928*J928</t>
  </si>
  <si>
    <t>=I951*J951</t>
  </si>
  <si>
    <t>=I956*J956</t>
  </si>
  <si>
    <t>=I966*J966</t>
  </si>
  <si>
    <t>=I976*J976</t>
  </si>
  <si>
    <t>=I979*J979</t>
  </si>
  <si>
    <t>=I983*J983</t>
  </si>
  <si>
    <t>=I1018*J1018</t>
  </si>
  <si>
    <t>=I1023*J1023</t>
  </si>
  <si>
    <t>=I1033*J1033</t>
  </si>
  <si>
    <t>=I1046*J1046</t>
  </si>
  <si>
    <t>=I1093*J1093</t>
  </si>
  <si>
    <t>=I1103*J1103</t>
  </si>
  <si>
    <t>=I1113*J1113</t>
  </si>
  <si>
    <t>=I1116*J1116</t>
  </si>
  <si>
    <t>=I1120*J1120</t>
  </si>
  <si>
    <t>=I1165*J1165</t>
  </si>
  <si>
    <t>=I1175*J1175</t>
  </si>
  <si>
    <t>=I1185*J1185</t>
  </si>
  <si>
    <t>=I1188*J1188</t>
  </si>
  <si>
    <t>=I1192*J1192</t>
  </si>
  <si>
    <t>=I1237*J1237</t>
  </si>
  <si>
    <t>=I1247*J1247</t>
  </si>
  <si>
    <t>=I1257*J1257</t>
  </si>
  <si>
    <t>=I1260*J1260</t>
  </si>
  <si>
    <t>=I66*J66</t>
  </si>
  <si>
    <t>=I87*J87</t>
  </si>
  <si>
    <t>=I163*J163</t>
  </si>
  <si>
    <t>=I91*J91</t>
  </si>
  <si>
    <t>=I106*J106</t>
  </si>
  <si>
    <t>=I118*J118</t>
  </si>
  <si>
    <t>=I121*J121</t>
  </si>
  <si>
    <t>=I124*J124</t>
  </si>
  <si>
    <t>=I136*J136</t>
  </si>
  <si>
    <t>=I140*J140</t>
  </si>
  <si>
    <t>=I150*J150</t>
  </si>
  <si>
    <t>=I160*J160</t>
  </si>
  <si>
    <t>=I1264*J1264</t>
  </si>
  <si>
    <t>=I1309*J1309</t>
  </si>
  <si>
    <t>=I1319*J1319</t>
  </si>
  <si>
    <t>=I1329*J1329</t>
  </si>
  <si>
    <t>=I1332*J1332</t>
  </si>
  <si>
    <t>=I1336*J1336</t>
  </si>
  <si>
    <t>=I1430*J1430</t>
  </si>
  <si>
    <t>=I1442*J1442</t>
  </si>
  <si>
    <t>=I1351*J1351</t>
  </si>
  <si>
    <t>=I1352*J1352</t>
  </si>
  <si>
    <t>=I1369*J1369</t>
  </si>
  <si>
    <t>=I1372*J1372</t>
  </si>
  <si>
    <t>=I1377*J1377</t>
  </si>
  <si>
    <t>=I1385*J1385</t>
  </si>
  <si>
    <t>=I1392*J1392</t>
  </si>
  <si>
    <t>=I1416*J1416</t>
  </si>
  <si>
    <t>=I1424*J1424</t>
  </si>
  <si>
    <t>=I1427*J1427</t>
  </si>
  <si>
    <t>=I1453*J1453</t>
  </si>
  <si>
    <t>=I1497*J1497</t>
  </si>
  <si>
    <t>=I1510*J1510</t>
  </si>
  <si>
    <t>=I1517*J1517</t>
  </si>
  <si>
    <t>=I1562*J1562</t>
  </si>
  <si>
    <t>=I1570*J1570</t>
  </si>
  <si>
    <t>=I1573*J1573</t>
  </si>
  <si>
    <t>=I1576*J1576</t>
  </si>
  <si>
    <t>=I1588*J1588</t>
  </si>
  <si>
    <t>=I1599*J1599</t>
  </si>
  <si>
    <t>=I1635*J1635</t>
  </si>
  <si>
    <t>=I1639*J1639</t>
  </si>
  <si>
    <t>=I1642*J1642</t>
  </si>
  <si>
    <t>=I1645*J1645</t>
  </si>
  <si>
    <t>=I1657*J1657</t>
  </si>
  <si>
    <t>=I1668*J1668</t>
  </si>
  <si>
    <t>=I1671*J1671</t>
  </si>
  <si>
    <t>=I1686*J1686</t>
  </si>
  <si>
    <t>=I1698*J1698</t>
  </si>
  <si>
    <t>=I1710*J1710</t>
  </si>
  <si>
    <t>=I1713*J1713</t>
  </si>
  <si>
    <t>=I1717*J1717</t>
  </si>
  <si>
    <t>=I1718*J1718</t>
  </si>
  <si>
    <t>=I1735*J1735</t>
  </si>
  <si>
    <t>=I1738*J1738</t>
  </si>
  <si>
    <t>=I1747*J1747</t>
  </si>
  <si>
    <t>=I1755*J1755</t>
  </si>
  <si>
    <t>=I1778*J1778</t>
  </si>
  <si>
    <t>=I1785*J1785</t>
  </si>
  <si>
    <t>=I1788*J1788</t>
  </si>
  <si>
    <t>=I167*J167</t>
  </si>
  <si>
    <t>=I267*J267</t>
  </si>
  <si>
    <t>=I194*J194</t>
  </si>
  <si>
    <t>=I222*J222</t>
  </si>
  <si>
    <t>=I232*J232</t>
  </si>
  <si>
    <t>=I240*J240</t>
  </si>
  <si>
    <t>=I248*J248</t>
  </si>
  <si>
    <t>=I258*J258</t>
  </si>
  <si>
    <t>=I261*J261</t>
  </si>
  <si>
    <t>=I264*J264</t>
  </si>
  <si>
    <t>=I271*J271</t>
  </si>
  <si>
    <t>=I300*J300</t>
  </si>
  <si>
    <t>=I311*J311</t>
  </si>
  <si>
    <t>=I317*J317</t>
  </si>
  <si>
    <t>=I327*J327</t>
  </si>
  <si>
    <t>=I330*J330</t>
  </si>
  <si>
    <t>=I333*J333</t>
  </si>
  <si>
    <t>=I336*J336</t>
  </si>
  <si>
    <t>=I340*J340</t>
  </si>
  <si>
    <t>=I354*J354</t>
  </si>
  <si>
    <t>=I360*J360</t>
  </si>
  <si>
    <t>=I370*J370</t>
  </si>
  <si>
    <t>=I373*J373</t>
  </si>
  <si>
    <t>=I377*J377</t>
  </si>
  <si>
    <t>=I413*J413</t>
  </si>
  <si>
    <t>=I430*J430</t>
  </si>
  <si>
    <t>=I475*J475</t>
  </si>
  <si>
    <t>=I483*J483</t>
  </si>
  <si>
    <t>=I561*J561</t>
  </si>
  <si>
    <t>=I568*J568</t>
  </si>
  <si>
    <t>=I612*J612</t>
  </si>
  <si>
    <t>=I622*J622</t>
  </si>
  <si>
    <t>=100*(1-(M5/K5))</t>
  </si>
  <si>
    <t>=100*(1-(M19/K19))</t>
  </si>
  <si>
    <t>=100*(1-(M31/K31))</t>
  </si>
  <si>
    <t>=100*(1-(M43/K43))</t>
  </si>
  <si>
    <t>=100*(1-(M46/K46))</t>
  </si>
  <si>
    <t>=100*(1-(M49/K49))</t>
  </si>
  <si>
    <t>=100*(1-(M52/K52))</t>
  </si>
  <si>
    <t>=100*(1-(M55/K55))</t>
  </si>
  <si>
    <t>=100*(1-(M638/K638))</t>
  </si>
  <si>
    <t>=100*(1-(M683/K683))</t>
  </si>
  <si>
    <t>=100*(1-(M690/K690))</t>
  </si>
  <si>
    <t>=100*(1-(M700/K700))</t>
  </si>
  <si>
    <t>=100*(1-(M703/K703))</t>
  </si>
  <si>
    <t>=100*(1-(M707/K707))</t>
  </si>
  <si>
    <t>=100*(1-(M741/K741))</t>
  </si>
  <si>
    <t>=100*(1-(M747/K747))</t>
  </si>
  <si>
    <t>=100*(1-(M757/K757))</t>
  </si>
  <si>
    <t>=100*(1-(M764/K764))</t>
  </si>
  <si>
    <t>=100*(1-(M798/K798))</t>
  </si>
  <si>
    <t>=100*(1-(M804/K804))</t>
  </si>
  <si>
    <t>=100*(1-(M814/K814))</t>
  </si>
  <si>
    <t>=100*(1-(M817/K817))</t>
  </si>
  <si>
    <t>=100*(1-(M821/K821))</t>
  </si>
  <si>
    <t>=100*(1-(M855/K855))</t>
  </si>
  <si>
    <t>=100*(1-(M861/K861))</t>
  </si>
  <si>
    <t>=100*(1-(M874/K874))</t>
  </si>
  <si>
    <t>=100*(1-(M908/K908))</t>
  </si>
  <si>
    <t>=100*(1-(M915/K915))</t>
  </si>
  <si>
    <t>=100*(1-(M928/K928))</t>
  </si>
  <si>
    <t>=100*(1-(M951/K951))</t>
  </si>
  <si>
    <t>=100*(1-(M956/K956))</t>
  </si>
  <si>
    <t>=100*(1-(M966/K966))</t>
  </si>
  <si>
    <t>=100*(1-(M976/K976))</t>
  </si>
  <si>
    <t>=100*(1-(M979/K979))</t>
  </si>
  <si>
    <t>=100*(1-(M983/K983))</t>
  </si>
  <si>
    <t>=100*(1-(M1018/K1018))</t>
  </si>
  <si>
    <t>=100*(1-(M1023/K1023))</t>
  </si>
  <si>
    <t>=100*(1-(M1033/K1033))</t>
  </si>
  <si>
    <t>=100*(1-(M1046/K1046))</t>
  </si>
  <si>
    <t>=100*(1-(M1093/K1093))</t>
  </si>
  <si>
    <t>=100*(1-(M1103/K1103))</t>
  </si>
  <si>
    <t>=100*(1-(M1113/K1113))</t>
  </si>
  <si>
    <t>=100*(1-(M1116/K1116))</t>
  </si>
  <si>
    <t>=100*(1-(M1120/K1120))</t>
  </si>
  <si>
    <t>=100*(1-(M1165/K1165))</t>
  </si>
  <si>
    <t>=100*(1-(M1175/K1175))</t>
  </si>
  <si>
    <t>=100*(1-(M1185/K1185))</t>
  </si>
  <si>
    <t>=100*(1-(M1188/K1188))</t>
  </si>
  <si>
    <t>=100*(1-(M1192/K1192))</t>
  </si>
  <si>
    <t>=100*(1-(M1237/K1237))</t>
  </si>
  <si>
    <t>=100*(1-(M1247/K1247))</t>
  </si>
  <si>
    <t>=100*(1-(M1257/K1257))</t>
  </si>
  <si>
    <t>=100*(1-(M1260/K1260))</t>
  </si>
  <si>
    <t>=100*(1-(M66/K66))</t>
  </si>
  <si>
    <t>=100*(1-(M87/K87))</t>
  </si>
  <si>
    <t>=100*(1-(M163/K163))</t>
  </si>
  <si>
    <t>=100*(1-(M91/K91))</t>
  </si>
  <si>
    <t>=100*(1-(M106/K106))</t>
  </si>
  <si>
    <t>=100*(1-(M118/K118))</t>
  </si>
  <si>
    <t>=100*(1-(M121/K121))</t>
  </si>
  <si>
    <t>=100*(1-(M124/K124))</t>
  </si>
  <si>
    <t>=100*(1-(M136/K136))</t>
  </si>
  <si>
    <t>=100*(1-(M140/K140))</t>
  </si>
  <si>
    <t>=100*(1-(M150/K150))</t>
  </si>
  <si>
    <t>=100*(1-(M160/K160))</t>
  </si>
  <si>
    <t>=100*(1-(M1264/K1264))</t>
  </si>
  <si>
    <t>=100*(1-(M1309/K1309))</t>
  </si>
  <si>
    <t>=100*(1-(M1319/K1319))</t>
  </si>
  <si>
    <t>=100*(1-(M1329/K1329))</t>
  </si>
  <si>
    <t>=100*(1-(M1332/K1332))</t>
  </si>
  <si>
    <t>=100*(1-(M1336/K1336))</t>
  </si>
  <si>
    <t>=100*(1-(M1430/K1430))</t>
  </si>
  <si>
    <t>=100*(1-(M1442/K1442))</t>
  </si>
  <si>
    <t>=100*(1-(M1351/K1351))</t>
  </si>
  <si>
    <t>=100*(1-(M1352/K1352))</t>
  </si>
  <si>
    <t>=100*(1-(M1369/K1369))</t>
  </si>
  <si>
    <t>=100*(1-(M1372/K1372))</t>
  </si>
  <si>
    <t>=100*(1-(M1377/K1377))</t>
  </si>
  <si>
    <t>=100*(1-(M1385/K1385))</t>
  </si>
  <si>
    <t>=100*(1-(M1392/K1392))</t>
  </si>
  <si>
    <t>=100*(1-(M1416/K1416))</t>
  </si>
  <si>
    <t>=100*(1-(M1424/K1424))</t>
  </si>
  <si>
    <t>=100*(1-(M1427/K1427))</t>
  </si>
  <si>
    <t>=100*(1-(M1453/K1453))</t>
  </si>
  <si>
    <t>=100*(1-(M1497/K1497))</t>
  </si>
  <si>
    <t>=100*(1-(M1510/K1510))</t>
  </si>
  <si>
    <t>=100*(1-(M1517/K1517))</t>
  </si>
  <si>
    <t>=100*(1-(M1562/K1562))</t>
  </si>
  <si>
    <t>=100*(1-(M1570/K1570))</t>
  </si>
  <si>
    <t>=100*(1-(M1573/K1573))</t>
  </si>
  <si>
    <t>=100*(1-(M1576/K1576))</t>
  </si>
  <si>
    <t>=100*(1-(M1588/K1588))</t>
  </si>
  <si>
    <t>=100*(1-(M1599/K1599))</t>
  </si>
  <si>
    <t>=100*(1-(M1635/K1635))</t>
  </si>
  <si>
    <t>=100*(1-(M1639/K1639))</t>
  </si>
  <si>
    <t>=100*(1-(M1642/K1642))</t>
  </si>
  <si>
    <t>=100*(1-(M1645/K1645))</t>
  </si>
  <si>
    <t>=100*(1-(M1657/K1657))</t>
  </si>
  <si>
    <t>=100*(1-(M1668/K1668))</t>
  </si>
  <si>
    <t>=100*(1-(M1671/K1671))</t>
  </si>
  <si>
    <t>=100*(1-(M1686/K1686))</t>
  </si>
  <si>
    <t>=100*(1-(M1698/K1698))</t>
  </si>
  <si>
    <t>=100*(1-(M1710/K1710))</t>
  </si>
  <si>
    <t>=100*(1-(M1713/K1713))</t>
  </si>
  <si>
    <t>=100*(1-(M1717/K1717))</t>
  </si>
  <si>
    <t>=100*(1-(M1718/K1718))</t>
  </si>
  <si>
    <t>=100*(1-(M1735/K1735))</t>
  </si>
  <si>
    <t>=100*(1-(M1738/K1738))</t>
  </si>
  <si>
    <t>=100*(1-(M1747/K1747))</t>
  </si>
  <si>
    <t>=100*(1-(M1755/K1755))</t>
  </si>
  <si>
    <t>=100*(1-(M1778/K1778))</t>
  </si>
  <si>
    <t>=100*(1-(M1785/K1785))</t>
  </si>
  <si>
    <t>=100*(1-(M1788/K1788))</t>
  </si>
  <si>
    <t>=100*(1-(M167/K167))</t>
  </si>
  <si>
    <t>=100*(1-(M267/K267))</t>
  </si>
  <si>
    <t>=100*(1-(M194/K194))</t>
  </si>
  <si>
    <t>=100*(1-(M222/K222))</t>
  </si>
  <si>
    <t>=100*(1-(M232/K232))</t>
  </si>
  <si>
    <t>=100*(1-(M240/K240))</t>
  </si>
  <si>
    <t>=100*(1-(M248/K248))</t>
  </si>
  <si>
    <t>=100*(1-(M258/K258))</t>
  </si>
  <si>
    <t>=100*(1-(M261/K261))</t>
  </si>
  <si>
    <t>=100*(1-(M264/K264))</t>
  </si>
  <si>
    <t>=100*(1-(M271/K271))</t>
  </si>
  <si>
    <t>=100*(1-(M300/K300))</t>
  </si>
  <si>
    <t>=100*(1-(M311/K311))</t>
  </si>
  <si>
    <t>=100*(1-(M317/K317))</t>
  </si>
  <si>
    <t>=100*(1-(M327/K327))</t>
  </si>
  <si>
    <t>=100*(1-(M330/K330))</t>
  </si>
  <si>
    <t>=100*(1-(M333/K333))</t>
  </si>
  <si>
    <t>=100*(1-(M336/K336))</t>
  </si>
  <si>
    <t>=100*(1-(M340/K340))</t>
  </si>
  <si>
    <t>=100*(1-(M354/K354))</t>
  </si>
  <si>
    <t>=100*(1-(M360/K360))</t>
  </si>
  <si>
    <t>=100*(1-(M370/K370))</t>
  </si>
  <si>
    <t>=100*(1-(M373/K373))</t>
  </si>
  <si>
    <t>=100*(1-(M377/K377))</t>
  </si>
  <si>
    <t>=100*(1-(M413/K413))</t>
  </si>
  <si>
    <t>=100*(1-(M430/K430))</t>
  </si>
  <si>
    <t>=100*(1-(M475/K475))</t>
  </si>
  <si>
    <t>=100*(1-(M483/K483))</t>
  </si>
  <si>
    <t>=100*(1-(M561/K561))</t>
  </si>
  <si>
    <t>=100*(1-(M568/K568))</t>
  </si>
  <si>
    <t>=100*(1-(M612/K612))</t>
  </si>
  <si>
    <t>=100*(1-(M622/K622))</t>
  </si>
  <si>
    <t>=SUM(K5,K31,K43,K46,K49,K52,K55)</t>
  </si>
  <si>
    <t>=SUM(K638,K682,K690,K700,K703)</t>
  </si>
  <si>
    <t>=SUM(K683)</t>
  </si>
  <si>
    <t>=SUM(K707,K740,K747,K757,K760)</t>
  </si>
  <si>
    <t>=SUM(K741)</t>
  </si>
  <si>
    <t>=SUM(K764,K797,K804,K814,K817)</t>
  </si>
  <si>
    <t>=SUM(K798)</t>
  </si>
  <si>
    <t>=SUM(K821,K854,K861)</t>
  </si>
  <si>
    <t>=SUM(K855)</t>
  </si>
  <si>
    <t>=SUM(K874,K907,K915)</t>
  </si>
  <si>
    <t>=SUM(K908)</t>
  </si>
  <si>
    <t>=SUM(K928,K955,K966,K976,K979)</t>
  </si>
  <si>
    <t>=SUM(K956)</t>
  </si>
  <si>
    <t>=SUM(K983,K1022,K1033)</t>
  </si>
  <si>
    <t>=SUM(K1023)</t>
  </si>
  <si>
    <t>=SUM(K1046,K1092,K1103,K1113,K1116)</t>
  </si>
  <si>
    <t>=SUM(K1093)</t>
  </si>
  <si>
    <t>=SUM(K1120,K1164,K1175,K1185,K1188)</t>
  </si>
  <si>
    <t>=SUM(K1165)</t>
  </si>
  <si>
    <t>=SUM(K1192,K1236,K1247,K1257,K1260)</t>
  </si>
  <si>
    <t>=SUM(K1237)</t>
  </si>
  <si>
    <t>=SUM(K66,K91,K118,K121,K124,K136,K139,K150,K160,K163)</t>
  </si>
  <si>
    <t>=SUM(K140)</t>
  </si>
  <si>
    <t>=SUM(K1264,K1308,K1319,K1329,K1332)</t>
  </si>
  <si>
    <t>=SUM(K1309)</t>
  </si>
  <si>
    <t>=SUM(K1336,K1351,K1372,K1377,K1385,K1392,K1415,K1424,K1427,K1430,K1442)</t>
  </si>
  <si>
    <t>=SUM(K1416)</t>
  </si>
  <si>
    <t>=SUM(K1453,K1497,K1509)</t>
  </si>
  <si>
    <t>=SUM(K1510)</t>
  </si>
  <si>
    <t>=SUM(K1517,K1561,K1570,K1573,K1576,K1588)</t>
  </si>
  <si>
    <t>=SUM(K1562)</t>
  </si>
  <si>
    <t>=SUM(K1599,K1634,K1639,K1642,K1645,K1657)</t>
  </si>
  <si>
    <t>=SUM(K1635)</t>
  </si>
  <si>
    <t>=SUM(K1668,K1671,K1698,K1710,K1713)</t>
  </si>
  <si>
    <t>=SUM(K1717,K1738,K1747,K1755,K1778,K1785,K1788)</t>
  </si>
  <si>
    <t>=SUM(K167,K194,K222,K232,K239,K248,K258,K261,K264,K267)</t>
  </si>
  <si>
    <t>=SUM(K240)</t>
  </si>
  <si>
    <t>=SUM(K271,K300,K310,K317,K327,K330,K333,K336)</t>
  </si>
  <si>
    <t>=SUM(K311)</t>
  </si>
  <si>
    <t>=SUM(K340,K353,K360,K370,K373)</t>
  </si>
  <si>
    <t>=SUM(K354)</t>
  </si>
  <si>
    <t>=SUM(K377,K406,K413,K423,K426)</t>
  </si>
  <si>
    <t>=SUM(K407)</t>
  </si>
  <si>
    <t>=SUM(K430,K474,K483,K493,K496)</t>
  </si>
  <si>
    <t>=SUM(K475)</t>
  </si>
  <si>
    <t>=SUM(K500,K544,K551,K561,K564)</t>
  </si>
  <si>
    <t>=SUM(K545)</t>
  </si>
  <si>
    <t>=SUM(K568,K612,K622,K625,K628)</t>
  </si>
  <si>
    <t>=SUM(K629)</t>
  </si>
  <si>
    <t>=I4*SUM(M5,M31,M43,M46,M49,M52,M55)</t>
  </si>
  <si>
    <t>=I637*SUM(M638,M682,M690,M700,M703)</t>
  </si>
  <si>
    <t>=I682*SUM(M683)</t>
  </si>
  <si>
    <t>=I706*SUM(M707,M740,M747,M757,M760)</t>
  </si>
  <si>
    <t>=I740*SUM(M741)</t>
  </si>
  <si>
    <t>=I763*SUM(M764,M797,M804,M814,M817)</t>
  </si>
  <si>
    <t>=I797*SUM(M798)</t>
  </si>
  <si>
    <t>=I820*SUM(M821,M854,M861)</t>
  </si>
  <si>
    <t>=I854*SUM(M855)</t>
  </si>
  <si>
    <t>=I873*SUM(M874,M907,M915)</t>
  </si>
  <si>
    <t>=I907*SUM(M908)</t>
  </si>
  <si>
    <t>=I927*SUM(M928,M955,M966,M976,M979)</t>
  </si>
  <si>
    <t>=I955*SUM(M956)</t>
  </si>
  <si>
    <t>=I982*SUM(M983,M1022,M1033)</t>
  </si>
  <si>
    <t>=I1022*SUM(M1023)</t>
  </si>
  <si>
    <t>=I1045*SUM(M1046,M1092,M1103,M1113,M1116)</t>
  </si>
  <si>
    <t>=I1092*SUM(M1093)</t>
  </si>
  <si>
    <t>=I1119*SUM(M1120,M1164,M1175,M1185,M1188)</t>
  </si>
  <si>
    <t>=I1164*SUM(M1165)</t>
  </si>
  <si>
    <t>=I1191*SUM(M1192,M1236,M1247,M1257,M1260)</t>
  </si>
  <si>
    <t>=I1236*SUM(M1237)</t>
  </si>
  <si>
    <t>=I65*SUM(M66,M91,M118,M121,M124,M136,M139,M150,M160,M163)</t>
  </si>
  <si>
    <t>=I139*SUM(M140)</t>
  </si>
  <si>
    <t>=I1263*SUM(M1264,M1308,M1319,M1329,M1332)</t>
  </si>
  <si>
    <t>=I1308*SUM(M1309)</t>
  </si>
  <si>
    <t>=I1335*SUM(M1336,M1351,M1372,M1377,M1385,M1392,M1415,M1424,M1427,M1430,M1442)</t>
  </si>
  <si>
    <t>=I1415*SUM(M1416)</t>
  </si>
  <si>
    <t>=I1452*SUM(M1453,M1497,M1509)</t>
  </si>
  <si>
    <t>=I1509*SUM(M1510)</t>
  </si>
  <si>
    <t>=I1516*SUM(M1517,M1561,M1570,M1573,M1576,M1588)</t>
  </si>
  <si>
    <t>=I1561*SUM(M1562)</t>
  </si>
  <si>
    <t>=I1598*SUM(M1599,M1634,M1639,M1642,M1645,M1657)</t>
  </si>
  <si>
    <t>=I1634*SUM(M1635)</t>
  </si>
  <si>
    <t>=I1667*SUM(M1668,M1671,M1698,M1710,M1713)</t>
  </si>
  <si>
    <t>=I1716*SUM(M1717,M1738,M1747,M1755,M1778,M1785,M1788)</t>
  </si>
  <si>
    <t>=I166*SUM(M167,M194,M222,M232,M239,M248,M258,M261,M264,M267)</t>
  </si>
  <si>
    <t>=I239*SUM(M240)</t>
  </si>
  <si>
    <t>=I270*SUM(M271,M300,M310,M317,M327,M330,M333,M336)</t>
  </si>
  <si>
    <t>=I310*SUM(M311)</t>
  </si>
  <si>
    <t>=I339*SUM(M340,M353,M360,M370,M373)</t>
  </si>
  <si>
    <t>=I353*SUM(M354)</t>
  </si>
  <si>
    <t>=I376*SUM(M377,M406,M413,M423,M426)</t>
  </si>
  <si>
    <t>=I406*SUM(M407)</t>
  </si>
  <si>
    <t>=I429*SUM(M430,M474,M483,M493,M496)</t>
  </si>
  <si>
    <t>=I474*SUM(M475)</t>
  </si>
  <si>
    <t>=I499*SUM(M500,M544,M551,M561,M564)</t>
  </si>
  <si>
    <t>=I544*SUM(M545)</t>
  </si>
  <si>
    <t>=I567*SUM(M568,M612,M622,M625,M628)</t>
  </si>
  <si>
    <t>=I628*SUM(M629)</t>
  </si>
  <si>
    <t>=I4*J4</t>
  </si>
  <si>
    <t>=I637*J637</t>
  </si>
  <si>
    <t>=I682*J682</t>
  </si>
  <si>
    <t>=I706*J706</t>
  </si>
  <si>
    <t>=I740*J740</t>
  </si>
  <si>
    <t>=I763*J763</t>
  </si>
  <si>
    <t>=I820*J820</t>
  </si>
  <si>
    <t>=I854*J854</t>
  </si>
  <si>
    <t>=I873*J873</t>
  </si>
  <si>
    <t>=I907*J907</t>
  </si>
  <si>
    <t>=I927*J927</t>
  </si>
  <si>
    <t>=I955*J955</t>
  </si>
  <si>
    <t>=I982*J982</t>
  </si>
  <si>
    <t>=I1022*J1022</t>
  </si>
  <si>
    <t>=I1045*J1045</t>
  </si>
  <si>
    <t>=I1092*J1092</t>
  </si>
  <si>
    <t>=I1119*J1119</t>
  </si>
  <si>
    <t>=I1164*J1164</t>
  </si>
  <si>
    <t>=I1191*J1191</t>
  </si>
  <si>
    <t>=I1236*J1236</t>
  </si>
  <si>
    <t>=I65*J65</t>
  </si>
  <si>
    <t>=I139*J139</t>
  </si>
  <si>
    <t>=I1263*J1263</t>
  </si>
  <si>
    <t>=I1308*J1308</t>
  </si>
  <si>
    <t>=I1335*J1335</t>
  </si>
  <si>
    <t>=I1415*J1415</t>
  </si>
  <si>
    <t>=I1452*J1452</t>
  </si>
  <si>
    <t>=I1509*J1509</t>
  </si>
  <si>
    <t>=I1516*J1516</t>
  </si>
  <si>
    <t>=I1561*J1561</t>
  </si>
  <si>
    <t>=I1598*J1598</t>
  </si>
  <si>
    <t>=I1634*J1634</t>
  </si>
  <si>
    <t>=I1667*J1667</t>
  </si>
  <si>
    <t>=I1716*J1716</t>
  </si>
  <si>
    <t>=I166*J166</t>
  </si>
  <si>
    <t>=I239*J239</t>
  </si>
  <si>
    <t>=I270*J270</t>
  </si>
  <si>
    <t>=I310*J310</t>
  </si>
  <si>
    <t>=I339*J339</t>
  </si>
  <si>
    <t>=I353*J353</t>
  </si>
  <si>
    <t>=I406*J406</t>
  </si>
  <si>
    <t>=I429*J429</t>
  </si>
  <si>
    <t>=I474*J474</t>
  </si>
  <si>
    <t>=I499*J499</t>
  </si>
  <si>
    <t>=I544*J544</t>
  </si>
  <si>
    <t>=I628*J628</t>
  </si>
  <si>
    <t>=100*(1-(M4/K4))</t>
  </si>
  <si>
    <t>=100*(1-(M637/K637))</t>
  </si>
  <si>
    <t>=100*(1-(M682/K682))</t>
  </si>
  <si>
    <t>=100*(1-(M706/K706))</t>
  </si>
  <si>
    <t>=100*(1-(M740/K740))</t>
  </si>
  <si>
    <t>=100*(1-(M763/K763))</t>
  </si>
  <si>
    <t>=100*(1-(M820/K820))</t>
  </si>
  <si>
    <t>=100*(1-(M854/K854))</t>
  </si>
  <si>
    <t>=100*(1-(M873/K873))</t>
  </si>
  <si>
    <t>=100*(1-(M907/K907))</t>
  </si>
  <si>
    <t>=100*(1-(M927/K927))</t>
  </si>
  <si>
    <t>=100*(1-(M955/K955))</t>
  </si>
  <si>
    <t>=100*(1-(M982/K982))</t>
  </si>
  <si>
    <t>=100*(1-(M1022/K1022))</t>
  </si>
  <si>
    <t>=100*(1-(M1045/K1045))</t>
  </si>
  <si>
    <t>=100*(1-(M1092/K1092))</t>
  </si>
  <si>
    <t>=100*(1-(M1119/K1119))</t>
  </si>
  <si>
    <t>=100*(1-(M1164/K1164))</t>
  </si>
  <si>
    <t>=100*(1-(M1191/K1191))</t>
  </si>
  <si>
    <t>=100*(1-(M1236/K1236))</t>
  </si>
  <si>
    <t>=100*(1-(M65/K65))</t>
  </si>
  <si>
    <t>=100*(1-(M139/K139))</t>
  </si>
  <si>
    <t>=100*(1-(M1263/K1263))</t>
  </si>
  <si>
    <t>=100*(1-(M1308/K1308))</t>
  </si>
  <si>
    <t>=100*(1-(M1335/K1335))</t>
  </si>
  <si>
    <t>=100*(1-(M1415/K1415))</t>
  </si>
  <si>
    <t>=100*(1-(M1452/K1452))</t>
  </si>
  <si>
    <t>=100*(1-(M1509/K1509))</t>
  </si>
  <si>
    <t>=100*(1-(M1516/K1516))</t>
  </si>
  <si>
    <t>=100*(1-(M1561/K1561))</t>
  </si>
  <si>
    <t>=100*(1-(M1598/K1598))</t>
  </si>
  <si>
    <t>=100*(1-(M1634/K1634))</t>
  </si>
  <si>
    <t>=100*(1-(M1667/K1667))</t>
  </si>
  <si>
    <t>=100*(1-(M1716/K1716))</t>
  </si>
  <si>
    <t>=100*(1-(M166/K166))</t>
  </si>
  <si>
    <t>=100*(1-(M239/K239))</t>
  </si>
  <si>
    <t>=100*(1-(M270/K270))</t>
  </si>
  <si>
    <t>=100*(1-(M310/K310))</t>
  </si>
  <si>
    <t>=100*(1-(M339/K339))</t>
  </si>
  <si>
    <t>=100*(1-(M353/K353))</t>
  </si>
  <si>
    <t>=100*(1-(M406/K406))</t>
  </si>
  <si>
    <t>=100*(1-(M429/K429))</t>
  </si>
  <si>
    <t>=100*(1-(M474/K474))</t>
  </si>
  <si>
    <t>=100*(1-(M499/K499))</t>
  </si>
  <si>
    <t>=100*(1-(M544/K544))</t>
  </si>
  <si>
    <t>=100*(1-(M628/K628))</t>
  </si>
  <si>
    <t>=SUM(K4,K65,K166,K270,K339,K376,K429,K499,K567,K637,K706,K763,K820,K873,K927,K982,K1045,K1119,K1191,K1263,K1335,K1452,K1516,K1598,K1667,K1716)</t>
  </si>
  <si>
    <t>=I3*SUM(M4,M65,M166,M270,M339,M376,M429,M499,M567,M637,M706,M763,M820,M873,M927,M982,M1045,M1119,M1191,M1263,M1335,M1452,M1516,M1598,M1667,M1716)</t>
  </si>
  <si>
    <t>=I3*J3</t>
  </si>
  <si>
    <t>=100*(1-(M3/K3))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</si>
</sst>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15" sqref="A15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1790"/>
  <sheetViews>
    <sheetView tabSelected="1" zoomScale="70" zoomScaleNormal="70" workbookViewId="0">
      <selection activeCell="B1" sqref="B1"/>
    </sheetView>
  </sheetViews>
  <sheetFormatPr defaultRowHeight="15" x14ac:dyDescent="0.25"/>
  <cols>
    <col min="1" max="1" width="12.7109375" style="90" bestFit="1" customWidth="1"/>
    <col min="2" max="2" width="28.42578125" style="119" customWidth="1"/>
    <col min="3" max="3" width="10.85546875" style="90" bestFit="1" customWidth="1"/>
    <col min="4" max="4" width="19.28515625" style="90" customWidth="1"/>
    <col min="5" max="5" width="8.28515625" bestFit="1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73.4257812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x14ac:dyDescent="0.25">
      <c r="A2" s="89" t="s">
        <v>68</v>
      </c>
      <c r="B2" s="88">
        <v>0</v>
      </c>
      <c r="C2" s="82"/>
      <c r="D2" s="82"/>
      <c r="E2" s="81">
        <v>1</v>
      </c>
      <c r="F2" s="81">
        <v>3578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x14ac:dyDescent="0.25">
      <c r="A3" s="89" t="s">
        <v>78</v>
      </c>
      <c r="B3" s="88">
        <v>1</v>
      </c>
      <c r="C3" s="82" t="s">
        <v>68</v>
      </c>
      <c r="D3" s="82" t="s">
        <v>78</v>
      </c>
      <c r="E3" s="81">
        <v>2</v>
      </c>
      <c r="F3" s="81">
        <v>3577</v>
      </c>
      <c r="G3" s="92" t="s">
        <v>68</v>
      </c>
      <c r="H3" s="81" t="s">
        <v>1126</v>
      </c>
      <c r="I3" s="81">
        <v>1</v>
      </c>
      <c r="J3" s="81">
        <f>SUM(K4,K65,K166,K270,K339,K376,K429,K499,K567,K637,K706,K763,K820,K873,K927,K982,K1045,K1119,K1191,K1263,K1335,K1452,K1516,K1598,K1667,K1716)</f>
        <v>2045899.0576078699</v>
      </c>
      <c r="K3" s="81">
        <f>I3*J3</f>
        <v>2045899.0576078699</v>
      </c>
      <c r="L3" s="81">
        <f>100*(1-(M3/K3))</f>
        <v>48.767766633664834</v>
      </c>
      <c r="M3" s="81">
        <f>I3*SUM(M4,M65,M166,M270,M339,M376,M429,M499,M567,M637,M706,M763,M820,M873,M927,M982,M1045,M1119,M1191,M1263,M1335,M1452,M1516,M1598,M1667,M1716)</f>
        <v>1048159.7796333157</v>
      </c>
      <c r="N3" s="82">
        <v>3</v>
      </c>
      <c r="O3" s="82" t="s">
        <v>81</v>
      </c>
      <c r="P3" s="82"/>
      <c r="Q3" s="82"/>
      <c r="R3" s="82" t="s">
        <v>7108</v>
      </c>
      <c r="S3" s="82" t="s">
        <v>7110</v>
      </c>
      <c r="T3" s="82" t="s">
        <v>7111</v>
      </c>
      <c r="U3" s="82" t="s">
        <v>7109</v>
      </c>
      <c r="V3" s="93"/>
      <c r="W3" s="93"/>
    </row>
    <row r="4" spans="1:25" x14ac:dyDescent="0.25">
      <c r="A4" s="82" t="s">
        <v>82</v>
      </c>
      <c r="B4" s="120">
        <v>2</v>
      </c>
      <c r="C4" s="85" t="s">
        <v>78</v>
      </c>
      <c r="D4" s="82" t="s">
        <v>78</v>
      </c>
      <c r="E4" s="87">
        <v>3</v>
      </c>
      <c r="F4" s="87">
        <v>124</v>
      </c>
      <c r="G4" s="92" t="s">
        <v>68</v>
      </c>
      <c r="H4" s="81" t="s">
        <v>1127</v>
      </c>
      <c r="I4" s="81">
        <v>1</v>
      </c>
      <c r="J4" s="81">
        <f>SUM(K5,K31,K43,K46,K49,K52,K55)</f>
        <v>64971.85449007999</v>
      </c>
      <c r="K4" s="81">
        <f>I4*J4</f>
        <v>64971.85449007999</v>
      </c>
      <c r="L4" s="81">
        <f>100*(1-(M4/K4))</f>
        <v>50.246266193257362</v>
      </c>
      <c r="M4" s="81">
        <f>I4*SUM(M5,M31,M43,M46,M49,M52,M55)</f>
        <v>32325.923532298559</v>
      </c>
      <c r="N4" s="90">
        <v>4</v>
      </c>
      <c r="O4" s="90" t="s">
        <v>83</v>
      </c>
      <c r="P4" s="118"/>
      <c r="Q4" s="118"/>
      <c r="R4" s="90" t="s">
        <v>6918</v>
      </c>
      <c r="S4" s="90" t="s">
        <v>7016</v>
      </c>
      <c r="T4" s="90" t="s">
        <v>7062</v>
      </c>
      <c r="U4" s="90" t="s">
        <v>6967</v>
      </c>
      <c r="V4" s="93"/>
      <c r="W4" s="93"/>
    </row>
    <row r="5" spans="1:25" x14ac:dyDescent="0.25">
      <c r="A5" s="83" t="s">
        <v>1128</v>
      </c>
      <c r="B5" s="88">
        <v>3</v>
      </c>
      <c r="C5" s="86" t="s">
        <v>82</v>
      </c>
      <c r="D5" s="82" t="s">
        <v>78</v>
      </c>
      <c r="E5" s="88">
        <v>4</v>
      </c>
      <c r="F5" s="88">
        <v>55</v>
      </c>
      <c r="G5" s="92" t="s">
        <v>68</v>
      </c>
      <c r="H5" s="81" t="s">
        <v>627</v>
      </c>
      <c r="I5">
        <v>1</v>
      </c>
      <c r="J5">
        <f>SUM(K6,K8,K10,K19)</f>
        <v>30353.651600689998</v>
      </c>
      <c r="K5">
        <f>I5*J5</f>
        <v>30353.651600689998</v>
      </c>
      <c r="L5">
        <f>100*(1-(M5/K5))</f>
        <v>39.999999999999993</v>
      </c>
      <c r="M5">
        <f>I5*SUM(M6,M8,M10,M19)</f>
        <v>18212.190960414002</v>
      </c>
      <c r="N5" s="90">
        <v>5</v>
      </c>
      <c r="O5" s="90" t="s">
        <v>84</v>
      </c>
      <c r="P5" s="118"/>
      <c r="Q5" s="118"/>
      <c r="R5" s="90" t="s">
        <v>6324</v>
      </c>
      <c r="S5" s="90" t="s">
        <v>6628</v>
      </c>
      <c r="T5" s="90" t="s">
        <v>6773</v>
      </c>
      <c r="U5" s="90" t="s">
        <v>6476</v>
      </c>
      <c r="V5" s="93"/>
      <c r="W5" s="93"/>
    </row>
    <row r="6" spans="1:25" x14ac:dyDescent="0.25">
      <c r="A6" s="84" t="s">
        <v>1129</v>
      </c>
      <c r="B6" s="88">
        <v>4</v>
      </c>
      <c r="C6" s="83" t="s">
        <v>1128</v>
      </c>
      <c r="D6" s="82" t="s">
        <v>78</v>
      </c>
      <c r="E6" s="87">
        <v>5</v>
      </c>
      <c r="F6" s="87">
        <v>8</v>
      </c>
      <c r="G6" s="92" t="s">
        <v>68</v>
      </c>
      <c r="H6" s="81" t="s">
        <v>449</v>
      </c>
      <c r="I6">
        <v>7</v>
      </c>
      <c r="J6">
        <f>SUM(K7)</f>
        <v>214.52947918000001</v>
      </c>
      <c r="K6">
        <f>I6*J6</f>
        <v>1501.7063542600001</v>
      </c>
      <c r="L6">
        <f>100*(1-(M6/K6))</f>
        <v>40</v>
      </c>
      <c r="M6">
        <f>I6*SUM(M7)</f>
        <v>901.02381255600005</v>
      </c>
      <c r="N6" s="90">
        <v>6</v>
      </c>
      <c r="O6" s="90" t="s">
        <v>85</v>
      </c>
      <c r="P6" s="118"/>
      <c r="Q6" s="118"/>
      <c r="R6" s="90" t="s">
        <v>4248</v>
      </c>
      <c r="S6" s="90" t="s">
        <v>5328</v>
      </c>
      <c r="T6" s="90" t="s">
        <v>5826</v>
      </c>
      <c r="U6" s="90" t="s">
        <v>4788</v>
      </c>
      <c r="V6" s="93"/>
      <c r="W6" s="93"/>
    </row>
    <row r="7" spans="1:25" x14ac:dyDescent="0.25">
      <c r="A7" s="84" t="s">
        <v>1130</v>
      </c>
      <c r="B7" s="88">
        <v>5</v>
      </c>
      <c r="C7" s="83" t="s">
        <v>1129</v>
      </c>
      <c r="D7" s="82" t="s">
        <v>78</v>
      </c>
      <c r="E7" s="87">
        <v>6</v>
      </c>
      <c r="F7" s="87">
        <v>7</v>
      </c>
      <c r="G7" s="92" t="s">
        <v>78</v>
      </c>
      <c r="H7" s="81" t="s">
        <v>194</v>
      </c>
      <c r="I7">
        <v>1</v>
      </c>
      <c r="J7">
        <v>214.52947918000001</v>
      </c>
      <c r="K7">
        <f>I7*J7</f>
        <v>214.52947918000001</v>
      </c>
      <c r="L7">
        <v>40</v>
      </c>
      <c r="M7">
        <f>(1-(L7/100))*K7</f>
        <v>128.71768750800001</v>
      </c>
      <c r="N7" s="90">
        <v>7</v>
      </c>
      <c r="O7" s="90" t="s">
        <v>86</v>
      </c>
      <c r="P7" s="118"/>
      <c r="Q7" s="118"/>
      <c r="V7" s="93"/>
      <c r="W7" s="93"/>
    </row>
    <row r="8" spans="1:25" x14ac:dyDescent="0.25">
      <c r="A8" s="84" t="s">
        <v>1131</v>
      </c>
      <c r="B8" s="88">
        <v>4</v>
      </c>
      <c r="C8" s="84" t="s">
        <v>1128</v>
      </c>
      <c r="D8" s="82" t="s">
        <v>79</v>
      </c>
      <c r="E8" s="87">
        <v>9</v>
      </c>
      <c r="F8" s="87">
        <v>12</v>
      </c>
      <c r="G8" s="92" t="s">
        <v>68</v>
      </c>
      <c r="H8" s="81" t="s">
        <v>452</v>
      </c>
      <c r="I8">
        <v>15</v>
      </c>
      <c r="J8">
        <f>SUM(K9)</f>
        <v>214.52947918000001</v>
      </c>
      <c r="K8">
        <f>I8*J8</f>
        <v>3217.9421877</v>
      </c>
      <c r="L8">
        <f>100*(1-(M8/K8))</f>
        <v>39.999999999999993</v>
      </c>
      <c r="M8">
        <f>I8*SUM(M9)</f>
        <v>1930.7653126200003</v>
      </c>
      <c r="N8" s="90">
        <v>8</v>
      </c>
      <c r="O8" s="90" t="s">
        <v>101</v>
      </c>
      <c r="P8" s="118"/>
      <c r="Q8" s="118"/>
      <c r="R8" s="90" t="s">
        <v>4249</v>
      </c>
      <c r="S8" s="90" t="s">
        <v>5329</v>
      </c>
      <c r="T8" s="90" t="s">
        <v>5827</v>
      </c>
      <c r="U8" s="90" t="s">
        <v>4789</v>
      </c>
      <c r="V8" s="93"/>
      <c r="W8" s="93"/>
    </row>
    <row r="9" spans="1:25" x14ac:dyDescent="0.25">
      <c r="A9" s="84" t="s">
        <v>1132</v>
      </c>
      <c r="B9" s="88">
        <v>5</v>
      </c>
      <c r="C9" s="84" t="s">
        <v>1131</v>
      </c>
      <c r="D9" s="82" t="s">
        <v>78</v>
      </c>
      <c r="E9" s="87">
        <v>10</v>
      </c>
      <c r="F9" s="87">
        <v>11</v>
      </c>
      <c r="G9" s="92" t="s">
        <v>78</v>
      </c>
      <c r="H9" s="81" t="s">
        <v>196</v>
      </c>
      <c r="I9">
        <v>1</v>
      </c>
      <c r="J9">
        <v>214.52947918000001</v>
      </c>
      <c r="K9">
        <f>I9*J9</f>
        <v>214.52947918000001</v>
      </c>
      <c r="L9">
        <v>40</v>
      </c>
      <c r="M9">
        <f>(1-(L9/100))*K9</f>
        <v>128.71768750800001</v>
      </c>
      <c r="N9" s="90">
        <v>9</v>
      </c>
      <c r="O9" s="90" t="s">
        <v>88</v>
      </c>
      <c r="P9" s="118"/>
      <c r="Q9" s="118"/>
      <c r="V9" s="93"/>
      <c r="W9" s="93"/>
    </row>
    <row r="10" spans="1:25" x14ac:dyDescent="0.25">
      <c r="A10" s="84" t="s">
        <v>1133</v>
      </c>
      <c r="B10" s="88">
        <v>4</v>
      </c>
      <c r="C10" s="84" t="s">
        <v>1128</v>
      </c>
      <c r="D10" s="82" t="s">
        <v>80</v>
      </c>
      <c r="E10" s="87">
        <v>13</v>
      </c>
      <c r="F10" s="87">
        <v>30</v>
      </c>
      <c r="G10" s="92" t="s">
        <v>68</v>
      </c>
      <c r="H10" s="81" t="s">
        <v>633</v>
      </c>
      <c r="I10">
        <v>1</v>
      </c>
      <c r="J10">
        <f>SUM(K11,K12,K13,K14,K15,K16,K17,K18)</f>
        <v>15615.65305873</v>
      </c>
      <c r="K10">
        <f>I10*J10</f>
        <v>15615.65305873</v>
      </c>
      <c r="L10">
        <f>100*(1-(M10/K10))</f>
        <v>40.000000000000014</v>
      </c>
      <c r="M10">
        <f>I10*SUM(M11,M12,M13,M14,M15,M16,M17,M18)</f>
        <v>9369.3918352379987</v>
      </c>
      <c r="N10" s="90">
        <v>10</v>
      </c>
      <c r="O10" s="90" t="s">
        <v>102</v>
      </c>
      <c r="P10" s="118"/>
      <c r="Q10" s="118"/>
      <c r="R10" s="90" t="s">
        <v>4250</v>
      </c>
      <c r="S10" s="90" t="s">
        <v>5330</v>
      </c>
      <c r="T10" s="90" t="s">
        <v>5828</v>
      </c>
      <c r="U10" s="90" t="s">
        <v>4790</v>
      </c>
      <c r="V10" s="93"/>
      <c r="W10" s="93"/>
    </row>
    <row r="11" spans="1:25" x14ac:dyDescent="0.25">
      <c r="A11" s="84" t="s">
        <v>1134</v>
      </c>
      <c r="B11" s="88">
        <v>5</v>
      </c>
      <c r="C11" s="84" t="s">
        <v>1133</v>
      </c>
      <c r="D11" s="82" t="s">
        <v>78</v>
      </c>
      <c r="E11" s="87">
        <v>14</v>
      </c>
      <c r="F11" s="87">
        <v>15</v>
      </c>
      <c r="G11" s="92" t="s">
        <v>78</v>
      </c>
      <c r="H11" s="81" t="s">
        <v>140</v>
      </c>
      <c r="I11">
        <v>1</v>
      </c>
      <c r="J11">
        <v>33.99</v>
      </c>
      <c r="K11">
        <f>I11*J11</f>
        <v>33.99</v>
      </c>
      <c r="L11">
        <v>40</v>
      </c>
      <c r="M11">
        <f>(1-(L11/100))*K11</f>
        <v>20.394000000000002</v>
      </c>
      <c r="N11" s="90">
        <v>11</v>
      </c>
      <c r="O11" s="90" t="s">
        <v>90</v>
      </c>
      <c r="P11" s="118"/>
      <c r="Q11" s="118"/>
      <c r="V11" s="93"/>
      <c r="W11" s="93"/>
    </row>
    <row r="12" spans="1:25" x14ac:dyDescent="0.25">
      <c r="A12" s="84" t="s">
        <v>1135</v>
      </c>
      <c r="B12" s="88">
        <v>5</v>
      </c>
      <c r="C12" s="84" t="s">
        <v>1133</v>
      </c>
      <c r="D12" s="82" t="s">
        <v>79</v>
      </c>
      <c r="E12" s="87">
        <v>16</v>
      </c>
      <c r="F12" s="87">
        <v>17</v>
      </c>
      <c r="G12" s="92" t="s">
        <v>78</v>
      </c>
      <c r="H12" s="81" t="s">
        <v>458</v>
      </c>
      <c r="I12">
        <v>1</v>
      </c>
      <c r="J12">
        <v>537.64166561000002</v>
      </c>
      <c r="K12">
        <f>I12*J12</f>
        <v>537.64166561000002</v>
      </c>
      <c r="L12">
        <v>40</v>
      </c>
      <c r="M12">
        <f>(1-(L12/100))*K12</f>
        <v>322.58499936599998</v>
      </c>
      <c r="N12" s="90">
        <v>12</v>
      </c>
      <c r="O12" s="90" t="s">
        <v>91</v>
      </c>
      <c r="P12" s="118"/>
      <c r="Q12" s="118"/>
      <c r="V12" s="93"/>
      <c r="W12" s="93"/>
    </row>
    <row r="13" spans="1:25" x14ac:dyDescent="0.25">
      <c r="A13" s="84" t="s">
        <v>1136</v>
      </c>
      <c r="B13" s="88">
        <v>5</v>
      </c>
      <c r="C13" s="84" t="s">
        <v>1133</v>
      </c>
      <c r="D13" s="82" t="s">
        <v>80</v>
      </c>
      <c r="E13" s="87">
        <v>18</v>
      </c>
      <c r="F13" s="87">
        <v>19</v>
      </c>
      <c r="G13" s="92" t="s">
        <v>78</v>
      </c>
      <c r="H13" s="81" t="s">
        <v>141</v>
      </c>
      <c r="I13">
        <v>1</v>
      </c>
      <c r="J13">
        <v>1625.87546161</v>
      </c>
      <c r="K13">
        <f>I13*J13</f>
        <v>1625.87546161</v>
      </c>
      <c r="L13">
        <v>40</v>
      </c>
      <c r="M13">
        <f>(1-(L13/100))*K13</f>
        <v>975.52527696599998</v>
      </c>
      <c r="N13" s="90">
        <v>13</v>
      </c>
      <c r="O13" s="90" t="s">
        <v>92</v>
      </c>
      <c r="P13" s="118"/>
      <c r="Q13" s="118"/>
      <c r="V13" s="93"/>
      <c r="W13" s="93"/>
    </row>
    <row r="14" spans="1:25" x14ac:dyDescent="0.25">
      <c r="A14" s="84" t="s">
        <v>1137</v>
      </c>
      <c r="B14" s="88">
        <v>5</v>
      </c>
      <c r="C14" s="84" t="s">
        <v>1133</v>
      </c>
      <c r="D14" s="82" t="s">
        <v>95</v>
      </c>
      <c r="E14" s="87">
        <v>20</v>
      </c>
      <c r="F14" s="87">
        <v>21</v>
      </c>
      <c r="G14" s="92" t="s">
        <v>78</v>
      </c>
      <c r="H14" s="81" t="s">
        <v>189</v>
      </c>
      <c r="I14">
        <v>1</v>
      </c>
      <c r="J14">
        <v>10880.466063919999</v>
      </c>
      <c r="K14">
        <f>I14*J14</f>
        <v>10880.466063919999</v>
      </c>
      <c r="L14">
        <v>40</v>
      </c>
      <c r="M14">
        <f>(1-(L14/100))*K14</f>
        <v>6528.279638351999</v>
      </c>
      <c r="N14" s="90">
        <v>14</v>
      </c>
      <c r="O14" s="90" t="s">
        <v>93</v>
      </c>
      <c r="P14" s="118"/>
      <c r="Q14" s="118"/>
      <c r="V14" s="93"/>
      <c r="W14" s="93"/>
    </row>
    <row r="15" spans="1:25" x14ac:dyDescent="0.25">
      <c r="A15" s="83" t="s">
        <v>1138</v>
      </c>
      <c r="B15" s="88">
        <v>5</v>
      </c>
      <c r="C15" s="86" t="s">
        <v>1133</v>
      </c>
      <c r="D15" s="82" t="s">
        <v>96</v>
      </c>
      <c r="E15" s="88">
        <v>22</v>
      </c>
      <c r="F15" s="88">
        <v>23</v>
      </c>
      <c r="G15" s="92" t="s">
        <v>78</v>
      </c>
      <c r="H15" s="81" t="s">
        <v>194</v>
      </c>
      <c r="I15">
        <v>0</v>
      </c>
      <c r="J15">
        <v>214.52947918000001</v>
      </c>
      <c r="K15">
        <f>I15*J15</f>
        <v>0</v>
      </c>
      <c r="L15">
        <v>40</v>
      </c>
      <c r="M15">
        <f>(1-(L15/100))*K15</f>
        <v>0</v>
      </c>
      <c r="N15" s="90">
        <v>15</v>
      </c>
      <c r="O15" s="90" t="s">
        <v>94</v>
      </c>
      <c r="P15" s="118"/>
      <c r="Q15" s="118"/>
      <c r="V15" s="93"/>
      <c r="W15" s="93"/>
    </row>
    <row r="16" spans="1:25" x14ac:dyDescent="0.25">
      <c r="A16" s="84" t="s">
        <v>1139</v>
      </c>
      <c r="B16" s="88">
        <v>5</v>
      </c>
      <c r="C16" s="84" t="s">
        <v>1133</v>
      </c>
      <c r="D16" s="82" t="s">
        <v>103</v>
      </c>
      <c r="E16" s="87">
        <v>24</v>
      </c>
      <c r="F16" s="87">
        <v>25</v>
      </c>
      <c r="G16" s="92" t="s">
        <v>78</v>
      </c>
      <c r="H16" s="81" t="s">
        <v>196</v>
      </c>
      <c r="I16">
        <v>0</v>
      </c>
      <c r="J16">
        <v>214.52947918000001</v>
      </c>
      <c r="K16">
        <f>I16*J16</f>
        <v>0</v>
      </c>
      <c r="L16">
        <v>40</v>
      </c>
      <c r="M16">
        <f>(1-(L16/100))*K16</f>
        <v>0</v>
      </c>
      <c r="N16" s="90">
        <v>16</v>
      </c>
      <c r="O16" s="90" t="s">
        <v>1140</v>
      </c>
      <c r="P16" s="118"/>
      <c r="Q16" s="118"/>
      <c r="V16" s="93"/>
      <c r="W16" s="93"/>
    </row>
    <row r="17" spans="1:23" x14ac:dyDescent="0.25">
      <c r="A17" s="84" t="s">
        <v>1141</v>
      </c>
      <c r="B17" s="88">
        <v>5</v>
      </c>
      <c r="C17" s="84" t="s">
        <v>1133</v>
      </c>
      <c r="D17" s="82" t="s">
        <v>796</v>
      </c>
      <c r="E17" s="87">
        <v>26</v>
      </c>
      <c r="F17" s="87">
        <v>27</v>
      </c>
      <c r="G17" s="92" t="s">
        <v>78</v>
      </c>
      <c r="H17" s="81" t="s">
        <v>187</v>
      </c>
      <c r="I17">
        <v>6</v>
      </c>
      <c r="J17">
        <v>256.72991214000001</v>
      </c>
      <c r="K17">
        <f>I17*J17</f>
        <v>1540.3794728400001</v>
      </c>
      <c r="L17">
        <v>40</v>
      </c>
      <c r="M17">
        <f>(1-(L17/100))*K17</f>
        <v>924.22768370400001</v>
      </c>
      <c r="N17" s="90">
        <v>17</v>
      </c>
      <c r="O17" s="90" t="s">
        <v>1142</v>
      </c>
      <c r="P17" s="118"/>
      <c r="Q17" s="118"/>
      <c r="V17" s="93"/>
      <c r="W17" s="93"/>
    </row>
    <row r="18" spans="1:23" x14ac:dyDescent="0.25">
      <c r="A18" s="84" t="s">
        <v>1143</v>
      </c>
      <c r="B18" s="88">
        <v>5</v>
      </c>
      <c r="C18" s="84" t="s">
        <v>1133</v>
      </c>
      <c r="D18" s="82" t="s">
        <v>797</v>
      </c>
      <c r="E18" s="87">
        <v>28</v>
      </c>
      <c r="F18" s="87">
        <v>29</v>
      </c>
      <c r="G18" s="92" t="s">
        <v>78</v>
      </c>
      <c r="H18" s="81" t="s">
        <v>468</v>
      </c>
      <c r="I18">
        <v>1</v>
      </c>
      <c r="J18">
        <v>997.30039475000001</v>
      </c>
      <c r="K18">
        <f>I18*J18</f>
        <v>997.30039475000001</v>
      </c>
      <c r="L18">
        <v>40</v>
      </c>
      <c r="M18">
        <f>(1-(L18/100))*K18</f>
        <v>598.38023684999996</v>
      </c>
      <c r="N18" s="90">
        <v>18</v>
      </c>
      <c r="O18" s="90" t="s">
        <v>1144</v>
      </c>
      <c r="P18" s="118"/>
      <c r="Q18" s="118"/>
      <c r="V18" s="93"/>
      <c r="W18" s="93"/>
    </row>
    <row r="19" spans="1:23" x14ac:dyDescent="0.25">
      <c r="A19" s="84" t="s">
        <v>1145</v>
      </c>
      <c r="B19" s="88">
        <v>4</v>
      </c>
      <c r="C19" s="84" t="s">
        <v>1128</v>
      </c>
      <c r="D19" s="82" t="s">
        <v>95</v>
      </c>
      <c r="E19" s="81">
        <v>31</v>
      </c>
      <c r="F19" s="81">
        <v>54</v>
      </c>
      <c r="G19" s="92" t="s">
        <v>68</v>
      </c>
      <c r="H19" s="81" t="s">
        <v>146</v>
      </c>
      <c r="I19">
        <v>1</v>
      </c>
      <c r="J19">
        <f>SUM(K20)</f>
        <v>10018.349999999999</v>
      </c>
      <c r="K19">
        <f>I19*J19</f>
        <v>10018.349999999999</v>
      </c>
      <c r="L19">
        <f>100*(1-(M19/K19))</f>
        <v>39.999999999999993</v>
      </c>
      <c r="M19">
        <f>I19*SUM(M20)</f>
        <v>6011.01</v>
      </c>
      <c r="N19" s="90">
        <v>19</v>
      </c>
      <c r="O19" s="90" t="s">
        <v>1146</v>
      </c>
      <c r="P19" s="118"/>
      <c r="Q19" s="118"/>
      <c r="R19" s="90" t="s">
        <v>6325</v>
      </c>
      <c r="S19" s="90" t="s">
        <v>6629</v>
      </c>
      <c r="T19" s="90" t="s">
        <v>6774</v>
      </c>
      <c r="U19" s="90" t="s">
        <v>6477</v>
      </c>
      <c r="V19" s="93"/>
      <c r="W19" s="93"/>
    </row>
    <row r="20" spans="1:23" x14ac:dyDescent="0.25">
      <c r="A20" s="89" t="s">
        <v>1147</v>
      </c>
      <c r="B20" s="88">
        <v>5</v>
      </c>
      <c r="C20" s="82" t="s">
        <v>1145</v>
      </c>
      <c r="D20" s="82" t="s">
        <v>78</v>
      </c>
      <c r="E20" s="81">
        <v>32</v>
      </c>
      <c r="F20" s="81">
        <v>53</v>
      </c>
      <c r="G20" s="92" t="s">
        <v>68</v>
      </c>
      <c r="H20" s="81" t="s">
        <v>147</v>
      </c>
      <c r="I20">
        <v>1</v>
      </c>
      <c r="J20">
        <f>SUM(K21,K22,K23,K24,K25,K26,K27,K28,K29,K30)</f>
        <v>10018.349999999999</v>
      </c>
      <c r="K20">
        <f>I20*J20</f>
        <v>10018.349999999999</v>
      </c>
      <c r="L20">
        <f>100*(1-(M20/K20))</f>
        <v>39.999999999999993</v>
      </c>
      <c r="M20">
        <f>I20*SUM(M21,M22,M23,M24,M25,M26,M27,M28,M29,M30)</f>
        <v>6011.01</v>
      </c>
      <c r="N20" s="90">
        <v>20</v>
      </c>
      <c r="O20" s="90" t="s">
        <v>1148</v>
      </c>
      <c r="P20" s="118"/>
      <c r="Q20" s="118"/>
      <c r="R20" s="90" t="s">
        <v>4251</v>
      </c>
      <c r="S20" s="90" t="s">
        <v>5331</v>
      </c>
      <c r="T20" s="90" t="s">
        <v>5829</v>
      </c>
      <c r="U20" s="90" t="s">
        <v>4791</v>
      </c>
      <c r="V20" s="93"/>
      <c r="W20" s="93"/>
    </row>
    <row r="21" spans="1:23" x14ac:dyDescent="0.25">
      <c r="A21" s="89" t="s">
        <v>1149</v>
      </c>
      <c r="B21" s="88">
        <v>6</v>
      </c>
      <c r="C21" s="82" t="s">
        <v>1147</v>
      </c>
      <c r="D21" s="82" t="s">
        <v>78</v>
      </c>
      <c r="E21" s="81">
        <v>33</v>
      </c>
      <c r="F21" s="81">
        <v>34</v>
      </c>
      <c r="G21" s="92" t="s">
        <v>78</v>
      </c>
      <c r="H21" s="81" t="s">
        <v>148</v>
      </c>
      <c r="I21">
        <v>1</v>
      </c>
      <c r="J21">
        <v>213.07</v>
      </c>
      <c r="K21">
        <f>I21*J21</f>
        <v>213.07</v>
      </c>
      <c r="L21">
        <v>40</v>
      </c>
      <c r="M21">
        <f>(1-(L21/100))*K21</f>
        <v>127.84199999999998</v>
      </c>
      <c r="N21" s="90">
        <v>21</v>
      </c>
      <c r="O21" s="90" t="s">
        <v>1150</v>
      </c>
      <c r="P21" s="118"/>
      <c r="Q21" s="118"/>
      <c r="V21" s="93"/>
      <c r="W21" s="93"/>
    </row>
    <row r="22" spans="1:23" x14ac:dyDescent="0.25">
      <c r="A22" s="89" t="s">
        <v>1151</v>
      </c>
      <c r="B22" s="88">
        <v>6</v>
      </c>
      <c r="C22" s="82" t="s">
        <v>1147</v>
      </c>
      <c r="D22" s="82" t="s">
        <v>79</v>
      </c>
      <c r="E22" s="81">
        <v>35</v>
      </c>
      <c r="F22" s="81">
        <v>36</v>
      </c>
      <c r="G22" s="92" t="s">
        <v>78</v>
      </c>
      <c r="H22" s="81" t="s">
        <v>149</v>
      </c>
      <c r="I22">
        <v>6</v>
      </c>
      <c r="J22">
        <v>15.02</v>
      </c>
      <c r="K22">
        <f>I22*J22</f>
        <v>90.12</v>
      </c>
      <c r="L22">
        <v>40</v>
      </c>
      <c r="M22">
        <f>(1-(L22/100))*K22</f>
        <v>54.072000000000003</v>
      </c>
      <c r="N22" s="90">
        <v>22</v>
      </c>
      <c r="O22" s="90" t="s">
        <v>1152</v>
      </c>
      <c r="P22" s="118"/>
      <c r="Q22" s="118"/>
      <c r="V22" s="93"/>
      <c r="W22" s="93"/>
    </row>
    <row r="23" spans="1:23" x14ac:dyDescent="0.25">
      <c r="A23" s="82" t="s">
        <v>1153</v>
      </c>
      <c r="B23" s="88">
        <v>6</v>
      </c>
      <c r="C23" s="82" t="s">
        <v>1147</v>
      </c>
      <c r="D23" s="82" t="s">
        <v>80</v>
      </c>
      <c r="E23" s="81">
        <v>37</v>
      </c>
      <c r="F23" s="81">
        <v>38</v>
      </c>
      <c r="G23" s="92" t="s">
        <v>78</v>
      </c>
      <c r="H23" s="81" t="s">
        <v>134</v>
      </c>
      <c r="I23">
        <v>1</v>
      </c>
      <c r="J23">
        <v>91.39</v>
      </c>
      <c r="K23">
        <f>I23*J23</f>
        <v>91.39</v>
      </c>
      <c r="L23">
        <v>40</v>
      </c>
      <c r="M23">
        <f>(1-(L23/100))*K23</f>
        <v>54.833999999999996</v>
      </c>
      <c r="N23" s="90">
        <v>23</v>
      </c>
      <c r="O23" s="90" t="s">
        <v>1154</v>
      </c>
      <c r="P23" s="118"/>
      <c r="Q23" s="118"/>
      <c r="V23" s="93"/>
      <c r="W23" s="93"/>
    </row>
    <row r="24" spans="1:23" x14ac:dyDescent="0.25">
      <c r="A24" s="90" t="s">
        <v>1155</v>
      </c>
      <c r="B24" s="119">
        <v>6</v>
      </c>
      <c r="C24" s="90" t="s">
        <v>1147</v>
      </c>
      <c r="D24" s="90" t="s">
        <v>95</v>
      </c>
      <c r="E24">
        <v>39</v>
      </c>
      <c r="F24">
        <v>40</v>
      </c>
      <c r="G24" s="93" t="s">
        <v>78</v>
      </c>
      <c r="H24" t="s">
        <v>150</v>
      </c>
      <c r="I24">
        <v>1</v>
      </c>
      <c r="J24">
        <v>11.44</v>
      </c>
      <c r="K24">
        <f>I24*J24</f>
        <v>11.44</v>
      </c>
      <c r="L24">
        <v>40</v>
      </c>
      <c r="M24">
        <f>(1-(L24/100))*K24</f>
        <v>6.8639999999999999</v>
      </c>
      <c r="N24" s="90">
        <v>24</v>
      </c>
      <c r="O24" s="90" t="s">
        <v>1156</v>
      </c>
      <c r="P24" s="118"/>
      <c r="Q24" s="118"/>
      <c r="V24" s="93"/>
      <c r="W24" s="93"/>
    </row>
    <row r="25" spans="1:23" x14ac:dyDescent="0.25">
      <c r="A25" s="84" t="s">
        <v>1157</v>
      </c>
      <c r="B25" s="88">
        <v>6</v>
      </c>
      <c r="C25" s="91" t="s">
        <v>1147</v>
      </c>
      <c r="D25" s="82" t="s">
        <v>96</v>
      </c>
      <c r="E25" s="81">
        <v>41</v>
      </c>
      <c r="F25" s="81">
        <v>42</v>
      </c>
      <c r="G25" s="92" t="s">
        <v>78</v>
      </c>
      <c r="H25" s="81" t="s">
        <v>151</v>
      </c>
      <c r="I25">
        <v>1</v>
      </c>
      <c r="J25">
        <v>27.03</v>
      </c>
      <c r="K25">
        <f>I25*J25</f>
        <v>27.03</v>
      </c>
      <c r="L25">
        <v>40</v>
      </c>
      <c r="M25">
        <f>(1-(L25/100))*K25</f>
        <v>16.218</v>
      </c>
      <c r="N25" s="90">
        <v>25</v>
      </c>
      <c r="O25" s="90" t="s">
        <v>1158</v>
      </c>
      <c r="P25" s="118"/>
      <c r="Q25" s="118"/>
      <c r="V25" s="93"/>
      <c r="W25" s="93"/>
    </row>
    <row r="26" spans="1:23" x14ac:dyDescent="0.25">
      <c r="A26" s="89" t="s">
        <v>1159</v>
      </c>
      <c r="B26" s="88">
        <v>6</v>
      </c>
      <c r="C26" s="82" t="s">
        <v>1147</v>
      </c>
      <c r="D26" s="82" t="s">
        <v>103</v>
      </c>
      <c r="E26" s="81">
        <v>43</v>
      </c>
      <c r="F26" s="81">
        <v>44</v>
      </c>
      <c r="G26" s="92" t="s">
        <v>78</v>
      </c>
      <c r="H26" s="81" t="s">
        <v>152</v>
      </c>
      <c r="I26">
        <v>4</v>
      </c>
      <c r="J26">
        <v>54.81</v>
      </c>
      <c r="K26">
        <f>I26*J26</f>
        <v>219.24</v>
      </c>
      <c r="L26">
        <v>40</v>
      </c>
      <c r="M26">
        <f>(1-(L26/100))*K26</f>
        <v>131.54400000000001</v>
      </c>
      <c r="N26" s="90">
        <v>26</v>
      </c>
      <c r="O26" s="90" t="s">
        <v>1160</v>
      </c>
      <c r="P26" s="118"/>
      <c r="Q26" s="118"/>
      <c r="V26" s="93"/>
      <c r="W26" s="93"/>
    </row>
    <row r="27" spans="1:23" x14ac:dyDescent="0.25">
      <c r="A27" s="89" t="s">
        <v>1161</v>
      </c>
      <c r="B27" s="88">
        <v>6</v>
      </c>
      <c r="C27" s="82" t="s">
        <v>1147</v>
      </c>
      <c r="D27" s="82" t="s">
        <v>796</v>
      </c>
      <c r="E27" s="81">
        <v>45</v>
      </c>
      <c r="F27" s="81">
        <v>46</v>
      </c>
      <c r="G27" s="92" t="s">
        <v>78</v>
      </c>
      <c r="H27" s="81" t="s">
        <v>153</v>
      </c>
      <c r="I27">
        <v>1</v>
      </c>
      <c r="J27">
        <v>9009.01</v>
      </c>
      <c r="K27">
        <f>I27*J27</f>
        <v>9009.01</v>
      </c>
      <c r="L27">
        <v>40</v>
      </c>
      <c r="M27">
        <f>(1-(L27/100))*K27</f>
        <v>5405.4059999999999</v>
      </c>
      <c r="N27" s="90">
        <v>27</v>
      </c>
      <c r="O27" s="90" t="s">
        <v>1162</v>
      </c>
      <c r="P27" s="118"/>
      <c r="Q27" s="118"/>
      <c r="V27" s="93"/>
      <c r="W27" s="93"/>
    </row>
    <row r="28" spans="1:23" x14ac:dyDescent="0.25">
      <c r="A28" s="89" t="s">
        <v>1163</v>
      </c>
      <c r="B28" s="88">
        <v>6</v>
      </c>
      <c r="C28" s="82" t="s">
        <v>1147</v>
      </c>
      <c r="D28" s="82" t="s">
        <v>797</v>
      </c>
      <c r="E28" s="81">
        <v>47</v>
      </c>
      <c r="F28" s="81">
        <v>48</v>
      </c>
      <c r="G28" s="92" t="s">
        <v>78</v>
      </c>
      <c r="H28" s="81" t="s">
        <v>154</v>
      </c>
      <c r="I28">
        <v>1</v>
      </c>
      <c r="J28">
        <v>90.09</v>
      </c>
      <c r="K28">
        <f>I28*J28</f>
        <v>90.09</v>
      </c>
      <c r="L28">
        <v>40</v>
      </c>
      <c r="M28">
        <f>(1-(L28/100))*K28</f>
        <v>54.054000000000002</v>
      </c>
      <c r="N28" s="90">
        <v>28</v>
      </c>
      <c r="O28" s="90" t="s">
        <v>1164</v>
      </c>
      <c r="P28" s="118"/>
      <c r="Q28" s="118"/>
      <c r="V28" s="93"/>
      <c r="W28" s="93"/>
    </row>
    <row r="29" spans="1:23" x14ac:dyDescent="0.25">
      <c r="A29" s="90" t="s">
        <v>1165</v>
      </c>
      <c r="B29" s="119">
        <v>6</v>
      </c>
      <c r="C29" s="90" t="s">
        <v>1147</v>
      </c>
      <c r="D29" s="90" t="s">
        <v>798</v>
      </c>
      <c r="E29">
        <v>49</v>
      </c>
      <c r="F29">
        <v>50</v>
      </c>
      <c r="G29" s="93" t="s">
        <v>78</v>
      </c>
      <c r="H29" t="s">
        <v>113</v>
      </c>
      <c r="I29">
        <v>1</v>
      </c>
      <c r="J29">
        <v>121.31</v>
      </c>
      <c r="K29">
        <f>I29*J29</f>
        <v>121.31</v>
      </c>
      <c r="L29">
        <v>40</v>
      </c>
      <c r="M29">
        <f>(1-(L29/100))*K29</f>
        <v>72.786000000000001</v>
      </c>
      <c r="N29" s="90">
        <v>29</v>
      </c>
      <c r="O29" s="90" t="s">
        <v>1166</v>
      </c>
      <c r="P29" s="118"/>
      <c r="Q29" s="118"/>
      <c r="V29" s="93"/>
      <c r="W29" s="93"/>
    </row>
    <row r="30" spans="1:23" x14ac:dyDescent="0.25">
      <c r="A30" s="90" t="s">
        <v>1167</v>
      </c>
      <c r="B30" s="119">
        <v>6</v>
      </c>
      <c r="C30" s="90" t="s">
        <v>1147</v>
      </c>
      <c r="D30" s="90" t="s">
        <v>799</v>
      </c>
      <c r="E30">
        <v>51</v>
      </c>
      <c r="F30">
        <v>52</v>
      </c>
      <c r="G30" s="93" t="s">
        <v>78</v>
      </c>
      <c r="H30" t="s">
        <v>155</v>
      </c>
      <c r="I30">
        <v>1</v>
      </c>
      <c r="J30">
        <v>145.65</v>
      </c>
      <c r="K30">
        <f>I30*J30</f>
        <v>145.65</v>
      </c>
      <c r="L30">
        <v>40</v>
      </c>
      <c r="M30">
        <f>(1-(L30/100))*K30</f>
        <v>87.39</v>
      </c>
      <c r="N30" s="90">
        <v>30</v>
      </c>
      <c r="O30" s="90" t="s">
        <v>1168</v>
      </c>
      <c r="P30" s="118"/>
      <c r="Q30" s="118"/>
      <c r="V30" s="93"/>
      <c r="W30" s="93"/>
    </row>
    <row r="31" spans="1:23" x14ac:dyDescent="0.25">
      <c r="A31" s="90" t="s">
        <v>1169</v>
      </c>
      <c r="B31" s="119">
        <v>3</v>
      </c>
      <c r="C31" s="90" t="s">
        <v>82</v>
      </c>
      <c r="D31" s="90" t="s">
        <v>79</v>
      </c>
      <c r="E31">
        <v>56</v>
      </c>
      <c r="F31">
        <v>79</v>
      </c>
      <c r="G31" s="93" t="s">
        <v>68</v>
      </c>
      <c r="H31" t="s">
        <v>345</v>
      </c>
      <c r="I31">
        <v>1</v>
      </c>
      <c r="J31">
        <f>SUM(K32,K34)</f>
        <v>17795.71585895</v>
      </c>
      <c r="K31">
        <f>I31*J31</f>
        <v>17795.71585895</v>
      </c>
      <c r="L31">
        <f>100*(1-(M31/K31))</f>
        <v>39.999999999999993</v>
      </c>
      <c r="M31">
        <f>I31*SUM(M32,M34)</f>
        <v>10677.429515370002</v>
      </c>
      <c r="N31" s="90">
        <v>31</v>
      </c>
      <c r="O31" s="90" t="s">
        <v>1170</v>
      </c>
      <c r="P31" s="118"/>
      <c r="Q31" s="118"/>
      <c r="R31" s="90" t="s">
        <v>6326</v>
      </c>
      <c r="S31" s="90" t="s">
        <v>6630</v>
      </c>
      <c r="T31" s="90" t="s">
        <v>6775</v>
      </c>
      <c r="U31" s="90" t="s">
        <v>6478</v>
      </c>
      <c r="V31" s="93"/>
      <c r="W31" s="93"/>
    </row>
    <row r="32" spans="1:23" x14ac:dyDescent="0.25">
      <c r="A32" s="90" t="s">
        <v>1171</v>
      </c>
      <c r="B32" s="119">
        <v>4</v>
      </c>
      <c r="C32" s="90" t="s">
        <v>1169</v>
      </c>
      <c r="D32" s="90" t="s">
        <v>78</v>
      </c>
      <c r="E32">
        <v>57</v>
      </c>
      <c r="F32">
        <v>60</v>
      </c>
      <c r="G32" s="93" t="s">
        <v>68</v>
      </c>
      <c r="H32" t="s">
        <v>186</v>
      </c>
      <c r="I32">
        <v>6</v>
      </c>
      <c r="J32">
        <f>SUM(K33)</f>
        <v>256.72991214000001</v>
      </c>
      <c r="K32">
        <f>I32*J32</f>
        <v>1540.3794728400001</v>
      </c>
      <c r="L32">
        <f>100*(1-(M32/K32))</f>
        <v>39.999999999999993</v>
      </c>
      <c r="M32">
        <f>I32*SUM(M33)</f>
        <v>924.22768370400013</v>
      </c>
      <c r="N32" s="90">
        <v>32</v>
      </c>
      <c r="O32" s="90" t="s">
        <v>1172</v>
      </c>
      <c r="P32" s="118"/>
      <c r="Q32" s="118"/>
      <c r="R32" s="90" t="s">
        <v>4252</v>
      </c>
      <c r="S32" s="90" t="s">
        <v>5332</v>
      </c>
      <c r="T32" s="90" t="s">
        <v>5830</v>
      </c>
      <c r="U32" s="90" t="s">
        <v>4792</v>
      </c>
      <c r="V32" s="93"/>
      <c r="W32" s="93"/>
    </row>
    <row r="33" spans="1:23" x14ac:dyDescent="0.25">
      <c r="A33" s="90" t="s">
        <v>1173</v>
      </c>
      <c r="B33" s="119">
        <v>5</v>
      </c>
      <c r="C33" s="90" t="s">
        <v>1171</v>
      </c>
      <c r="D33" s="90" t="s">
        <v>78</v>
      </c>
      <c r="E33">
        <v>58</v>
      </c>
      <c r="F33">
        <v>59</v>
      </c>
      <c r="G33" s="93" t="s">
        <v>78</v>
      </c>
      <c r="H33" t="s">
        <v>187</v>
      </c>
      <c r="I33">
        <v>1</v>
      </c>
      <c r="J33">
        <v>256.72991214000001</v>
      </c>
      <c r="K33">
        <f>I33*J33</f>
        <v>256.72991214000001</v>
      </c>
      <c r="L33">
        <v>40</v>
      </c>
      <c r="M33">
        <f>(1-(L33/100))*K33</f>
        <v>154.03794728400001</v>
      </c>
      <c r="N33" s="90">
        <v>33</v>
      </c>
      <c r="O33" s="90" t="s">
        <v>1174</v>
      </c>
      <c r="P33" s="118"/>
      <c r="Q33" s="118"/>
      <c r="V33" s="93"/>
      <c r="W33" s="93"/>
    </row>
    <row r="34" spans="1:23" x14ac:dyDescent="0.25">
      <c r="A34" s="90" t="s">
        <v>1175</v>
      </c>
      <c r="B34" s="119">
        <v>4</v>
      </c>
      <c r="C34" s="90" t="s">
        <v>1169</v>
      </c>
      <c r="D34" s="90" t="s">
        <v>79</v>
      </c>
      <c r="E34">
        <v>61</v>
      </c>
      <c r="F34">
        <v>78</v>
      </c>
      <c r="G34" s="93" t="s">
        <v>68</v>
      </c>
      <c r="H34" t="s">
        <v>348</v>
      </c>
      <c r="I34">
        <v>1</v>
      </c>
      <c r="J34">
        <f>SUM(K35,K36,K37,K38,K39,K40,K41,K42)</f>
        <v>16255.336386109999</v>
      </c>
      <c r="K34">
        <f>I34*J34</f>
        <v>16255.336386109999</v>
      </c>
      <c r="L34">
        <f>100*(1-(M34/K34))</f>
        <v>39.999999999999993</v>
      </c>
      <c r="M34">
        <f>I34*SUM(M35,M36,M37,M38,M39,M40,M41,M42)</f>
        <v>9753.2018316660015</v>
      </c>
      <c r="N34" s="90">
        <v>34</v>
      </c>
      <c r="O34" s="90" t="s">
        <v>1176</v>
      </c>
      <c r="P34" s="118"/>
      <c r="Q34" s="118"/>
      <c r="R34" s="90" t="s">
        <v>4253</v>
      </c>
      <c r="S34" s="90" t="s">
        <v>5333</v>
      </c>
      <c r="T34" s="90" t="s">
        <v>5831</v>
      </c>
      <c r="U34" s="90" t="s">
        <v>4793</v>
      </c>
      <c r="V34" s="93"/>
      <c r="W34" s="93"/>
    </row>
    <row r="35" spans="1:23" x14ac:dyDescent="0.25">
      <c r="A35" s="90" t="s">
        <v>1177</v>
      </c>
      <c r="B35" s="119">
        <v>5</v>
      </c>
      <c r="C35" s="90" t="s">
        <v>1175</v>
      </c>
      <c r="D35" s="90" t="s">
        <v>78</v>
      </c>
      <c r="E35">
        <v>62</v>
      </c>
      <c r="F35">
        <v>63</v>
      </c>
      <c r="G35" s="93" t="s">
        <v>78</v>
      </c>
      <c r="H35" t="s">
        <v>189</v>
      </c>
      <c r="I35">
        <v>1</v>
      </c>
      <c r="J35">
        <v>10880.466063919999</v>
      </c>
      <c r="K35">
        <f>I35*J35</f>
        <v>10880.466063919999</v>
      </c>
      <c r="L35">
        <v>40</v>
      </c>
      <c r="M35">
        <f>(1-(L35/100))*K35</f>
        <v>6528.279638351999</v>
      </c>
      <c r="N35" s="90">
        <v>35</v>
      </c>
      <c r="O35" s="90" t="s">
        <v>1178</v>
      </c>
      <c r="P35" s="118"/>
      <c r="Q35" s="118"/>
      <c r="V35" s="93"/>
      <c r="W35" s="93"/>
    </row>
    <row r="36" spans="1:23" x14ac:dyDescent="0.25">
      <c r="A36" s="90" t="s">
        <v>1179</v>
      </c>
      <c r="B36" s="119">
        <v>5</v>
      </c>
      <c r="C36" s="90" t="s">
        <v>1175</v>
      </c>
      <c r="D36" s="90" t="s">
        <v>79</v>
      </c>
      <c r="E36">
        <v>64</v>
      </c>
      <c r="F36">
        <v>65</v>
      </c>
      <c r="G36" s="93" t="s">
        <v>78</v>
      </c>
      <c r="H36" t="s">
        <v>140</v>
      </c>
      <c r="I36">
        <v>1</v>
      </c>
      <c r="J36">
        <v>33.99</v>
      </c>
      <c r="K36">
        <f>I36*J36</f>
        <v>33.99</v>
      </c>
      <c r="L36">
        <v>40</v>
      </c>
      <c r="M36">
        <f>(1-(L36/100))*K36</f>
        <v>20.394000000000002</v>
      </c>
      <c r="N36" s="90">
        <v>36</v>
      </c>
      <c r="O36" s="90" t="s">
        <v>1180</v>
      </c>
      <c r="P36" s="118"/>
      <c r="Q36" s="118"/>
      <c r="V36" s="93"/>
      <c r="W36" s="93"/>
    </row>
    <row r="37" spans="1:23" x14ac:dyDescent="0.25">
      <c r="A37" s="90" t="s">
        <v>1181</v>
      </c>
      <c r="B37" s="119">
        <v>5</v>
      </c>
      <c r="C37" s="90" t="s">
        <v>1175</v>
      </c>
      <c r="D37" s="90" t="s">
        <v>80</v>
      </c>
      <c r="E37">
        <v>66</v>
      </c>
      <c r="F37">
        <v>67</v>
      </c>
      <c r="G37" s="93" t="s">
        <v>78</v>
      </c>
      <c r="H37" t="s">
        <v>141</v>
      </c>
      <c r="I37">
        <v>1</v>
      </c>
      <c r="J37">
        <v>1625.87546161</v>
      </c>
      <c r="K37">
        <f>I37*J37</f>
        <v>1625.87546161</v>
      </c>
      <c r="L37">
        <v>40</v>
      </c>
      <c r="M37">
        <f>(1-(L37/100))*K37</f>
        <v>975.52527696599998</v>
      </c>
      <c r="N37" s="90">
        <v>37</v>
      </c>
      <c r="O37" s="90" t="s">
        <v>1182</v>
      </c>
      <c r="P37" s="118"/>
      <c r="Q37" s="118"/>
      <c r="V37" s="93"/>
      <c r="W37" s="93"/>
    </row>
    <row r="38" spans="1:23" x14ac:dyDescent="0.25">
      <c r="A38" s="90" t="s">
        <v>1183</v>
      </c>
      <c r="B38" s="119">
        <v>5</v>
      </c>
      <c r="C38" s="90" t="s">
        <v>1175</v>
      </c>
      <c r="D38" s="90" t="s">
        <v>95</v>
      </c>
      <c r="E38">
        <v>68</v>
      </c>
      <c r="F38">
        <v>69</v>
      </c>
      <c r="G38" s="93" t="s">
        <v>78</v>
      </c>
      <c r="H38" t="s">
        <v>191</v>
      </c>
      <c r="I38">
        <v>2</v>
      </c>
      <c r="J38">
        <v>862.86769387000004</v>
      </c>
      <c r="K38">
        <f>I38*J38</f>
        <v>1725.7353877400001</v>
      </c>
      <c r="L38">
        <v>40</v>
      </c>
      <c r="M38">
        <f>(1-(L38/100))*K38</f>
        <v>1035.4412326439999</v>
      </c>
      <c r="N38" s="90">
        <v>38</v>
      </c>
      <c r="O38" s="90" t="s">
        <v>1184</v>
      </c>
      <c r="P38" s="118"/>
      <c r="Q38" s="118"/>
      <c r="V38" s="93"/>
      <c r="W38" s="93"/>
    </row>
    <row r="39" spans="1:23" x14ac:dyDescent="0.25">
      <c r="A39" s="90" t="s">
        <v>1185</v>
      </c>
      <c r="B39" s="119">
        <v>5</v>
      </c>
      <c r="C39" s="90" t="s">
        <v>1175</v>
      </c>
      <c r="D39" s="90" t="s">
        <v>96</v>
      </c>
      <c r="E39">
        <v>70</v>
      </c>
      <c r="F39">
        <v>71</v>
      </c>
      <c r="G39" s="93" t="s">
        <v>78</v>
      </c>
      <c r="H39" t="s">
        <v>301</v>
      </c>
      <c r="I39">
        <v>1</v>
      </c>
      <c r="J39">
        <v>448.89</v>
      </c>
      <c r="K39">
        <f>I39*J39</f>
        <v>448.89</v>
      </c>
      <c r="L39">
        <v>40</v>
      </c>
      <c r="M39">
        <f>(1-(L39/100))*K39</f>
        <v>269.334</v>
      </c>
      <c r="N39" s="90">
        <v>39</v>
      </c>
      <c r="O39" s="90" t="s">
        <v>1186</v>
      </c>
      <c r="P39" s="118"/>
      <c r="Q39" s="118"/>
      <c r="V39" s="93"/>
      <c r="W39" s="93"/>
    </row>
    <row r="40" spans="1:23" x14ac:dyDescent="0.25">
      <c r="A40" s="90" t="s">
        <v>1187</v>
      </c>
      <c r="B40" s="119">
        <v>5</v>
      </c>
      <c r="C40" s="90" t="s">
        <v>1175</v>
      </c>
      <c r="D40" s="90" t="s">
        <v>103</v>
      </c>
      <c r="E40">
        <v>72</v>
      </c>
      <c r="F40">
        <v>73</v>
      </c>
      <c r="G40" s="93" t="s">
        <v>78</v>
      </c>
      <c r="H40" t="s">
        <v>194</v>
      </c>
      <c r="I40">
        <v>0</v>
      </c>
      <c r="J40">
        <v>214.52947918000001</v>
      </c>
      <c r="K40">
        <f>I40*J40</f>
        <v>0</v>
      </c>
      <c r="L40">
        <v>40</v>
      </c>
      <c r="M40">
        <f>(1-(L40/100))*K40</f>
        <v>0</v>
      </c>
      <c r="N40" s="90">
        <v>40</v>
      </c>
      <c r="O40" s="90" t="s">
        <v>1188</v>
      </c>
      <c r="P40" s="118"/>
      <c r="Q40" s="118"/>
      <c r="V40" s="93"/>
      <c r="W40" s="93"/>
    </row>
    <row r="41" spans="1:23" x14ac:dyDescent="0.25">
      <c r="A41" s="90" t="s">
        <v>1189</v>
      </c>
      <c r="B41" s="119">
        <v>5</v>
      </c>
      <c r="C41" s="90" t="s">
        <v>1175</v>
      </c>
      <c r="D41" s="90" t="s">
        <v>796</v>
      </c>
      <c r="E41">
        <v>74</v>
      </c>
      <c r="F41">
        <v>75</v>
      </c>
      <c r="G41" s="93" t="s">
        <v>78</v>
      </c>
      <c r="H41" t="s">
        <v>196</v>
      </c>
      <c r="I41">
        <v>0</v>
      </c>
      <c r="J41">
        <v>214.52947918000001</v>
      </c>
      <c r="K41">
        <f>I41*J41</f>
        <v>0</v>
      </c>
      <c r="L41">
        <v>40</v>
      </c>
      <c r="M41">
        <f>(1-(L41/100))*K41</f>
        <v>0</v>
      </c>
      <c r="N41" s="90">
        <v>41</v>
      </c>
      <c r="O41" s="90" t="s">
        <v>1190</v>
      </c>
      <c r="P41" s="118"/>
      <c r="Q41" s="118"/>
      <c r="V41" s="93"/>
      <c r="W41" s="93"/>
    </row>
    <row r="42" spans="1:23" x14ac:dyDescent="0.25">
      <c r="A42" s="90" t="s">
        <v>1191</v>
      </c>
      <c r="B42" s="119">
        <v>5</v>
      </c>
      <c r="C42" s="90" t="s">
        <v>1175</v>
      </c>
      <c r="D42" s="90" t="s">
        <v>797</v>
      </c>
      <c r="E42">
        <v>76</v>
      </c>
      <c r="F42">
        <v>77</v>
      </c>
      <c r="G42" s="93" t="s">
        <v>78</v>
      </c>
      <c r="H42" t="s">
        <v>187</v>
      </c>
      <c r="I42">
        <v>6</v>
      </c>
      <c r="J42">
        <v>256.72991214000001</v>
      </c>
      <c r="K42">
        <f>I42*J42</f>
        <v>1540.3794728400001</v>
      </c>
      <c r="L42">
        <v>40</v>
      </c>
      <c r="M42">
        <f>(1-(L42/100))*K42</f>
        <v>924.22768370400001</v>
      </c>
      <c r="N42" s="90">
        <v>42</v>
      </c>
      <c r="O42" s="90" t="s">
        <v>1192</v>
      </c>
      <c r="P42" s="118"/>
      <c r="Q42" s="118"/>
      <c r="V42" s="93"/>
      <c r="W42" s="93"/>
    </row>
    <row r="43" spans="1:23" x14ac:dyDescent="0.25">
      <c r="A43" s="90" t="s">
        <v>1193</v>
      </c>
      <c r="B43" s="119">
        <v>3</v>
      </c>
      <c r="C43" s="90" t="s">
        <v>82</v>
      </c>
      <c r="D43" s="90" t="s">
        <v>80</v>
      </c>
      <c r="E43">
        <v>80</v>
      </c>
      <c r="F43">
        <v>85</v>
      </c>
      <c r="G43" s="93" t="s">
        <v>68</v>
      </c>
      <c r="H43" t="s">
        <v>1194</v>
      </c>
      <c r="I43">
        <v>1</v>
      </c>
      <c r="J43">
        <f>SUM(K44)</f>
        <v>2153.15</v>
      </c>
      <c r="K43">
        <f>I43*J43</f>
        <v>2153.15</v>
      </c>
      <c r="L43">
        <f>100*(1-(M43/K43))</f>
        <v>40</v>
      </c>
      <c r="M43">
        <f>I43*SUM(M44)</f>
        <v>1291.8900000000001</v>
      </c>
      <c r="N43" s="90">
        <v>43</v>
      </c>
      <c r="O43" s="90" t="s">
        <v>1195</v>
      </c>
      <c r="P43" s="118"/>
      <c r="Q43" s="118"/>
      <c r="R43" s="90" t="s">
        <v>6327</v>
      </c>
      <c r="S43" s="90" t="s">
        <v>6631</v>
      </c>
      <c r="T43" s="90" t="s">
        <v>6776</v>
      </c>
      <c r="U43" s="90" t="s">
        <v>6479</v>
      </c>
      <c r="V43" s="93"/>
      <c r="W43" s="93"/>
    </row>
    <row r="44" spans="1:23" x14ac:dyDescent="0.25">
      <c r="A44" s="90" t="s">
        <v>1196</v>
      </c>
      <c r="B44" s="119">
        <v>4</v>
      </c>
      <c r="C44" s="90" t="s">
        <v>1193</v>
      </c>
      <c r="D44" s="90" t="s">
        <v>78</v>
      </c>
      <c r="E44">
        <v>81</v>
      </c>
      <c r="F44">
        <v>84</v>
      </c>
      <c r="G44" s="93" t="s">
        <v>68</v>
      </c>
      <c r="H44" t="s">
        <v>118</v>
      </c>
      <c r="I44">
        <v>1</v>
      </c>
      <c r="J44">
        <f>SUM(K45)</f>
        <v>2153.15</v>
      </c>
      <c r="K44">
        <f>I44*J44</f>
        <v>2153.15</v>
      </c>
      <c r="L44">
        <f>100*(1-(M44/K44))</f>
        <v>40</v>
      </c>
      <c r="M44">
        <f>I44*SUM(M45)</f>
        <v>1291.8900000000001</v>
      </c>
      <c r="N44" s="90">
        <v>44</v>
      </c>
      <c r="O44" s="90" t="s">
        <v>1197</v>
      </c>
      <c r="P44" s="118"/>
      <c r="Q44" s="118"/>
      <c r="R44" s="90" t="s">
        <v>4254</v>
      </c>
      <c r="S44" s="90" t="s">
        <v>5334</v>
      </c>
      <c r="T44" s="90" t="s">
        <v>5832</v>
      </c>
      <c r="U44" s="90" t="s">
        <v>4794</v>
      </c>
      <c r="V44" s="93"/>
      <c r="W44" s="93"/>
    </row>
    <row r="45" spans="1:23" x14ac:dyDescent="0.25">
      <c r="A45" s="90" t="s">
        <v>1198</v>
      </c>
      <c r="B45" s="119">
        <v>5</v>
      </c>
      <c r="C45" s="90" t="s">
        <v>1196</v>
      </c>
      <c r="D45" s="90" t="s">
        <v>78</v>
      </c>
      <c r="E45">
        <v>82</v>
      </c>
      <c r="F45">
        <v>83</v>
      </c>
      <c r="G45" s="93" t="s">
        <v>78</v>
      </c>
      <c r="H45" t="s">
        <v>117</v>
      </c>
      <c r="I45">
        <v>1</v>
      </c>
      <c r="J45">
        <v>2153.15</v>
      </c>
      <c r="K45">
        <f>I45*J45</f>
        <v>2153.15</v>
      </c>
      <c r="L45">
        <v>40</v>
      </c>
      <c r="M45">
        <f>(1-(L45/100))*K45</f>
        <v>1291.8900000000001</v>
      </c>
      <c r="N45" s="90">
        <v>45</v>
      </c>
      <c r="O45" s="90" t="s">
        <v>1199</v>
      </c>
      <c r="P45" s="118"/>
      <c r="Q45" s="118"/>
      <c r="V45" s="93"/>
      <c r="W45" s="93"/>
    </row>
    <row r="46" spans="1:23" x14ac:dyDescent="0.25">
      <c r="A46" s="90" t="s">
        <v>1200</v>
      </c>
      <c r="B46" s="119">
        <v>3</v>
      </c>
      <c r="C46" s="90" t="s">
        <v>82</v>
      </c>
      <c r="D46" s="90" t="s">
        <v>95</v>
      </c>
      <c r="E46">
        <v>86</v>
      </c>
      <c r="F46">
        <v>91</v>
      </c>
      <c r="G46" s="93" t="s">
        <v>68</v>
      </c>
      <c r="H46" t="s">
        <v>1201</v>
      </c>
      <c r="I46">
        <v>1</v>
      </c>
      <c r="J46">
        <f>SUM(K47)</f>
        <v>1324.33464918</v>
      </c>
      <c r="K46">
        <f>I46*J46</f>
        <v>1324.33464918</v>
      </c>
      <c r="L46">
        <f>100*(1-(M46/K46))</f>
        <v>85.6</v>
      </c>
      <c r="M46">
        <f>I46*SUM(M47)</f>
        <v>190.70418948192003</v>
      </c>
      <c r="N46" s="90">
        <v>46</v>
      </c>
      <c r="O46" s="90" t="s">
        <v>1202</v>
      </c>
      <c r="P46" s="118"/>
      <c r="Q46" s="118"/>
      <c r="R46" s="90" t="s">
        <v>6328</v>
      </c>
      <c r="S46" s="90" t="s">
        <v>6632</v>
      </c>
      <c r="T46" s="90" t="s">
        <v>6777</v>
      </c>
      <c r="U46" s="90" t="s">
        <v>6480</v>
      </c>
      <c r="V46" s="93"/>
      <c r="W46" s="93"/>
    </row>
    <row r="47" spans="1:23" x14ac:dyDescent="0.25">
      <c r="A47" s="90" t="s">
        <v>1203</v>
      </c>
      <c r="B47" s="119">
        <v>4</v>
      </c>
      <c r="C47" s="90" t="s">
        <v>1200</v>
      </c>
      <c r="D47" s="90" t="s">
        <v>78</v>
      </c>
      <c r="E47">
        <v>87</v>
      </c>
      <c r="F47">
        <v>90</v>
      </c>
      <c r="G47" s="93" t="s">
        <v>68</v>
      </c>
      <c r="H47" t="s">
        <v>418</v>
      </c>
      <c r="I47">
        <v>1</v>
      </c>
      <c r="J47">
        <f>SUM(K48)</f>
        <v>1324.33464918</v>
      </c>
      <c r="K47">
        <f>I47*J47</f>
        <v>1324.33464918</v>
      </c>
      <c r="L47">
        <f>100*(1-(M47/K47))</f>
        <v>85.6</v>
      </c>
      <c r="M47">
        <f>I47*SUM(M48)</f>
        <v>190.70418948192003</v>
      </c>
      <c r="N47" s="90">
        <v>47</v>
      </c>
      <c r="O47" s="90" t="s">
        <v>1204</v>
      </c>
      <c r="P47" s="118"/>
      <c r="Q47" s="118"/>
      <c r="R47" s="90" t="s">
        <v>4255</v>
      </c>
      <c r="S47" s="90" t="s">
        <v>5335</v>
      </c>
      <c r="T47" s="90" t="s">
        <v>5833</v>
      </c>
      <c r="U47" s="90" t="s">
        <v>4795</v>
      </c>
      <c r="V47" s="93"/>
      <c r="W47" s="93"/>
    </row>
    <row r="48" spans="1:23" x14ac:dyDescent="0.25">
      <c r="A48" s="90" t="s">
        <v>1205</v>
      </c>
      <c r="B48" s="119">
        <v>5</v>
      </c>
      <c r="C48" s="90" t="s">
        <v>1203</v>
      </c>
      <c r="D48" s="90" t="s">
        <v>78</v>
      </c>
      <c r="E48">
        <v>88</v>
      </c>
      <c r="F48">
        <v>89</v>
      </c>
      <c r="G48" s="93" t="s">
        <v>78</v>
      </c>
      <c r="H48" t="s">
        <v>419</v>
      </c>
      <c r="I48">
        <v>1</v>
      </c>
      <c r="J48">
        <v>1324.33464918</v>
      </c>
      <c r="K48">
        <f>I48*J48</f>
        <v>1324.33464918</v>
      </c>
      <c r="L48">
        <v>85.6</v>
      </c>
      <c r="M48">
        <f>(1-(L48/100))*K48</f>
        <v>190.70418948192003</v>
      </c>
      <c r="N48" s="90">
        <v>48</v>
      </c>
      <c r="O48" s="90" t="s">
        <v>1206</v>
      </c>
      <c r="P48" s="118"/>
      <c r="Q48" s="118"/>
      <c r="V48" s="93"/>
      <c r="W48" s="93"/>
    </row>
    <row r="49" spans="1:23" x14ac:dyDescent="0.25">
      <c r="A49" s="90" t="s">
        <v>156</v>
      </c>
      <c r="B49" s="119">
        <v>3</v>
      </c>
      <c r="C49" s="90" t="s">
        <v>82</v>
      </c>
      <c r="D49" s="90" t="s">
        <v>96</v>
      </c>
      <c r="E49">
        <v>92</v>
      </c>
      <c r="F49">
        <v>97</v>
      </c>
      <c r="G49" s="93" t="s">
        <v>68</v>
      </c>
      <c r="H49" t="s">
        <v>1207</v>
      </c>
      <c r="I49">
        <v>1</v>
      </c>
      <c r="J49">
        <f>SUM(K50)</f>
        <v>333.63045970000002</v>
      </c>
      <c r="K49">
        <f>I49*J49</f>
        <v>333.63045970000002</v>
      </c>
      <c r="L49">
        <f>100*(1-(M49/K49))</f>
        <v>85.6</v>
      </c>
      <c r="M49">
        <f>I49*SUM(M50)</f>
        <v>48.042786196800009</v>
      </c>
      <c r="N49" s="90">
        <v>49</v>
      </c>
      <c r="O49" s="90" t="s">
        <v>1208</v>
      </c>
      <c r="P49" s="118"/>
      <c r="Q49" s="118"/>
      <c r="R49" s="90" t="s">
        <v>6329</v>
      </c>
      <c r="S49" s="90" t="s">
        <v>6633</v>
      </c>
      <c r="T49" s="90" t="s">
        <v>6778</v>
      </c>
      <c r="U49" s="90" t="s">
        <v>6481</v>
      </c>
      <c r="V49" s="93"/>
      <c r="W49" s="93"/>
    </row>
    <row r="50" spans="1:23" x14ac:dyDescent="0.25">
      <c r="A50" s="90" t="s">
        <v>1209</v>
      </c>
      <c r="B50" s="119">
        <v>4</v>
      </c>
      <c r="C50" s="90" t="s">
        <v>156</v>
      </c>
      <c r="D50" s="90" t="s">
        <v>78</v>
      </c>
      <c r="E50">
        <v>93</v>
      </c>
      <c r="F50">
        <v>96</v>
      </c>
      <c r="G50" s="93" t="s">
        <v>68</v>
      </c>
      <c r="H50" t="s">
        <v>399</v>
      </c>
      <c r="I50">
        <v>1</v>
      </c>
      <c r="J50">
        <f>SUM(K51)</f>
        <v>333.63045970000002</v>
      </c>
      <c r="K50">
        <f>I50*J50</f>
        <v>333.63045970000002</v>
      </c>
      <c r="L50">
        <f>100*(1-(M50/K50))</f>
        <v>85.6</v>
      </c>
      <c r="M50">
        <f>I50*SUM(M51)</f>
        <v>48.042786196800009</v>
      </c>
      <c r="N50" s="90">
        <v>50</v>
      </c>
      <c r="O50" s="90" t="s">
        <v>1210</v>
      </c>
      <c r="P50" s="118"/>
      <c r="Q50" s="118"/>
      <c r="R50" s="90" t="s">
        <v>4256</v>
      </c>
      <c r="S50" s="90" t="s">
        <v>5336</v>
      </c>
      <c r="T50" s="90" t="s">
        <v>5834</v>
      </c>
      <c r="U50" s="90" t="s">
        <v>4796</v>
      </c>
      <c r="V50" s="93"/>
      <c r="W50" s="93"/>
    </row>
    <row r="51" spans="1:23" x14ac:dyDescent="0.25">
      <c r="A51" s="90" t="s">
        <v>1211</v>
      </c>
      <c r="B51" s="119">
        <v>5</v>
      </c>
      <c r="C51" s="90" t="s">
        <v>1209</v>
      </c>
      <c r="D51" s="90" t="s">
        <v>78</v>
      </c>
      <c r="E51">
        <v>94</v>
      </c>
      <c r="F51">
        <v>95</v>
      </c>
      <c r="G51" s="93" t="s">
        <v>78</v>
      </c>
      <c r="H51" t="s">
        <v>401</v>
      </c>
      <c r="I51">
        <v>1</v>
      </c>
      <c r="J51">
        <v>333.63045970000002</v>
      </c>
      <c r="K51">
        <f>I51*J51</f>
        <v>333.63045970000002</v>
      </c>
      <c r="L51">
        <v>85.6</v>
      </c>
      <c r="M51">
        <f>(1-(L51/100))*K51</f>
        <v>48.042786196800009</v>
      </c>
      <c r="N51" s="90">
        <v>51</v>
      </c>
      <c r="O51" s="90" t="s">
        <v>1212</v>
      </c>
      <c r="P51" s="118"/>
      <c r="Q51" s="118"/>
      <c r="V51" s="93"/>
      <c r="W51" s="93"/>
    </row>
    <row r="52" spans="1:23" x14ac:dyDescent="0.25">
      <c r="A52" s="90" t="s">
        <v>355</v>
      </c>
      <c r="B52" s="119">
        <v>3</v>
      </c>
      <c r="C52" s="90" t="s">
        <v>82</v>
      </c>
      <c r="D52" s="90" t="s">
        <v>103</v>
      </c>
      <c r="E52">
        <v>98</v>
      </c>
      <c r="F52">
        <v>103</v>
      </c>
      <c r="G52" s="93" t="s">
        <v>68</v>
      </c>
      <c r="H52" t="s">
        <v>1213</v>
      </c>
      <c r="I52">
        <v>1</v>
      </c>
      <c r="J52">
        <f>SUM(K53)</f>
        <v>333.63045970000002</v>
      </c>
      <c r="K52">
        <f>I52*J52</f>
        <v>333.63045970000002</v>
      </c>
      <c r="L52">
        <f>100*(1-(M52/K52))</f>
        <v>76</v>
      </c>
      <c r="M52">
        <f>I52*SUM(M53)</f>
        <v>80.071310327999996</v>
      </c>
      <c r="N52" s="90">
        <v>52</v>
      </c>
      <c r="O52" s="90" t="s">
        <v>1214</v>
      </c>
      <c r="P52" s="118"/>
      <c r="Q52" s="118"/>
      <c r="R52" s="90" t="s">
        <v>6330</v>
      </c>
      <c r="S52" s="90" t="s">
        <v>6634</v>
      </c>
      <c r="T52" s="90" t="s">
        <v>6779</v>
      </c>
      <c r="U52" s="90" t="s">
        <v>6482</v>
      </c>
      <c r="V52" s="93"/>
      <c r="W52" s="93"/>
    </row>
    <row r="53" spans="1:23" x14ac:dyDescent="0.25">
      <c r="A53" s="90" t="s">
        <v>356</v>
      </c>
      <c r="B53" s="119">
        <v>4</v>
      </c>
      <c r="C53" s="90" t="s">
        <v>355</v>
      </c>
      <c r="D53" s="90" t="s">
        <v>78</v>
      </c>
      <c r="E53">
        <v>99</v>
      </c>
      <c r="F53">
        <v>102</v>
      </c>
      <c r="G53" s="93" t="s">
        <v>68</v>
      </c>
      <c r="H53" t="s">
        <v>399</v>
      </c>
      <c r="I53">
        <v>1</v>
      </c>
      <c r="J53">
        <f>SUM(K54)</f>
        <v>333.63045970000002</v>
      </c>
      <c r="K53">
        <f>I53*J53</f>
        <v>333.63045970000002</v>
      </c>
      <c r="L53">
        <f>100*(1-(M53/K53))</f>
        <v>76</v>
      </c>
      <c r="M53">
        <f>I53*SUM(M54)</f>
        <v>80.071310327999996</v>
      </c>
      <c r="N53" s="90">
        <v>53</v>
      </c>
      <c r="O53" s="90" t="s">
        <v>1215</v>
      </c>
      <c r="P53" s="118"/>
      <c r="Q53" s="118"/>
      <c r="R53" s="90" t="s">
        <v>4257</v>
      </c>
      <c r="S53" s="90" t="s">
        <v>5337</v>
      </c>
      <c r="T53" s="90" t="s">
        <v>5835</v>
      </c>
      <c r="U53" s="90" t="s">
        <v>4797</v>
      </c>
      <c r="V53" s="93"/>
      <c r="W53" s="93"/>
    </row>
    <row r="54" spans="1:23" x14ac:dyDescent="0.25">
      <c r="A54" s="90" t="s">
        <v>358</v>
      </c>
      <c r="B54" s="119">
        <v>5</v>
      </c>
      <c r="C54" s="90" t="s">
        <v>356</v>
      </c>
      <c r="D54" s="90" t="s">
        <v>78</v>
      </c>
      <c r="E54">
        <v>100</v>
      </c>
      <c r="F54">
        <v>101</v>
      </c>
      <c r="G54" s="93" t="s">
        <v>78</v>
      </c>
      <c r="H54" t="s">
        <v>401</v>
      </c>
      <c r="I54">
        <v>1</v>
      </c>
      <c r="J54">
        <v>333.63045970000002</v>
      </c>
      <c r="K54">
        <f>I54*J54</f>
        <v>333.63045970000002</v>
      </c>
      <c r="L54">
        <v>76</v>
      </c>
      <c r="M54">
        <f>(1-(L54/100))*K54</f>
        <v>80.071310327999996</v>
      </c>
      <c r="N54" s="90">
        <v>54</v>
      </c>
      <c r="O54" s="90" t="s">
        <v>1216</v>
      </c>
      <c r="P54" s="118"/>
      <c r="Q54" s="118"/>
      <c r="V54" s="93"/>
      <c r="W54" s="93"/>
    </row>
    <row r="55" spans="1:23" x14ac:dyDescent="0.25">
      <c r="A55" s="90" t="s">
        <v>369</v>
      </c>
      <c r="B55" s="119">
        <v>3</v>
      </c>
      <c r="C55" s="90" t="s">
        <v>82</v>
      </c>
      <c r="D55" s="90" t="s">
        <v>796</v>
      </c>
      <c r="E55">
        <v>104</v>
      </c>
      <c r="F55">
        <v>123</v>
      </c>
      <c r="G55" s="93" t="s">
        <v>68</v>
      </c>
      <c r="H55" t="s">
        <v>1217</v>
      </c>
      <c r="I55">
        <v>1</v>
      </c>
      <c r="J55">
        <f>SUM(K56,K59,K61,K63)</f>
        <v>12677.74146186</v>
      </c>
      <c r="K55">
        <f>I55*J55</f>
        <v>12677.74146186</v>
      </c>
      <c r="L55">
        <f>100*(1-(M55/K55))</f>
        <v>85.6</v>
      </c>
      <c r="M55">
        <f>I55*SUM(M56,M59,M61,M63)</f>
        <v>1825.5947705078402</v>
      </c>
      <c r="N55" s="90">
        <v>55</v>
      </c>
      <c r="O55" s="90" t="s">
        <v>1218</v>
      </c>
      <c r="P55" s="118"/>
      <c r="Q55" s="118"/>
      <c r="R55" s="90" t="s">
        <v>6331</v>
      </c>
      <c r="S55" s="90" t="s">
        <v>6635</v>
      </c>
      <c r="T55" s="90" t="s">
        <v>6780</v>
      </c>
      <c r="U55" s="90" t="s">
        <v>6483</v>
      </c>
      <c r="V55" s="93"/>
      <c r="W55" s="93"/>
    </row>
    <row r="56" spans="1:23" x14ac:dyDescent="0.25">
      <c r="A56" s="90" t="s">
        <v>371</v>
      </c>
      <c r="B56" s="119">
        <v>4</v>
      </c>
      <c r="C56" s="90" t="s">
        <v>369</v>
      </c>
      <c r="D56" s="90" t="s">
        <v>78</v>
      </c>
      <c r="E56">
        <v>105</v>
      </c>
      <c r="F56">
        <v>110</v>
      </c>
      <c r="G56" s="93" t="s">
        <v>68</v>
      </c>
      <c r="H56" t="s">
        <v>364</v>
      </c>
      <c r="I56">
        <v>1</v>
      </c>
      <c r="J56">
        <f>SUM(K57,K58)</f>
        <v>2292.1176620400001</v>
      </c>
      <c r="K56">
        <f>I56*J56</f>
        <v>2292.1176620400001</v>
      </c>
      <c r="L56">
        <f>100*(1-(M56/K56))</f>
        <v>85.6</v>
      </c>
      <c r="M56">
        <f>I56*SUM(M57,M58)</f>
        <v>330.06494333376008</v>
      </c>
      <c r="N56" s="90">
        <v>56</v>
      </c>
      <c r="O56" s="90" t="s">
        <v>1219</v>
      </c>
      <c r="P56" s="118"/>
      <c r="Q56" s="118"/>
      <c r="R56" s="90" t="s">
        <v>4258</v>
      </c>
      <c r="S56" s="90" t="s">
        <v>5338</v>
      </c>
      <c r="T56" s="90" t="s">
        <v>5836</v>
      </c>
      <c r="U56" s="90" t="s">
        <v>4798</v>
      </c>
      <c r="V56" s="93"/>
      <c r="W56" s="93"/>
    </row>
    <row r="57" spans="1:23" x14ac:dyDescent="0.25">
      <c r="A57" s="90" t="s">
        <v>374</v>
      </c>
      <c r="B57" s="119">
        <v>5</v>
      </c>
      <c r="C57" s="90" t="s">
        <v>371</v>
      </c>
      <c r="D57" s="90" t="s">
        <v>78</v>
      </c>
      <c r="E57">
        <v>106</v>
      </c>
      <c r="F57">
        <v>107</v>
      </c>
      <c r="G57" s="93" t="s">
        <v>78</v>
      </c>
      <c r="H57" t="s">
        <v>366</v>
      </c>
      <c r="I57">
        <v>1</v>
      </c>
      <c r="J57">
        <v>509.35948044999998</v>
      </c>
      <c r="K57">
        <f>I57*J57</f>
        <v>509.35948044999998</v>
      </c>
      <c r="L57">
        <v>85.6</v>
      </c>
      <c r="M57">
        <f>(1-(L57/100))*K57</f>
        <v>73.347765184800011</v>
      </c>
      <c r="N57" s="90">
        <v>57</v>
      </c>
      <c r="O57" s="90" t="s">
        <v>1220</v>
      </c>
      <c r="P57" s="118"/>
      <c r="Q57" s="118"/>
      <c r="V57" s="93"/>
      <c r="W57" s="93"/>
    </row>
    <row r="58" spans="1:23" x14ac:dyDescent="0.25">
      <c r="A58" s="90" t="s">
        <v>378</v>
      </c>
      <c r="B58" s="119">
        <v>5</v>
      </c>
      <c r="C58" s="90" t="s">
        <v>371</v>
      </c>
      <c r="D58" s="90" t="s">
        <v>79</v>
      </c>
      <c r="E58">
        <v>108</v>
      </c>
      <c r="F58">
        <v>109</v>
      </c>
      <c r="G58" s="93" t="s">
        <v>78</v>
      </c>
      <c r="H58" t="s">
        <v>368</v>
      </c>
      <c r="I58">
        <v>1</v>
      </c>
      <c r="J58">
        <v>1782.75818159</v>
      </c>
      <c r="K58">
        <f>I58*J58</f>
        <v>1782.75818159</v>
      </c>
      <c r="L58">
        <v>85.6</v>
      </c>
      <c r="M58">
        <f>(1-(L58/100))*K58</f>
        <v>256.71717814896004</v>
      </c>
      <c r="N58" s="90">
        <v>58</v>
      </c>
      <c r="O58" s="90" t="s">
        <v>1221</v>
      </c>
      <c r="P58" s="118"/>
      <c r="Q58" s="118"/>
      <c r="V58" s="93"/>
      <c r="W58" s="93"/>
    </row>
    <row r="59" spans="1:23" x14ac:dyDescent="0.25">
      <c r="A59" s="90" t="s">
        <v>391</v>
      </c>
      <c r="B59" s="119">
        <v>4</v>
      </c>
      <c r="C59" s="90" t="s">
        <v>369</v>
      </c>
      <c r="D59" s="90" t="s">
        <v>79</v>
      </c>
      <c r="E59">
        <v>111</v>
      </c>
      <c r="F59">
        <v>114</v>
      </c>
      <c r="G59" s="93" t="s">
        <v>68</v>
      </c>
      <c r="H59" t="s">
        <v>379</v>
      </c>
      <c r="I59">
        <v>1</v>
      </c>
      <c r="J59">
        <f>SUM(K60)</f>
        <v>303.06889087000002</v>
      </c>
      <c r="K59">
        <f>I59*J59</f>
        <v>303.06889087000002</v>
      </c>
      <c r="L59">
        <f>100*(1-(M59/K59))</f>
        <v>85.6</v>
      </c>
      <c r="M59">
        <f>I59*SUM(M60)</f>
        <v>43.641920285280008</v>
      </c>
      <c r="N59" s="90">
        <v>59</v>
      </c>
      <c r="O59" s="90" t="s">
        <v>1222</v>
      </c>
      <c r="P59" s="118"/>
      <c r="Q59" s="118"/>
      <c r="R59" s="90" t="s">
        <v>4259</v>
      </c>
      <c r="S59" s="90" t="s">
        <v>5339</v>
      </c>
      <c r="T59" s="90" t="s">
        <v>5837</v>
      </c>
      <c r="U59" s="90" t="s">
        <v>4799</v>
      </c>
      <c r="V59" s="93"/>
      <c r="W59" s="93"/>
    </row>
    <row r="60" spans="1:23" x14ac:dyDescent="0.25">
      <c r="A60" s="90" t="s">
        <v>394</v>
      </c>
      <c r="B60" s="119">
        <v>5</v>
      </c>
      <c r="C60" s="90" t="s">
        <v>391</v>
      </c>
      <c r="D60" s="90" t="s">
        <v>78</v>
      </c>
      <c r="E60">
        <v>112</v>
      </c>
      <c r="F60">
        <v>113</v>
      </c>
      <c r="G60" s="93" t="s">
        <v>78</v>
      </c>
      <c r="H60" t="s">
        <v>381</v>
      </c>
      <c r="I60">
        <v>1</v>
      </c>
      <c r="J60">
        <v>303.06889087000002</v>
      </c>
      <c r="K60">
        <f>I60*J60</f>
        <v>303.06889087000002</v>
      </c>
      <c r="L60">
        <v>85.6</v>
      </c>
      <c r="M60">
        <f>(1-(L60/100))*K60</f>
        <v>43.641920285280008</v>
      </c>
      <c r="N60" s="90">
        <v>60</v>
      </c>
      <c r="O60" s="90" t="s">
        <v>1223</v>
      </c>
      <c r="P60" s="118"/>
      <c r="Q60" s="118"/>
      <c r="V60" s="93"/>
      <c r="W60" s="93"/>
    </row>
    <row r="61" spans="1:23" x14ac:dyDescent="0.25">
      <c r="A61" s="90" t="s">
        <v>406</v>
      </c>
      <c r="B61" s="119">
        <v>4</v>
      </c>
      <c r="C61" s="90" t="s">
        <v>369</v>
      </c>
      <c r="D61" s="90" t="s">
        <v>80</v>
      </c>
      <c r="E61">
        <v>115</v>
      </c>
      <c r="F61">
        <v>118</v>
      </c>
      <c r="G61" s="93" t="s">
        <v>68</v>
      </c>
      <c r="H61" t="s">
        <v>383</v>
      </c>
      <c r="I61">
        <v>1</v>
      </c>
      <c r="J61">
        <f>SUM(K62)</f>
        <v>1069.6549089499999</v>
      </c>
      <c r="K61">
        <f>I61*J61</f>
        <v>1069.6549089499999</v>
      </c>
      <c r="L61">
        <f>100*(1-(M61/K61))</f>
        <v>85.6</v>
      </c>
      <c r="M61">
        <f>I61*SUM(M62)</f>
        <v>154.0303068888</v>
      </c>
      <c r="N61" s="90">
        <v>61</v>
      </c>
      <c r="O61" s="90" t="s">
        <v>1224</v>
      </c>
      <c r="P61" s="118"/>
      <c r="Q61" s="118"/>
      <c r="R61" s="90" t="s">
        <v>4260</v>
      </c>
      <c r="S61" s="90" t="s">
        <v>5340</v>
      </c>
      <c r="T61" s="90" t="s">
        <v>5838</v>
      </c>
      <c r="U61" s="90" t="s">
        <v>4800</v>
      </c>
      <c r="V61" s="93"/>
      <c r="W61" s="93"/>
    </row>
    <row r="62" spans="1:23" x14ac:dyDescent="0.25">
      <c r="A62" s="90" t="s">
        <v>409</v>
      </c>
      <c r="B62" s="119">
        <v>5</v>
      </c>
      <c r="C62" s="90" t="s">
        <v>406</v>
      </c>
      <c r="D62" s="90" t="s">
        <v>78</v>
      </c>
      <c r="E62">
        <v>116</v>
      </c>
      <c r="F62">
        <v>117</v>
      </c>
      <c r="G62" s="93" t="s">
        <v>78</v>
      </c>
      <c r="H62" t="s">
        <v>385</v>
      </c>
      <c r="I62">
        <v>1</v>
      </c>
      <c r="J62">
        <v>1069.6549089499999</v>
      </c>
      <c r="K62">
        <f>I62*J62</f>
        <v>1069.6549089499999</v>
      </c>
      <c r="L62">
        <v>85.6</v>
      </c>
      <c r="M62">
        <f>(1-(L62/100))*K62</f>
        <v>154.0303068888</v>
      </c>
      <c r="N62" s="90">
        <v>62</v>
      </c>
      <c r="O62" s="90" t="s">
        <v>1225</v>
      </c>
      <c r="P62" s="118"/>
      <c r="Q62" s="118"/>
      <c r="V62" s="93"/>
      <c r="W62" s="93"/>
    </row>
    <row r="63" spans="1:23" x14ac:dyDescent="0.25">
      <c r="A63" s="90" t="s">
        <v>411</v>
      </c>
      <c r="B63" s="119">
        <v>4</v>
      </c>
      <c r="C63" s="90" t="s">
        <v>369</v>
      </c>
      <c r="D63" s="90" t="s">
        <v>95</v>
      </c>
      <c r="E63">
        <v>119</v>
      </c>
      <c r="F63">
        <v>122</v>
      </c>
      <c r="G63" s="93" t="s">
        <v>68</v>
      </c>
      <c r="H63" t="s">
        <v>387</v>
      </c>
      <c r="I63">
        <v>1</v>
      </c>
      <c r="J63">
        <f>SUM(K64)</f>
        <v>9012.9</v>
      </c>
      <c r="K63">
        <f>I63*J63</f>
        <v>9012.9</v>
      </c>
      <c r="L63">
        <f>100*(1-(M63/K63))</f>
        <v>85.6</v>
      </c>
      <c r="M63">
        <f>I63*SUM(M64)</f>
        <v>1297.8576</v>
      </c>
      <c r="N63" s="90">
        <v>63</v>
      </c>
      <c r="O63" s="90" t="s">
        <v>1226</v>
      </c>
      <c r="P63" s="118"/>
      <c r="Q63" s="118"/>
      <c r="R63" s="90" t="s">
        <v>4261</v>
      </c>
      <c r="S63" s="90" t="s">
        <v>5341</v>
      </c>
      <c r="T63" s="90" t="s">
        <v>5839</v>
      </c>
      <c r="U63" s="90" t="s">
        <v>4801</v>
      </c>
      <c r="V63" s="93"/>
      <c r="W63" s="93"/>
    </row>
    <row r="64" spans="1:23" x14ac:dyDescent="0.25">
      <c r="A64" s="90" t="s">
        <v>414</v>
      </c>
      <c r="B64" s="119">
        <v>5</v>
      </c>
      <c r="C64" s="90" t="s">
        <v>411</v>
      </c>
      <c r="D64" s="90" t="s">
        <v>78</v>
      </c>
      <c r="E64">
        <v>120</v>
      </c>
      <c r="F64">
        <v>121</v>
      </c>
      <c r="G64" s="93" t="s">
        <v>78</v>
      </c>
      <c r="H64" t="s">
        <v>389</v>
      </c>
      <c r="I64">
        <v>1</v>
      </c>
      <c r="J64">
        <v>9012.9</v>
      </c>
      <c r="K64">
        <f>I64*J64</f>
        <v>9012.9</v>
      </c>
      <c r="L64">
        <v>85.6</v>
      </c>
      <c r="M64">
        <f>(1-(L64/100))*K64</f>
        <v>1297.8576</v>
      </c>
      <c r="N64" s="90">
        <v>64</v>
      </c>
      <c r="O64" s="90" t="s">
        <v>1227</v>
      </c>
      <c r="P64" s="118"/>
      <c r="Q64" s="118"/>
      <c r="V64" s="93"/>
      <c r="W64" s="93"/>
    </row>
    <row r="65" spans="1:23" x14ac:dyDescent="0.25">
      <c r="A65" s="90" t="s">
        <v>1228</v>
      </c>
      <c r="B65" s="119">
        <v>2</v>
      </c>
      <c r="C65" s="90" t="s">
        <v>78</v>
      </c>
      <c r="D65" s="90" t="s">
        <v>79</v>
      </c>
      <c r="E65">
        <v>125</v>
      </c>
      <c r="F65">
        <v>326</v>
      </c>
      <c r="G65" s="93" t="s">
        <v>68</v>
      </c>
      <c r="H65" t="s">
        <v>1229</v>
      </c>
      <c r="I65">
        <v>1</v>
      </c>
      <c r="J65">
        <f>SUM(K66,K91,K118,K121,K124,K136,K139,K150,K160,K163)</f>
        <v>102962.06478674999</v>
      </c>
      <c r="K65">
        <f>I65*J65</f>
        <v>102962.06478674999</v>
      </c>
      <c r="L65">
        <f>100*(1-(M65/K65))</f>
        <v>47.281342976803828</v>
      </c>
      <c r="M65">
        <f>I65*SUM(M66,M91,M118,M121,M124,M136,M139,M150,M160,M163)</f>
        <v>54280.217798927762</v>
      </c>
      <c r="N65" s="90">
        <v>65</v>
      </c>
      <c r="O65" s="90" t="s">
        <v>1230</v>
      </c>
      <c r="P65" s="118"/>
      <c r="Q65" s="118"/>
      <c r="R65" s="90" t="s">
        <v>6939</v>
      </c>
      <c r="S65" s="90" t="s">
        <v>7036</v>
      </c>
      <c r="T65" s="90" t="s">
        <v>7082</v>
      </c>
      <c r="U65" s="90" t="s">
        <v>6988</v>
      </c>
      <c r="V65" s="93"/>
      <c r="W65" s="93"/>
    </row>
    <row r="66" spans="1:23" x14ac:dyDescent="0.25">
      <c r="A66" s="90" t="s">
        <v>1231</v>
      </c>
      <c r="B66" s="119">
        <v>3</v>
      </c>
      <c r="C66" s="90" t="s">
        <v>1228</v>
      </c>
      <c r="D66" s="90" t="s">
        <v>78</v>
      </c>
      <c r="E66">
        <v>126</v>
      </c>
      <c r="F66">
        <v>175</v>
      </c>
      <c r="G66" s="93" t="s">
        <v>68</v>
      </c>
      <c r="H66" t="s">
        <v>1232</v>
      </c>
      <c r="I66">
        <v>1</v>
      </c>
      <c r="J66">
        <f>SUM(K67,K69,K71,K73,K75,K77,K79,K81,K83,K85,K87)</f>
        <v>35505.628147210002</v>
      </c>
      <c r="K66">
        <f>I66*J66</f>
        <v>35505.628147210002</v>
      </c>
      <c r="L66">
        <f>100*(1-(M66/K66))</f>
        <v>40.000000000000014</v>
      </c>
      <c r="M66">
        <f>I66*SUM(M67,M69,M71,M73,M75,M77,M79,M81,M83,M85,M87)</f>
        <v>21303.376888325995</v>
      </c>
      <c r="N66" s="90">
        <v>66</v>
      </c>
      <c r="O66" s="90" t="s">
        <v>1233</v>
      </c>
      <c r="P66" s="118"/>
      <c r="Q66" s="118"/>
      <c r="R66" s="90" t="s">
        <v>6378</v>
      </c>
      <c r="S66" s="90" t="s">
        <v>6681</v>
      </c>
      <c r="T66" s="90" t="s">
        <v>6826</v>
      </c>
      <c r="U66" s="90" t="s">
        <v>6530</v>
      </c>
      <c r="V66" s="93"/>
      <c r="W66" s="93"/>
    </row>
    <row r="67" spans="1:23" x14ac:dyDescent="0.25">
      <c r="A67" s="90" t="s">
        <v>1234</v>
      </c>
      <c r="B67" s="119">
        <v>4</v>
      </c>
      <c r="C67" s="90" t="s">
        <v>1231</v>
      </c>
      <c r="D67" s="90" t="s">
        <v>78</v>
      </c>
      <c r="E67">
        <v>127</v>
      </c>
      <c r="F67">
        <v>130</v>
      </c>
      <c r="G67" s="93" t="s">
        <v>68</v>
      </c>
      <c r="H67" t="s">
        <v>1235</v>
      </c>
      <c r="I67">
        <v>2</v>
      </c>
      <c r="J67">
        <f>SUM(K68)</f>
        <v>37.44</v>
      </c>
      <c r="K67">
        <f>I67*J67</f>
        <v>74.88</v>
      </c>
      <c r="L67">
        <f>100*(1-(M67/K67))</f>
        <v>40</v>
      </c>
      <c r="M67">
        <f>I67*SUM(M68)</f>
        <v>44.927999999999997</v>
      </c>
      <c r="N67" s="90">
        <v>67</v>
      </c>
      <c r="O67" s="90" t="s">
        <v>1236</v>
      </c>
      <c r="P67" s="118"/>
      <c r="Q67" s="118"/>
      <c r="R67" s="90" t="s">
        <v>4469</v>
      </c>
      <c r="S67" s="90" t="s">
        <v>5533</v>
      </c>
      <c r="T67" s="90" t="s">
        <v>6031</v>
      </c>
      <c r="U67" s="90" t="s">
        <v>5009</v>
      </c>
      <c r="V67" s="93"/>
      <c r="W67" s="93"/>
    </row>
    <row r="68" spans="1:23" x14ac:dyDescent="0.25">
      <c r="A68" s="90" t="s">
        <v>1237</v>
      </c>
      <c r="B68" s="119">
        <v>5</v>
      </c>
      <c r="C68" s="90" t="s">
        <v>1234</v>
      </c>
      <c r="D68" s="90" t="s">
        <v>78</v>
      </c>
      <c r="E68">
        <v>128</v>
      </c>
      <c r="F68">
        <v>129</v>
      </c>
      <c r="G68" s="93" t="s">
        <v>78</v>
      </c>
      <c r="H68" t="s">
        <v>1235</v>
      </c>
      <c r="I68">
        <v>1</v>
      </c>
      <c r="J68">
        <v>37.44</v>
      </c>
      <c r="K68">
        <f>I68*J68</f>
        <v>37.44</v>
      </c>
      <c r="L68">
        <v>40</v>
      </c>
      <c r="M68">
        <f>(1-(L68/100))*K68</f>
        <v>22.463999999999999</v>
      </c>
      <c r="N68" s="90">
        <v>68</v>
      </c>
      <c r="O68" s="90" t="s">
        <v>1238</v>
      </c>
      <c r="P68" s="118"/>
      <c r="Q68" s="118"/>
      <c r="V68" s="93"/>
      <c r="W68" s="93"/>
    </row>
    <row r="69" spans="1:23" x14ac:dyDescent="0.25">
      <c r="A69" s="90" t="s">
        <v>1239</v>
      </c>
      <c r="B69" s="119">
        <v>4</v>
      </c>
      <c r="C69" s="90" t="s">
        <v>1231</v>
      </c>
      <c r="D69" s="90" t="s">
        <v>79</v>
      </c>
      <c r="E69">
        <v>131</v>
      </c>
      <c r="F69">
        <v>134</v>
      </c>
      <c r="G69" s="93" t="s">
        <v>68</v>
      </c>
      <c r="H69" t="s">
        <v>1240</v>
      </c>
      <c r="I69">
        <v>1</v>
      </c>
      <c r="J69">
        <f>SUM(K70)</f>
        <v>700.36928562000003</v>
      </c>
      <c r="K69">
        <f>I69*J69</f>
        <v>700.36928562000003</v>
      </c>
      <c r="L69">
        <f>100*(1-(M69/K69))</f>
        <v>40</v>
      </c>
      <c r="M69">
        <f>I69*SUM(M70)</f>
        <v>420.22157137200003</v>
      </c>
      <c r="N69" s="90">
        <v>69</v>
      </c>
      <c r="O69" s="90" t="s">
        <v>1241</v>
      </c>
      <c r="P69" s="118"/>
      <c r="Q69" s="118"/>
      <c r="R69" s="90" t="s">
        <v>4472</v>
      </c>
      <c r="S69" s="90" t="s">
        <v>5536</v>
      </c>
      <c r="T69" s="90" t="s">
        <v>6034</v>
      </c>
      <c r="U69" s="90" t="s">
        <v>5012</v>
      </c>
      <c r="V69" s="93"/>
      <c r="W69" s="93"/>
    </row>
    <row r="70" spans="1:23" x14ac:dyDescent="0.25">
      <c r="A70" s="90" t="s">
        <v>1242</v>
      </c>
      <c r="B70" s="119">
        <v>5</v>
      </c>
      <c r="C70" s="90" t="s">
        <v>1239</v>
      </c>
      <c r="D70" s="90" t="s">
        <v>78</v>
      </c>
      <c r="E70">
        <v>132</v>
      </c>
      <c r="F70">
        <v>133</v>
      </c>
      <c r="G70" s="93" t="s">
        <v>78</v>
      </c>
      <c r="H70" t="s">
        <v>1243</v>
      </c>
      <c r="I70">
        <v>1</v>
      </c>
      <c r="J70">
        <v>700.36928562000003</v>
      </c>
      <c r="K70">
        <f>I70*J70</f>
        <v>700.36928562000003</v>
      </c>
      <c r="L70">
        <v>40</v>
      </c>
      <c r="M70">
        <f>(1-(L70/100))*K70</f>
        <v>420.22157137200003</v>
      </c>
      <c r="N70" s="90">
        <v>70</v>
      </c>
      <c r="O70" s="90" t="s">
        <v>1244</v>
      </c>
      <c r="P70" s="118"/>
      <c r="Q70" s="118"/>
      <c r="V70" s="93"/>
      <c r="W70" s="93"/>
    </row>
    <row r="71" spans="1:23" x14ac:dyDescent="0.25">
      <c r="A71" s="90" t="s">
        <v>1245</v>
      </c>
      <c r="B71" s="119">
        <v>4</v>
      </c>
      <c r="C71" s="90" t="s">
        <v>1231</v>
      </c>
      <c r="D71" s="90" t="s">
        <v>80</v>
      </c>
      <c r="E71">
        <v>135</v>
      </c>
      <c r="F71">
        <v>138</v>
      </c>
      <c r="G71" s="93" t="s">
        <v>68</v>
      </c>
      <c r="H71" t="s">
        <v>1246</v>
      </c>
      <c r="I71">
        <v>2</v>
      </c>
      <c r="J71">
        <f>SUM(K72)</f>
        <v>967.93582071000003</v>
      </c>
      <c r="K71">
        <f>I71*J71</f>
        <v>1935.8716414200001</v>
      </c>
      <c r="L71">
        <f>100*(1-(M71/K71))</f>
        <v>40</v>
      </c>
      <c r="M71">
        <f>I71*SUM(M72)</f>
        <v>1161.522984852</v>
      </c>
      <c r="N71" s="90">
        <v>71</v>
      </c>
      <c r="O71" s="90" t="s">
        <v>1247</v>
      </c>
      <c r="P71" s="118"/>
      <c r="Q71" s="118"/>
      <c r="R71" s="90" t="s">
        <v>4473</v>
      </c>
      <c r="S71" s="90" t="s">
        <v>5537</v>
      </c>
      <c r="T71" s="90" t="s">
        <v>6035</v>
      </c>
      <c r="U71" s="90" t="s">
        <v>5013</v>
      </c>
      <c r="V71" s="93"/>
      <c r="W71" s="93"/>
    </row>
    <row r="72" spans="1:23" x14ac:dyDescent="0.25">
      <c r="A72" s="90" t="s">
        <v>1248</v>
      </c>
      <c r="B72" s="119">
        <v>5</v>
      </c>
      <c r="C72" s="90" t="s">
        <v>1245</v>
      </c>
      <c r="D72" s="90" t="s">
        <v>78</v>
      </c>
      <c r="E72">
        <v>136</v>
      </c>
      <c r="F72">
        <v>137</v>
      </c>
      <c r="G72" s="93" t="s">
        <v>78</v>
      </c>
      <c r="H72" t="s">
        <v>120</v>
      </c>
      <c r="I72">
        <v>1</v>
      </c>
      <c r="J72">
        <v>967.93582071000003</v>
      </c>
      <c r="K72">
        <f>I72*J72</f>
        <v>967.93582071000003</v>
      </c>
      <c r="L72">
        <v>40</v>
      </c>
      <c r="M72">
        <f>(1-(L72/100))*K72</f>
        <v>580.76149242600002</v>
      </c>
      <c r="N72" s="90">
        <v>72</v>
      </c>
      <c r="O72" s="90" t="s">
        <v>1249</v>
      </c>
      <c r="P72" s="118"/>
      <c r="Q72" s="118"/>
      <c r="V72" s="93"/>
      <c r="W72" s="93"/>
    </row>
    <row r="73" spans="1:23" x14ac:dyDescent="0.25">
      <c r="A73" s="90" t="s">
        <v>1250</v>
      </c>
      <c r="B73" s="119">
        <v>4</v>
      </c>
      <c r="C73" s="90" t="s">
        <v>1231</v>
      </c>
      <c r="D73" s="90" t="s">
        <v>95</v>
      </c>
      <c r="E73">
        <v>139</v>
      </c>
      <c r="F73">
        <v>142</v>
      </c>
      <c r="G73" s="93" t="s">
        <v>68</v>
      </c>
      <c r="H73" t="s">
        <v>1251</v>
      </c>
      <c r="I73">
        <v>1</v>
      </c>
      <c r="J73">
        <f>SUM(K74)</f>
        <v>967.93582071000003</v>
      </c>
      <c r="K73">
        <f>I73*J73</f>
        <v>967.93582071000003</v>
      </c>
      <c r="L73">
        <f>100*(1-(M73/K73))</f>
        <v>40</v>
      </c>
      <c r="M73">
        <f>I73*SUM(M74)</f>
        <v>580.76149242600002</v>
      </c>
      <c r="N73" s="90">
        <v>73</v>
      </c>
      <c r="O73" s="90" t="s">
        <v>1252</v>
      </c>
      <c r="P73" s="118"/>
      <c r="Q73" s="118"/>
      <c r="R73" s="90" t="s">
        <v>4474</v>
      </c>
      <c r="S73" s="90" t="s">
        <v>5538</v>
      </c>
      <c r="T73" s="90" t="s">
        <v>6036</v>
      </c>
      <c r="U73" s="90" t="s">
        <v>5014</v>
      </c>
      <c r="V73" s="93"/>
      <c r="W73" s="93"/>
    </row>
    <row r="74" spans="1:23" x14ac:dyDescent="0.25">
      <c r="A74" s="90" t="s">
        <v>1253</v>
      </c>
      <c r="B74" s="119">
        <v>5</v>
      </c>
      <c r="C74" s="90" t="s">
        <v>1250</v>
      </c>
      <c r="D74" s="90" t="s">
        <v>78</v>
      </c>
      <c r="E74">
        <v>140</v>
      </c>
      <c r="F74">
        <v>141</v>
      </c>
      <c r="G74" s="93" t="s">
        <v>78</v>
      </c>
      <c r="H74" t="s">
        <v>125</v>
      </c>
      <c r="I74">
        <v>1</v>
      </c>
      <c r="J74">
        <v>967.93582071000003</v>
      </c>
      <c r="K74">
        <f>I74*J74</f>
        <v>967.93582071000003</v>
      </c>
      <c r="L74">
        <v>40</v>
      </c>
      <c r="M74">
        <f>(1-(L74/100))*K74</f>
        <v>580.76149242600002</v>
      </c>
      <c r="N74" s="90">
        <v>74</v>
      </c>
      <c r="O74" s="90" t="s">
        <v>1254</v>
      </c>
      <c r="P74" s="118"/>
      <c r="Q74" s="118"/>
      <c r="V74" s="93"/>
      <c r="W74" s="93"/>
    </row>
    <row r="75" spans="1:23" x14ac:dyDescent="0.25">
      <c r="A75" s="90" t="s">
        <v>1255</v>
      </c>
      <c r="B75" s="119">
        <v>4</v>
      </c>
      <c r="C75" s="90" t="s">
        <v>1231</v>
      </c>
      <c r="D75" s="90" t="s">
        <v>96</v>
      </c>
      <c r="E75">
        <v>143</v>
      </c>
      <c r="F75">
        <v>146</v>
      </c>
      <c r="G75" s="93" t="s">
        <v>68</v>
      </c>
      <c r="H75" t="s">
        <v>1256</v>
      </c>
      <c r="I75">
        <v>1</v>
      </c>
      <c r="J75">
        <f>SUM(K76)</f>
        <v>9428.2439831899992</v>
      </c>
      <c r="K75">
        <f>I75*J75</f>
        <v>9428.2439831899992</v>
      </c>
      <c r="L75">
        <f>100*(1-(M75/K75))</f>
        <v>40</v>
      </c>
      <c r="M75">
        <f>I75*SUM(M76)</f>
        <v>5656.9463899139992</v>
      </c>
      <c r="N75" s="90">
        <v>75</v>
      </c>
      <c r="O75" s="90" t="s">
        <v>1257</v>
      </c>
      <c r="P75" s="118"/>
      <c r="Q75" s="118"/>
      <c r="R75" s="90" t="s">
        <v>4475</v>
      </c>
      <c r="S75" s="90" t="s">
        <v>5539</v>
      </c>
      <c r="T75" s="90" t="s">
        <v>6037</v>
      </c>
      <c r="U75" s="90" t="s">
        <v>5015</v>
      </c>
      <c r="V75" s="93"/>
      <c r="W75" s="93"/>
    </row>
    <row r="76" spans="1:23" x14ac:dyDescent="0.25">
      <c r="A76" s="90" t="s">
        <v>1258</v>
      </c>
      <c r="B76" s="119">
        <v>5</v>
      </c>
      <c r="C76" s="90" t="s">
        <v>1255</v>
      </c>
      <c r="D76" s="90" t="s">
        <v>78</v>
      </c>
      <c r="E76">
        <v>144</v>
      </c>
      <c r="F76">
        <v>145</v>
      </c>
      <c r="G76" s="93" t="s">
        <v>78</v>
      </c>
      <c r="H76" t="s">
        <v>1256</v>
      </c>
      <c r="I76">
        <v>1</v>
      </c>
      <c r="J76">
        <v>9428.2439831899992</v>
      </c>
      <c r="K76">
        <f>I76*J76</f>
        <v>9428.2439831899992</v>
      </c>
      <c r="L76">
        <v>40</v>
      </c>
      <c r="M76">
        <f>(1-(L76/100))*K76</f>
        <v>5656.9463899139992</v>
      </c>
      <c r="N76" s="90">
        <v>76</v>
      </c>
      <c r="O76" s="90" t="s">
        <v>1259</v>
      </c>
      <c r="P76" s="118"/>
      <c r="Q76" s="118"/>
      <c r="V76" s="93"/>
      <c r="W76" s="93"/>
    </row>
    <row r="77" spans="1:23" x14ac:dyDescent="0.25">
      <c r="A77" s="90" t="s">
        <v>1260</v>
      </c>
      <c r="B77" s="119">
        <v>4</v>
      </c>
      <c r="C77" s="90" t="s">
        <v>1231</v>
      </c>
      <c r="D77" s="90" t="s">
        <v>103</v>
      </c>
      <c r="E77">
        <v>147</v>
      </c>
      <c r="F77">
        <v>150</v>
      </c>
      <c r="G77" s="93" t="s">
        <v>68</v>
      </c>
      <c r="H77" t="s">
        <v>1261</v>
      </c>
      <c r="I77">
        <v>1</v>
      </c>
      <c r="J77">
        <f>SUM(K78)</f>
        <v>10160.44823634</v>
      </c>
      <c r="K77">
        <f>I77*J77</f>
        <v>10160.44823634</v>
      </c>
      <c r="L77">
        <f>100*(1-(M77/K77))</f>
        <v>40</v>
      </c>
      <c r="M77">
        <f>I77*SUM(M78)</f>
        <v>6096.268941804</v>
      </c>
      <c r="N77" s="90">
        <v>77</v>
      </c>
      <c r="O77" s="90" t="s">
        <v>1262</v>
      </c>
      <c r="P77" s="118"/>
      <c r="Q77" s="118"/>
      <c r="R77" s="90" t="s">
        <v>4476</v>
      </c>
      <c r="S77" s="90" t="s">
        <v>5540</v>
      </c>
      <c r="T77" s="90" t="s">
        <v>6038</v>
      </c>
      <c r="U77" s="90" t="s">
        <v>5016</v>
      </c>
      <c r="V77" s="93"/>
      <c r="W77" s="93"/>
    </row>
    <row r="78" spans="1:23" x14ac:dyDescent="0.25">
      <c r="A78" s="90" t="s">
        <v>1263</v>
      </c>
      <c r="B78" s="119">
        <v>5</v>
      </c>
      <c r="C78" s="90" t="s">
        <v>1260</v>
      </c>
      <c r="D78" s="90" t="s">
        <v>78</v>
      </c>
      <c r="E78">
        <v>148</v>
      </c>
      <c r="F78">
        <v>149</v>
      </c>
      <c r="G78" s="93" t="s">
        <v>78</v>
      </c>
      <c r="H78" t="s">
        <v>1261</v>
      </c>
      <c r="I78">
        <v>1</v>
      </c>
      <c r="J78">
        <v>10160.44823634</v>
      </c>
      <c r="K78">
        <f>I78*J78</f>
        <v>10160.44823634</v>
      </c>
      <c r="L78">
        <v>40</v>
      </c>
      <c r="M78">
        <f>(1-(L78/100))*K78</f>
        <v>6096.268941804</v>
      </c>
      <c r="N78" s="90">
        <v>78</v>
      </c>
      <c r="O78" s="90" t="s">
        <v>1264</v>
      </c>
      <c r="P78" s="118"/>
      <c r="Q78" s="118"/>
      <c r="V78" s="93"/>
      <c r="W78" s="93"/>
    </row>
    <row r="79" spans="1:23" x14ac:dyDescent="0.25">
      <c r="A79" s="90" t="s">
        <v>1265</v>
      </c>
      <c r="B79" s="119">
        <v>4</v>
      </c>
      <c r="C79" s="90" t="s">
        <v>1231</v>
      </c>
      <c r="D79" s="90" t="s">
        <v>796</v>
      </c>
      <c r="E79">
        <v>151</v>
      </c>
      <c r="F79">
        <v>154</v>
      </c>
      <c r="G79" s="93" t="s">
        <v>68</v>
      </c>
      <c r="H79" t="s">
        <v>1266</v>
      </c>
      <c r="I79">
        <v>1</v>
      </c>
      <c r="J79">
        <f>SUM(K80)</f>
        <v>9312.3647013900008</v>
      </c>
      <c r="K79">
        <f>I79*J79</f>
        <v>9312.3647013900008</v>
      </c>
      <c r="L79">
        <f>100*(1-(M79/K79))</f>
        <v>40</v>
      </c>
      <c r="M79">
        <f>I79*SUM(M80)</f>
        <v>5587.4188208340001</v>
      </c>
      <c r="N79" s="90">
        <v>79</v>
      </c>
      <c r="O79" s="90" t="s">
        <v>1267</v>
      </c>
      <c r="P79" s="118"/>
      <c r="Q79" s="118"/>
      <c r="R79" s="90" t="s">
        <v>4477</v>
      </c>
      <c r="S79" s="90" t="s">
        <v>5541</v>
      </c>
      <c r="T79" s="90" t="s">
        <v>6039</v>
      </c>
      <c r="U79" s="90" t="s">
        <v>5017</v>
      </c>
      <c r="V79" s="93"/>
      <c r="W79" s="93"/>
    </row>
    <row r="80" spans="1:23" x14ac:dyDescent="0.25">
      <c r="A80" s="90" t="s">
        <v>1268</v>
      </c>
      <c r="B80" s="119">
        <v>5</v>
      </c>
      <c r="C80" s="90" t="s">
        <v>1265</v>
      </c>
      <c r="D80" s="90" t="s">
        <v>78</v>
      </c>
      <c r="E80">
        <v>152</v>
      </c>
      <c r="F80">
        <v>153</v>
      </c>
      <c r="G80" s="93" t="s">
        <v>78</v>
      </c>
      <c r="H80" t="s">
        <v>1269</v>
      </c>
      <c r="I80">
        <v>1</v>
      </c>
      <c r="J80">
        <v>9312.3647013900008</v>
      </c>
      <c r="K80">
        <f>I80*J80</f>
        <v>9312.3647013900008</v>
      </c>
      <c r="L80">
        <v>40</v>
      </c>
      <c r="M80">
        <f>(1-(L80/100))*K80</f>
        <v>5587.4188208340001</v>
      </c>
      <c r="N80" s="90">
        <v>80</v>
      </c>
      <c r="O80" s="90" t="s">
        <v>1270</v>
      </c>
      <c r="P80" s="118"/>
      <c r="Q80" s="118"/>
      <c r="V80" s="93"/>
      <c r="W80" s="93"/>
    </row>
    <row r="81" spans="1:23" x14ac:dyDescent="0.25">
      <c r="A81" s="90" t="s">
        <v>1271</v>
      </c>
      <c r="B81" s="119">
        <v>4</v>
      </c>
      <c r="C81" s="90" t="s">
        <v>1231</v>
      </c>
      <c r="D81" s="90" t="s">
        <v>797</v>
      </c>
      <c r="E81">
        <v>155</v>
      </c>
      <c r="F81">
        <v>158</v>
      </c>
      <c r="G81" s="93" t="s">
        <v>68</v>
      </c>
      <c r="H81" t="s">
        <v>1272</v>
      </c>
      <c r="I81">
        <v>2</v>
      </c>
      <c r="J81">
        <f>SUM(K82)</f>
        <v>1308.5572392700001</v>
      </c>
      <c r="K81">
        <f>I81*J81</f>
        <v>2617.1144785400002</v>
      </c>
      <c r="L81">
        <f>100*(1-(M81/K81))</f>
        <v>40</v>
      </c>
      <c r="M81">
        <f>I81*SUM(M82)</f>
        <v>1570.2686871240001</v>
      </c>
      <c r="N81" s="90">
        <v>81</v>
      </c>
      <c r="O81" s="90" t="s">
        <v>1273</v>
      </c>
      <c r="P81" s="118"/>
      <c r="Q81" s="118"/>
      <c r="R81" s="90" t="s">
        <v>4478</v>
      </c>
      <c r="S81" s="90" t="s">
        <v>5542</v>
      </c>
      <c r="T81" s="90" t="s">
        <v>6040</v>
      </c>
      <c r="U81" s="90" t="s">
        <v>5018</v>
      </c>
      <c r="V81" s="93"/>
      <c r="W81" s="93"/>
    </row>
    <row r="82" spans="1:23" x14ac:dyDescent="0.25">
      <c r="A82" s="90" t="s">
        <v>1274</v>
      </c>
      <c r="B82" s="119">
        <v>5</v>
      </c>
      <c r="C82" s="90" t="s">
        <v>1271</v>
      </c>
      <c r="D82" s="90" t="s">
        <v>78</v>
      </c>
      <c r="E82">
        <v>156</v>
      </c>
      <c r="F82">
        <v>157</v>
      </c>
      <c r="G82" s="93" t="s">
        <v>78</v>
      </c>
      <c r="H82" t="s">
        <v>1272</v>
      </c>
      <c r="I82">
        <v>1</v>
      </c>
      <c r="J82">
        <v>1308.5572392700001</v>
      </c>
      <c r="K82">
        <f>I82*J82</f>
        <v>1308.5572392700001</v>
      </c>
      <c r="L82">
        <v>40</v>
      </c>
      <c r="M82">
        <f>(1-(L82/100))*K82</f>
        <v>785.13434356200003</v>
      </c>
      <c r="N82" s="90">
        <v>82</v>
      </c>
      <c r="O82" s="90" t="s">
        <v>1275</v>
      </c>
      <c r="P82" s="118"/>
      <c r="Q82" s="118"/>
      <c r="V82" s="93"/>
      <c r="W82" s="93"/>
    </row>
    <row r="83" spans="1:23" x14ac:dyDescent="0.25">
      <c r="A83" s="90" t="s">
        <v>1276</v>
      </c>
      <c r="B83" s="119">
        <v>4</v>
      </c>
      <c r="C83" s="90" t="s">
        <v>1231</v>
      </c>
      <c r="D83" s="90" t="s">
        <v>798</v>
      </c>
      <c r="E83">
        <v>159</v>
      </c>
      <c r="F83">
        <v>162</v>
      </c>
      <c r="G83" s="93" t="s">
        <v>68</v>
      </c>
      <c r="H83" t="s">
        <v>145</v>
      </c>
      <c r="I83">
        <v>4</v>
      </c>
      <c r="J83">
        <f>SUM(K84)</f>
        <v>28.6</v>
      </c>
      <c r="K83">
        <f>I83*J83</f>
        <v>114.4</v>
      </c>
      <c r="L83">
        <f>100*(1-(M83/K83))</f>
        <v>40</v>
      </c>
      <c r="M83">
        <f>I83*SUM(M84)</f>
        <v>68.64</v>
      </c>
      <c r="N83" s="90">
        <v>83</v>
      </c>
      <c r="O83" s="90" t="s">
        <v>1277</v>
      </c>
      <c r="P83" s="118"/>
      <c r="Q83" s="118"/>
      <c r="R83" s="90" t="s">
        <v>4479</v>
      </c>
      <c r="S83" s="90" t="s">
        <v>5543</v>
      </c>
      <c r="T83" s="90" t="s">
        <v>6041</v>
      </c>
      <c r="U83" s="90" t="s">
        <v>5019</v>
      </c>
      <c r="V83" s="93"/>
      <c r="W83" s="93"/>
    </row>
    <row r="84" spans="1:23" x14ac:dyDescent="0.25">
      <c r="A84" s="90" t="s">
        <v>1278</v>
      </c>
      <c r="B84" s="119">
        <v>5</v>
      </c>
      <c r="C84" s="90" t="s">
        <v>1276</v>
      </c>
      <c r="D84" s="90" t="s">
        <v>78</v>
      </c>
      <c r="E84">
        <v>160</v>
      </c>
      <c r="F84">
        <v>161</v>
      </c>
      <c r="G84" s="93" t="s">
        <v>78</v>
      </c>
      <c r="H84" t="s">
        <v>145</v>
      </c>
      <c r="I84">
        <v>1</v>
      </c>
      <c r="J84">
        <v>28.6</v>
      </c>
      <c r="K84">
        <f>I84*J84</f>
        <v>28.6</v>
      </c>
      <c r="L84">
        <v>40</v>
      </c>
      <c r="M84">
        <f>(1-(L84/100))*K84</f>
        <v>17.16</v>
      </c>
      <c r="N84" s="90">
        <v>84</v>
      </c>
      <c r="O84" s="90" t="s">
        <v>1279</v>
      </c>
      <c r="P84" s="118"/>
      <c r="Q84" s="118"/>
      <c r="V84" s="93"/>
      <c r="W84" s="93"/>
    </row>
    <row r="85" spans="1:23" x14ac:dyDescent="0.25">
      <c r="A85" s="90" t="s">
        <v>1280</v>
      </c>
      <c r="B85" s="119">
        <v>4</v>
      </c>
      <c r="C85" s="90" t="s">
        <v>1231</v>
      </c>
      <c r="D85" s="90" t="s">
        <v>799</v>
      </c>
      <c r="E85">
        <v>163</v>
      </c>
      <c r="F85">
        <v>166</v>
      </c>
      <c r="G85" s="93" t="s">
        <v>68</v>
      </c>
      <c r="H85" t="s">
        <v>143</v>
      </c>
      <c r="I85">
        <v>2</v>
      </c>
      <c r="J85">
        <f>SUM(K86)</f>
        <v>27.17</v>
      </c>
      <c r="K85">
        <f>I85*J85</f>
        <v>54.34</v>
      </c>
      <c r="L85">
        <f>100*(1-(M85/K85))</f>
        <v>40</v>
      </c>
      <c r="M85">
        <f>I85*SUM(M86)</f>
        <v>32.603999999999999</v>
      </c>
      <c r="N85" s="90">
        <v>85</v>
      </c>
      <c r="O85" s="90" t="s">
        <v>1281</v>
      </c>
      <c r="P85" s="118"/>
      <c r="Q85" s="118"/>
      <c r="R85" s="90" t="s">
        <v>4470</v>
      </c>
      <c r="S85" s="90" t="s">
        <v>5534</v>
      </c>
      <c r="T85" s="90" t="s">
        <v>6032</v>
      </c>
      <c r="U85" s="90" t="s">
        <v>5010</v>
      </c>
      <c r="V85" s="93"/>
      <c r="W85" s="93"/>
    </row>
    <row r="86" spans="1:23" x14ac:dyDescent="0.25">
      <c r="A86" s="90" t="s">
        <v>1282</v>
      </c>
      <c r="B86" s="119">
        <v>5</v>
      </c>
      <c r="C86" s="90" t="s">
        <v>1280</v>
      </c>
      <c r="D86" s="90" t="s">
        <v>78</v>
      </c>
      <c r="E86">
        <v>164</v>
      </c>
      <c r="F86">
        <v>165</v>
      </c>
      <c r="G86" s="93" t="s">
        <v>78</v>
      </c>
      <c r="H86" t="s">
        <v>143</v>
      </c>
      <c r="I86">
        <v>1</v>
      </c>
      <c r="J86">
        <v>27.17</v>
      </c>
      <c r="K86">
        <f>I86*J86</f>
        <v>27.17</v>
      </c>
      <c r="L86">
        <v>40</v>
      </c>
      <c r="M86">
        <f>(1-(L86/100))*K86</f>
        <v>16.302</v>
      </c>
      <c r="N86" s="90">
        <v>86</v>
      </c>
      <c r="O86" s="90" t="s">
        <v>1283</v>
      </c>
      <c r="P86" s="118"/>
      <c r="Q86" s="118"/>
      <c r="V86" s="93"/>
      <c r="W86" s="93"/>
    </row>
    <row r="87" spans="1:23" x14ac:dyDescent="0.25">
      <c r="A87" s="90" t="s">
        <v>1284</v>
      </c>
      <c r="B87" s="119">
        <v>4</v>
      </c>
      <c r="C87" s="90" t="s">
        <v>1231</v>
      </c>
      <c r="D87" s="90" t="s">
        <v>97</v>
      </c>
      <c r="E87">
        <v>167</v>
      </c>
      <c r="F87">
        <v>174</v>
      </c>
      <c r="G87" s="93" t="s">
        <v>68</v>
      </c>
      <c r="H87" t="s">
        <v>1285</v>
      </c>
      <c r="I87">
        <v>2</v>
      </c>
      <c r="J87">
        <f>SUM(K88)</f>
        <v>69.83</v>
      </c>
      <c r="K87">
        <f>I87*J87</f>
        <v>139.66</v>
      </c>
      <c r="L87">
        <f>100*(1-(M87/K87))</f>
        <v>39.999999999999993</v>
      </c>
      <c r="M87">
        <f>I87*SUM(M88)</f>
        <v>83.796000000000006</v>
      </c>
      <c r="N87" s="90">
        <v>87</v>
      </c>
      <c r="O87" s="90" t="s">
        <v>1286</v>
      </c>
      <c r="P87" s="118"/>
      <c r="Q87" s="118"/>
      <c r="R87" s="90" t="s">
        <v>6379</v>
      </c>
      <c r="S87" s="90" t="s">
        <v>6682</v>
      </c>
      <c r="T87" s="90" t="s">
        <v>6827</v>
      </c>
      <c r="U87" s="90" t="s">
        <v>6531</v>
      </c>
      <c r="V87" s="93"/>
      <c r="W87" s="93"/>
    </row>
    <row r="88" spans="1:23" x14ac:dyDescent="0.25">
      <c r="A88" s="90" t="s">
        <v>1287</v>
      </c>
      <c r="B88" s="119">
        <v>5</v>
      </c>
      <c r="C88" s="90" t="s">
        <v>1284</v>
      </c>
      <c r="D88" s="90" t="s">
        <v>78</v>
      </c>
      <c r="E88">
        <v>168</v>
      </c>
      <c r="F88">
        <v>173</v>
      </c>
      <c r="G88" s="93" t="s">
        <v>68</v>
      </c>
      <c r="H88" t="s">
        <v>147</v>
      </c>
      <c r="I88">
        <v>1</v>
      </c>
      <c r="J88">
        <f>SUM(K89,K90)</f>
        <v>69.83</v>
      </c>
      <c r="K88">
        <f>I88*J88</f>
        <v>69.83</v>
      </c>
      <c r="L88">
        <f>100*(1-(M88/K88))</f>
        <v>39.999999999999993</v>
      </c>
      <c r="M88">
        <f>I88*SUM(M89,M90)</f>
        <v>41.898000000000003</v>
      </c>
      <c r="N88" s="90">
        <v>88</v>
      </c>
      <c r="O88" s="90" t="s">
        <v>1288</v>
      </c>
      <c r="P88" s="118"/>
      <c r="Q88" s="118"/>
      <c r="R88" s="90" t="s">
        <v>4471</v>
      </c>
      <c r="S88" s="90" t="s">
        <v>5535</v>
      </c>
      <c r="T88" s="90" t="s">
        <v>6033</v>
      </c>
      <c r="U88" s="90" t="s">
        <v>5011</v>
      </c>
      <c r="V88" s="93"/>
      <c r="W88" s="93"/>
    </row>
    <row r="89" spans="1:23" x14ac:dyDescent="0.25">
      <c r="A89" s="90" t="s">
        <v>1289</v>
      </c>
      <c r="B89" s="119">
        <v>6</v>
      </c>
      <c r="C89" s="90" t="s">
        <v>1287</v>
      </c>
      <c r="D89" s="90" t="s">
        <v>78</v>
      </c>
      <c r="E89">
        <v>169</v>
      </c>
      <c r="F89">
        <v>170</v>
      </c>
      <c r="G89" s="93" t="s">
        <v>78</v>
      </c>
      <c r="H89" t="s">
        <v>149</v>
      </c>
      <c r="I89">
        <v>1</v>
      </c>
      <c r="J89">
        <v>15.02</v>
      </c>
      <c r="K89">
        <f>I89*J89</f>
        <v>15.02</v>
      </c>
      <c r="L89">
        <v>40</v>
      </c>
      <c r="M89">
        <f>(1-(L89/100))*K89</f>
        <v>9.0119999999999987</v>
      </c>
      <c r="N89" s="90">
        <v>89</v>
      </c>
      <c r="O89" s="90" t="s">
        <v>1290</v>
      </c>
      <c r="P89" s="118"/>
      <c r="Q89" s="118"/>
      <c r="V89" s="93"/>
      <c r="W89" s="93"/>
    </row>
    <row r="90" spans="1:23" x14ac:dyDescent="0.25">
      <c r="A90" s="90" t="s">
        <v>1291</v>
      </c>
      <c r="B90" s="119">
        <v>6</v>
      </c>
      <c r="C90" s="90" t="s">
        <v>1287</v>
      </c>
      <c r="D90" s="90" t="s">
        <v>79</v>
      </c>
      <c r="E90">
        <v>171</v>
      </c>
      <c r="F90">
        <v>172</v>
      </c>
      <c r="G90" s="93" t="s">
        <v>78</v>
      </c>
      <c r="H90" t="s">
        <v>152</v>
      </c>
      <c r="I90">
        <v>1</v>
      </c>
      <c r="J90">
        <v>54.81</v>
      </c>
      <c r="K90">
        <f>I90*J90</f>
        <v>54.81</v>
      </c>
      <c r="L90">
        <v>40</v>
      </c>
      <c r="M90">
        <f>(1-(L90/100))*K90</f>
        <v>32.886000000000003</v>
      </c>
      <c r="N90" s="90">
        <v>90</v>
      </c>
      <c r="O90" s="90" t="s">
        <v>1292</v>
      </c>
      <c r="P90" s="118"/>
      <c r="Q90" s="118"/>
      <c r="V90" s="93"/>
      <c r="W90" s="93"/>
    </row>
    <row r="91" spans="1:23" x14ac:dyDescent="0.25">
      <c r="A91" s="90" t="s">
        <v>1293</v>
      </c>
      <c r="B91" s="119">
        <v>3</v>
      </c>
      <c r="C91" s="90" t="s">
        <v>1228</v>
      </c>
      <c r="D91" s="90" t="s">
        <v>79</v>
      </c>
      <c r="E91">
        <v>176</v>
      </c>
      <c r="F91">
        <v>229</v>
      </c>
      <c r="G91" s="93" t="s">
        <v>68</v>
      </c>
      <c r="H91" t="s">
        <v>605</v>
      </c>
      <c r="I91">
        <v>1</v>
      </c>
      <c r="J91">
        <f>SUM(K92,K94,K96,K106)</f>
        <v>24627.53419332</v>
      </c>
      <c r="K91">
        <f>I91*J91</f>
        <v>24627.53419332</v>
      </c>
      <c r="L91">
        <f>100*(1-(M91/K91))</f>
        <v>39.999999999999993</v>
      </c>
      <c r="M91">
        <f>I91*SUM(M92,M94,M96,M106)</f>
        <v>14776.520515992002</v>
      </c>
      <c r="N91" s="90">
        <v>91</v>
      </c>
      <c r="O91" s="90" t="s">
        <v>1294</v>
      </c>
      <c r="P91" s="118"/>
      <c r="Q91" s="118"/>
      <c r="R91" s="90" t="s">
        <v>6381</v>
      </c>
      <c r="S91" s="90" t="s">
        <v>6684</v>
      </c>
      <c r="T91" s="90" t="s">
        <v>6829</v>
      </c>
      <c r="U91" s="90" t="s">
        <v>6533</v>
      </c>
      <c r="V91" s="93"/>
      <c r="W91" s="93"/>
    </row>
    <row r="92" spans="1:23" x14ac:dyDescent="0.25">
      <c r="A92" s="90" t="s">
        <v>1295</v>
      </c>
      <c r="B92" s="119">
        <v>4</v>
      </c>
      <c r="C92" s="90" t="s">
        <v>1293</v>
      </c>
      <c r="D92" s="90" t="s">
        <v>78</v>
      </c>
      <c r="E92">
        <v>177</v>
      </c>
      <c r="F92">
        <v>180</v>
      </c>
      <c r="G92" s="93" t="s">
        <v>68</v>
      </c>
      <c r="H92" t="s">
        <v>449</v>
      </c>
      <c r="I92">
        <v>4</v>
      </c>
      <c r="J92">
        <f>SUM(K93)</f>
        <v>214.52947918000001</v>
      </c>
      <c r="K92">
        <f>I92*J92</f>
        <v>858.11791672000004</v>
      </c>
      <c r="L92">
        <f>100*(1-(M92/K92))</f>
        <v>40</v>
      </c>
      <c r="M92">
        <f>I92*SUM(M93)</f>
        <v>514.87075003200005</v>
      </c>
      <c r="N92" s="90">
        <v>92</v>
      </c>
      <c r="O92" s="90" t="s">
        <v>1296</v>
      </c>
      <c r="P92" s="118"/>
      <c r="Q92" s="118"/>
      <c r="R92" s="90" t="s">
        <v>4481</v>
      </c>
      <c r="S92" s="90" t="s">
        <v>5545</v>
      </c>
      <c r="T92" s="90" t="s">
        <v>6043</v>
      </c>
      <c r="U92" s="90" t="s">
        <v>5021</v>
      </c>
      <c r="V92" s="93"/>
      <c r="W92" s="93"/>
    </row>
    <row r="93" spans="1:23" x14ac:dyDescent="0.25">
      <c r="A93" s="90" t="s">
        <v>1297</v>
      </c>
      <c r="B93" s="119">
        <v>5</v>
      </c>
      <c r="C93" s="90" t="s">
        <v>1295</v>
      </c>
      <c r="D93" s="90" t="s">
        <v>78</v>
      </c>
      <c r="E93">
        <v>178</v>
      </c>
      <c r="F93">
        <v>179</v>
      </c>
      <c r="G93" s="93" t="s">
        <v>78</v>
      </c>
      <c r="H93" t="s">
        <v>194</v>
      </c>
      <c r="I93">
        <v>1</v>
      </c>
      <c r="J93">
        <v>214.52947918000001</v>
      </c>
      <c r="K93">
        <f>I93*J93</f>
        <v>214.52947918000001</v>
      </c>
      <c r="L93">
        <v>40</v>
      </c>
      <c r="M93">
        <f>(1-(L93/100))*K93</f>
        <v>128.71768750800001</v>
      </c>
      <c r="N93" s="90">
        <v>93</v>
      </c>
      <c r="O93" s="90" t="s">
        <v>1298</v>
      </c>
      <c r="P93" s="118"/>
      <c r="Q93" s="118"/>
      <c r="V93" s="93"/>
      <c r="W93" s="93"/>
    </row>
    <row r="94" spans="1:23" x14ac:dyDescent="0.25">
      <c r="A94" s="90" t="s">
        <v>1299</v>
      </c>
      <c r="B94" s="119">
        <v>4</v>
      </c>
      <c r="C94" s="90" t="s">
        <v>1293</v>
      </c>
      <c r="D94" s="90" t="s">
        <v>79</v>
      </c>
      <c r="E94">
        <v>181</v>
      </c>
      <c r="F94">
        <v>184</v>
      </c>
      <c r="G94" s="93" t="s">
        <v>68</v>
      </c>
      <c r="H94" t="s">
        <v>452</v>
      </c>
      <c r="I94">
        <v>12</v>
      </c>
      <c r="J94">
        <f>SUM(K95)</f>
        <v>214.52947918000001</v>
      </c>
      <c r="K94">
        <f>I94*J94</f>
        <v>2574.3537501600003</v>
      </c>
      <c r="L94">
        <f>100*(1-(M94/K94))</f>
        <v>40</v>
      </c>
      <c r="M94">
        <f>I94*SUM(M95)</f>
        <v>1544.612250096</v>
      </c>
      <c r="N94" s="90">
        <v>94</v>
      </c>
      <c r="O94" s="90" t="s">
        <v>1300</v>
      </c>
      <c r="P94" s="118"/>
      <c r="Q94" s="118"/>
      <c r="R94" s="90" t="s">
        <v>4482</v>
      </c>
      <c r="S94" s="90" t="s">
        <v>5546</v>
      </c>
      <c r="T94" s="90" t="s">
        <v>6044</v>
      </c>
      <c r="U94" s="90" t="s">
        <v>5022</v>
      </c>
      <c r="V94" s="93"/>
      <c r="W94" s="93"/>
    </row>
    <row r="95" spans="1:23" x14ac:dyDescent="0.25">
      <c r="A95" s="90" t="s">
        <v>1301</v>
      </c>
      <c r="B95" s="119">
        <v>5</v>
      </c>
      <c r="C95" s="90" t="s">
        <v>1299</v>
      </c>
      <c r="D95" s="90" t="s">
        <v>78</v>
      </c>
      <c r="E95">
        <v>182</v>
      </c>
      <c r="F95">
        <v>183</v>
      </c>
      <c r="G95" s="93" t="s">
        <v>78</v>
      </c>
      <c r="H95" t="s">
        <v>196</v>
      </c>
      <c r="I95">
        <v>1</v>
      </c>
      <c r="J95">
        <v>214.52947918000001</v>
      </c>
      <c r="K95">
        <f>I95*J95</f>
        <v>214.52947918000001</v>
      </c>
      <c r="L95">
        <v>40</v>
      </c>
      <c r="M95">
        <f>(1-(L95/100))*K95</f>
        <v>128.71768750800001</v>
      </c>
      <c r="N95" s="90">
        <v>95</v>
      </c>
      <c r="O95" s="90" t="s">
        <v>1302</v>
      </c>
      <c r="P95" s="118"/>
      <c r="Q95" s="118"/>
      <c r="V95" s="93"/>
      <c r="W95" s="93"/>
    </row>
    <row r="96" spans="1:23" x14ac:dyDescent="0.25">
      <c r="A96" s="90" t="s">
        <v>1303</v>
      </c>
      <c r="B96" s="119">
        <v>4</v>
      </c>
      <c r="C96" s="90" t="s">
        <v>1293</v>
      </c>
      <c r="D96" s="90" t="s">
        <v>80</v>
      </c>
      <c r="E96">
        <v>185</v>
      </c>
      <c r="F96">
        <v>204</v>
      </c>
      <c r="G96" s="93" t="s">
        <v>68</v>
      </c>
      <c r="H96" t="s">
        <v>610</v>
      </c>
      <c r="I96">
        <v>1</v>
      </c>
      <c r="J96">
        <f>SUM(K97,K98,K99,K100,K101,K102,K103,K104,K105)</f>
        <v>11176.71252644</v>
      </c>
      <c r="K96">
        <f>I96*J96</f>
        <v>11176.71252644</v>
      </c>
      <c r="L96">
        <f>100*(1-(M96/K96))</f>
        <v>39.999999999999993</v>
      </c>
      <c r="M96">
        <f>I96*SUM(M97,M98,M99,M100,M101,M102,M103,M104,M105)</f>
        <v>6706.0275158640015</v>
      </c>
      <c r="N96" s="90">
        <v>96</v>
      </c>
      <c r="O96" s="90" t="s">
        <v>1304</v>
      </c>
      <c r="P96" s="118"/>
      <c r="Q96" s="118"/>
      <c r="R96" s="90" t="s">
        <v>4483</v>
      </c>
      <c r="S96" s="90" t="s">
        <v>5547</v>
      </c>
      <c r="T96" s="90" t="s">
        <v>6045</v>
      </c>
      <c r="U96" s="90" t="s">
        <v>5023</v>
      </c>
      <c r="V96" s="93"/>
      <c r="W96" s="93"/>
    </row>
    <row r="97" spans="1:23" x14ac:dyDescent="0.25">
      <c r="A97" s="90" t="s">
        <v>1305</v>
      </c>
      <c r="B97" s="119">
        <v>5</v>
      </c>
      <c r="C97" s="90" t="s">
        <v>1303</v>
      </c>
      <c r="D97" s="90" t="s">
        <v>78</v>
      </c>
      <c r="E97">
        <v>186</v>
      </c>
      <c r="F97">
        <v>187</v>
      </c>
      <c r="G97" s="93" t="s">
        <v>78</v>
      </c>
      <c r="H97" t="s">
        <v>193</v>
      </c>
      <c r="I97">
        <v>1</v>
      </c>
      <c r="J97">
        <v>7211.7152680500003</v>
      </c>
      <c r="K97">
        <f>I97*J97</f>
        <v>7211.7152680500003</v>
      </c>
      <c r="L97">
        <v>40</v>
      </c>
      <c r="M97">
        <f>(1-(L97/100))*K97</f>
        <v>4327.0291608300004</v>
      </c>
      <c r="N97" s="90">
        <v>97</v>
      </c>
      <c r="O97" s="90" t="s">
        <v>1306</v>
      </c>
      <c r="P97" s="118"/>
      <c r="Q97" s="118"/>
      <c r="V97" s="93"/>
      <c r="W97" s="93"/>
    </row>
    <row r="98" spans="1:23" x14ac:dyDescent="0.25">
      <c r="A98" s="90" t="s">
        <v>1307</v>
      </c>
      <c r="B98" s="119">
        <v>5</v>
      </c>
      <c r="C98" s="90" t="s">
        <v>1303</v>
      </c>
      <c r="D98" s="90" t="s">
        <v>79</v>
      </c>
      <c r="E98">
        <v>188</v>
      </c>
      <c r="F98">
        <v>189</v>
      </c>
      <c r="G98" s="93" t="s">
        <v>78</v>
      </c>
      <c r="H98" t="s">
        <v>140</v>
      </c>
      <c r="I98">
        <v>1</v>
      </c>
      <c r="J98">
        <v>33.99</v>
      </c>
      <c r="K98">
        <f>I98*J98</f>
        <v>33.99</v>
      </c>
      <c r="L98">
        <v>40</v>
      </c>
      <c r="M98">
        <f>(1-(L98/100))*K98</f>
        <v>20.394000000000002</v>
      </c>
      <c r="N98" s="90">
        <v>98</v>
      </c>
      <c r="O98" s="90" t="s">
        <v>1308</v>
      </c>
      <c r="P98" s="118"/>
      <c r="Q98" s="118"/>
      <c r="V98" s="93"/>
      <c r="W98" s="93"/>
    </row>
    <row r="99" spans="1:23" x14ac:dyDescent="0.25">
      <c r="A99" s="90" t="s">
        <v>1309</v>
      </c>
      <c r="B99" s="119">
        <v>5</v>
      </c>
      <c r="C99" s="90" t="s">
        <v>1303</v>
      </c>
      <c r="D99" s="90" t="s">
        <v>80</v>
      </c>
      <c r="E99">
        <v>190</v>
      </c>
      <c r="F99">
        <v>191</v>
      </c>
      <c r="G99" s="93" t="s">
        <v>78</v>
      </c>
      <c r="H99" t="s">
        <v>458</v>
      </c>
      <c r="I99">
        <v>1</v>
      </c>
      <c r="J99">
        <v>537.64166561000002</v>
      </c>
      <c r="K99">
        <f>I99*J99</f>
        <v>537.64166561000002</v>
      </c>
      <c r="L99">
        <v>40</v>
      </c>
      <c r="M99">
        <f>(1-(L99/100))*K99</f>
        <v>322.58499936599998</v>
      </c>
      <c r="N99" s="90">
        <v>99</v>
      </c>
      <c r="O99" s="90" t="s">
        <v>1310</v>
      </c>
      <c r="P99" s="118"/>
      <c r="Q99" s="118"/>
      <c r="V99" s="93"/>
      <c r="W99" s="93"/>
    </row>
    <row r="100" spans="1:23" x14ac:dyDescent="0.25">
      <c r="A100" s="90" t="s">
        <v>1311</v>
      </c>
      <c r="B100" s="119">
        <v>5</v>
      </c>
      <c r="C100" s="90" t="s">
        <v>1303</v>
      </c>
      <c r="D100" s="90" t="s">
        <v>95</v>
      </c>
      <c r="E100">
        <v>192</v>
      </c>
      <c r="F100">
        <v>193</v>
      </c>
      <c r="G100" s="93" t="s">
        <v>78</v>
      </c>
      <c r="H100" t="s">
        <v>141</v>
      </c>
      <c r="I100">
        <v>1</v>
      </c>
      <c r="J100">
        <v>1625.87546161</v>
      </c>
      <c r="K100">
        <f>I100*J100</f>
        <v>1625.87546161</v>
      </c>
      <c r="L100">
        <v>40</v>
      </c>
      <c r="M100">
        <f>(1-(L100/100))*K100</f>
        <v>975.52527696599998</v>
      </c>
      <c r="N100" s="90">
        <v>100</v>
      </c>
      <c r="O100" s="90" t="s">
        <v>1312</v>
      </c>
      <c r="P100" s="118"/>
      <c r="Q100" s="118"/>
      <c r="V100" s="93"/>
      <c r="W100" s="93"/>
    </row>
    <row r="101" spans="1:23" x14ac:dyDescent="0.25">
      <c r="A101" s="90" t="s">
        <v>1313</v>
      </c>
      <c r="B101" s="119">
        <v>5</v>
      </c>
      <c r="C101" s="90" t="s">
        <v>1303</v>
      </c>
      <c r="D101" s="90" t="s">
        <v>96</v>
      </c>
      <c r="E101">
        <v>194</v>
      </c>
      <c r="F101">
        <v>195</v>
      </c>
      <c r="G101" s="93" t="s">
        <v>78</v>
      </c>
      <c r="H101" t="s">
        <v>189</v>
      </c>
      <c r="I101">
        <v>0</v>
      </c>
      <c r="J101">
        <v>10880.466063919999</v>
      </c>
      <c r="K101">
        <f>I101*J101</f>
        <v>0</v>
      </c>
      <c r="L101">
        <v>40</v>
      </c>
      <c r="M101">
        <f>(1-(L101/100))*K101</f>
        <v>0</v>
      </c>
      <c r="N101" s="90">
        <v>101</v>
      </c>
      <c r="O101" s="90" t="s">
        <v>1314</v>
      </c>
      <c r="P101" s="118"/>
      <c r="Q101" s="118"/>
      <c r="V101" s="93"/>
      <c r="W101" s="93"/>
    </row>
    <row r="102" spans="1:23" x14ac:dyDescent="0.25">
      <c r="A102" s="90" t="s">
        <v>1315</v>
      </c>
      <c r="B102" s="119">
        <v>5</v>
      </c>
      <c r="C102" s="90" t="s">
        <v>1303</v>
      </c>
      <c r="D102" s="90" t="s">
        <v>103</v>
      </c>
      <c r="E102">
        <v>196</v>
      </c>
      <c r="F102">
        <v>197</v>
      </c>
      <c r="G102" s="93" t="s">
        <v>78</v>
      </c>
      <c r="H102" t="s">
        <v>194</v>
      </c>
      <c r="I102">
        <v>0</v>
      </c>
      <c r="J102">
        <v>214.52947918000001</v>
      </c>
      <c r="K102">
        <f>I102*J102</f>
        <v>0</v>
      </c>
      <c r="L102">
        <v>40</v>
      </c>
      <c r="M102">
        <f>(1-(L102/100))*K102</f>
        <v>0</v>
      </c>
      <c r="N102" s="90">
        <v>102</v>
      </c>
      <c r="O102" s="90" t="s">
        <v>1316</v>
      </c>
      <c r="P102" s="118"/>
      <c r="Q102" s="118"/>
      <c r="V102" s="93"/>
      <c r="W102" s="93"/>
    </row>
    <row r="103" spans="1:23" x14ac:dyDescent="0.25">
      <c r="A103" s="90" t="s">
        <v>1317</v>
      </c>
      <c r="B103" s="119">
        <v>5</v>
      </c>
      <c r="C103" s="90" t="s">
        <v>1303</v>
      </c>
      <c r="D103" s="90" t="s">
        <v>796</v>
      </c>
      <c r="E103">
        <v>198</v>
      </c>
      <c r="F103">
        <v>199</v>
      </c>
      <c r="G103" s="93" t="s">
        <v>78</v>
      </c>
      <c r="H103" t="s">
        <v>196</v>
      </c>
      <c r="I103">
        <v>0</v>
      </c>
      <c r="J103">
        <v>214.52947918000001</v>
      </c>
      <c r="K103">
        <f>I103*J103</f>
        <v>0</v>
      </c>
      <c r="L103">
        <v>40</v>
      </c>
      <c r="M103">
        <f>(1-(L103/100))*K103</f>
        <v>0</v>
      </c>
      <c r="N103" s="90">
        <v>103</v>
      </c>
      <c r="O103" s="90" t="s">
        <v>1318</v>
      </c>
      <c r="P103" s="118"/>
      <c r="Q103" s="118"/>
      <c r="V103" s="93"/>
      <c r="W103" s="93"/>
    </row>
    <row r="104" spans="1:23" x14ac:dyDescent="0.25">
      <c r="A104" s="90" t="s">
        <v>1319</v>
      </c>
      <c r="B104" s="119">
        <v>5</v>
      </c>
      <c r="C104" s="90" t="s">
        <v>1303</v>
      </c>
      <c r="D104" s="90" t="s">
        <v>797</v>
      </c>
      <c r="E104">
        <v>200</v>
      </c>
      <c r="F104">
        <v>201</v>
      </c>
      <c r="G104" s="93" t="s">
        <v>78</v>
      </c>
      <c r="H104" t="s">
        <v>187</v>
      </c>
      <c r="I104">
        <v>3</v>
      </c>
      <c r="J104">
        <v>256.72991214000001</v>
      </c>
      <c r="K104">
        <f>I104*J104</f>
        <v>770.18973642000003</v>
      </c>
      <c r="L104">
        <v>40</v>
      </c>
      <c r="M104">
        <f>(1-(L104/100))*K104</f>
        <v>462.11384185200001</v>
      </c>
      <c r="N104" s="90">
        <v>104</v>
      </c>
      <c r="O104" s="90" t="s">
        <v>1320</v>
      </c>
      <c r="P104" s="118"/>
      <c r="Q104" s="118"/>
      <c r="V104" s="93"/>
      <c r="W104" s="93"/>
    </row>
    <row r="105" spans="1:23" x14ac:dyDescent="0.25">
      <c r="A105" s="90" t="s">
        <v>1321</v>
      </c>
      <c r="B105" s="119">
        <v>5</v>
      </c>
      <c r="C105" s="90" t="s">
        <v>1303</v>
      </c>
      <c r="D105" s="90" t="s">
        <v>798</v>
      </c>
      <c r="E105">
        <v>202</v>
      </c>
      <c r="F105">
        <v>203</v>
      </c>
      <c r="G105" s="93" t="s">
        <v>78</v>
      </c>
      <c r="H105" t="s">
        <v>468</v>
      </c>
      <c r="I105">
        <v>1</v>
      </c>
      <c r="J105">
        <v>997.30039475000001</v>
      </c>
      <c r="K105">
        <f>I105*J105</f>
        <v>997.30039475000001</v>
      </c>
      <c r="L105">
        <v>40</v>
      </c>
      <c r="M105">
        <f>(1-(L105/100))*K105</f>
        <v>598.38023684999996</v>
      </c>
      <c r="N105" s="90">
        <v>105</v>
      </c>
      <c r="O105" s="90" t="s">
        <v>1322</v>
      </c>
      <c r="P105" s="118"/>
      <c r="Q105" s="118"/>
      <c r="V105" s="93"/>
      <c r="W105" s="93"/>
    </row>
    <row r="106" spans="1:23" x14ac:dyDescent="0.25">
      <c r="A106" s="90" t="s">
        <v>1323</v>
      </c>
      <c r="B106" s="119">
        <v>4</v>
      </c>
      <c r="C106" s="90" t="s">
        <v>1293</v>
      </c>
      <c r="D106" s="90" t="s">
        <v>95</v>
      </c>
      <c r="E106">
        <v>205</v>
      </c>
      <c r="F106">
        <v>228</v>
      </c>
      <c r="G106" s="93" t="s">
        <v>68</v>
      </c>
      <c r="H106" t="s">
        <v>146</v>
      </c>
      <c r="I106">
        <v>1</v>
      </c>
      <c r="J106">
        <f>SUM(K107)</f>
        <v>10018.349999999999</v>
      </c>
      <c r="K106">
        <f>I106*J106</f>
        <v>10018.349999999999</v>
      </c>
      <c r="L106">
        <f>100*(1-(M106/K106))</f>
        <v>39.999999999999993</v>
      </c>
      <c r="M106">
        <f>I106*SUM(M107)</f>
        <v>6011.01</v>
      </c>
      <c r="N106" s="90">
        <v>106</v>
      </c>
      <c r="O106" s="90" t="s">
        <v>1324</v>
      </c>
      <c r="P106" s="118"/>
      <c r="Q106" s="118"/>
      <c r="R106" s="90" t="s">
        <v>6382</v>
      </c>
      <c r="S106" s="90" t="s">
        <v>6685</v>
      </c>
      <c r="T106" s="90" t="s">
        <v>6830</v>
      </c>
      <c r="U106" s="90" t="s">
        <v>6534</v>
      </c>
      <c r="V106" s="93"/>
      <c r="W106" s="93"/>
    </row>
    <row r="107" spans="1:23" x14ac:dyDescent="0.25">
      <c r="A107" s="90" t="s">
        <v>1325</v>
      </c>
      <c r="B107" s="119">
        <v>5</v>
      </c>
      <c r="C107" s="90" t="s">
        <v>1323</v>
      </c>
      <c r="D107" s="90" t="s">
        <v>78</v>
      </c>
      <c r="E107">
        <v>206</v>
      </c>
      <c r="F107">
        <v>227</v>
      </c>
      <c r="G107" s="93" t="s">
        <v>68</v>
      </c>
      <c r="H107" t="s">
        <v>147</v>
      </c>
      <c r="I107">
        <v>1</v>
      </c>
      <c r="J107">
        <f>SUM(K108,K109,K110,K111,K112,K113,K114,K115,K116,K117)</f>
        <v>10018.349999999999</v>
      </c>
      <c r="K107">
        <f>I107*J107</f>
        <v>10018.349999999999</v>
      </c>
      <c r="L107">
        <f>100*(1-(M107/K107))</f>
        <v>39.999999999999993</v>
      </c>
      <c r="M107">
        <f>I107*SUM(M108,M109,M110,M111,M112,M113,M114,M115,M116,M117)</f>
        <v>6011.01</v>
      </c>
      <c r="N107" s="90">
        <v>107</v>
      </c>
      <c r="O107" s="90" t="s">
        <v>1326</v>
      </c>
      <c r="P107" s="118"/>
      <c r="Q107" s="118"/>
      <c r="R107" s="90" t="s">
        <v>4484</v>
      </c>
      <c r="S107" s="90" t="s">
        <v>5548</v>
      </c>
      <c r="T107" s="90" t="s">
        <v>6046</v>
      </c>
      <c r="U107" s="90" t="s">
        <v>5024</v>
      </c>
      <c r="V107" s="93"/>
      <c r="W107" s="93"/>
    </row>
    <row r="108" spans="1:23" x14ac:dyDescent="0.25">
      <c r="A108" s="90" t="s">
        <v>1327</v>
      </c>
      <c r="B108" s="119">
        <v>6</v>
      </c>
      <c r="C108" s="90" t="s">
        <v>1325</v>
      </c>
      <c r="D108" s="90" t="s">
        <v>78</v>
      </c>
      <c r="E108">
        <v>207</v>
      </c>
      <c r="F108">
        <v>208</v>
      </c>
      <c r="G108" s="93" t="s">
        <v>78</v>
      </c>
      <c r="H108" t="s">
        <v>148</v>
      </c>
      <c r="I108">
        <v>1</v>
      </c>
      <c r="J108">
        <v>213.07</v>
      </c>
      <c r="K108">
        <f>I108*J108</f>
        <v>213.07</v>
      </c>
      <c r="L108">
        <v>40</v>
      </c>
      <c r="M108">
        <f>(1-(L108/100))*K108</f>
        <v>127.84199999999998</v>
      </c>
      <c r="N108" s="90">
        <v>108</v>
      </c>
      <c r="O108" s="90" t="s">
        <v>1328</v>
      </c>
      <c r="P108" s="118"/>
      <c r="Q108" s="118"/>
      <c r="V108" s="93"/>
      <c r="W108" s="93"/>
    </row>
    <row r="109" spans="1:23" x14ac:dyDescent="0.25">
      <c r="A109" s="90" t="s">
        <v>1329</v>
      </c>
      <c r="B109" s="119">
        <v>6</v>
      </c>
      <c r="C109" s="90" t="s">
        <v>1325</v>
      </c>
      <c r="D109" s="90" t="s">
        <v>79</v>
      </c>
      <c r="E109">
        <v>209</v>
      </c>
      <c r="F109">
        <v>210</v>
      </c>
      <c r="G109" s="93" t="s">
        <v>78</v>
      </c>
      <c r="H109" t="s">
        <v>149</v>
      </c>
      <c r="I109">
        <v>6</v>
      </c>
      <c r="J109">
        <v>15.02</v>
      </c>
      <c r="K109">
        <f>I109*J109</f>
        <v>90.12</v>
      </c>
      <c r="L109">
        <v>40</v>
      </c>
      <c r="M109">
        <f>(1-(L109/100))*K109</f>
        <v>54.072000000000003</v>
      </c>
      <c r="N109" s="90">
        <v>109</v>
      </c>
      <c r="O109" s="90" t="s">
        <v>1330</v>
      </c>
      <c r="P109" s="118"/>
      <c r="Q109" s="118"/>
      <c r="V109" s="93"/>
      <c r="W109" s="93"/>
    </row>
    <row r="110" spans="1:23" x14ac:dyDescent="0.25">
      <c r="A110" s="90" t="s">
        <v>1331</v>
      </c>
      <c r="B110" s="119">
        <v>6</v>
      </c>
      <c r="C110" s="90" t="s">
        <v>1325</v>
      </c>
      <c r="D110" s="90" t="s">
        <v>80</v>
      </c>
      <c r="E110">
        <v>211</v>
      </c>
      <c r="F110">
        <v>212</v>
      </c>
      <c r="G110" s="93" t="s">
        <v>78</v>
      </c>
      <c r="H110" t="s">
        <v>134</v>
      </c>
      <c r="I110">
        <v>1</v>
      </c>
      <c r="J110">
        <v>91.39</v>
      </c>
      <c r="K110">
        <f>I110*J110</f>
        <v>91.39</v>
      </c>
      <c r="L110">
        <v>40</v>
      </c>
      <c r="M110">
        <f>(1-(L110/100))*K110</f>
        <v>54.833999999999996</v>
      </c>
      <c r="N110" s="90">
        <v>110</v>
      </c>
      <c r="O110" s="90" t="s">
        <v>1332</v>
      </c>
      <c r="P110" s="118"/>
      <c r="Q110" s="118"/>
      <c r="V110" s="93"/>
      <c r="W110" s="93"/>
    </row>
    <row r="111" spans="1:23" x14ac:dyDescent="0.25">
      <c r="A111" s="90" t="s">
        <v>1333</v>
      </c>
      <c r="B111" s="119">
        <v>6</v>
      </c>
      <c r="C111" s="90" t="s">
        <v>1325</v>
      </c>
      <c r="D111" s="90" t="s">
        <v>95</v>
      </c>
      <c r="E111">
        <v>213</v>
      </c>
      <c r="F111">
        <v>214</v>
      </c>
      <c r="G111" s="93" t="s">
        <v>78</v>
      </c>
      <c r="H111" t="s">
        <v>150</v>
      </c>
      <c r="I111">
        <v>1</v>
      </c>
      <c r="J111">
        <v>11.44</v>
      </c>
      <c r="K111">
        <f>I111*J111</f>
        <v>11.44</v>
      </c>
      <c r="L111">
        <v>40</v>
      </c>
      <c r="M111">
        <f>(1-(L111/100))*K111</f>
        <v>6.8639999999999999</v>
      </c>
      <c r="N111" s="90">
        <v>111</v>
      </c>
      <c r="O111" s="90" t="s">
        <v>1334</v>
      </c>
      <c r="P111" s="118"/>
      <c r="Q111" s="118"/>
      <c r="V111" s="93"/>
      <c r="W111" s="93"/>
    </row>
    <row r="112" spans="1:23" x14ac:dyDescent="0.25">
      <c r="A112" s="90" t="s">
        <v>1335</v>
      </c>
      <c r="B112" s="119">
        <v>6</v>
      </c>
      <c r="C112" s="90" t="s">
        <v>1325</v>
      </c>
      <c r="D112" s="90" t="s">
        <v>96</v>
      </c>
      <c r="E112">
        <v>215</v>
      </c>
      <c r="F112">
        <v>216</v>
      </c>
      <c r="G112" s="93" t="s">
        <v>78</v>
      </c>
      <c r="H112" t="s">
        <v>151</v>
      </c>
      <c r="I112">
        <v>1</v>
      </c>
      <c r="J112">
        <v>27.03</v>
      </c>
      <c r="K112">
        <f>I112*J112</f>
        <v>27.03</v>
      </c>
      <c r="L112">
        <v>40</v>
      </c>
      <c r="M112">
        <f>(1-(L112/100))*K112</f>
        <v>16.218</v>
      </c>
      <c r="N112" s="90">
        <v>112</v>
      </c>
      <c r="O112" s="90" t="s">
        <v>1336</v>
      </c>
      <c r="P112" s="118"/>
      <c r="Q112" s="118"/>
      <c r="V112" s="93"/>
      <c r="W112" s="93"/>
    </row>
    <row r="113" spans="1:23" x14ac:dyDescent="0.25">
      <c r="A113" s="90" t="s">
        <v>1337</v>
      </c>
      <c r="B113" s="119">
        <v>6</v>
      </c>
      <c r="C113" s="90" t="s">
        <v>1325</v>
      </c>
      <c r="D113" s="90" t="s">
        <v>103</v>
      </c>
      <c r="E113">
        <v>217</v>
      </c>
      <c r="F113">
        <v>218</v>
      </c>
      <c r="G113" s="93" t="s">
        <v>78</v>
      </c>
      <c r="H113" t="s">
        <v>152</v>
      </c>
      <c r="I113">
        <v>4</v>
      </c>
      <c r="J113">
        <v>54.81</v>
      </c>
      <c r="K113">
        <f>I113*J113</f>
        <v>219.24</v>
      </c>
      <c r="L113">
        <v>40</v>
      </c>
      <c r="M113">
        <f>(1-(L113/100))*K113</f>
        <v>131.54400000000001</v>
      </c>
      <c r="N113" s="90">
        <v>113</v>
      </c>
      <c r="O113" s="90" t="s">
        <v>1338</v>
      </c>
      <c r="P113" s="118"/>
      <c r="Q113" s="118"/>
      <c r="V113" s="93"/>
      <c r="W113" s="93"/>
    </row>
    <row r="114" spans="1:23" x14ac:dyDescent="0.25">
      <c r="A114" s="90" t="s">
        <v>1339</v>
      </c>
      <c r="B114" s="119">
        <v>6</v>
      </c>
      <c r="C114" s="90" t="s">
        <v>1325</v>
      </c>
      <c r="D114" s="90" t="s">
        <v>796</v>
      </c>
      <c r="E114">
        <v>219</v>
      </c>
      <c r="F114">
        <v>220</v>
      </c>
      <c r="G114" s="93" t="s">
        <v>78</v>
      </c>
      <c r="H114" t="s">
        <v>153</v>
      </c>
      <c r="I114">
        <v>1</v>
      </c>
      <c r="J114">
        <v>9009.01</v>
      </c>
      <c r="K114">
        <f>I114*J114</f>
        <v>9009.01</v>
      </c>
      <c r="L114">
        <v>40</v>
      </c>
      <c r="M114">
        <f>(1-(L114/100))*K114</f>
        <v>5405.4059999999999</v>
      </c>
      <c r="N114" s="90">
        <v>114</v>
      </c>
      <c r="O114" s="90" t="s">
        <v>1340</v>
      </c>
      <c r="P114" s="118"/>
      <c r="Q114" s="118"/>
      <c r="V114" s="93"/>
      <c r="W114" s="93"/>
    </row>
    <row r="115" spans="1:23" x14ac:dyDescent="0.25">
      <c r="A115" s="90" t="s">
        <v>1341</v>
      </c>
      <c r="B115" s="119">
        <v>6</v>
      </c>
      <c r="C115" s="90" t="s">
        <v>1325</v>
      </c>
      <c r="D115" s="90" t="s">
        <v>797</v>
      </c>
      <c r="E115">
        <v>221</v>
      </c>
      <c r="F115">
        <v>222</v>
      </c>
      <c r="G115" s="93" t="s">
        <v>78</v>
      </c>
      <c r="H115" t="s">
        <v>154</v>
      </c>
      <c r="I115">
        <v>1</v>
      </c>
      <c r="J115">
        <v>90.09</v>
      </c>
      <c r="K115">
        <f>I115*J115</f>
        <v>90.09</v>
      </c>
      <c r="L115">
        <v>40</v>
      </c>
      <c r="M115">
        <f>(1-(L115/100))*K115</f>
        <v>54.054000000000002</v>
      </c>
      <c r="N115" s="90">
        <v>115</v>
      </c>
      <c r="O115" s="90" t="s">
        <v>1342</v>
      </c>
      <c r="P115" s="118"/>
      <c r="Q115" s="118"/>
      <c r="V115" s="93"/>
      <c r="W115" s="93"/>
    </row>
    <row r="116" spans="1:23" x14ac:dyDescent="0.25">
      <c r="A116" s="90" t="s">
        <v>1343</v>
      </c>
      <c r="B116" s="119">
        <v>6</v>
      </c>
      <c r="C116" s="90" t="s">
        <v>1325</v>
      </c>
      <c r="D116" s="90" t="s">
        <v>798</v>
      </c>
      <c r="E116">
        <v>223</v>
      </c>
      <c r="F116">
        <v>224</v>
      </c>
      <c r="G116" s="93" t="s">
        <v>78</v>
      </c>
      <c r="H116" t="s">
        <v>113</v>
      </c>
      <c r="I116">
        <v>1</v>
      </c>
      <c r="J116">
        <v>121.31</v>
      </c>
      <c r="K116">
        <f>I116*J116</f>
        <v>121.31</v>
      </c>
      <c r="L116">
        <v>40</v>
      </c>
      <c r="M116">
        <f>(1-(L116/100))*K116</f>
        <v>72.786000000000001</v>
      </c>
      <c r="N116" s="90">
        <v>116</v>
      </c>
      <c r="O116" s="90" t="s">
        <v>1344</v>
      </c>
      <c r="P116" s="118"/>
      <c r="Q116" s="118"/>
      <c r="V116" s="93"/>
      <c r="W116" s="93"/>
    </row>
    <row r="117" spans="1:23" x14ac:dyDescent="0.25">
      <c r="A117" s="90" t="s">
        <v>1345</v>
      </c>
      <c r="B117" s="119">
        <v>6</v>
      </c>
      <c r="C117" s="90" t="s">
        <v>1325</v>
      </c>
      <c r="D117" s="90" t="s">
        <v>799</v>
      </c>
      <c r="E117">
        <v>225</v>
      </c>
      <c r="F117">
        <v>226</v>
      </c>
      <c r="G117" s="93" t="s">
        <v>78</v>
      </c>
      <c r="H117" t="s">
        <v>155</v>
      </c>
      <c r="I117">
        <v>1</v>
      </c>
      <c r="J117">
        <v>145.65</v>
      </c>
      <c r="K117">
        <f>I117*J117</f>
        <v>145.65</v>
      </c>
      <c r="L117">
        <v>40</v>
      </c>
      <c r="M117">
        <f>(1-(L117/100))*K117</f>
        <v>87.39</v>
      </c>
      <c r="N117" s="90">
        <v>117</v>
      </c>
      <c r="O117" s="90" t="s">
        <v>1346</v>
      </c>
      <c r="P117" s="118"/>
      <c r="Q117" s="118"/>
      <c r="V117" s="93"/>
      <c r="W117" s="93"/>
    </row>
    <row r="118" spans="1:23" x14ac:dyDescent="0.25">
      <c r="A118" s="90" t="s">
        <v>1347</v>
      </c>
      <c r="B118" s="119">
        <v>3</v>
      </c>
      <c r="C118" s="90" t="s">
        <v>1228</v>
      </c>
      <c r="D118" s="90" t="s">
        <v>80</v>
      </c>
      <c r="E118">
        <v>230</v>
      </c>
      <c r="F118">
        <v>235</v>
      </c>
      <c r="G118" s="93" t="s">
        <v>68</v>
      </c>
      <c r="H118" t="s">
        <v>407</v>
      </c>
      <c r="I118">
        <v>1</v>
      </c>
      <c r="J118">
        <f>SUM(K119)</f>
        <v>333.63045970000002</v>
      </c>
      <c r="K118">
        <f>I118*J118</f>
        <v>333.63045970000002</v>
      </c>
      <c r="L118">
        <f>100*(1-(M118/K118))</f>
        <v>76</v>
      </c>
      <c r="M118">
        <f>I118*SUM(M119)</f>
        <v>80.071310327999996</v>
      </c>
      <c r="N118" s="90">
        <v>118</v>
      </c>
      <c r="O118" s="90" t="s">
        <v>1348</v>
      </c>
      <c r="P118" s="118"/>
      <c r="Q118" s="118"/>
      <c r="R118" s="90" t="s">
        <v>6383</v>
      </c>
      <c r="S118" s="90" t="s">
        <v>6686</v>
      </c>
      <c r="T118" s="90" t="s">
        <v>6831</v>
      </c>
      <c r="U118" s="90" t="s">
        <v>6535</v>
      </c>
      <c r="V118" s="93"/>
      <c r="W118" s="93"/>
    </row>
    <row r="119" spans="1:23" x14ac:dyDescent="0.25">
      <c r="A119" s="90" t="s">
        <v>1349</v>
      </c>
      <c r="B119" s="119">
        <v>4</v>
      </c>
      <c r="C119" s="90" t="s">
        <v>1347</v>
      </c>
      <c r="D119" s="90" t="s">
        <v>78</v>
      </c>
      <c r="E119">
        <v>231</v>
      </c>
      <c r="F119">
        <v>234</v>
      </c>
      <c r="G119" s="93" t="s">
        <v>68</v>
      </c>
      <c r="H119" t="s">
        <v>399</v>
      </c>
      <c r="I119">
        <v>1</v>
      </c>
      <c r="J119">
        <f>SUM(K120)</f>
        <v>333.63045970000002</v>
      </c>
      <c r="K119">
        <f>I119*J119</f>
        <v>333.63045970000002</v>
      </c>
      <c r="L119">
        <f>100*(1-(M119/K119))</f>
        <v>76</v>
      </c>
      <c r="M119">
        <f>I119*SUM(M120)</f>
        <v>80.071310327999996</v>
      </c>
      <c r="N119" s="90">
        <v>119</v>
      </c>
      <c r="O119" s="90" t="s">
        <v>1350</v>
      </c>
      <c r="P119" s="118"/>
      <c r="Q119" s="118"/>
      <c r="R119" s="90" t="s">
        <v>4485</v>
      </c>
      <c r="S119" s="90" t="s">
        <v>5549</v>
      </c>
      <c r="T119" s="90" t="s">
        <v>6047</v>
      </c>
      <c r="U119" s="90" t="s">
        <v>5025</v>
      </c>
      <c r="V119" s="93"/>
      <c r="W119" s="93"/>
    </row>
    <row r="120" spans="1:23" x14ac:dyDescent="0.25">
      <c r="A120" s="90" t="s">
        <v>1351</v>
      </c>
      <c r="B120" s="119">
        <v>5</v>
      </c>
      <c r="C120" s="90" t="s">
        <v>1349</v>
      </c>
      <c r="D120" s="90" t="s">
        <v>78</v>
      </c>
      <c r="E120">
        <v>232</v>
      </c>
      <c r="F120">
        <v>233</v>
      </c>
      <c r="G120" s="93" t="s">
        <v>78</v>
      </c>
      <c r="H120" t="s">
        <v>401</v>
      </c>
      <c r="I120">
        <v>1</v>
      </c>
      <c r="J120">
        <v>333.63045970000002</v>
      </c>
      <c r="K120">
        <f>I120*J120</f>
        <v>333.63045970000002</v>
      </c>
      <c r="L120">
        <v>76</v>
      </c>
      <c r="M120">
        <f>(1-(L120/100))*K120</f>
        <v>80.071310327999996</v>
      </c>
      <c r="N120" s="90">
        <v>120</v>
      </c>
      <c r="O120" s="90" t="s">
        <v>1352</v>
      </c>
      <c r="P120" s="118"/>
      <c r="Q120" s="118"/>
      <c r="V120" s="93"/>
      <c r="W120" s="93"/>
    </row>
    <row r="121" spans="1:23" x14ac:dyDescent="0.25">
      <c r="A121" s="90" t="s">
        <v>1353</v>
      </c>
      <c r="B121" s="119">
        <v>3</v>
      </c>
      <c r="C121" s="90" t="s">
        <v>1228</v>
      </c>
      <c r="D121" s="90" t="s">
        <v>95</v>
      </c>
      <c r="E121">
        <v>236</v>
      </c>
      <c r="F121">
        <v>241</v>
      </c>
      <c r="G121" s="93" t="s">
        <v>68</v>
      </c>
      <c r="H121" t="s">
        <v>421</v>
      </c>
      <c r="I121">
        <v>1</v>
      </c>
      <c r="J121">
        <f>SUM(K122)</f>
        <v>1749.64981536</v>
      </c>
      <c r="K121">
        <f>I121*J121</f>
        <v>1749.64981536</v>
      </c>
      <c r="L121">
        <f>100*(1-(M121/K121))</f>
        <v>88</v>
      </c>
      <c r="M121">
        <f>I121*SUM(M122)</f>
        <v>209.95797784319998</v>
      </c>
      <c r="N121" s="90">
        <v>121</v>
      </c>
      <c r="O121" s="90" t="s">
        <v>1354</v>
      </c>
      <c r="P121" s="118"/>
      <c r="Q121" s="118"/>
      <c r="R121" s="90" t="s">
        <v>6384</v>
      </c>
      <c r="S121" s="90" t="s">
        <v>6687</v>
      </c>
      <c r="T121" s="90" t="s">
        <v>6832</v>
      </c>
      <c r="U121" s="90" t="s">
        <v>6536</v>
      </c>
      <c r="V121" s="93"/>
      <c r="W121" s="93"/>
    </row>
    <row r="122" spans="1:23" x14ac:dyDescent="0.25">
      <c r="A122" s="90" t="s">
        <v>1355</v>
      </c>
      <c r="B122" s="119">
        <v>4</v>
      </c>
      <c r="C122" s="90" t="s">
        <v>1353</v>
      </c>
      <c r="D122" s="90" t="s">
        <v>78</v>
      </c>
      <c r="E122">
        <v>237</v>
      </c>
      <c r="F122">
        <v>240</v>
      </c>
      <c r="G122" s="93" t="s">
        <v>68</v>
      </c>
      <c r="H122" t="s">
        <v>422</v>
      </c>
      <c r="I122">
        <v>1</v>
      </c>
      <c r="J122">
        <f>SUM(K123)</f>
        <v>1749.64981536</v>
      </c>
      <c r="K122">
        <f>I122*J122</f>
        <v>1749.64981536</v>
      </c>
      <c r="L122">
        <f>100*(1-(M122/K122))</f>
        <v>88</v>
      </c>
      <c r="M122">
        <f>I122*SUM(M123)</f>
        <v>209.95797784319998</v>
      </c>
      <c r="N122" s="90">
        <v>122</v>
      </c>
      <c r="O122" s="90" t="s">
        <v>1356</v>
      </c>
      <c r="P122" s="118"/>
      <c r="Q122" s="118"/>
      <c r="R122" s="90" t="s">
        <v>4486</v>
      </c>
      <c r="S122" s="90" t="s">
        <v>5550</v>
      </c>
      <c r="T122" s="90" t="s">
        <v>6048</v>
      </c>
      <c r="U122" s="90" t="s">
        <v>5026</v>
      </c>
      <c r="V122" s="93"/>
      <c r="W122" s="93"/>
    </row>
    <row r="123" spans="1:23" x14ac:dyDescent="0.25">
      <c r="A123" s="90" t="s">
        <v>1357</v>
      </c>
      <c r="B123" s="119">
        <v>5</v>
      </c>
      <c r="C123" s="90" t="s">
        <v>1355</v>
      </c>
      <c r="D123" s="90" t="s">
        <v>78</v>
      </c>
      <c r="E123">
        <v>238</v>
      </c>
      <c r="F123">
        <v>239</v>
      </c>
      <c r="G123" s="93" t="s">
        <v>78</v>
      </c>
      <c r="H123" t="s">
        <v>424</v>
      </c>
      <c r="I123">
        <v>1</v>
      </c>
      <c r="J123">
        <v>1749.64981536</v>
      </c>
      <c r="K123">
        <f>I123*J123</f>
        <v>1749.64981536</v>
      </c>
      <c r="L123">
        <v>88</v>
      </c>
      <c r="M123">
        <f>(1-(L123/100))*K123</f>
        <v>209.95797784319998</v>
      </c>
      <c r="N123" s="90">
        <v>123</v>
      </c>
      <c r="O123" s="90" t="s">
        <v>1358</v>
      </c>
      <c r="P123" s="118"/>
      <c r="Q123" s="118"/>
      <c r="V123" s="93"/>
      <c r="W123" s="93"/>
    </row>
    <row r="124" spans="1:23" x14ac:dyDescent="0.25">
      <c r="A124" s="90" t="s">
        <v>1359</v>
      </c>
      <c r="B124" s="119">
        <v>3</v>
      </c>
      <c r="C124" s="90" t="s">
        <v>1228</v>
      </c>
      <c r="D124" s="90" t="s">
        <v>96</v>
      </c>
      <c r="E124">
        <v>242</v>
      </c>
      <c r="F124">
        <v>265</v>
      </c>
      <c r="G124" s="93" t="s">
        <v>68</v>
      </c>
      <c r="H124" t="s">
        <v>334</v>
      </c>
      <c r="I124">
        <v>1</v>
      </c>
      <c r="J124">
        <f>SUM(K125,K127)</f>
        <v>15392.468692239996</v>
      </c>
      <c r="K124">
        <f>I124*J124</f>
        <v>15392.468692239996</v>
      </c>
      <c r="L124">
        <f>100*(1-(M124/K124))</f>
        <v>39.999999999999993</v>
      </c>
      <c r="M124">
        <f>I124*SUM(M125,M127)</f>
        <v>9235.4812153439998</v>
      </c>
      <c r="N124" s="90">
        <v>124</v>
      </c>
      <c r="O124" s="90" t="s">
        <v>1360</v>
      </c>
      <c r="P124" s="118"/>
      <c r="Q124" s="118"/>
      <c r="R124" s="90" t="s">
        <v>6385</v>
      </c>
      <c r="S124" s="90" t="s">
        <v>6688</v>
      </c>
      <c r="T124" s="90" t="s">
        <v>6833</v>
      </c>
      <c r="U124" s="90" t="s">
        <v>6537</v>
      </c>
      <c r="V124" s="93"/>
      <c r="W124" s="93"/>
    </row>
    <row r="125" spans="1:23" x14ac:dyDescent="0.25">
      <c r="A125" s="90" t="s">
        <v>1361</v>
      </c>
      <c r="B125" s="119">
        <v>4</v>
      </c>
      <c r="C125" s="90" t="s">
        <v>1359</v>
      </c>
      <c r="D125" s="90" t="s">
        <v>78</v>
      </c>
      <c r="E125">
        <v>243</v>
      </c>
      <c r="F125">
        <v>246</v>
      </c>
      <c r="G125" s="93" t="s">
        <v>68</v>
      </c>
      <c r="H125" t="s">
        <v>186</v>
      </c>
      <c r="I125">
        <v>3</v>
      </c>
      <c r="J125">
        <f>SUM(K126)</f>
        <v>256.72991214000001</v>
      </c>
      <c r="K125">
        <f>I125*J125</f>
        <v>770.18973642000003</v>
      </c>
      <c r="L125">
        <f>100*(1-(M125/K125))</f>
        <v>39.999999999999993</v>
      </c>
      <c r="M125">
        <f>I125*SUM(M126)</f>
        <v>462.11384185200006</v>
      </c>
      <c r="N125" s="90">
        <v>125</v>
      </c>
      <c r="O125" s="90" t="s">
        <v>1362</v>
      </c>
      <c r="P125" s="118"/>
      <c r="Q125" s="118"/>
      <c r="R125" s="90" t="s">
        <v>4487</v>
      </c>
      <c r="S125" s="90" t="s">
        <v>5551</v>
      </c>
      <c r="T125" s="90" t="s">
        <v>6049</v>
      </c>
      <c r="U125" s="90" t="s">
        <v>5027</v>
      </c>
      <c r="V125" s="93"/>
      <c r="W125" s="93"/>
    </row>
    <row r="126" spans="1:23" x14ac:dyDescent="0.25">
      <c r="A126" s="90" t="s">
        <v>1363</v>
      </c>
      <c r="B126" s="119">
        <v>5</v>
      </c>
      <c r="C126" s="90" t="s">
        <v>1361</v>
      </c>
      <c r="D126" s="90" t="s">
        <v>78</v>
      </c>
      <c r="E126">
        <v>244</v>
      </c>
      <c r="F126">
        <v>245</v>
      </c>
      <c r="G126" s="93" t="s">
        <v>78</v>
      </c>
      <c r="H126" t="s">
        <v>187</v>
      </c>
      <c r="I126">
        <v>1</v>
      </c>
      <c r="J126">
        <v>256.72991214000001</v>
      </c>
      <c r="K126">
        <f>I126*J126</f>
        <v>256.72991214000001</v>
      </c>
      <c r="L126">
        <v>40</v>
      </c>
      <c r="M126">
        <f>(1-(L126/100))*K126</f>
        <v>154.03794728400001</v>
      </c>
      <c r="N126" s="90">
        <v>126</v>
      </c>
      <c r="O126" s="90" t="s">
        <v>1364</v>
      </c>
      <c r="P126" s="118"/>
      <c r="Q126" s="118"/>
      <c r="V126" s="93"/>
      <c r="W126" s="93"/>
    </row>
    <row r="127" spans="1:23" x14ac:dyDescent="0.25">
      <c r="A127" s="90" t="s">
        <v>1365</v>
      </c>
      <c r="B127" s="119">
        <v>4</v>
      </c>
      <c r="C127" s="90" t="s">
        <v>1359</v>
      </c>
      <c r="D127" s="90" t="s">
        <v>79</v>
      </c>
      <c r="E127">
        <v>247</v>
      </c>
      <c r="F127">
        <v>264</v>
      </c>
      <c r="G127" s="93" t="s">
        <v>68</v>
      </c>
      <c r="H127" t="s">
        <v>337</v>
      </c>
      <c r="I127">
        <v>1</v>
      </c>
      <c r="J127">
        <f>SUM(K128,K129,K130,K131,K132,K133,K134,K135)</f>
        <v>14622.278955819997</v>
      </c>
      <c r="K127">
        <f>I127*J127</f>
        <v>14622.278955819997</v>
      </c>
      <c r="L127">
        <f>100*(1-(M127/K127))</f>
        <v>39.999999999999993</v>
      </c>
      <c r="M127">
        <f>I127*SUM(M128,M129,M130,M131,M132,M133,M134,M135)</f>
        <v>8773.3673734919994</v>
      </c>
      <c r="N127" s="90">
        <v>127</v>
      </c>
      <c r="O127" s="90" t="s">
        <v>1366</v>
      </c>
      <c r="P127" s="118"/>
      <c r="Q127" s="118"/>
      <c r="R127" s="90" t="s">
        <v>4488</v>
      </c>
      <c r="S127" s="90" t="s">
        <v>5552</v>
      </c>
      <c r="T127" s="90" t="s">
        <v>6050</v>
      </c>
      <c r="U127" s="90" t="s">
        <v>5028</v>
      </c>
      <c r="V127" s="93"/>
      <c r="W127" s="93"/>
    </row>
    <row r="128" spans="1:23" x14ac:dyDescent="0.25">
      <c r="A128" s="90" t="s">
        <v>1367</v>
      </c>
      <c r="B128" s="119">
        <v>5</v>
      </c>
      <c r="C128" s="90" t="s">
        <v>1365</v>
      </c>
      <c r="D128" s="90" t="s">
        <v>78</v>
      </c>
      <c r="E128">
        <v>248</v>
      </c>
      <c r="F128">
        <v>249</v>
      </c>
      <c r="G128" s="93" t="s">
        <v>78</v>
      </c>
      <c r="H128" t="s">
        <v>189</v>
      </c>
      <c r="I128">
        <v>1</v>
      </c>
      <c r="J128">
        <v>10880.466063919999</v>
      </c>
      <c r="K128">
        <f>I128*J128</f>
        <v>10880.466063919999</v>
      </c>
      <c r="L128">
        <v>40</v>
      </c>
      <c r="M128">
        <f>(1-(L128/100))*K128</f>
        <v>6528.279638351999</v>
      </c>
      <c r="N128" s="90">
        <v>128</v>
      </c>
      <c r="O128" s="90" t="s">
        <v>1368</v>
      </c>
      <c r="P128" s="118"/>
      <c r="Q128" s="118"/>
      <c r="V128" s="93"/>
      <c r="W128" s="93"/>
    </row>
    <row r="129" spans="1:23" x14ac:dyDescent="0.25">
      <c r="A129" s="90" t="s">
        <v>1369</v>
      </c>
      <c r="B129" s="119">
        <v>5</v>
      </c>
      <c r="C129" s="90" t="s">
        <v>1365</v>
      </c>
      <c r="D129" s="90" t="s">
        <v>79</v>
      </c>
      <c r="E129">
        <v>250</v>
      </c>
      <c r="F129">
        <v>251</v>
      </c>
      <c r="G129" s="93" t="s">
        <v>78</v>
      </c>
      <c r="H129" t="s">
        <v>140</v>
      </c>
      <c r="I129">
        <v>1</v>
      </c>
      <c r="J129">
        <v>33.99</v>
      </c>
      <c r="K129">
        <f>I129*J129</f>
        <v>33.99</v>
      </c>
      <c r="L129">
        <v>40</v>
      </c>
      <c r="M129">
        <f>(1-(L129/100))*K129</f>
        <v>20.394000000000002</v>
      </c>
      <c r="N129" s="90">
        <v>129</v>
      </c>
      <c r="O129" s="90" t="s">
        <v>1370</v>
      </c>
      <c r="P129" s="118"/>
      <c r="Q129" s="118"/>
      <c r="V129" s="93"/>
      <c r="W129" s="93"/>
    </row>
    <row r="130" spans="1:23" x14ac:dyDescent="0.25">
      <c r="A130" s="90" t="s">
        <v>1371</v>
      </c>
      <c r="B130" s="119">
        <v>5</v>
      </c>
      <c r="C130" s="90" t="s">
        <v>1365</v>
      </c>
      <c r="D130" s="90" t="s">
        <v>80</v>
      </c>
      <c r="E130">
        <v>252</v>
      </c>
      <c r="F130">
        <v>253</v>
      </c>
      <c r="G130" s="93" t="s">
        <v>78</v>
      </c>
      <c r="H130" t="s">
        <v>141</v>
      </c>
      <c r="I130">
        <v>1</v>
      </c>
      <c r="J130">
        <v>1625.87546161</v>
      </c>
      <c r="K130">
        <f>I130*J130</f>
        <v>1625.87546161</v>
      </c>
      <c r="L130">
        <v>40</v>
      </c>
      <c r="M130">
        <f>(1-(L130/100))*K130</f>
        <v>975.52527696599998</v>
      </c>
      <c r="N130" s="90">
        <v>130</v>
      </c>
      <c r="O130" s="90" t="s">
        <v>1372</v>
      </c>
      <c r="P130" s="118"/>
      <c r="Q130" s="118"/>
      <c r="V130" s="93"/>
      <c r="W130" s="93"/>
    </row>
    <row r="131" spans="1:23" x14ac:dyDescent="0.25">
      <c r="A131" s="90" t="s">
        <v>1373</v>
      </c>
      <c r="B131" s="119">
        <v>5</v>
      </c>
      <c r="C131" s="90" t="s">
        <v>1365</v>
      </c>
      <c r="D131" s="90" t="s">
        <v>95</v>
      </c>
      <c r="E131">
        <v>254</v>
      </c>
      <c r="F131">
        <v>255</v>
      </c>
      <c r="G131" s="93" t="s">
        <v>78</v>
      </c>
      <c r="H131" t="s">
        <v>191</v>
      </c>
      <c r="I131">
        <v>1</v>
      </c>
      <c r="J131">
        <v>862.86769387000004</v>
      </c>
      <c r="K131">
        <f>I131*J131</f>
        <v>862.86769387000004</v>
      </c>
      <c r="L131">
        <v>40</v>
      </c>
      <c r="M131">
        <f>(1-(L131/100))*K131</f>
        <v>517.72061632199996</v>
      </c>
      <c r="N131" s="90">
        <v>131</v>
      </c>
      <c r="O131" s="90" t="s">
        <v>1374</v>
      </c>
      <c r="P131" s="118"/>
      <c r="Q131" s="118"/>
      <c r="V131" s="93"/>
      <c r="W131" s="93"/>
    </row>
    <row r="132" spans="1:23" x14ac:dyDescent="0.25">
      <c r="A132" s="90" t="s">
        <v>1375</v>
      </c>
      <c r="B132" s="119">
        <v>5</v>
      </c>
      <c r="C132" s="90" t="s">
        <v>1365</v>
      </c>
      <c r="D132" s="90" t="s">
        <v>96</v>
      </c>
      <c r="E132">
        <v>256</v>
      </c>
      <c r="F132">
        <v>257</v>
      </c>
      <c r="G132" s="93" t="s">
        <v>78</v>
      </c>
      <c r="H132" t="s">
        <v>301</v>
      </c>
      <c r="I132">
        <v>1</v>
      </c>
      <c r="J132">
        <v>448.89</v>
      </c>
      <c r="K132">
        <f>I132*J132</f>
        <v>448.89</v>
      </c>
      <c r="L132">
        <v>40</v>
      </c>
      <c r="M132">
        <f>(1-(L132/100))*K132</f>
        <v>269.334</v>
      </c>
      <c r="N132" s="90">
        <v>132</v>
      </c>
      <c r="O132" s="90" t="s">
        <v>1376</v>
      </c>
      <c r="P132" s="118"/>
      <c r="Q132" s="118"/>
      <c r="V132" s="93"/>
      <c r="W132" s="93"/>
    </row>
    <row r="133" spans="1:23" x14ac:dyDescent="0.25">
      <c r="A133" s="90" t="s">
        <v>1377</v>
      </c>
      <c r="B133" s="119">
        <v>5</v>
      </c>
      <c r="C133" s="90" t="s">
        <v>1365</v>
      </c>
      <c r="D133" s="90" t="s">
        <v>103</v>
      </c>
      <c r="E133">
        <v>258</v>
      </c>
      <c r="F133">
        <v>259</v>
      </c>
      <c r="G133" s="93" t="s">
        <v>78</v>
      </c>
      <c r="H133" t="s">
        <v>194</v>
      </c>
      <c r="I133">
        <v>0</v>
      </c>
      <c r="J133">
        <v>214.52947918000001</v>
      </c>
      <c r="K133">
        <f>I133*J133</f>
        <v>0</v>
      </c>
      <c r="L133">
        <v>40</v>
      </c>
      <c r="M133">
        <f>(1-(L133/100))*K133</f>
        <v>0</v>
      </c>
      <c r="N133" s="90">
        <v>133</v>
      </c>
      <c r="O133" s="90" t="s">
        <v>1378</v>
      </c>
      <c r="P133" s="118"/>
      <c r="Q133" s="118"/>
      <c r="V133" s="93"/>
      <c r="W133" s="93"/>
    </row>
    <row r="134" spans="1:23" x14ac:dyDescent="0.25">
      <c r="A134" s="90" t="s">
        <v>1379</v>
      </c>
      <c r="B134" s="119">
        <v>5</v>
      </c>
      <c r="C134" s="90" t="s">
        <v>1365</v>
      </c>
      <c r="D134" s="90" t="s">
        <v>796</v>
      </c>
      <c r="E134">
        <v>260</v>
      </c>
      <c r="F134">
        <v>261</v>
      </c>
      <c r="G134" s="93" t="s">
        <v>78</v>
      </c>
      <c r="H134" t="s">
        <v>196</v>
      </c>
      <c r="I134">
        <v>0</v>
      </c>
      <c r="J134">
        <v>214.52947918000001</v>
      </c>
      <c r="K134">
        <f>I134*J134</f>
        <v>0</v>
      </c>
      <c r="L134">
        <v>40</v>
      </c>
      <c r="M134">
        <f>(1-(L134/100))*K134</f>
        <v>0</v>
      </c>
      <c r="N134" s="90">
        <v>134</v>
      </c>
      <c r="O134" s="90" t="s">
        <v>1380</v>
      </c>
      <c r="P134" s="118"/>
      <c r="Q134" s="118"/>
      <c r="V134" s="93"/>
      <c r="W134" s="93"/>
    </row>
    <row r="135" spans="1:23" x14ac:dyDescent="0.25">
      <c r="A135" s="90" t="s">
        <v>1381</v>
      </c>
      <c r="B135" s="119">
        <v>5</v>
      </c>
      <c r="C135" s="90" t="s">
        <v>1365</v>
      </c>
      <c r="D135" s="90" t="s">
        <v>797</v>
      </c>
      <c r="E135">
        <v>262</v>
      </c>
      <c r="F135">
        <v>263</v>
      </c>
      <c r="G135" s="93" t="s">
        <v>78</v>
      </c>
      <c r="H135" t="s">
        <v>187</v>
      </c>
      <c r="I135">
        <v>3</v>
      </c>
      <c r="J135">
        <v>256.72991214000001</v>
      </c>
      <c r="K135">
        <f>I135*J135</f>
        <v>770.18973642000003</v>
      </c>
      <c r="L135">
        <v>40</v>
      </c>
      <c r="M135">
        <f>(1-(L135/100))*K135</f>
        <v>462.11384185200001</v>
      </c>
      <c r="N135" s="90">
        <v>135</v>
      </c>
      <c r="O135" s="90" t="s">
        <v>1382</v>
      </c>
      <c r="P135" s="118"/>
      <c r="Q135" s="118"/>
      <c r="V135" s="93"/>
      <c r="W135" s="93"/>
    </row>
    <row r="136" spans="1:23" x14ac:dyDescent="0.25">
      <c r="A136" s="90" t="s">
        <v>1383</v>
      </c>
      <c r="B136" s="119">
        <v>3</v>
      </c>
      <c r="C136" s="90" t="s">
        <v>1228</v>
      </c>
      <c r="D136" s="90" t="s">
        <v>103</v>
      </c>
      <c r="E136">
        <v>266</v>
      </c>
      <c r="F136">
        <v>271</v>
      </c>
      <c r="G136" s="93" t="s">
        <v>68</v>
      </c>
      <c r="H136" t="s">
        <v>1384</v>
      </c>
      <c r="I136">
        <v>1</v>
      </c>
      <c r="J136">
        <f>SUM(K137)</f>
        <v>2153.15</v>
      </c>
      <c r="K136">
        <f>I136*J136</f>
        <v>2153.15</v>
      </c>
      <c r="L136">
        <f>100*(1-(M136/K136))</f>
        <v>40</v>
      </c>
      <c r="M136">
        <f>I136*SUM(M137)</f>
        <v>1291.8900000000001</v>
      </c>
      <c r="N136" s="90">
        <v>136</v>
      </c>
      <c r="O136" s="90" t="s">
        <v>1385</v>
      </c>
      <c r="P136" s="118"/>
      <c r="Q136" s="118"/>
      <c r="R136" s="90" t="s">
        <v>6386</v>
      </c>
      <c r="S136" s="90" t="s">
        <v>6689</v>
      </c>
      <c r="T136" s="90" t="s">
        <v>6834</v>
      </c>
      <c r="U136" s="90" t="s">
        <v>6538</v>
      </c>
      <c r="V136" s="93"/>
      <c r="W136" s="93"/>
    </row>
    <row r="137" spans="1:23" x14ac:dyDescent="0.25">
      <c r="A137" s="90" t="s">
        <v>1386</v>
      </c>
      <c r="B137" s="119">
        <v>4</v>
      </c>
      <c r="C137" s="90" t="s">
        <v>1383</v>
      </c>
      <c r="D137" s="90" t="s">
        <v>78</v>
      </c>
      <c r="E137">
        <v>267</v>
      </c>
      <c r="F137">
        <v>270</v>
      </c>
      <c r="G137" s="93" t="s">
        <v>68</v>
      </c>
      <c r="H137" t="s">
        <v>118</v>
      </c>
      <c r="I137">
        <v>1</v>
      </c>
      <c r="J137">
        <f>SUM(K138)</f>
        <v>2153.15</v>
      </c>
      <c r="K137">
        <f>I137*J137</f>
        <v>2153.15</v>
      </c>
      <c r="L137">
        <f>100*(1-(M137/K137))</f>
        <v>40</v>
      </c>
      <c r="M137">
        <f>I137*SUM(M138)</f>
        <v>1291.8900000000001</v>
      </c>
      <c r="N137" s="90">
        <v>137</v>
      </c>
      <c r="O137" s="90" t="s">
        <v>1387</v>
      </c>
      <c r="P137" s="118"/>
      <c r="Q137" s="118"/>
      <c r="R137" s="90" t="s">
        <v>4489</v>
      </c>
      <c r="S137" s="90" t="s">
        <v>5553</v>
      </c>
      <c r="T137" s="90" t="s">
        <v>6051</v>
      </c>
      <c r="U137" s="90" t="s">
        <v>5029</v>
      </c>
      <c r="V137" s="93"/>
      <c r="W137" s="93"/>
    </row>
    <row r="138" spans="1:23" x14ac:dyDescent="0.25">
      <c r="A138" s="90" t="s">
        <v>1388</v>
      </c>
      <c r="B138" s="119">
        <v>5</v>
      </c>
      <c r="C138" s="90" t="s">
        <v>1386</v>
      </c>
      <c r="D138" s="90" t="s">
        <v>78</v>
      </c>
      <c r="E138">
        <v>268</v>
      </c>
      <c r="F138">
        <v>269</v>
      </c>
      <c r="G138" s="93" t="s">
        <v>78</v>
      </c>
      <c r="H138" t="s">
        <v>117</v>
      </c>
      <c r="I138">
        <v>1</v>
      </c>
      <c r="J138">
        <v>2153.15</v>
      </c>
      <c r="K138">
        <f>I138*J138</f>
        <v>2153.15</v>
      </c>
      <c r="L138">
        <v>40</v>
      </c>
      <c r="M138">
        <f>(1-(L138/100))*K138</f>
        <v>1291.8900000000001</v>
      </c>
      <c r="N138" s="90">
        <v>138</v>
      </c>
      <c r="O138" s="90" t="s">
        <v>1389</v>
      </c>
      <c r="P138" s="118"/>
      <c r="Q138" s="118"/>
      <c r="V138" s="93"/>
      <c r="W138" s="93"/>
    </row>
    <row r="139" spans="1:23" x14ac:dyDescent="0.25">
      <c r="A139" s="90" t="s">
        <v>1390</v>
      </c>
      <c r="B139" s="119">
        <v>3</v>
      </c>
      <c r="C139" s="90" t="s">
        <v>1228</v>
      </c>
      <c r="D139" s="90" t="s">
        <v>796</v>
      </c>
      <c r="E139">
        <v>272</v>
      </c>
      <c r="F139">
        <v>293</v>
      </c>
      <c r="G139" s="93" t="s">
        <v>68</v>
      </c>
      <c r="H139" t="s">
        <v>1391</v>
      </c>
      <c r="I139">
        <v>1</v>
      </c>
      <c r="J139">
        <f>SUM(K140)</f>
        <v>8864.2969081800002</v>
      </c>
      <c r="K139">
        <f>I139*J139</f>
        <v>8864.2969081800002</v>
      </c>
      <c r="L139">
        <f>100*(1-(M139/K139))</f>
        <v>39.999999999999993</v>
      </c>
      <c r="M139">
        <f>I139*SUM(M140)</f>
        <v>5318.5781449080005</v>
      </c>
      <c r="N139" s="90">
        <v>139</v>
      </c>
      <c r="O139" s="90" t="s">
        <v>1392</v>
      </c>
      <c r="P139" s="118"/>
      <c r="Q139" s="118"/>
      <c r="R139" s="90" t="s">
        <v>6940</v>
      </c>
      <c r="S139" s="90" t="s">
        <v>7037</v>
      </c>
      <c r="T139" s="90" t="s">
        <v>7083</v>
      </c>
      <c r="U139" s="90" t="s">
        <v>6989</v>
      </c>
      <c r="V139" s="93"/>
      <c r="W139" s="93"/>
    </row>
    <row r="140" spans="1:23" x14ac:dyDescent="0.25">
      <c r="A140" s="90" t="s">
        <v>1393</v>
      </c>
      <c r="B140" s="119">
        <v>4</v>
      </c>
      <c r="C140" s="90" t="s">
        <v>1390</v>
      </c>
      <c r="D140" s="90" t="s">
        <v>78</v>
      </c>
      <c r="E140">
        <v>273</v>
      </c>
      <c r="F140">
        <v>292</v>
      </c>
      <c r="G140" s="93" t="s">
        <v>68</v>
      </c>
      <c r="H140" t="s">
        <v>1394</v>
      </c>
      <c r="I140">
        <v>1</v>
      </c>
      <c r="J140">
        <f>SUM(K141,K146)</f>
        <v>8864.2969081800002</v>
      </c>
      <c r="K140">
        <f>I140*J140</f>
        <v>8864.2969081800002</v>
      </c>
      <c r="L140">
        <f>100*(1-(M140/K140))</f>
        <v>39.999999999999993</v>
      </c>
      <c r="M140">
        <f>I140*SUM(M141,M146)</f>
        <v>5318.5781449080005</v>
      </c>
      <c r="N140" s="90">
        <v>140</v>
      </c>
      <c r="O140" s="90" t="s">
        <v>1395</v>
      </c>
      <c r="P140" s="118"/>
      <c r="Q140" s="118"/>
      <c r="R140" s="90" t="s">
        <v>6387</v>
      </c>
      <c r="S140" s="90" t="s">
        <v>6690</v>
      </c>
      <c r="T140" s="90" t="s">
        <v>6835</v>
      </c>
      <c r="U140" s="90" t="s">
        <v>6539</v>
      </c>
      <c r="V140" s="93"/>
      <c r="W140" s="93"/>
    </row>
    <row r="141" spans="1:23" x14ac:dyDescent="0.25">
      <c r="A141" s="90" t="s">
        <v>1396</v>
      </c>
      <c r="B141" s="119">
        <v>5</v>
      </c>
      <c r="C141" s="90" t="s">
        <v>1393</v>
      </c>
      <c r="D141" s="90" t="s">
        <v>78</v>
      </c>
      <c r="E141">
        <v>274</v>
      </c>
      <c r="F141">
        <v>283</v>
      </c>
      <c r="G141" s="93" t="s">
        <v>68</v>
      </c>
      <c r="H141" t="s">
        <v>1397</v>
      </c>
      <c r="I141">
        <v>1</v>
      </c>
      <c r="J141">
        <f>SUM(K142,K143,K144,K145)</f>
        <v>8719.9796256099999</v>
      </c>
      <c r="K141">
        <f>I141*J141</f>
        <v>8719.9796256099999</v>
      </c>
      <c r="L141">
        <f>100*(1-(M141/K141))</f>
        <v>39.999999999999993</v>
      </c>
      <c r="M141">
        <f>I141*SUM(M142,M143,M144,M145)</f>
        <v>5231.9877753660003</v>
      </c>
      <c r="N141" s="90">
        <v>141</v>
      </c>
      <c r="O141" s="90" t="s">
        <v>1398</v>
      </c>
      <c r="P141" s="118"/>
      <c r="Q141" s="118"/>
      <c r="R141" s="90" t="s">
        <v>4490</v>
      </c>
      <c r="S141" s="90" t="s">
        <v>5554</v>
      </c>
      <c r="T141" s="90" t="s">
        <v>6052</v>
      </c>
      <c r="U141" s="90" t="s">
        <v>5030</v>
      </c>
      <c r="V141" s="93"/>
      <c r="W141" s="93"/>
    </row>
    <row r="142" spans="1:23" x14ac:dyDescent="0.25">
      <c r="A142" s="90" t="s">
        <v>1399</v>
      </c>
      <c r="B142" s="119">
        <v>6</v>
      </c>
      <c r="C142" s="90" t="s">
        <v>1396</v>
      </c>
      <c r="D142" s="90" t="s">
        <v>78</v>
      </c>
      <c r="E142">
        <v>275</v>
      </c>
      <c r="F142">
        <v>276</v>
      </c>
      <c r="G142" s="93" t="s">
        <v>78</v>
      </c>
      <c r="H142" t="s">
        <v>120</v>
      </c>
      <c r="I142">
        <v>1</v>
      </c>
      <c r="J142">
        <v>967.93582071000003</v>
      </c>
      <c r="K142">
        <f>I142*J142</f>
        <v>967.93582071000003</v>
      </c>
      <c r="L142">
        <v>40</v>
      </c>
      <c r="M142">
        <f>(1-(L142/100))*K142</f>
        <v>580.76149242600002</v>
      </c>
      <c r="N142" s="90">
        <v>142</v>
      </c>
      <c r="O142" s="90" t="s">
        <v>1400</v>
      </c>
      <c r="P142" s="118"/>
      <c r="Q142" s="118"/>
      <c r="V142" s="93"/>
      <c r="W142" s="93"/>
    </row>
    <row r="143" spans="1:23" x14ac:dyDescent="0.25">
      <c r="A143" s="90" t="s">
        <v>1401</v>
      </c>
      <c r="B143" s="119">
        <v>6</v>
      </c>
      <c r="C143" s="90" t="s">
        <v>1396</v>
      </c>
      <c r="D143" s="90" t="s">
        <v>79</v>
      </c>
      <c r="E143">
        <v>277</v>
      </c>
      <c r="F143">
        <v>278</v>
      </c>
      <c r="G143" s="93" t="s">
        <v>78</v>
      </c>
      <c r="H143" t="s">
        <v>125</v>
      </c>
      <c r="I143">
        <v>1</v>
      </c>
      <c r="J143">
        <v>967.93582071000003</v>
      </c>
      <c r="K143">
        <f>I143*J143</f>
        <v>967.93582071000003</v>
      </c>
      <c r="L143">
        <v>40</v>
      </c>
      <c r="M143">
        <f>(1-(L143/100))*K143</f>
        <v>580.76149242600002</v>
      </c>
      <c r="N143" s="90">
        <v>143</v>
      </c>
      <c r="O143" s="90" t="s">
        <v>1402</v>
      </c>
      <c r="P143" s="118"/>
      <c r="Q143" s="118"/>
      <c r="V143" s="93"/>
      <c r="W143" s="93"/>
    </row>
    <row r="144" spans="1:23" x14ac:dyDescent="0.25">
      <c r="A144" s="90" t="s">
        <v>1403</v>
      </c>
      <c r="B144" s="119">
        <v>6</v>
      </c>
      <c r="C144" s="90" t="s">
        <v>1396</v>
      </c>
      <c r="D144" s="90" t="s">
        <v>80</v>
      </c>
      <c r="E144">
        <v>279</v>
      </c>
      <c r="F144">
        <v>280</v>
      </c>
      <c r="G144" s="93" t="s">
        <v>78</v>
      </c>
      <c r="H144" t="s">
        <v>191</v>
      </c>
      <c r="I144">
        <v>3</v>
      </c>
      <c r="J144">
        <v>862.86769387000004</v>
      </c>
      <c r="K144">
        <f>I144*J144</f>
        <v>2588.6030816100001</v>
      </c>
      <c r="L144">
        <v>40</v>
      </c>
      <c r="M144">
        <f>(1-(L144/100))*K144</f>
        <v>1553.161848966</v>
      </c>
      <c r="N144" s="90">
        <v>144</v>
      </c>
      <c r="O144" s="90" t="s">
        <v>1404</v>
      </c>
      <c r="P144" s="118"/>
      <c r="Q144" s="118"/>
      <c r="V144" s="93"/>
      <c r="W144" s="93"/>
    </row>
    <row r="145" spans="1:23" x14ac:dyDescent="0.25">
      <c r="A145" s="90" t="s">
        <v>1405</v>
      </c>
      <c r="B145" s="119">
        <v>6</v>
      </c>
      <c r="C145" s="90" t="s">
        <v>1396</v>
      </c>
      <c r="D145" s="90" t="s">
        <v>95</v>
      </c>
      <c r="E145">
        <v>281</v>
      </c>
      <c r="F145">
        <v>282</v>
      </c>
      <c r="G145" s="93" t="s">
        <v>78</v>
      </c>
      <c r="H145" t="s">
        <v>299</v>
      </c>
      <c r="I145">
        <v>1</v>
      </c>
      <c r="J145">
        <v>4195.5049025799999</v>
      </c>
      <c r="K145">
        <f>I145*J145</f>
        <v>4195.5049025799999</v>
      </c>
      <c r="L145">
        <v>40</v>
      </c>
      <c r="M145">
        <f>(1-(L145/100))*K145</f>
        <v>2517.302941548</v>
      </c>
      <c r="N145" s="90">
        <v>145</v>
      </c>
      <c r="O145" s="90" t="s">
        <v>1406</v>
      </c>
      <c r="P145" s="118"/>
      <c r="Q145" s="118"/>
      <c r="V145" s="93"/>
      <c r="W145" s="93"/>
    </row>
    <row r="146" spans="1:23" x14ac:dyDescent="0.25">
      <c r="A146" s="90" t="s">
        <v>1407</v>
      </c>
      <c r="B146" s="119">
        <v>5</v>
      </c>
      <c r="C146" s="90" t="s">
        <v>1393</v>
      </c>
      <c r="D146" s="90" t="s">
        <v>79</v>
      </c>
      <c r="E146">
        <v>284</v>
      </c>
      <c r="F146">
        <v>291</v>
      </c>
      <c r="G146" s="93" t="s">
        <v>68</v>
      </c>
      <c r="H146" t="s">
        <v>142</v>
      </c>
      <c r="I146">
        <v>1</v>
      </c>
      <c r="J146">
        <f>SUM(K147,K148,K149)</f>
        <v>144.31728257</v>
      </c>
      <c r="K146">
        <f>I146*J146</f>
        <v>144.31728257</v>
      </c>
      <c r="L146">
        <f>100*(1-(M146/K146))</f>
        <v>40.000000000000014</v>
      </c>
      <c r="M146">
        <f>I146*SUM(M147,M148,M149)</f>
        <v>86.590369541999991</v>
      </c>
      <c r="N146" s="90">
        <v>146</v>
      </c>
      <c r="O146" s="90" t="s">
        <v>1408</v>
      </c>
      <c r="P146" s="118"/>
      <c r="Q146" s="118"/>
      <c r="R146" s="90" t="s">
        <v>4491</v>
      </c>
      <c r="S146" s="90" t="s">
        <v>5555</v>
      </c>
      <c r="T146" s="90" t="s">
        <v>6053</v>
      </c>
      <c r="U146" s="90" t="s">
        <v>5031</v>
      </c>
      <c r="V146" s="93"/>
      <c r="W146" s="93"/>
    </row>
    <row r="147" spans="1:23" x14ac:dyDescent="0.25">
      <c r="A147" s="90" t="s">
        <v>1409</v>
      </c>
      <c r="B147" s="119">
        <v>6</v>
      </c>
      <c r="C147" s="90" t="s">
        <v>1407</v>
      </c>
      <c r="D147" s="90" t="s">
        <v>78</v>
      </c>
      <c r="E147">
        <v>285</v>
      </c>
      <c r="F147">
        <v>286</v>
      </c>
      <c r="G147" s="93" t="s">
        <v>78</v>
      </c>
      <c r="H147" t="s">
        <v>144</v>
      </c>
      <c r="I147">
        <v>1</v>
      </c>
      <c r="J147">
        <v>32.777282569999997</v>
      </c>
      <c r="K147">
        <f>I147*J147</f>
        <v>32.777282569999997</v>
      </c>
      <c r="L147">
        <v>40</v>
      </c>
      <c r="M147">
        <f>(1-(L147/100))*K147</f>
        <v>19.666369541999998</v>
      </c>
      <c r="N147" s="90">
        <v>147</v>
      </c>
      <c r="O147" s="90" t="s">
        <v>1410</v>
      </c>
      <c r="P147" s="118"/>
      <c r="Q147" s="118"/>
      <c r="V147" s="93"/>
      <c r="W147" s="93"/>
    </row>
    <row r="148" spans="1:23" x14ac:dyDescent="0.25">
      <c r="A148" s="90" t="s">
        <v>1411</v>
      </c>
      <c r="B148" s="119">
        <v>6</v>
      </c>
      <c r="C148" s="90" t="s">
        <v>1407</v>
      </c>
      <c r="D148" s="90" t="s">
        <v>79</v>
      </c>
      <c r="E148">
        <v>287</v>
      </c>
      <c r="F148">
        <v>288</v>
      </c>
      <c r="G148" s="93" t="s">
        <v>78</v>
      </c>
      <c r="H148" t="s">
        <v>145</v>
      </c>
      <c r="I148">
        <v>2</v>
      </c>
      <c r="J148">
        <v>28.6</v>
      </c>
      <c r="K148">
        <f>I148*J148</f>
        <v>57.2</v>
      </c>
      <c r="L148">
        <v>40</v>
      </c>
      <c r="M148">
        <f>(1-(L148/100))*K148</f>
        <v>34.32</v>
      </c>
      <c r="N148" s="90">
        <v>148</v>
      </c>
      <c r="O148" s="90" t="s">
        <v>1412</v>
      </c>
      <c r="P148" s="118"/>
      <c r="Q148" s="118"/>
      <c r="V148" s="93"/>
      <c r="W148" s="93"/>
    </row>
    <row r="149" spans="1:23" x14ac:dyDescent="0.25">
      <c r="A149" s="90" t="s">
        <v>1413</v>
      </c>
      <c r="B149" s="119">
        <v>6</v>
      </c>
      <c r="C149" s="90" t="s">
        <v>1407</v>
      </c>
      <c r="D149" s="90" t="s">
        <v>80</v>
      </c>
      <c r="E149">
        <v>289</v>
      </c>
      <c r="F149">
        <v>290</v>
      </c>
      <c r="G149" s="93" t="s">
        <v>78</v>
      </c>
      <c r="H149" t="s">
        <v>143</v>
      </c>
      <c r="I149">
        <v>2</v>
      </c>
      <c r="J149">
        <v>27.17</v>
      </c>
      <c r="K149">
        <f>I149*J149</f>
        <v>54.34</v>
      </c>
      <c r="L149">
        <v>40</v>
      </c>
      <c r="M149">
        <f>(1-(L149/100))*K149</f>
        <v>32.603999999999999</v>
      </c>
      <c r="N149" s="90">
        <v>149</v>
      </c>
      <c r="O149" s="90" t="s">
        <v>1414</v>
      </c>
      <c r="P149" s="118"/>
      <c r="Q149" s="118"/>
      <c r="V149" s="93"/>
      <c r="W149" s="93"/>
    </row>
    <row r="150" spans="1:23" x14ac:dyDescent="0.25">
      <c r="A150" s="90" t="s">
        <v>1415</v>
      </c>
      <c r="B150" s="119">
        <v>3</v>
      </c>
      <c r="C150" s="90" t="s">
        <v>1228</v>
      </c>
      <c r="D150" s="90" t="s">
        <v>797</v>
      </c>
      <c r="E150">
        <v>294</v>
      </c>
      <c r="F150">
        <v>313</v>
      </c>
      <c r="G150" s="93" t="s">
        <v>68</v>
      </c>
      <c r="H150" t="s">
        <v>1416</v>
      </c>
      <c r="I150">
        <v>1</v>
      </c>
      <c r="J150">
        <f>SUM(K151,K154,K156,K158)</f>
        <v>12677.74146186</v>
      </c>
      <c r="K150">
        <f>I150*J150</f>
        <v>12677.74146186</v>
      </c>
      <c r="L150">
        <f>100*(1-(M150/K150))</f>
        <v>85.6</v>
      </c>
      <c r="M150">
        <f>I150*SUM(M151,M154,M156,M158)</f>
        <v>1825.5947705078402</v>
      </c>
      <c r="N150" s="90">
        <v>150</v>
      </c>
      <c r="O150" s="90" t="s">
        <v>1417</v>
      </c>
      <c r="P150" s="118"/>
      <c r="Q150" s="118"/>
      <c r="R150" s="90" t="s">
        <v>6388</v>
      </c>
      <c r="S150" s="90" t="s">
        <v>6691</v>
      </c>
      <c r="T150" s="90" t="s">
        <v>6836</v>
      </c>
      <c r="U150" s="90" t="s">
        <v>6540</v>
      </c>
      <c r="V150" s="93"/>
      <c r="W150" s="93"/>
    </row>
    <row r="151" spans="1:23" x14ac:dyDescent="0.25">
      <c r="A151" s="90" t="s">
        <v>1418</v>
      </c>
      <c r="B151" s="119">
        <v>4</v>
      </c>
      <c r="C151" s="90" t="s">
        <v>1415</v>
      </c>
      <c r="D151" s="90" t="s">
        <v>78</v>
      </c>
      <c r="E151">
        <v>295</v>
      </c>
      <c r="F151">
        <v>300</v>
      </c>
      <c r="G151" s="93" t="s">
        <v>68</v>
      </c>
      <c r="H151" t="s">
        <v>364</v>
      </c>
      <c r="I151">
        <v>1</v>
      </c>
      <c r="J151">
        <f>SUM(K152,K153)</f>
        <v>2292.1176620400001</v>
      </c>
      <c r="K151">
        <f>I151*J151</f>
        <v>2292.1176620400001</v>
      </c>
      <c r="L151">
        <f>100*(1-(M151/K151))</f>
        <v>85.6</v>
      </c>
      <c r="M151">
        <f>I151*SUM(M152,M153)</f>
        <v>330.06494333376008</v>
      </c>
      <c r="N151" s="90">
        <v>151</v>
      </c>
      <c r="O151" s="90" t="s">
        <v>1419</v>
      </c>
      <c r="P151" s="118"/>
      <c r="Q151" s="118"/>
      <c r="R151" s="90" t="s">
        <v>4492</v>
      </c>
      <c r="S151" s="90" t="s">
        <v>5556</v>
      </c>
      <c r="T151" s="90" t="s">
        <v>6054</v>
      </c>
      <c r="U151" s="90" t="s">
        <v>5032</v>
      </c>
      <c r="V151" s="93"/>
      <c r="W151" s="93"/>
    </row>
    <row r="152" spans="1:23" x14ac:dyDescent="0.25">
      <c r="A152" s="90" t="s">
        <v>1420</v>
      </c>
      <c r="B152" s="119">
        <v>5</v>
      </c>
      <c r="C152" s="90" t="s">
        <v>1418</v>
      </c>
      <c r="D152" s="90" t="s">
        <v>78</v>
      </c>
      <c r="E152">
        <v>296</v>
      </c>
      <c r="F152">
        <v>297</v>
      </c>
      <c r="G152" s="93" t="s">
        <v>78</v>
      </c>
      <c r="H152" t="s">
        <v>366</v>
      </c>
      <c r="I152">
        <v>1</v>
      </c>
      <c r="J152">
        <v>509.35948044999998</v>
      </c>
      <c r="K152">
        <f>I152*J152</f>
        <v>509.35948044999998</v>
      </c>
      <c r="L152">
        <v>85.6</v>
      </c>
      <c r="M152">
        <f>(1-(L152/100))*K152</f>
        <v>73.347765184800011</v>
      </c>
      <c r="N152" s="90">
        <v>152</v>
      </c>
      <c r="O152" s="90" t="s">
        <v>1421</v>
      </c>
      <c r="P152" s="118"/>
      <c r="Q152" s="118"/>
      <c r="V152" s="93"/>
      <c r="W152" s="93"/>
    </row>
    <row r="153" spans="1:23" x14ac:dyDescent="0.25">
      <c r="A153" s="90" t="s">
        <v>1422</v>
      </c>
      <c r="B153" s="119">
        <v>5</v>
      </c>
      <c r="C153" s="90" t="s">
        <v>1418</v>
      </c>
      <c r="D153" s="90" t="s">
        <v>79</v>
      </c>
      <c r="E153">
        <v>298</v>
      </c>
      <c r="F153">
        <v>299</v>
      </c>
      <c r="G153" s="93" t="s">
        <v>78</v>
      </c>
      <c r="H153" t="s">
        <v>368</v>
      </c>
      <c r="I153">
        <v>1</v>
      </c>
      <c r="J153">
        <v>1782.75818159</v>
      </c>
      <c r="K153">
        <f>I153*J153</f>
        <v>1782.75818159</v>
      </c>
      <c r="L153">
        <v>85.6</v>
      </c>
      <c r="M153">
        <f>(1-(L153/100))*K153</f>
        <v>256.71717814896004</v>
      </c>
      <c r="N153" s="90">
        <v>153</v>
      </c>
      <c r="O153" s="90" t="s">
        <v>1423</v>
      </c>
      <c r="P153" s="118"/>
      <c r="Q153" s="118"/>
      <c r="V153" s="93"/>
      <c r="W153" s="93"/>
    </row>
    <row r="154" spans="1:23" x14ac:dyDescent="0.25">
      <c r="A154" s="90" t="s">
        <v>1424</v>
      </c>
      <c r="B154" s="119">
        <v>4</v>
      </c>
      <c r="C154" s="90" t="s">
        <v>1415</v>
      </c>
      <c r="D154" s="90" t="s">
        <v>79</v>
      </c>
      <c r="E154">
        <v>301</v>
      </c>
      <c r="F154">
        <v>304</v>
      </c>
      <c r="G154" s="93" t="s">
        <v>68</v>
      </c>
      <c r="H154" t="s">
        <v>379</v>
      </c>
      <c r="I154">
        <v>1</v>
      </c>
      <c r="J154">
        <f>SUM(K155)</f>
        <v>303.06889087000002</v>
      </c>
      <c r="K154">
        <f>I154*J154</f>
        <v>303.06889087000002</v>
      </c>
      <c r="L154">
        <f>100*(1-(M154/K154))</f>
        <v>85.6</v>
      </c>
      <c r="M154">
        <f>I154*SUM(M155)</f>
        <v>43.641920285280008</v>
      </c>
      <c r="N154" s="90">
        <v>154</v>
      </c>
      <c r="O154" s="90" t="s">
        <v>1425</v>
      </c>
      <c r="P154" s="118"/>
      <c r="Q154" s="118"/>
      <c r="R154" s="90" t="s">
        <v>4493</v>
      </c>
      <c r="S154" s="90" t="s">
        <v>5557</v>
      </c>
      <c r="T154" s="90" t="s">
        <v>6055</v>
      </c>
      <c r="U154" s="90" t="s">
        <v>5033</v>
      </c>
      <c r="V154" s="93"/>
      <c r="W154" s="93"/>
    </row>
    <row r="155" spans="1:23" x14ac:dyDescent="0.25">
      <c r="A155" s="90" t="s">
        <v>1426</v>
      </c>
      <c r="B155" s="119">
        <v>5</v>
      </c>
      <c r="C155" s="90" t="s">
        <v>1424</v>
      </c>
      <c r="D155" s="90" t="s">
        <v>78</v>
      </c>
      <c r="E155">
        <v>302</v>
      </c>
      <c r="F155">
        <v>303</v>
      </c>
      <c r="G155" s="93" t="s">
        <v>78</v>
      </c>
      <c r="H155" t="s">
        <v>381</v>
      </c>
      <c r="I155">
        <v>1</v>
      </c>
      <c r="J155">
        <v>303.06889087000002</v>
      </c>
      <c r="K155">
        <f>I155*J155</f>
        <v>303.06889087000002</v>
      </c>
      <c r="L155">
        <v>85.6</v>
      </c>
      <c r="M155">
        <f>(1-(L155/100))*K155</f>
        <v>43.641920285280008</v>
      </c>
      <c r="N155" s="90">
        <v>155</v>
      </c>
      <c r="O155" s="90" t="s">
        <v>1427</v>
      </c>
      <c r="P155" s="118"/>
      <c r="Q155" s="118"/>
      <c r="V155" s="93"/>
      <c r="W155" s="93"/>
    </row>
    <row r="156" spans="1:23" x14ac:dyDescent="0.25">
      <c r="A156" s="90" t="s">
        <v>1428</v>
      </c>
      <c r="B156" s="119">
        <v>4</v>
      </c>
      <c r="C156" s="90" t="s">
        <v>1415</v>
      </c>
      <c r="D156" s="90" t="s">
        <v>80</v>
      </c>
      <c r="E156">
        <v>305</v>
      </c>
      <c r="F156">
        <v>308</v>
      </c>
      <c r="G156" s="93" t="s">
        <v>68</v>
      </c>
      <c r="H156" t="s">
        <v>383</v>
      </c>
      <c r="I156">
        <v>1</v>
      </c>
      <c r="J156">
        <f>SUM(K157)</f>
        <v>1069.6549089499999</v>
      </c>
      <c r="K156">
        <f>I156*J156</f>
        <v>1069.6549089499999</v>
      </c>
      <c r="L156">
        <f>100*(1-(M156/K156))</f>
        <v>85.6</v>
      </c>
      <c r="M156">
        <f>I156*SUM(M157)</f>
        <v>154.0303068888</v>
      </c>
      <c r="N156" s="90">
        <v>156</v>
      </c>
      <c r="O156" s="90" t="s">
        <v>1429</v>
      </c>
      <c r="P156" s="118"/>
      <c r="Q156" s="118"/>
      <c r="R156" s="90" t="s">
        <v>4494</v>
      </c>
      <c r="S156" s="90" t="s">
        <v>5558</v>
      </c>
      <c r="T156" s="90" t="s">
        <v>6056</v>
      </c>
      <c r="U156" s="90" t="s">
        <v>5034</v>
      </c>
      <c r="V156" s="93"/>
      <c r="W156" s="93"/>
    </row>
    <row r="157" spans="1:23" x14ac:dyDescent="0.25">
      <c r="A157" s="90" t="s">
        <v>1430</v>
      </c>
      <c r="B157" s="119">
        <v>5</v>
      </c>
      <c r="C157" s="90" t="s">
        <v>1428</v>
      </c>
      <c r="D157" s="90" t="s">
        <v>78</v>
      </c>
      <c r="E157">
        <v>306</v>
      </c>
      <c r="F157">
        <v>307</v>
      </c>
      <c r="G157" s="93" t="s">
        <v>78</v>
      </c>
      <c r="H157" t="s">
        <v>385</v>
      </c>
      <c r="I157">
        <v>1</v>
      </c>
      <c r="J157">
        <v>1069.6549089499999</v>
      </c>
      <c r="K157">
        <f>I157*J157</f>
        <v>1069.6549089499999</v>
      </c>
      <c r="L157">
        <v>85.6</v>
      </c>
      <c r="M157">
        <f>(1-(L157/100))*K157</f>
        <v>154.0303068888</v>
      </c>
      <c r="N157" s="90">
        <v>157</v>
      </c>
      <c r="O157" s="90" t="s">
        <v>1431</v>
      </c>
      <c r="P157" s="118"/>
      <c r="Q157" s="118"/>
      <c r="V157" s="93"/>
      <c r="W157" s="93"/>
    </row>
    <row r="158" spans="1:23" x14ac:dyDescent="0.25">
      <c r="A158" s="90" t="s">
        <v>1432</v>
      </c>
      <c r="B158" s="119">
        <v>4</v>
      </c>
      <c r="C158" s="90" t="s">
        <v>1415</v>
      </c>
      <c r="D158" s="90" t="s">
        <v>95</v>
      </c>
      <c r="E158">
        <v>309</v>
      </c>
      <c r="F158">
        <v>312</v>
      </c>
      <c r="G158" s="93" t="s">
        <v>68</v>
      </c>
      <c r="H158" t="s">
        <v>387</v>
      </c>
      <c r="I158">
        <v>1</v>
      </c>
      <c r="J158">
        <f>SUM(K159)</f>
        <v>9012.9</v>
      </c>
      <c r="K158">
        <f>I158*J158</f>
        <v>9012.9</v>
      </c>
      <c r="L158">
        <f>100*(1-(M158/K158))</f>
        <v>85.6</v>
      </c>
      <c r="M158">
        <f>I158*SUM(M159)</f>
        <v>1297.8576</v>
      </c>
      <c r="N158" s="90">
        <v>158</v>
      </c>
      <c r="O158" s="90" t="s">
        <v>1433</v>
      </c>
      <c r="P158" s="118"/>
      <c r="Q158" s="118"/>
      <c r="R158" s="90" t="s">
        <v>4495</v>
      </c>
      <c r="S158" s="90" t="s">
        <v>5559</v>
      </c>
      <c r="T158" s="90" t="s">
        <v>6057</v>
      </c>
      <c r="U158" s="90" t="s">
        <v>5035</v>
      </c>
      <c r="V158" s="93"/>
      <c r="W158" s="93"/>
    </row>
    <row r="159" spans="1:23" x14ac:dyDescent="0.25">
      <c r="A159" s="90" t="s">
        <v>1434</v>
      </c>
      <c r="B159" s="119">
        <v>5</v>
      </c>
      <c r="C159" s="90" t="s">
        <v>1432</v>
      </c>
      <c r="D159" s="90" t="s">
        <v>78</v>
      </c>
      <c r="E159">
        <v>310</v>
      </c>
      <c r="F159">
        <v>311</v>
      </c>
      <c r="G159" s="93" t="s">
        <v>78</v>
      </c>
      <c r="H159" t="s">
        <v>389</v>
      </c>
      <c r="I159">
        <v>1</v>
      </c>
      <c r="J159">
        <v>9012.9</v>
      </c>
      <c r="K159">
        <f>I159*J159</f>
        <v>9012.9</v>
      </c>
      <c r="L159">
        <v>85.6</v>
      </c>
      <c r="M159">
        <f>(1-(L159/100))*K159</f>
        <v>1297.8576</v>
      </c>
      <c r="N159" s="90">
        <v>159</v>
      </c>
      <c r="O159" s="90" t="s">
        <v>1435</v>
      </c>
      <c r="P159" s="118"/>
      <c r="Q159" s="118"/>
      <c r="V159" s="93"/>
      <c r="W159" s="93"/>
    </row>
    <row r="160" spans="1:23" x14ac:dyDescent="0.25">
      <c r="A160" s="90" t="s">
        <v>1436</v>
      </c>
      <c r="B160" s="119">
        <v>3</v>
      </c>
      <c r="C160" s="90" t="s">
        <v>1228</v>
      </c>
      <c r="D160" s="90" t="s">
        <v>798</v>
      </c>
      <c r="E160">
        <v>314</v>
      </c>
      <c r="F160">
        <v>319</v>
      </c>
      <c r="G160" s="93" t="s">
        <v>68</v>
      </c>
      <c r="H160" t="s">
        <v>1437</v>
      </c>
      <c r="I160">
        <v>1</v>
      </c>
      <c r="J160">
        <f>SUM(K161)</f>
        <v>333.63045970000002</v>
      </c>
      <c r="K160">
        <f>I160*J160</f>
        <v>333.63045970000002</v>
      </c>
      <c r="L160">
        <f>100*(1-(M160/K160))</f>
        <v>85.6</v>
      </c>
      <c r="M160">
        <f>I160*SUM(M161)</f>
        <v>48.042786196800009</v>
      </c>
      <c r="N160" s="90">
        <v>160</v>
      </c>
      <c r="O160" s="90" t="s">
        <v>1438</v>
      </c>
      <c r="P160" s="118"/>
      <c r="Q160" s="118"/>
      <c r="R160" s="90" t="s">
        <v>6389</v>
      </c>
      <c r="S160" s="90" t="s">
        <v>6692</v>
      </c>
      <c r="T160" s="90" t="s">
        <v>6837</v>
      </c>
      <c r="U160" s="90" t="s">
        <v>6541</v>
      </c>
      <c r="V160" s="93"/>
      <c r="W160" s="93"/>
    </row>
    <row r="161" spans="1:23" x14ac:dyDescent="0.25">
      <c r="A161" s="90" t="s">
        <v>1439</v>
      </c>
      <c r="B161" s="119">
        <v>4</v>
      </c>
      <c r="C161" s="90" t="s">
        <v>1436</v>
      </c>
      <c r="D161" s="90" t="s">
        <v>78</v>
      </c>
      <c r="E161">
        <v>315</v>
      </c>
      <c r="F161">
        <v>318</v>
      </c>
      <c r="G161" s="93" t="s">
        <v>68</v>
      </c>
      <c r="H161" t="s">
        <v>399</v>
      </c>
      <c r="I161">
        <v>1</v>
      </c>
      <c r="J161">
        <f>SUM(K162)</f>
        <v>333.63045970000002</v>
      </c>
      <c r="K161">
        <f>I161*J161</f>
        <v>333.63045970000002</v>
      </c>
      <c r="L161">
        <f>100*(1-(M161/K161))</f>
        <v>85.6</v>
      </c>
      <c r="M161">
        <f>I161*SUM(M162)</f>
        <v>48.042786196800009</v>
      </c>
      <c r="N161" s="90">
        <v>161</v>
      </c>
      <c r="O161" s="90" t="s">
        <v>1440</v>
      </c>
      <c r="P161" s="118"/>
      <c r="Q161" s="118"/>
      <c r="R161" s="90" t="s">
        <v>4496</v>
      </c>
      <c r="S161" s="90" t="s">
        <v>5560</v>
      </c>
      <c r="T161" s="90" t="s">
        <v>6058</v>
      </c>
      <c r="U161" s="90" t="s">
        <v>5036</v>
      </c>
      <c r="V161" s="93"/>
      <c r="W161" s="93"/>
    </row>
    <row r="162" spans="1:23" x14ac:dyDescent="0.25">
      <c r="A162" s="90" t="s">
        <v>1441</v>
      </c>
      <c r="B162" s="119">
        <v>5</v>
      </c>
      <c r="C162" s="90" t="s">
        <v>1439</v>
      </c>
      <c r="D162" s="90" t="s">
        <v>78</v>
      </c>
      <c r="E162">
        <v>316</v>
      </c>
      <c r="F162">
        <v>317</v>
      </c>
      <c r="G162" s="93" t="s">
        <v>78</v>
      </c>
      <c r="H162" t="s">
        <v>401</v>
      </c>
      <c r="I162">
        <v>1</v>
      </c>
      <c r="J162">
        <v>333.63045970000002</v>
      </c>
      <c r="K162">
        <f>I162*J162</f>
        <v>333.63045970000002</v>
      </c>
      <c r="L162">
        <v>85.6</v>
      </c>
      <c r="M162">
        <f>(1-(L162/100))*K162</f>
        <v>48.042786196800009</v>
      </c>
      <c r="N162" s="90">
        <v>162</v>
      </c>
      <c r="O162" s="90" t="s">
        <v>1442</v>
      </c>
      <c r="P162" s="118"/>
      <c r="Q162" s="118"/>
      <c r="V162" s="93"/>
      <c r="W162" s="93"/>
    </row>
    <row r="163" spans="1:23" x14ac:dyDescent="0.25">
      <c r="A163" s="90" t="s">
        <v>1443</v>
      </c>
      <c r="B163" s="119">
        <v>3</v>
      </c>
      <c r="C163" s="90" t="s">
        <v>1228</v>
      </c>
      <c r="D163" s="90" t="s">
        <v>799</v>
      </c>
      <c r="E163">
        <v>320</v>
      </c>
      <c r="F163">
        <v>325</v>
      </c>
      <c r="G163" s="93" t="s">
        <v>68</v>
      </c>
      <c r="H163" t="s">
        <v>1444</v>
      </c>
      <c r="I163">
        <v>1</v>
      </c>
      <c r="J163">
        <f>SUM(K164)</f>
        <v>1324.33464918</v>
      </c>
      <c r="K163">
        <f>I163*J163</f>
        <v>1324.33464918</v>
      </c>
      <c r="L163">
        <f>100*(1-(M163/K163))</f>
        <v>85.6</v>
      </c>
      <c r="M163">
        <f>I163*SUM(M164)</f>
        <v>190.70418948192003</v>
      </c>
      <c r="N163" s="90">
        <v>163</v>
      </c>
      <c r="O163" s="90" t="s">
        <v>1445</v>
      </c>
      <c r="P163" s="118"/>
      <c r="Q163" s="118"/>
      <c r="R163" s="90" t="s">
        <v>6380</v>
      </c>
      <c r="S163" s="90" t="s">
        <v>6683</v>
      </c>
      <c r="T163" s="90" t="s">
        <v>6828</v>
      </c>
      <c r="U163" s="90" t="s">
        <v>6532</v>
      </c>
      <c r="V163" s="93"/>
      <c r="W163" s="93"/>
    </row>
    <row r="164" spans="1:23" x14ac:dyDescent="0.25">
      <c r="A164" s="90" t="s">
        <v>1446</v>
      </c>
      <c r="B164" s="119">
        <v>4</v>
      </c>
      <c r="C164" s="90" t="s">
        <v>1443</v>
      </c>
      <c r="D164" s="90" t="s">
        <v>78</v>
      </c>
      <c r="E164">
        <v>321</v>
      </c>
      <c r="F164">
        <v>324</v>
      </c>
      <c r="G164" s="93" t="s">
        <v>68</v>
      </c>
      <c r="H164" t="s">
        <v>418</v>
      </c>
      <c r="I164">
        <v>1</v>
      </c>
      <c r="J164">
        <f>SUM(K165)</f>
        <v>1324.33464918</v>
      </c>
      <c r="K164">
        <f>I164*J164</f>
        <v>1324.33464918</v>
      </c>
      <c r="L164">
        <f>100*(1-(M164/K164))</f>
        <v>85.6</v>
      </c>
      <c r="M164">
        <f>I164*SUM(M165)</f>
        <v>190.70418948192003</v>
      </c>
      <c r="N164" s="90">
        <v>164</v>
      </c>
      <c r="O164" s="90" t="s">
        <v>1447</v>
      </c>
      <c r="P164" s="118"/>
      <c r="Q164" s="118"/>
      <c r="R164" s="90" t="s">
        <v>4480</v>
      </c>
      <c r="S164" s="90" t="s">
        <v>5544</v>
      </c>
      <c r="T164" s="90" t="s">
        <v>6042</v>
      </c>
      <c r="U164" s="90" t="s">
        <v>5020</v>
      </c>
      <c r="V164" s="93"/>
      <c r="W164" s="93"/>
    </row>
    <row r="165" spans="1:23" x14ac:dyDescent="0.25">
      <c r="A165" s="90" t="s">
        <v>1448</v>
      </c>
      <c r="B165" s="119">
        <v>5</v>
      </c>
      <c r="C165" s="90" t="s">
        <v>1446</v>
      </c>
      <c r="D165" s="90" t="s">
        <v>78</v>
      </c>
      <c r="E165">
        <v>322</v>
      </c>
      <c r="F165">
        <v>323</v>
      </c>
      <c r="G165" s="93" t="s">
        <v>78</v>
      </c>
      <c r="H165" t="s">
        <v>419</v>
      </c>
      <c r="I165">
        <v>1</v>
      </c>
      <c r="J165">
        <v>1324.33464918</v>
      </c>
      <c r="K165">
        <f>I165*J165</f>
        <v>1324.33464918</v>
      </c>
      <c r="L165">
        <v>85.6</v>
      </c>
      <c r="M165">
        <f>(1-(L165/100))*K165</f>
        <v>190.70418948192003</v>
      </c>
      <c r="N165" s="90">
        <v>165</v>
      </c>
      <c r="O165" s="90" t="s">
        <v>1449</v>
      </c>
      <c r="P165" s="118"/>
      <c r="Q165" s="118"/>
      <c r="V165" s="93"/>
      <c r="W165" s="93"/>
    </row>
    <row r="166" spans="1:23" x14ac:dyDescent="0.25">
      <c r="A166" s="90" t="s">
        <v>1450</v>
      </c>
      <c r="B166" s="119">
        <v>2</v>
      </c>
      <c r="C166" s="90" t="s">
        <v>78</v>
      </c>
      <c r="D166" s="90" t="s">
        <v>80</v>
      </c>
      <c r="E166">
        <v>327</v>
      </c>
      <c r="F166">
        <v>534</v>
      </c>
      <c r="G166" s="93" t="s">
        <v>68</v>
      </c>
      <c r="H166" t="s">
        <v>1451</v>
      </c>
      <c r="I166">
        <v>1</v>
      </c>
      <c r="J166">
        <f>SUM(K167,K194,K222,K232,K239,K248,K258,K261,K264,K267)</f>
        <v>107343.25996185001</v>
      </c>
      <c r="K166">
        <f>I166*J166</f>
        <v>107343.25996185001</v>
      </c>
      <c r="L166">
        <f>100*(1-(M166/K166))</f>
        <v>46.98415631851195</v>
      </c>
      <c r="M166">
        <f>I166*SUM(M167,M194,M222,M232,M239,M248,M258,M261,M264,M267)</f>
        <v>56908.934903987756</v>
      </c>
      <c r="N166" s="90">
        <v>166</v>
      </c>
      <c r="O166" s="90" t="s">
        <v>1452</v>
      </c>
      <c r="P166" s="118"/>
      <c r="Q166" s="118"/>
      <c r="R166" s="90" t="s">
        <v>6953</v>
      </c>
      <c r="S166" s="90" t="s">
        <v>7050</v>
      </c>
      <c r="T166" s="90" t="s">
        <v>7096</v>
      </c>
      <c r="U166" s="90" t="s">
        <v>7002</v>
      </c>
      <c r="V166" s="93"/>
      <c r="W166" s="93"/>
    </row>
    <row r="167" spans="1:23" x14ac:dyDescent="0.25">
      <c r="A167" s="90" t="s">
        <v>1453</v>
      </c>
      <c r="B167" s="119">
        <v>3</v>
      </c>
      <c r="C167" s="90" t="s">
        <v>1450</v>
      </c>
      <c r="D167" s="90" t="s">
        <v>78</v>
      </c>
      <c r="E167">
        <v>328</v>
      </c>
      <c r="F167">
        <v>381</v>
      </c>
      <c r="G167" s="93" t="s">
        <v>68</v>
      </c>
      <c r="H167" t="s">
        <v>1454</v>
      </c>
      <c r="I167">
        <v>1</v>
      </c>
      <c r="J167">
        <f>SUM(K168,K170,K172,K174,K176,K178,K180,K182,K184,K186,K188,K190,K192)</f>
        <v>32562.768558520002</v>
      </c>
      <c r="K167">
        <f>I167*J167</f>
        <v>32562.768558520002</v>
      </c>
      <c r="L167">
        <f>100*(1-(M167/K167))</f>
        <v>40.000000000000014</v>
      </c>
      <c r="M167">
        <f>I167*SUM(M168,M170,M172,M174,M176,M178,M180,M182,M184,M186,M188,M190,M192)</f>
        <v>19537.661135111997</v>
      </c>
      <c r="N167" s="90">
        <v>167</v>
      </c>
      <c r="O167" s="90" t="s">
        <v>1455</v>
      </c>
      <c r="P167" s="118"/>
      <c r="Q167" s="118"/>
      <c r="R167" s="90" t="s">
        <v>6438</v>
      </c>
      <c r="S167" s="90" t="s">
        <v>6741</v>
      </c>
      <c r="T167" s="90" t="s">
        <v>6886</v>
      </c>
      <c r="U167" s="90" t="s">
        <v>6590</v>
      </c>
      <c r="V167" s="93"/>
      <c r="W167" s="93"/>
    </row>
    <row r="168" spans="1:23" x14ac:dyDescent="0.25">
      <c r="A168" s="90" t="s">
        <v>1456</v>
      </c>
      <c r="B168" s="119">
        <v>4</v>
      </c>
      <c r="C168" s="90" t="s">
        <v>1453</v>
      </c>
      <c r="D168" s="90" t="s">
        <v>78</v>
      </c>
      <c r="E168">
        <v>329</v>
      </c>
      <c r="F168">
        <v>332</v>
      </c>
      <c r="G168" s="93" t="s">
        <v>68</v>
      </c>
      <c r="H168" t="s">
        <v>1235</v>
      </c>
      <c r="I168">
        <v>1</v>
      </c>
      <c r="J168">
        <f>SUM(K169)</f>
        <v>37.44</v>
      </c>
      <c r="K168">
        <f>I168*J168</f>
        <v>37.44</v>
      </c>
      <c r="L168">
        <f>100*(1-(M168/K168))</f>
        <v>40</v>
      </c>
      <c r="M168">
        <f>I168*SUM(M169)</f>
        <v>22.463999999999999</v>
      </c>
      <c r="N168" s="90">
        <v>168</v>
      </c>
      <c r="O168" s="90" t="s">
        <v>1457</v>
      </c>
      <c r="P168" s="118"/>
      <c r="Q168" s="118"/>
      <c r="R168" s="90" t="s">
        <v>4653</v>
      </c>
      <c r="S168" s="90" t="s">
        <v>5717</v>
      </c>
      <c r="T168" s="90" t="s">
        <v>6215</v>
      </c>
      <c r="U168" s="90" t="s">
        <v>5193</v>
      </c>
      <c r="V168" s="93"/>
      <c r="W168" s="93"/>
    </row>
    <row r="169" spans="1:23" x14ac:dyDescent="0.25">
      <c r="A169" s="90" t="s">
        <v>1458</v>
      </c>
      <c r="B169" s="119">
        <v>5</v>
      </c>
      <c r="C169" s="90" t="s">
        <v>1456</v>
      </c>
      <c r="D169" s="90" t="s">
        <v>78</v>
      </c>
      <c r="E169">
        <v>330</v>
      </c>
      <c r="F169">
        <v>331</v>
      </c>
      <c r="G169" s="93" t="s">
        <v>78</v>
      </c>
      <c r="H169" t="s">
        <v>1235</v>
      </c>
      <c r="I169">
        <v>1</v>
      </c>
      <c r="J169">
        <v>37.44</v>
      </c>
      <c r="K169">
        <f>I169*J169</f>
        <v>37.44</v>
      </c>
      <c r="L169">
        <v>40</v>
      </c>
      <c r="M169">
        <f>(1-(L169/100))*K169</f>
        <v>22.463999999999999</v>
      </c>
      <c r="N169" s="90">
        <v>169</v>
      </c>
      <c r="O169" s="90" t="s">
        <v>1459</v>
      </c>
      <c r="P169" s="118"/>
      <c r="Q169" s="118"/>
      <c r="V169" s="93"/>
      <c r="W169" s="93"/>
    </row>
    <row r="170" spans="1:23" x14ac:dyDescent="0.25">
      <c r="A170" s="90" t="s">
        <v>1460</v>
      </c>
      <c r="B170" s="119">
        <v>4</v>
      </c>
      <c r="C170" s="90" t="s">
        <v>1453</v>
      </c>
      <c r="D170" s="90" t="s">
        <v>79</v>
      </c>
      <c r="E170">
        <v>333</v>
      </c>
      <c r="F170">
        <v>336</v>
      </c>
      <c r="G170" s="93" t="s">
        <v>68</v>
      </c>
      <c r="H170" t="s">
        <v>1240</v>
      </c>
      <c r="I170">
        <v>1</v>
      </c>
      <c r="J170">
        <f>SUM(K171)</f>
        <v>700.36928562000003</v>
      </c>
      <c r="K170">
        <f>I170*J170</f>
        <v>700.36928562000003</v>
      </c>
      <c r="L170">
        <f>100*(1-(M170/K170))</f>
        <v>40</v>
      </c>
      <c r="M170">
        <f>I170*SUM(M171)</f>
        <v>420.22157137200003</v>
      </c>
      <c r="N170" s="90">
        <v>170</v>
      </c>
      <c r="O170" s="90" t="s">
        <v>1461</v>
      </c>
      <c r="P170" s="118"/>
      <c r="Q170" s="118"/>
      <c r="R170" s="90" t="s">
        <v>4658</v>
      </c>
      <c r="S170" s="90" t="s">
        <v>5722</v>
      </c>
      <c r="T170" s="90" t="s">
        <v>6220</v>
      </c>
      <c r="U170" s="90" t="s">
        <v>5198</v>
      </c>
      <c r="V170" s="93"/>
      <c r="W170" s="93"/>
    </row>
    <row r="171" spans="1:23" x14ac:dyDescent="0.25">
      <c r="A171" s="90" t="s">
        <v>1462</v>
      </c>
      <c r="B171" s="119">
        <v>5</v>
      </c>
      <c r="C171" s="90" t="s">
        <v>1460</v>
      </c>
      <c r="D171" s="90" t="s">
        <v>78</v>
      </c>
      <c r="E171">
        <v>334</v>
      </c>
      <c r="F171">
        <v>335</v>
      </c>
      <c r="G171" s="93" t="s">
        <v>78</v>
      </c>
      <c r="H171" t="s">
        <v>1243</v>
      </c>
      <c r="I171">
        <v>1</v>
      </c>
      <c r="J171">
        <v>700.36928562000003</v>
      </c>
      <c r="K171">
        <f>I171*J171</f>
        <v>700.36928562000003</v>
      </c>
      <c r="L171">
        <v>40</v>
      </c>
      <c r="M171">
        <f>(1-(L171/100))*K171</f>
        <v>420.22157137200003</v>
      </c>
      <c r="N171" s="90">
        <v>171</v>
      </c>
      <c r="O171" s="90" t="s">
        <v>1463</v>
      </c>
      <c r="P171" s="118"/>
      <c r="Q171" s="118"/>
      <c r="V171" s="93"/>
      <c r="W171" s="93"/>
    </row>
    <row r="172" spans="1:23" x14ac:dyDescent="0.25">
      <c r="A172" s="90" t="s">
        <v>1464</v>
      </c>
      <c r="B172" s="119">
        <v>4</v>
      </c>
      <c r="C172" s="90" t="s">
        <v>1453</v>
      </c>
      <c r="D172" s="90" t="s">
        <v>80</v>
      </c>
      <c r="E172">
        <v>337</v>
      </c>
      <c r="F172">
        <v>340</v>
      </c>
      <c r="G172" s="93" t="s">
        <v>68</v>
      </c>
      <c r="H172" t="s">
        <v>1246</v>
      </c>
      <c r="I172">
        <v>2</v>
      </c>
      <c r="J172">
        <f>SUM(K173)</f>
        <v>967.93582071000003</v>
      </c>
      <c r="K172">
        <f>I172*J172</f>
        <v>1935.8716414200001</v>
      </c>
      <c r="L172">
        <f>100*(1-(M172/K172))</f>
        <v>40</v>
      </c>
      <c r="M172">
        <f>I172*SUM(M173)</f>
        <v>1161.522984852</v>
      </c>
      <c r="N172" s="90">
        <v>172</v>
      </c>
      <c r="O172" s="90" t="s">
        <v>1465</v>
      </c>
      <c r="P172" s="118"/>
      <c r="Q172" s="118"/>
      <c r="R172" s="90" t="s">
        <v>4659</v>
      </c>
      <c r="S172" s="90" t="s">
        <v>5723</v>
      </c>
      <c r="T172" s="90" t="s">
        <v>6221</v>
      </c>
      <c r="U172" s="90" t="s">
        <v>5199</v>
      </c>
      <c r="V172" s="93"/>
      <c r="W172" s="93"/>
    </row>
    <row r="173" spans="1:23" x14ac:dyDescent="0.25">
      <c r="A173" s="90" t="s">
        <v>1466</v>
      </c>
      <c r="B173" s="119">
        <v>5</v>
      </c>
      <c r="C173" s="90" t="s">
        <v>1464</v>
      </c>
      <c r="D173" s="90" t="s">
        <v>78</v>
      </c>
      <c r="E173">
        <v>338</v>
      </c>
      <c r="F173">
        <v>339</v>
      </c>
      <c r="G173" s="93" t="s">
        <v>78</v>
      </c>
      <c r="H173" t="s">
        <v>120</v>
      </c>
      <c r="I173">
        <v>1</v>
      </c>
      <c r="J173">
        <v>967.93582071000003</v>
      </c>
      <c r="K173">
        <f>I173*J173</f>
        <v>967.93582071000003</v>
      </c>
      <c r="L173">
        <v>40</v>
      </c>
      <c r="M173">
        <f>(1-(L173/100))*K173</f>
        <v>580.76149242600002</v>
      </c>
      <c r="N173" s="90">
        <v>173</v>
      </c>
      <c r="O173" s="90" t="s">
        <v>1467</v>
      </c>
      <c r="P173" s="118"/>
      <c r="Q173" s="118"/>
      <c r="V173" s="93"/>
      <c r="W173" s="93"/>
    </row>
    <row r="174" spans="1:23" x14ac:dyDescent="0.25">
      <c r="A174" s="90" t="s">
        <v>1468</v>
      </c>
      <c r="B174" s="119">
        <v>4</v>
      </c>
      <c r="C174" s="90" t="s">
        <v>1453</v>
      </c>
      <c r="D174" s="90" t="s">
        <v>95</v>
      </c>
      <c r="E174">
        <v>341</v>
      </c>
      <c r="F174">
        <v>344</v>
      </c>
      <c r="G174" s="93" t="s">
        <v>68</v>
      </c>
      <c r="H174" t="s">
        <v>1251</v>
      </c>
      <c r="I174">
        <v>1</v>
      </c>
      <c r="J174">
        <f>SUM(K175)</f>
        <v>967.93582071000003</v>
      </c>
      <c r="K174">
        <f>I174*J174</f>
        <v>967.93582071000003</v>
      </c>
      <c r="L174">
        <f>100*(1-(M174/K174))</f>
        <v>40</v>
      </c>
      <c r="M174">
        <f>I174*SUM(M175)</f>
        <v>580.76149242600002</v>
      </c>
      <c r="N174" s="90">
        <v>174</v>
      </c>
      <c r="O174" s="90" t="s">
        <v>1469</v>
      </c>
      <c r="P174" s="118"/>
      <c r="Q174" s="118"/>
      <c r="R174" s="90" t="s">
        <v>4660</v>
      </c>
      <c r="S174" s="90" t="s">
        <v>5724</v>
      </c>
      <c r="T174" s="90" t="s">
        <v>6222</v>
      </c>
      <c r="U174" s="90" t="s">
        <v>5200</v>
      </c>
      <c r="V174" s="93"/>
      <c r="W174" s="93"/>
    </row>
    <row r="175" spans="1:23" x14ac:dyDescent="0.25">
      <c r="A175" s="90" t="s">
        <v>1470</v>
      </c>
      <c r="B175" s="119">
        <v>5</v>
      </c>
      <c r="C175" s="90" t="s">
        <v>1468</v>
      </c>
      <c r="D175" s="90" t="s">
        <v>78</v>
      </c>
      <c r="E175">
        <v>342</v>
      </c>
      <c r="F175">
        <v>343</v>
      </c>
      <c r="G175" s="93" t="s">
        <v>78</v>
      </c>
      <c r="H175" t="s">
        <v>125</v>
      </c>
      <c r="I175">
        <v>1</v>
      </c>
      <c r="J175">
        <v>967.93582071000003</v>
      </c>
      <c r="K175">
        <f>I175*J175</f>
        <v>967.93582071000003</v>
      </c>
      <c r="L175">
        <v>40</v>
      </c>
      <c r="M175">
        <f>(1-(L175/100))*K175</f>
        <v>580.76149242600002</v>
      </c>
      <c r="N175" s="90">
        <v>175</v>
      </c>
      <c r="O175" s="90" t="s">
        <v>1471</v>
      </c>
      <c r="P175" s="118"/>
      <c r="Q175" s="118"/>
      <c r="V175" s="93"/>
      <c r="W175" s="93"/>
    </row>
    <row r="176" spans="1:23" x14ac:dyDescent="0.25">
      <c r="A176" s="90" t="s">
        <v>1472</v>
      </c>
      <c r="B176" s="119">
        <v>4</v>
      </c>
      <c r="C176" s="90" t="s">
        <v>1453</v>
      </c>
      <c r="D176" s="90" t="s">
        <v>96</v>
      </c>
      <c r="E176">
        <v>345</v>
      </c>
      <c r="F176">
        <v>348</v>
      </c>
      <c r="G176" s="93" t="s">
        <v>68</v>
      </c>
      <c r="H176" t="s">
        <v>1261</v>
      </c>
      <c r="I176">
        <v>1</v>
      </c>
      <c r="J176">
        <f>SUM(K177)</f>
        <v>10160.44823634</v>
      </c>
      <c r="K176">
        <f>I176*J176</f>
        <v>10160.44823634</v>
      </c>
      <c r="L176">
        <f>100*(1-(M176/K176))</f>
        <v>40</v>
      </c>
      <c r="M176">
        <f>I176*SUM(M177)</f>
        <v>6096.268941804</v>
      </c>
      <c r="N176" s="90">
        <v>176</v>
      </c>
      <c r="O176" s="90" t="s">
        <v>1473</v>
      </c>
      <c r="P176" s="118"/>
      <c r="Q176" s="118"/>
      <c r="R176" s="90" t="s">
        <v>4661</v>
      </c>
      <c r="S176" s="90" t="s">
        <v>5725</v>
      </c>
      <c r="T176" s="90" t="s">
        <v>6223</v>
      </c>
      <c r="U176" s="90" t="s">
        <v>5201</v>
      </c>
      <c r="V176" s="93"/>
      <c r="W176" s="93"/>
    </row>
    <row r="177" spans="1:23" x14ac:dyDescent="0.25">
      <c r="A177" s="90" t="s">
        <v>1474</v>
      </c>
      <c r="B177" s="119">
        <v>5</v>
      </c>
      <c r="C177" s="90" t="s">
        <v>1472</v>
      </c>
      <c r="D177" s="90" t="s">
        <v>78</v>
      </c>
      <c r="E177">
        <v>346</v>
      </c>
      <c r="F177">
        <v>347</v>
      </c>
      <c r="G177" s="93" t="s">
        <v>78</v>
      </c>
      <c r="H177" t="s">
        <v>1261</v>
      </c>
      <c r="I177">
        <v>1</v>
      </c>
      <c r="J177">
        <v>10160.44823634</v>
      </c>
      <c r="K177">
        <f>I177*J177</f>
        <v>10160.44823634</v>
      </c>
      <c r="L177">
        <v>40</v>
      </c>
      <c r="M177">
        <f>(1-(L177/100))*K177</f>
        <v>6096.268941804</v>
      </c>
      <c r="N177" s="90">
        <v>177</v>
      </c>
      <c r="O177" s="90" t="s">
        <v>1475</v>
      </c>
      <c r="P177" s="118"/>
      <c r="Q177" s="118"/>
      <c r="V177" s="93"/>
      <c r="W177" s="93"/>
    </row>
    <row r="178" spans="1:23" x14ac:dyDescent="0.25">
      <c r="A178" s="90" t="s">
        <v>1476</v>
      </c>
      <c r="B178" s="119">
        <v>4</v>
      </c>
      <c r="C178" s="90" t="s">
        <v>1453</v>
      </c>
      <c r="D178" s="90" t="s">
        <v>103</v>
      </c>
      <c r="E178">
        <v>349</v>
      </c>
      <c r="F178">
        <v>352</v>
      </c>
      <c r="G178" s="93" t="s">
        <v>68</v>
      </c>
      <c r="H178" t="s">
        <v>1266</v>
      </c>
      <c r="I178">
        <v>1</v>
      </c>
      <c r="J178">
        <f>SUM(K179)</f>
        <v>9312.3647013900008</v>
      </c>
      <c r="K178">
        <f>I178*J178</f>
        <v>9312.3647013900008</v>
      </c>
      <c r="L178">
        <f>100*(1-(M178/K178))</f>
        <v>40</v>
      </c>
      <c r="M178">
        <f>I178*SUM(M179)</f>
        <v>5587.4188208340001</v>
      </c>
      <c r="N178" s="90">
        <v>178</v>
      </c>
      <c r="O178" s="90" t="s">
        <v>1477</v>
      </c>
      <c r="P178" s="118"/>
      <c r="Q178" s="118"/>
      <c r="R178" s="90" t="s">
        <v>4662</v>
      </c>
      <c r="S178" s="90" t="s">
        <v>5726</v>
      </c>
      <c r="T178" s="90" t="s">
        <v>6224</v>
      </c>
      <c r="U178" s="90" t="s">
        <v>5202</v>
      </c>
      <c r="V178" s="93"/>
      <c r="W178" s="93"/>
    </row>
    <row r="179" spans="1:23" x14ac:dyDescent="0.25">
      <c r="A179" s="90" t="s">
        <v>1478</v>
      </c>
      <c r="B179" s="119">
        <v>5</v>
      </c>
      <c r="C179" s="90" t="s">
        <v>1476</v>
      </c>
      <c r="D179" s="90" t="s">
        <v>78</v>
      </c>
      <c r="E179">
        <v>350</v>
      </c>
      <c r="F179">
        <v>351</v>
      </c>
      <c r="G179" s="93" t="s">
        <v>78</v>
      </c>
      <c r="H179" t="s">
        <v>1269</v>
      </c>
      <c r="I179">
        <v>1</v>
      </c>
      <c r="J179">
        <v>9312.3647013900008</v>
      </c>
      <c r="K179">
        <f>I179*J179</f>
        <v>9312.3647013900008</v>
      </c>
      <c r="L179">
        <v>40</v>
      </c>
      <c r="M179">
        <f>(1-(L179/100))*K179</f>
        <v>5587.4188208340001</v>
      </c>
      <c r="N179" s="90">
        <v>179</v>
      </c>
      <c r="O179" s="90" t="s">
        <v>1479</v>
      </c>
      <c r="P179" s="118"/>
      <c r="Q179" s="118"/>
      <c r="V179" s="93"/>
      <c r="W179" s="93"/>
    </row>
    <row r="180" spans="1:23" x14ac:dyDescent="0.25">
      <c r="A180" s="90" t="s">
        <v>1480</v>
      </c>
      <c r="B180" s="119">
        <v>4</v>
      </c>
      <c r="C180" s="90" t="s">
        <v>1453</v>
      </c>
      <c r="D180" s="90" t="s">
        <v>796</v>
      </c>
      <c r="E180">
        <v>353</v>
      </c>
      <c r="F180">
        <v>356</v>
      </c>
      <c r="G180" s="93" t="s">
        <v>68</v>
      </c>
      <c r="H180" t="s">
        <v>1272</v>
      </c>
      <c r="I180">
        <v>2</v>
      </c>
      <c r="J180">
        <f>SUM(K181)</f>
        <v>1308.5572392700001</v>
      </c>
      <c r="K180">
        <f>I180*J180</f>
        <v>2617.1144785400002</v>
      </c>
      <c r="L180">
        <f>100*(1-(M180/K180))</f>
        <v>40</v>
      </c>
      <c r="M180">
        <f>I180*SUM(M181)</f>
        <v>1570.2686871240001</v>
      </c>
      <c r="N180" s="90">
        <v>180</v>
      </c>
      <c r="O180" s="90" t="s">
        <v>1481</v>
      </c>
      <c r="P180" s="118"/>
      <c r="Q180" s="118"/>
      <c r="R180" s="90" t="s">
        <v>4663</v>
      </c>
      <c r="S180" s="90" t="s">
        <v>5727</v>
      </c>
      <c r="T180" s="90" t="s">
        <v>6225</v>
      </c>
      <c r="U180" s="90" t="s">
        <v>5203</v>
      </c>
      <c r="V180" s="93"/>
      <c r="W180" s="93"/>
    </row>
    <row r="181" spans="1:23" x14ac:dyDescent="0.25">
      <c r="A181" s="90" t="s">
        <v>1482</v>
      </c>
      <c r="B181" s="119">
        <v>5</v>
      </c>
      <c r="C181" s="90" t="s">
        <v>1480</v>
      </c>
      <c r="D181" s="90" t="s">
        <v>78</v>
      </c>
      <c r="E181">
        <v>354</v>
      </c>
      <c r="F181">
        <v>355</v>
      </c>
      <c r="G181" s="93" t="s">
        <v>78</v>
      </c>
      <c r="H181" t="s">
        <v>1272</v>
      </c>
      <c r="I181">
        <v>1</v>
      </c>
      <c r="J181">
        <v>1308.5572392700001</v>
      </c>
      <c r="K181">
        <f>I181*J181</f>
        <v>1308.5572392700001</v>
      </c>
      <c r="L181">
        <v>40</v>
      </c>
      <c r="M181">
        <f>(1-(L181/100))*K181</f>
        <v>785.13434356200003</v>
      </c>
      <c r="N181" s="90">
        <v>181</v>
      </c>
      <c r="O181" s="90" t="s">
        <v>1483</v>
      </c>
      <c r="P181" s="118"/>
      <c r="Q181" s="118"/>
      <c r="V181" s="93"/>
      <c r="W181" s="93"/>
    </row>
    <row r="182" spans="1:23" x14ac:dyDescent="0.25">
      <c r="A182" s="90" t="s">
        <v>1484</v>
      </c>
      <c r="B182" s="119">
        <v>4</v>
      </c>
      <c r="C182" s="90" t="s">
        <v>1453</v>
      </c>
      <c r="D182" s="90" t="s">
        <v>797</v>
      </c>
      <c r="E182">
        <v>357</v>
      </c>
      <c r="F182">
        <v>360</v>
      </c>
      <c r="G182" s="93" t="s">
        <v>68</v>
      </c>
      <c r="H182" t="s">
        <v>1485</v>
      </c>
      <c r="I182">
        <v>2</v>
      </c>
      <c r="J182">
        <f>SUM(K183)</f>
        <v>452</v>
      </c>
      <c r="K182">
        <f>I182*J182</f>
        <v>904</v>
      </c>
      <c r="L182">
        <f>100*(1-(M182/K182))</f>
        <v>40</v>
      </c>
      <c r="M182">
        <f>I182*SUM(M183)</f>
        <v>542.4</v>
      </c>
      <c r="N182" s="90">
        <v>182</v>
      </c>
      <c r="O182" s="90" t="s">
        <v>1486</v>
      </c>
      <c r="P182" s="118"/>
      <c r="Q182" s="118"/>
      <c r="R182" s="90" t="s">
        <v>4664</v>
      </c>
      <c r="S182" s="90" t="s">
        <v>5728</v>
      </c>
      <c r="T182" s="90" t="s">
        <v>6226</v>
      </c>
      <c r="U182" s="90" t="s">
        <v>5204</v>
      </c>
      <c r="V182" s="93"/>
      <c r="W182" s="93"/>
    </row>
    <row r="183" spans="1:23" x14ac:dyDescent="0.25">
      <c r="A183" s="90" t="s">
        <v>1487</v>
      </c>
      <c r="B183" s="119">
        <v>5</v>
      </c>
      <c r="C183" s="90" t="s">
        <v>1484</v>
      </c>
      <c r="D183" s="90" t="s">
        <v>78</v>
      </c>
      <c r="E183">
        <v>358</v>
      </c>
      <c r="F183">
        <v>359</v>
      </c>
      <c r="G183" s="93" t="s">
        <v>78</v>
      </c>
      <c r="H183" t="s">
        <v>1488</v>
      </c>
      <c r="I183">
        <v>1</v>
      </c>
      <c r="J183">
        <v>452</v>
      </c>
      <c r="K183">
        <f>I183*J183</f>
        <v>452</v>
      </c>
      <c r="L183">
        <v>40</v>
      </c>
      <c r="M183">
        <f>(1-(L183/100))*K183</f>
        <v>271.2</v>
      </c>
      <c r="N183" s="90">
        <v>183</v>
      </c>
      <c r="O183" s="90" t="s">
        <v>1489</v>
      </c>
      <c r="P183" s="118"/>
      <c r="Q183" s="118"/>
      <c r="V183" s="93"/>
      <c r="W183" s="93"/>
    </row>
    <row r="184" spans="1:23" x14ac:dyDescent="0.25">
      <c r="A184" s="90" t="s">
        <v>1490</v>
      </c>
      <c r="B184" s="119">
        <v>4</v>
      </c>
      <c r="C184" s="90" t="s">
        <v>1453</v>
      </c>
      <c r="D184" s="90" t="s">
        <v>798</v>
      </c>
      <c r="E184">
        <v>361</v>
      </c>
      <c r="F184">
        <v>364</v>
      </c>
      <c r="G184" s="93" t="s">
        <v>68</v>
      </c>
      <c r="H184" t="s">
        <v>145</v>
      </c>
      <c r="I184">
        <v>2</v>
      </c>
      <c r="J184">
        <f>SUM(K185)</f>
        <v>28.6</v>
      </c>
      <c r="K184">
        <f>I184*J184</f>
        <v>57.2</v>
      </c>
      <c r="L184">
        <f>100*(1-(M184/K184))</f>
        <v>40</v>
      </c>
      <c r="M184">
        <f>I184*SUM(M185)</f>
        <v>34.32</v>
      </c>
      <c r="N184" s="90">
        <v>184</v>
      </c>
      <c r="O184" s="90" t="s">
        <v>1491</v>
      </c>
      <c r="P184" s="118"/>
      <c r="Q184" s="118"/>
      <c r="R184" s="90" t="s">
        <v>4665</v>
      </c>
      <c r="S184" s="90" t="s">
        <v>5729</v>
      </c>
      <c r="T184" s="90" t="s">
        <v>6227</v>
      </c>
      <c r="U184" s="90" t="s">
        <v>5205</v>
      </c>
      <c r="V184" s="93"/>
      <c r="W184" s="93"/>
    </row>
    <row r="185" spans="1:23" x14ac:dyDescent="0.25">
      <c r="A185" s="90" t="s">
        <v>1492</v>
      </c>
      <c r="B185" s="119">
        <v>5</v>
      </c>
      <c r="C185" s="90" t="s">
        <v>1490</v>
      </c>
      <c r="D185" s="90" t="s">
        <v>78</v>
      </c>
      <c r="E185">
        <v>362</v>
      </c>
      <c r="F185">
        <v>363</v>
      </c>
      <c r="G185" s="93" t="s">
        <v>78</v>
      </c>
      <c r="H185" t="s">
        <v>145</v>
      </c>
      <c r="I185">
        <v>1</v>
      </c>
      <c r="J185">
        <v>28.6</v>
      </c>
      <c r="K185">
        <f>I185*J185</f>
        <v>28.6</v>
      </c>
      <c r="L185">
        <v>40</v>
      </c>
      <c r="M185">
        <f>(1-(L185/100))*K185</f>
        <v>17.16</v>
      </c>
      <c r="N185" s="90">
        <v>185</v>
      </c>
      <c r="O185" s="90" t="s">
        <v>1493</v>
      </c>
      <c r="P185" s="118"/>
      <c r="Q185" s="118"/>
      <c r="V185" s="93"/>
      <c r="W185" s="93"/>
    </row>
    <row r="186" spans="1:23" x14ac:dyDescent="0.25">
      <c r="A186" s="90" t="s">
        <v>1494</v>
      </c>
      <c r="B186" s="119">
        <v>4</v>
      </c>
      <c r="C186" s="90" t="s">
        <v>1453</v>
      </c>
      <c r="D186" s="90" t="s">
        <v>799</v>
      </c>
      <c r="E186">
        <v>365</v>
      </c>
      <c r="F186">
        <v>368</v>
      </c>
      <c r="G186" s="93" t="s">
        <v>68</v>
      </c>
      <c r="H186" t="s">
        <v>1495</v>
      </c>
      <c r="I186">
        <v>1</v>
      </c>
      <c r="J186">
        <f>SUM(K187)</f>
        <v>2358.3343945000001</v>
      </c>
      <c r="K186">
        <f>I186*J186</f>
        <v>2358.3343945000001</v>
      </c>
      <c r="L186">
        <f>100*(1-(M186/K186))</f>
        <v>40</v>
      </c>
      <c r="M186">
        <f>I186*SUM(M187)</f>
        <v>1415.0006367000001</v>
      </c>
      <c r="N186" s="90">
        <v>186</v>
      </c>
      <c r="O186" s="90" t="s">
        <v>1496</v>
      </c>
      <c r="P186" s="118"/>
      <c r="Q186" s="118"/>
      <c r="R186" s="90" t="s">
        <v>4654</v>
      </c>
      <c r="S186" s="90" t="s">
        <v>5718</v>
      </c>
      <c r="T186" s="90" t="s">
        <v>6216</v>
      </c>
      <c r="U186" s="90" t="s">
        <v>5194</v>
      </c>
      <c r="V186" s="93"/>
      <c r="W186" s="93"/>
    </row>
    <row r="187" spans="1:23" x14ac:dyDescent="0.25">
      <c r="A187" s="90" t="s">
        <v>1497</v>
      </c>
      <c r="B187" s="119">
        <v>5</v>
      </c>
      <c r="C187" s="90" t="s">
        <v>1494</v>
      </c>
      <c r="D187" s="90" t="s">
        <v>78</v>
      </c>
      <c r="E187">
        <v>366</v>
      </c>
      <c r="F187">
        <v>367</v>
      </c>
      <c r="G187" s="93" t="s">
        <v>78</v>
      </c>
      <c r="H187" t="s">
        <v>1495</v>
      </c>
      <c r="I187">
        <v>1</v>
      </c>
      <c r="J187">
        <v>2358.3343945000001</v>
      </c>
      <c r="K187">
        <f>I187*J187</f>
        <v>2358.3343945000001</v>
      </c>
      <c r="L187">
        <v>40</v>
      </c>
      <c r="M187">
        <f>(1-(L187/100))*K187</f>
        <v>1415.0006367000001</v>
      </c>
      <c r="N187" s="90">
        <v>187</v>
      </c>
      <c r="O187" s="90" t="s">
        <v>1498</v>
      </c>
      <c r="P187" s="118"/>
      <c r="Q187" s="118"/>
      <c r="V187" s="93"/>
      <c r="W187" s="93"/>
    </row>
    <row r="188" spans="1:23" x14ac:dyDescent="0.25">
      <c r="A188" s="90" t="s">
        <v>1499</v>
      </c>
      <c r="B188" s="119">
        <v>4</v>
      </c>
      <c r="C188" s="90" t="s">
        <v>1453</v>
      </c>
      <c r="D188" s="90" t="s">
        <v>97</v>
      </c>
      <c r="E188">
        <v>369</v>
      </c>
      <c r="F188">
        <v>372</v>
      </c>
      <c r="G188" s="93" t="s">
        <v>68</v>
      </c>
      <c r="H188" t="s">
        <v>143</v>
      </c>
      <c r="I188">
        <v>1</v>
      </c>
      <c r="J188">
        <f>SUM(K189)</f>
        <v>27.17</v>
      </c>
      <c r="K188">
        <f>I188*J188</f>
        <v>27.17</v>
      </c>
      <c r="L188">
        <f>100*(1-(M188/K188))</f>
        <v>40</v>
      </c>
      <c r="M188">
        <f>I188*SUM(M189)</f>
        <v>16.302</v>
      </c>
      <c r="N188" s="90">
        <v>188</v>
      </c>
      <c r="O188" s="90" t="s">
        <v>1500</v>
      </c>
      <c r="P188" s="118"/>
      <c r="Q188" s="118"/>
      <c r="R188" s="90" t="s">
        <v>4655</v>
      </c>
      <c r="S188" s="90" t="s">
        <v>5719</v>
      </c>
      <c r="T188" s="90" t="s">
        <v>6217</v>
      </c>
      <c r="U188" s="90" t="s">
        <v>5195</v>
      </c>
      <c r="V188" s="93"/>
      <c r="W188" s="93"/>
    </row>
    <row r="189" spans="1:23" x14ac:dyDescent="0.25">
      <c r="A189" s="90" t="s">
        <v>1501</v>
      </c>
      <c r="B189" s="119">
        <v>5</v>
      </c>
      <c r="C189" s="90" t="s">
        <v>1499</v>
      </c>
      <c r="D189" s="90" t="s">
        <v>78</v>
      </c>
      <c r="E189">
        <v>370</v>
      </c>
      <c r="F189">
        <v>371</v>
      </c>
      <c r="G189" s="93" t="s">
        <v>78</v>
      </c>
      <c r="H189" t="s">
        <v>143</v>
      </c>
      <c r="I189">
        <v>1</v>
      </c>
      <c r="J189">
        <v>27.17</v>
      </c>
      <c r="K189">
        <f>I189*J189</f>
        <v>27.17</v>
      </c>
      <c r="L189">
        <v>40</v>
      </c>
      <c r="M189">
        <f>(1-(L189/100))*K189</f>
        <v>16.302</v>
      </c>
      <c r="N189" s="90">
        <v>189</v>
      </c>
      <c r="O189" s="90" t="s">
        <v>1502</v>
      </c>
      <c r="P189" s="118"/>
      <c r="Q189" s="118"/>
      <c r="V189" s="93"/>
      <c r="W189" s="93"/>
    </row>
    <row r="190" spans="1:23" x14ac:dyDescent="0.25">
      <c r="A190" s="90" t="s">
        <v>1503</v>
      </c>
      <c r="B190" s="119">
        <v>4</v>
      </c>
      <c r="C190" s="90" t="s">
        <v>1453</v>
      </c>
      <c r="D190" s="90" t="s">
        <v>98</v>
      </c>
      <c r="E190">
        <v>373</v>
      </c>
      <c r="F190">
        <v>376</v>
      </c>
      <c r="G190" s="93" t="s">
        <v>68</v>
      </c>
      <c r="H190" t="s">
        <v>1504</v>
      </c>
      <c r="I190">
        <v>1</v>
      </c>
      <c r="J190">
        <f>SUM(K191)</f>
        <v>184.52</v>
      </c>
      <c r="K190">
        <f>I190*J190</f>
        <v>184.52</v>
      </c>
      <c r="L190">
        <f>100*(1-(M190/K190))</f>
        <v>40</v>
      </c>
      <c r="M190">
        <f>I190*SUM(M191)</f>
        <v>110.712</v>
      </c>
      <c r="N190" s="90">
        <v>190</v>
      </c>
      <c r="O190" s="90" t="s">
        <v>1505</v>
      </c>
      <c r="P190" s="118"/>
      <c r="Q190" s="118"/>
      <c r="R190" s="90" t="s">
        <v>4656</v>
      </c>
      <c r="S190" s="90" t="s">
        <v>5720</v>
      </c>
      <c r="T190" s="90" t="s">
        <v>6218</v>
      </c>
      <c r="U190" s="90" t="s">
        <v>5196</v>
      </c>
      <c r="V190" s="93"/>
      <c r="W190" s="93"/>
    </row>
    <row r="191" spans="1:23" x14ac:dyDescent="0.25">
      <c r="A191" s="90" t="s">
        <v>1506</v>
      </c>
      <c r="B191" s="119">
        <v>5</v>
      </c>
      <c r="C191" s="90" t="s">
        <v>1503</v>
      </c>
      <c r="D191" s="90" t="s">
        <v>78</v>
      </c>
      <c r="E191">
        <v>374</v>
      </c>
      <c r="F191">
        <v>375</v>
      </c>
      <c r="G191" s="93" t="s">
        <v>78</v>
      </c>
      <c r="H191" t="s">
        <v>1504</v>
      </c>
      <c r="I191">
        <v>1</v>
      </c>
      <c r="J191">
        <v>184.52</v>
      </c>
      <c r="K191">
        <f>I191*J191</f>
        <v>184.52</v>
      </c>
      <c r="L191">
        <v>40</v>
      </c>
      <c r="M191">
        <f>(1-(L191/100))*K191</f>
        <v>110.712</v>
      </c>
      <c r="N191" s="90">
        <v>191</v>
      </c>
      <c r="O191" s="90" t="s">
        <v>1507</v>
      </c>
      <c r="P191" s="118"/>
      <c r="Q191" s="118"/>
      <c r="V191" s="93"/>
      <c r="W191" s="93"/>
    </row>
    <row r="192" spans="1:23" x14ac:dyDescent="0.25">
      <c r="A192" s="90" t="s">
        <v>1508</v>
      </c>
      <c r="B192" s="119">
        <v>4</v>
      </c>
      <c r="C192" s="90" t="s">
        <v>1453</v>
      </c>
      <c r="D192" s="90" t="s">
        <v>99</v>
      </c>
      <c r="E192">
        <v>377</v>
      </c>
      <c r="F192">
        <v>380</v>
      </c>
      <c r="G192" s="93" t="s">
        <v>68</v>
      </c>
      <c r="H192" t="s">
        <v>1509</v>
      </c>
      <c r="I192">
        <v>1</v>
      </c>
      <c r="J192">
        <f>SUM(K193)</f>
        <v>3300</v>
      </c>
      <c r="K192">
        <f>I192*J192</f>
        <v>3300</v>
      </c>
      <c r="L192">
        <f>100*(1-(M192/K192))</f>
        <v>40</v>
      </c>
      <c r="M192">
        <f>I192*SUM(M193)</f>
        <v>1980</v>
      </c>
      <c r="N192" s="90">
        <v>192</v>
      </c>
      <c r="O192" s="90" t="s">
        <v>1510</v>
      </c>
      <c r="P192" s="118"/>
      <c r="Q192" s="118"/>
      <c r="R192" s="90" t="s">
        <v>4657</v>
      </c>
      <c r="S192" s="90" t="s">
        <v>5721</v>
      </c>
      <c r="T192" s="90" t="s">
        <v>6219</v>
      </c>
      <c r="U192" s="90" t="s">
        <v>5197</v>
      </c>
      <c r="V192" s="93"/>
      <c r="W192" s="93"/>
    </row>
    <row r="193" spans="1:23" x14ac:dyDescent="0.25">
      <c r="A193" s="90" t="s">
        <v>1511</v>
      </c>
      <c r="B193" s="119">
        <v>5</v>
      </c>
      <c r="C193" s="90" t="s">
        <v>1508</v>
      </c>
      <c r="D193" s="90" t="s">
        <v>78</v>
      </c>
      <c r="E193">
        <v>378</v>
      </c>
      <c r="F193">
        <v>379</v>
      </c>
      <c r="G193" s="93" t="s">
        <v>78</v>
      </c>
      <c r="H193" t="s">
        <v>1509</v>
      </c>
      <c r="I193">
        <v>1</v>
      </c>
      <c r="J193">
        <v>3300</v>
      </c>
      <c r="K193">
        <f>I193*J193</f>
        <v>3300</v>
      </c>
      <c r="L193">
        <v>40</v>
      </c>
      <c r="M193">
        <f>(1-(L193/100))*K193</f>
        <v>1980</v>
      </c>
      <c r="N193" s="90">
        <v>193</v>
      </c>
      <c r="O193" s="90" t="s">
        <v>1512</v>
      </c>
      <c r="P193" s="118"/>
      <c r="Q193" s="118"/>
      <c r="V193" s="93"/>
      <c r="W193" s="93"/>
    </row>
    <row r="194" spans="1:23" x14ac:dyDescent="0.25">
      <c r="A194" s="90" t="s">
        <v>1513</v>
      </c>
      <c r="B194" s="119">
        <v>3</v>
      </c>
      <c r="C194" s="90" t="s">
        <v>1450</v>
      </c>
      <c r="D194" s="90" t="s">
        <v>79</v>
      </c>
      <c r="E194">
        <v>382</v>
      </c>
      <c r="F194">
        <v>437</v>
      </c>
      <c r="G194" s="93" t="s">
        <v>68</v>
      </c>
      <c r="H194" t="s">
        <v>448</v>
      </c>
      <c r="I194">
        <v>1</v>
      </c>
      <c r="J194">
        <f>SUM(K195,K197,K199)</f>
        <v>29718.680758970004</v>
      </c>
      <c r="K194">
        <f>I194*J194</f>
        <v>29718.680758970004</v>
      </c>
      <c r="L194">
        <f>100*(1-(M194/K194))</f>
        <v>40</v>
      </c>
      <c r="M194">
        <f>I194*SUM(M195,M197,M199)</f>
        <v>17831.208455382002</v>
      </c>
      <c r="N194" s="90">
        <v>194</v>
      </c>
      <c r="O194" s="90" t="s">
        <v>1514</v>
      </c>
      <c r="P194" s="118"/>
      <c r="Q194" s="118"/>
      <c r="R194" s="90" t="s">
        <v>6440</v>
      </c>
      <c r="S194" s="90" t="s">
        <v>6743</v>
      </c>
      <c r="T194" s="90" t="s">
        <v>6888</v>
      </c>
      <c r="U194" s="90" t="s">
        <v>6592</v>
      </c>
      <c r="V194" s="93"/>
      <c r="W194" s="93"/>
    </row>
    <row r="195" spans="1:23" x14ac:dyDescent="0.25">
      <c r="A195" s="90" t="s">
        <v>1515</v>
      </c>
      <c r="B195" s="119">
        <v>4</v>
      </c>
      <c r="C195" s="90" t="s">
        <v>1513</v>
      </c>
      <c r="D195" s="90" t="s">
        <v>78</v>
      </c>
      <c r="E195">
        <v>383</v>
      </c>
      <c r="F195">
        <v>386</v>
      </c>
      <c r="G195" s="93" t="s">
        <v>68</v>
      </c>
      <c r="H195" t="s">
        <v>449</v>
      </c>
      <c r="I195">
        <v>6</v>
      </c>
      <c r="J195">
        <f>SUM(K196)</f>
        <v>214.52947918000001</v>
      </c>
      <c r="K195">
        <f>I195*J195</f>
        <v>1287.1768750800002</v>
      </c>
      <c r="L195">
        <f>100*(1-(M195/K195))</f>
        <v>40</v>
      </c>
      <c r="M195">
        <f>I195*SUM(M196)</f>
        <v>772.30612504800001</v>
      </c>
      <c r="N195" s="90">
        <v>195</v>
      </c>
      <c r="O195" s="90" t="s">
        <v>1516</v>
      </c>
      <c r="P195" s="118"/>
      <c r="Q195" s="118"/>
      <c r="R195" s="90" t="s">
        <v>4667</v>
      </c>
      <c r="S195" s="90" t="s">
        <v>5731</v>
      </c>
      <c r="T195" s="90" t="s">
        <v>6229</v>
      </c>
      <c r="U195" s="90" t="s">
        <v>5207</v>
      </c>
      <c r="V195" s="93"/>
      <c r="W195" s="93"/>
    </row>
    <row r="196" spans="1:23" x14ac:dyDescent="0.25">
      <c r="A196" s="90" t="s">
        <v>1517</v>
      </c>
      <c r="B196" s="119">
        <v>5</v>
      </c>
      <c r="C196" s="90" t="s">
        <v>1515</v>
      </c>
      <c r="D196" s="90" t="s">
        <v>78</v>
      </c>
      <c r="E196">
        <v>384</v>
      </c>
      <c r="F196">
        <v>385</v>
      </c>
      <c r="G196" s="93" t="s">
        <v>78</v>
      </c>
      <c r="H196" t="s">
        <v>194</v>
      </c>
      <c r="I196">
        <v>1</v>
      </c>
      <c r="J196">
        <v>214.52947918000001</v>
      </c>
      <c r="K196">
        <f>I196*J196</f>
        <v>214.52947918000001</v>
      </c>
      <c r="L196">
        <v>40</v>
      </c>
      <c r="M196">
        <f>(1-(L196/100))*K196</f>
        <v>128.71768750800001</v>
      </c>
      <c r="N196" s="90">
        <v>196</v>
      </c>
      <c r="O196" s="90" t="s">
        <v>1518</v>
      </c>
      <c r="P196" s="118"/>
      <c r="Q196" s="118"/>
      <c r="V196" s="93"/>
      <c r="W196" s="93"/>
    </row>
    <row r="197" spans="1:23" x14ac:dyDescent="0.25">
      <c r="A197" s="90" t="s">
        <v>1519</v>
      </c>
      <c r="B197" s="119">
        <v>4</v>
      </c>
      <c r="C197" s="90" t="s">
        <v>1513</v>
      </c>
      <c r="D197" s="90" t="s">
        <v>79</v>
      </c>
      <c r="E197">
        <v>387</v>
      </c>
      <c r="F197">
        <v>390</v>
      </c>
      <c r="G197" s="93" t="s">
        <v>68</v>
      </c>
      <c r="H197" t="s">
        <v>452</v>
      </c>
      <c r="I197">
        <v>14</v>
      </c>
      <c r="J197">
        <f>SUM(K198)</f>
        <v>214.52947918000001</v>
      </c>
      <c r="K197">
        <f>I197*J197</f>
        <v>3003.4127085200003</v>
      </c>
      <c r="L197">
        <f>100*(1-(M197/K197))</f>
        <v>40</v>
      </c>
      <c r="M197">
        <f>I197*SUM(M198)</f>
        <v>1802.0476251120001</v>
      </c>
      <c r="N197" s="90">
        <v>197</v>
      </c>
      <c r="O197" s="90" t="s">
        <v>1520</v>
      </c>
      <c r="P197" s="118"/>
      <c r="Q197" s="118"/>
      <c r="R197" s="90" t="s">
        <v>4668</v>
      </c>
      <c r="S197" s="90" t="s">
        <v>5732</v>
      </c>
      <c r="T197" s="90" t="s">
        <v>6230</v>
      </c>
      <c r="U197" s="90" t="s">
        <v>5208</v>
      </c>
      <c r="V197" s="93"/>
      <c r="W197" s="93"/>
    </row>
    <row r="198" spans="1:23" x14ac:dyDescent="0.25">
      <c r="A198" s="90" t="s">
        <v>1521</v>
      </c>
      <c r="B198" s="119">
        <v>5</v>
      </c>
      <c r="C198" s="90" t="s">
        <v>1519</v>
      </c>
      <c r="D198" s="90" t="s">
        <v>78</v>
      </c>
      <c r="E198">
        <v>388</v>
      </c>
      <c r="F198">
        <v>389</v>
      </c>
      <c r="G198" s="93" t="s">
        <v>78</v>
      </c>
      <c r="H198" t="s">
        <v>196</v>
      </c>
      <c r="I198">
        <v>1</v>
      </c>
      <c r="J198">
        <v>214.52947918000001</v>
      </c>
      <c r="K198">
        <f>I198*J198</f>
        <v>214.52947918000001</v>
      </c>
      <c r="L198">
        <v>40</v>
      </c>
      <c r="M198">
        <f>(1-(L198/100))*K198</f>
        <v>128.71768750800001</v>
      </c>
      <c r="N198" s="90">
        <v>198</v>
      </c>
      <c r="O198" s="90" t="s">
        <v>1522</v>
      </c>
      <c r="P198" s="118"/>
      <c r="Q198" s="118"/>
      <c r="V198" s="93"/>
      <c r="W198" s="93"/>
    </row>
    <row r="199" spans="1:23" x14ac:dyDescent="0.25">
      <c r="A199" s="90" t="s">
        <v>1523</v>
      </c>
      <c r="B199" s="119">
        <v>4</v>
      </c>
      <c r="C199" s="90" t="s">
        <v>1513</v>
      </c>
      <c r="D199" s="90" t="s">
        <v>80</v>
      </c>
      <c r="E199">
        <v>391</v>
      </c>
      <c r="F199">
        <v>436</v>
      </c>
      <c r="G199" s="93" t="s">
        <v>68</v>
      </c>
      <c r="H199" t="s">
        <v>455</v>
      </c>
      <c r="I199">
        <v>1</v>
      </c>
      <c r="J199">
        <f>SUM(K200,K201,K202,K203,K204,K205,K206,K207,K208,K209,K210,K211,K212,K213,K214,K215,K216,K217,K218,K219,K220,K221)</f>
        <v>25428.091175370002</v>
      </c>
      <c r="K199">
        <f>I199*J199</f>
        <v>25428.091175370002</v>
      </c>
      <c r="L199">
        <f>100*(1-(M199/K199))</f>
        <v>40</v>
      </c>
      <c r="M199">
        <f>I199*SUM(M200,M201,M202,M203,M204,M205,M206,M207,M208,M209,M210,M211,M212,M213,M214,M215,M216,M217,M218,M219,M220,M221)</f>
        <v>15256.854705222</v>
      </c>
      <c r="N199" s="90">
        <v>199</v>
      </c>
      <c r="O199" s="90" t="s">
        <v>1524</v>
      </c>
      <c r="P199" s="118"/>
      <c r="Q199" s="118"/>
      <c r="R199" s="90" t="s">
        <v>4669</v>
      </c>
      <c r="S199" s="90" t="s">
        <v>5733</v>
      </c>
      <c r="T199" s="90" t="s">
        <v>6231</v>
      </c>
      <c r="U199" s="90" t="s">
        <v>5209</v>
      </c>
      <c r="V199" s="93"/>
      <c r="W199" s="93"/>
    </row>
    <row r="200" spans="1:23" x14ac:dyDescent="0.25">
      <c r="A200" s="90" t="s">
        <v>1525</v>
      </c>
      <c r="B200" s="119">
        <v>5</v>
      </c>
      <c r="C200" s="90" t="s">
        <v>1523</v>
      </c>
      <c r="D200" s="90" t="s">
        <v>78</v>
      </c>
      <c r="E200">
        <v>392</v>
      </c>
      <c r="F200">
        <v>393</v>
      </c>
      <c r="G200" s="93" t="s">
        <v>78</v>
      </c>
      <c r="H200" t="s">
        <v>124</v>
      </c>
      <c r="I200">
        <v>1</v>
      </c>
      <c r="J200">
        <v>6097.03298103</v>
      </c>
      <c r="K200">
        <f>I200*J200</f>
        <v>6097.03298103</v>
      </c>
      <c r="L200">
        <v>40</v>
      </c>
      <c r="M200">
        <f>(1-(L200/100))*K200</f>
        <v>3658.2197886179997</v>
      </c>
      <c r="N200" s="90">
        <v>200</v>
      </c>
      <c r="O200" s="90" t="s">
        <v>1526</v>
      </c>
      <c r="P200" s="118"/>
      <c r="Q200" s="118"/>
      <c r="V200" s="93"/>
      <c r="W200" s="93"/>
    </row>
    <row r="201" spans="1:23" x14ac:dyDescent="0.25">
      <c r="A201" s="90" t="s">
        <v>1527</v>
      </c>
      <c r="B201" s="119">
        <v>5</v>
      </c>
      <c r="C201" s="90" t="s">
        <v>1523</v>
      </c>
      <c r="D201" s="90" t="s">
        <v>79</v>
      </c>
      <c r="E201">
        <v>394</v>
      </c>
      <c r="F201">
        <v>395</v>
      </c>
      <c r="G201" s="93" t="s">
        <v>78</v>
      </c>
      <c r="H201" t="s">
        <v>458</v>
      </c>
      <c r="I201">
        <v>1</v>
      </c>
      <c r="J201">
        <v>537.64166561000002</v>
      </c>
      <c r="K201">
        <f>I201*J201</f>
        <v>537.64166561000002</v>
      </c>
      <c r="L201">
        <v>40</v>
      </c>
      <c r="M201">
        <f>(1-(L201/100))*K201</f>
        <v>322.58499936599998</v>
      </c>
      <c r="N201" s="90">
        <v>201</v>
      </c>
      <c r="O201" s="90" t="s">
        <v>1528</v>
      </c>
      <c r="P201" s="118"/>
      <c r="Q201" s="118"/>
      <c r="V201" s="93"/>
      <c r="W201" s="93"/>
    </row>
    <row r="202" spans="1:23" x14ac:dyDescent="0.25">
      <c r="A202" s="90" t="s">
        <v>1529</v>
      </c>
      <c r="B202" s="119">
        <v>5</v>
      </c>
      <c r="C202" s="90" t="s">
        <v>1523</v>
      </c>
      <c r="D202" s="90" t="s">
        <v>80</v>
      </c>
      <c r="E202">
        <v>396</v>
      </c>
      <c r="F202">
        <v>397</v>
      </c>
      <c r="G202" s="93" t="s">
        <v>78</v>
      </c>
      <c r="H202" t="s">
        <v>123</v>
      </c>
      <c r="I202">
        <v>2</v>
      </c>
      <c r="J202">
        <v>313.76543995999998</v>
      </c>
      <c r="K202">
        <f>I202*J202</f>
        <v>627.53087991999996</v>
      </c>
      <c r="L202">
        <v>40</v>
      </c>
      <c r="M202">
        <f>(1-(L202/100))*K202</f>
        <v>376.51852795199994</v>
      </c>
      <c r="N202" s="90">
        <v>202</v>
      </c>
      <c r="O202" s="90" t="s">
        <v>1530</v>
      </c>
      <c r="P202" s="118"/>
      <c r="Q202" s="118"/>
      <c r="V202" s="93"/>
      <c r="W202" s="93"/>
    </row>
    <row r="203" spans="1:23" x14ac:dyDescent="0.25">
      <c r="A203" s="90" t="s">
        <v>1531</v>
      </c>
      <c r="B203" s="119">
        <v>5</v>
      </c>
      <c r="C203" s="90" t="s">
        <v>1523</v>
      </c>
      <c r="D203" s="90" t="s">
        <v>95</v>
      </c>
      <c r="E203">
        <v>398</v>
      </c>
      <c r="F203">
        <v>399</v>
      </c>
      <c r="G203" s="93" t="s">
        <v>78</v>
      </c>
      <c r="H203" t="s">
        <v>120</v>
      </c>
      <c r="I203">
        <v>1</v>
      </c>
      <c r="J203">
        <v>967.93582071000003</v>
      </c>
      <c r="K203">
        <f>I203*J203</f>
        <v>967.93582071000003</v>
      </c>
      <c r="L203">
        <v>40</v>
      </c>
      <c r="M203">
        <f>(1-(L203/100))*K203</f>
        <v>580.76149242600002</v>
      </c>
      <c r="N203" s="90">
        <v>203</v>
      </c>
      <c r="O203" s="90" t="s">
        <v>1532</v>
      </c>
      <c r="P203" s="118"/>
      <c r="Q203" s="118"/>
      <c r="V203" s="93"/>
      <c r="W203" s="93"/>
    </row>
    <row r="204" spans="1:23" x14ac:dyDescent="0.25">
      <c r="A204" s="90" t="s">
        <v>1533</v>
      </c>
      <c r="B204" s="119">
        <v>5</v>
      </c>
      <c r="C204" s="90" t="s">
        <v>1523</v>
      </c>
      <c r="D204" s="90" t="s">
        <v>96</v>
      </c>
      <c r="E204">
        <v>400</v>
      </c>
      <c r="F204">
        <v>401</v>
      </c>
      <c r="G204" s="93" t="s">
        <v>78</v>
      </c>
      <c r="H204" t="s">
        <v>125</v>
      </c>
      <c r="I204">
        <v>1</v>
      </c>
      <c r="J204">
        <v>967.93582071000003</v>
      </c>
      <c r="K204">
        <f>I204*J204</f>
        <v>967.93582071000003</v>
      </c>
      <c r="L204">
        <v>40</v>
      </c>
      <c r="M204">
        <f>(1-(L204/100))*K204</f>
        <v>580.76149242600002</v>
      </c>
      <c r="N204" s="90">
        <v>204</v>
      </c>
      <c r="O204" s="90" t="s">
        <v>1534</v>
      </c>
      <c r="P204" s="118"/>
      <c r="Q204" s="118"/>
      <c r="V204" s="93"/>
      <c r="W204" s="93"/>
    </row>
    <row r="205" spans="1:23" x14ac:dyDescent="0.25">
      <c r="A205" s="90" t="s">
        <v>1535</v>
      </c>
      <c r="B205" s="119">
        <v>5</v>
      </c>
      <c r="C205" s="90" t="s">
        <v>1523</v>
      </c>
      <c r="D205" s="90" t="s">
        <v>103</v>
      </c>
      <c r="E205">
        <v>402</v>
      </c>
      <c r="F205">
        <v>403</v>
      </c>
      <c r="G205" s="93" t="s">
        <v>78</v>
      </c>
      <c r="H205" t="s">
        <v>191</v>
      </c>
      <c r="I205">
        <v>2</v>
      </c>
      <c r="J205">
        <v>862.86769387000004</v>
      </c>
      <c r="K205">
        <f>I205*J205</f>
        <v>1725.7353877400001</v>
      </c>
      <c r="L205">
        <v>40</v>
      </c>
      <c r="M205">
        <f>(1-(L205/100))*K205</f>
        <v>1035.4412326439999</v>
      </c>
      <c r="N205" s="90">
        <v>205</v>
      </c>
      <c r="O205" s="90" t="s">
        <v>1536</v>
      </c>
      <c r="P205" s="118"/>
      <c r="Q205" s="118"/>
      <c r="V205" s="93"/>
      <c r="W205" s="93"/>
    </row>
    <row r="206" spans="1:23" x14ac:dyDescent="0.25">
      <c r="A206" s="90" t="s">
        <v>1537</v>
      </c>
      <c r="B206" s="119">
        <v>5</v>
      </c>
      <c r="C206" s="90" t="s">
        <v>1523</v>
      </c>
      <c r="D206" s="90" t="s">
        <v>796</v>
      </c>
      <c r="E206">
        <v>404</v>
      </c>
      <c r="F206">
        <v>405</v>
      </c>
      <c r="G206" s="93" t="s">
        <v>78</v>
      </c>
      <c r="H206" t="s">
        <v>203</v>
      </c>
      <c r="I206">
        <v>1</v>
      </c>
      <c r="J206">
        <v>2064.00101872</v>
      </c>
      <c r="K206">
        <f>I206*J206</f>
        <v>2064.00101872</v>
      </c>
      <c r="L206">
        <v>40</v>
      </c>
      <c r="M206">
        <f>(1-(L206/100))*K206</f>
        <v>1238.4006112320001</v>
      </c>
      <c r="N206" s="90">
        <v>206</v>
      </c>
      <c r="O206" s="90" t="s">
        <v>1538</v>
      </c>
      <c r="P206" s="118"/>
      <c r="Q206" s="118"/>
      <c r="V206" s="93"/>
      <c r="W206" s="93"/>
    </row>
    <row r="207" spans="1:23" x14ac:dyDescent="0.25">
      <c r="A207" s="90" t="s">
        <v>1539</v>
      </c>
      <c r="B207" s="119">
        <v>5</v>
      </c>
      <c r="C207" s="90" t="s">
        <v>1523</v>
      </c>
      <c r="D207" s="90" t="s">
        <v>797</v>
      </c>
      <c r="E207">
        <v>406</v>
      </c>
      <c r="F207">
        <v>407</v>
      </c>
      <c r="G207" s="93" t="s">
        <v>78</v>
      </c>
      <c r="H207" t="s">
        <v>193</v>
      </c>
      <c r="I207">
        <v>1</v>
      </c>
      <c r="J207">
        <v>7211.7152680500003</v>
      </c>
      <c r="K207">
        <f>I207*J207</f>
        <v>7211.7152680500003</v>
      </c>
      <c r="L207">
        <v>40</v>
      </c>
      <c r="M207">
        <f>(1-(L207/100))*K207</f>
        <v>4327.0291608300004</v>
      </c>
      <c r="N207" s="90">
        <v>207</v>
      </c>
      <c r="O207" s="90" t="s">
        <v>1540</v>
      </c>
      <c r="P207" s="118"/>
      <c r="Q207" s="118"/>
      <c r="V207" s="93"/>
      <c r="W207" s="93"/>
    </row>
    <row r="208" spans="1:23" x14ac:dyDescent="0.25">
      <c r="A208" s="90" t="s">
        <v>1541</v>
      </c>
      <c r="B208" s="119">
        <v>5</v>
      </c>
      <c r="C208" s="90" t="s">
        <v>1523</v>
      </c>
      <c r="D208" s="90" t="s">
        <v>798</v>
      </c>
      <c r="E208">
        <v>408</v>
      </c>
      <c r="F208">
        <v>409</v>
      </c>
      <c r="G208" s="93" t="s">
        <v>78</v>
      </c>
      <c r="H208" t="s">
        <v>194</v>
      </c>
      <c r="I208">
        <v>0</v>
      </c>
      <c r="J208">
        <v>214.52947918000001</v>
      </c>
      <c r="K208">
        <f>I208*J208</f>
        <v>0</v>
      </c>
      <c r="L208">
        <v>40</v>
      </c>
      <c r="M208">
        <f>(1-(L208/100))*K208</f>
        <v>0</v>
      </c>
      <c r="N208" s="90">
        <v>208</v>
      </c>
      <c r="O208" s="90" t="s">
        <v>1542</v>
      </c>
      <c r="P208" s="118"/>
      <c r="Q208" s="118"/>
      <c r="V208" s="93"/>
      <c r="W208" s="93"/>
    </row>
    <row r="209" spans="1:23" x14ac:dyDescent="0.25">
      <c r="A209" s="90" t="s">
        <v>1543</v>
      </c>
      <c r="B209" s="119">
        <v>5</v>
      </c>
      <c r="C209" s="90" t="s">
        <v>1523</v>
      </c>
      <c r="D209" s="90" t="s">
        <v>799</v>
      </c>
      <c r="E209">
        <v>410</v>
      </c>
      <c r="F209">
        <v>411</v>
      </c>
      <c r="G209" s="93" t="s">
        <v>78</v>
      </c>
      <c r="H209" t="s">
        <v>196</v>
      </c>
      <c r="I209">
        <v>0</v>
      </c>
      <c r="J209">
        <v>214.52947918000001</v>
      </c>
      <c r="K209">
        <f>I209*J209</f>
        <v>0</v>
      </c>
      <c r="L209">
        <v>40</v>
      </c>
      <c r="M209">
        <f>(1-(L209/100))*K209</f>
        <v>0</v>
      </c>
      <c r="N209" s="90">
        <v>209</v>
      </c>
      <c r="O209" s="90" t="s">
        <v>1544</v>
      </c>
      <c r="P209" s="118"/>
      <c r="Q209" s="118"/>
      <c r="V209" s="93"/>
      <c r="W209" s="93"/>
    </row>
    <row r="210" spans="1:23" x14ac:dyDescent="0.25">
      <c r="A210" s="90" t="s">
        <v>1545</v>
      </c>
      <c r="B210" s="119">
        <v>5</v>
      </c>
      <c r="C210" s="90" t="s">
        <v>1523</v>
      </c>
      <c r="D210" s="90" t="s">
        <v>97</v>
      </c>
      <c r="E210">
        <v>412</v>
      </c>
      <c r="F210">
        <v>413</v>
      </c>
      <c r="G210" s="93" t="s">
        <v>78</v>
      </c>
      <c r="H210" t="s">
        <v>187</v>
      </c>
      <c r="I210">
        <v>3</v>
      </c>
      <c r="J210">
        <v>256.72991214000001</v>
      </c>
      <c r="K210">
        <f>I210*J210</f>
        <v>770.18973642000003</v>
      </c>
      <c r="L210">
        <v>40</v>
      </c>
      <c r="M210">
        <f>(1-(L210/100))*K210</f>
        <v>462.11384185200001</v>
      </c>
      <c r="N210" s="90">
        <v>210</v>
      </c>
      <c r="O210" s="90" t="s">
        <v>1546</v>
      </c>
      <c r="P210" s="118"/>
      <c r="Q210" s="118"/>
      <c r="V210" s="93"/>
      <c r="W210" s="93"/>
    </row>
    <row r="211" spans="1:23" x14ac:dyDescent="0.25">
      <c r="A211" s="90" t="s">
        <v>1547</v>
      </c>
      <c r="B211" s="119">
        <v>5</v>
      </c>
      <c r="C211" s="90" t="s">
        <v>1523</v>
      </c>
      <c r="D211" s="90" t="s">
        <v>98</v>
      </c>
      <c r="E211">
        <v>414</v>
      </c>
      <c r="F211">
        <v>415</v>
      </c>
      <c r="G211" s="93" t="s">
        <v>78</v>
      </c>
      <c r="H211" t="s">
        <v>468</v>
      </c>
      <c r="I211">
        <v>1</v>
      </c>
      <c r="J211">
        <v>997.30039475000001</v>
      </c>
      <c r="K211">
        <f>I211*J211</f>
        <v>997.30039475000001</v>
      </c>
      <c r="L211">
        <v>40</v>
      </c>
      <c r="M211">
        <f>(1-(L211/100))*K211</f>
        <v>598.38023684999996</v>
      </c>
      <c r="N211" s="90">
        <v>211</v>
      </c>
      <c r="O211" s="90" t="s">
        <v>1548</v>
      </c>
      <c r="P211" s="118"/>
      <c r="Q211" s="118"/>
      <c r="V211" s="93"/>
      <c r="W211" s="93"/>
    </row>
    <row r="212" spans="1:23" x14ac:dyDescent="0.25">
      <c r="A212" s="90" t="s">
        <v>1549</v>
      </c>
      <c r="B212" s="119">
        <v>5</v>
      </c>
      <c r="C212" s="90" t="s">
        <v>1523</v>
      </c>
      <c r="D212" s="90" t="s">
        <v>99</v>
      </c>
      <c r="E212">
        <v>416</v>
      </c>
      <c r="F212">
        <v>417</v>
      </c>
      <c r="G212" s="93" t="s">
        <v>78</v>
      </c>
      <c r="H212" t="s">
        <v>470</v>
      </c>
      <c r="I212">
        <v>1</v>
      </c>
      <c r="J212">
        <v>938.16375906999997</v>
      </c>
      <c r="K212">
        <f>I212*J212</f>
        <v>938.16375906999997</v>
      </c>
      <c r="L212">
        <v>40</v>
      </c>
      <c r="M212">
        <f>(1-(L212/100))*K212</f>
        <v>562.89825544199994</v>
      </c>
      <c r="N212" s="90">
        <v>212</v>
      </c>
      <c r="O212" s="90" t="s">
        <v>1550</v>
      </c>
      <c r="P212" s="118"/>
      <c r="Q212" s="118"/>
      <c r="V212" s="93"/>
      <c r="W212" s="93"/>
    </row>
    <row r="213" spans="1:23" x14ac:dyDescent="0.25">
      <c r="A213" s="90" t="s">
        <v>1551</v>
      </c>
      <c r="B213" s="119">
        <v>5</v>
      </c>
      <c r="C213" s="90" t="s">
        <v>1523</v>
      </c>
      <c r="D213" s="90" t="s">
        <v>100</v>
      </c>
      <c r="E213">
        <v>418</v>
      </c>
      <c r="F213">
        <v>419</v>
      </c>
      <c r="G213" s="93" t="s">
        <v>78</v>
      </c>
      <c r="H213" t="s">
        <v>119</v>
      </c>
      <c r="I213">
        <v>1</v>
      </c>
      <c r="J213">
        <v>594.85546925000006</v>
      </c>
      <c r="K213">
        <f>I213*J213</f>
        <v>594.85546925000006</v>
      </c>
      <c r="L213">
        <v>40</v>
      </c>
      <c r="M213">
        <f>(1-(L213/100))*K213</f>
        <v>356.91328155000002</v>
      </c>
      <c r="N213" s="90">
        <v>213</v>
      </c>
      <c r="O213" s="90" t="s">
        <v>1552</v>
      </c>
      <c r="P213" s="118"/>
      <c r="Q213" s="118"/>
      <c r="V213" s="93"/>
      <c r="W213" s="93"/>
    </row>
    <row r="214" spans="1:23" x14ac:dyDescent="0.25">
      <c r="A214" s="90" t="s">
        <v>1553</v>
      </c>
      <c r="B214" s="119">
        <v>5</v>
      </c>
      <c r="C214" s="90" t="s">
        <v>1523</v>
      </c>
      <c r="D214" s="90" t="s">
        <v>81</v>
      </c>
      <c r="E214">
        <v>420</v>
      </c>
      <c r="F214">
        <v>421</v>
      </c>
      <c r="G214" s="93" t="s">
        <v>78</v>
      </c>
      <c r="H214" t="s">
        <v>127</v>
      </c>
      <c r="I214">
        <v>1</v>
      </c>
      <c r="J214">
        <v>275.43613906000002</v>
      </c>
      <c r="K214">
        <f>I214*J214</f>
        <v>275.43613906000002</v>
      </c>
      <c r="L214">
        <v>40</v>
      </c>
      <c r="M214">
        <f>(1-(L214/100))*K214</f>
        <v>165.261683436</v>
      </c>
      <c r="N214" s="90">
        <v>214</v>
      </c>
      <c r="O214" s="90" t="s">
        <v>1554</v>
      </c>
      <c r="P214" s="118"/>
      <c r="Q214" s="118"/>
      <c r="V214" s="93"/>
      <c r="W214" s="93"/>
    </row>
    <row r="215" spans="1:23" x14ac:dyDescent="0.25">
      <c r="A215" s="90" t="s">
        <v>1555</v>
      </c>
      <c r="B215" s="119">
        <v>5</v>
      </c>
      <c r="C215" s="90" t="s">
        <v>1523</v>
      </c>
      <c r="D215" s="90" t="s">
        <v>83</v>
      </c>
      <c r="E215">
        <v>422</v>
      </c>
      <c r="F215">
        <v>423</v>
      </c>
      <c r="G215" s="93" t="s">
        <v>78</v>
      </c>
      <c r="H215" t="s">
        <v>121</v>
      </c>
      <c r="I215">
        <v>1</v>
      </c>
      <c r="J215">
        <v>78.186680249999995</v>
      </c>
      <c r="K215">
        <f>I215*J215</f>
        <v>78.186680249999995</v>
      </c>
      <c r="L215">
        <v>40</v>
      </c>
      <c r="M215">
        <f>(1-(L215/100))*K215</f>
        <v>46.912008149999998</v>
      </c>
      <c r="N215" s="90">
        <v>215</v>
      </c>
      <c r="O215" s="90" t="s">
        <v>1556</v>
      </c>
      <c r="P215" s="118"/>
      <c r="Q215" s="118"/>
      <c r="V215" s="93"/>
      <c r="W215" s="93"/>
    </row>
    <row r="216" spans="1:23" x14ac:dyDescent="0.25">
      <c r="A216" s="90" t="s">
        <v>1557</v>
      </c>
      <c r="B216" s="119">
        <v>5</v>
      </c>
      <c r="C216" s="90" t="s">
        <v>1523</v>
      </c>
      <c r="D216" s="90" t="s">
        <v>84</v>
      </c>
      <c r="E216">
        <v>424</v>
      </c>
      <c r="F216">
        <v>425</v>
      </c>
      <c r="G216" s="93" t="s">
        <v>78</v>
      </c>
      <c r="H216" t="s">
        <v>122</v>
      </c>
      <c r="I216">
        <v>1</v>
      </c>
      <c r="J216">
        <v>823.90169361999995</v>
      </c>
      <c r="K216">
        <f>I216*J216</f>
        <v>823.90169361999995</v>
      </c>
      <c r="L216">
        <v>40</v>
      </c>
      <c r="M216">
        <f>(1-(L216/100))*K216</f>
        <v>494.34101617199997</v>
      </c>
      <c r="N216" s="90">
        <v>216</v>
      </c>
      <c r="O216" s="90" t="s">
        <v>1040</v>
      </c>
      <c r="P216" s="118"/>
      <c r="Q216" s="118"/>
      <c r="V216" s="93"/>
      <c r="W216" s="93"/>
    </row>
    <row r="217" spans="1:23" x14ac:dyDescent="0.25">
      <c r="A217" s="90" t="s">
        <v>1558</v>
      </c>
      <c r="B217" s="119">
        <v>5</v>
      </c>
      <c r="C217" s="90" t="s">
        <v>1523</v>
      </c>
      <c r="D217" s="90" t="s">
        <v>85</v>
      </c>
      <c r="E217">
        <v>426</v>
      </c>
      <c r="F217">
        <v>427</v>
      </c>
      <c r="G217" s="93" t="s">
        <v>78</v>
      </c>
      <c r="H217" t="s">
        <v>128</v>
      </c>
      <c r="I217">
        <v>1</v>
      </c>
      <c r="J217">
        <v>270.62269196</v>
      </c>
      <c r="K217">
        <f>I217*J217</f>
        <v>270.62269196</v>
      </c>
      <c r="L217">
        <v>40</v>
      </c>
      <c r="M217">
        <f>(1-(L217/100))*K217</f>
        <v>162.37361517599999</v>
      </c>
      <c r="N217" s="90">
        <v>217</v>
      </c>
      <c r="O217" s="90" t="s">
        <v>157</v>
      </c>
      <c r="P217" s="118"/>
      <c r="Q217" s="118"/>
      <c r="V217" s="93"/>
      <c r="W217" s="93"/>
    </row>
    <row r="218" spans="1:23" x14ac:dyDescent="0.25">
      <c r="A218" s="90" t="s">
        <v>1559</v>
      </c>
      <c r="B218" s="119">
        <v>5</v>
      </c>
      <c r="C218" s="90" t="s">
        <v>1523</v>
      </c>
      <c r="D218" s="90" t="s">
        <v>86</v>
      </c>
      <c r="E218">
        <v>428</v>
      </c>
      <c r="F218">
        <v>429</v>
      </c>
      <c r="G218" s="93" t="s">
        <v>78</v>
      </c>
      <c r="H218" t="s">
        <v>477</v>
      </c>
      <c r="I218">
        <v>1</v>
      </c>
      <c r="J218">
        <v>60.142620649999998</v>
      </c>
      <c r="K218">
        <f>I218*J218</f>
        <v>60.142620649999998</v>
      </c>
      <c r="L218">
        <v>40</v>
      </c>
      <c r="M218">
        <f>(1-(L218/100))*K218</f>
        <v>36.085572389999996</v>
      </c>
      <c r="N218" s="90">
        <v>218</v>
      </c>
      <c r="O218" s="90" t="s">
        <v>158</v>
      </c>
      <c r="P218" s="118"/>
      <c r="Q218" s="118"/>
      <c r="V218" s="93"/>
      <c r="W218" s="93"/>
    </row>
    <row r="219" spans="1:23" x14ac:dyDescent="0.25">
      <c r="A219" s="90" t="s">
        <v>1560</v>
      </c>
      <c r="B219" s="119">
        <v>5</v>
      </c>
      <c r="C219" s="90" t="s">
        <v>1523</v>
      </c>
      <c r="D219" s="90" t="s">
        <v>87</v>
      </c>
      <c r="E219">
        <v>430</v>
      </c>
      <c r="F219">
        <v>431</v>
      </c>
      <c r="G219" s="93" t="s">
        <v>78</v>
      </c>
      <c r="H219" t="s">
        <v>134</v>
      </c>
      <c r="I219">
        <v>0</v>
      </c>
      <c r="J219">
        <v>119.07551254000001</v>
      </c>
      <c r="K219">
        <f>I219*J219</f>
        <v>0</v>
      </c>
      <c r="L219">
        <v>40</v>
      </c>
      <c r="M219">
        <f>(1-(L219/100))*K219</f>
        <v>0</v>
      </c>
      <c r="N219" s="90">
        <v>219</v>
      </c>
      <c r="O219" s="90" t="s">
        <v>159</v>
      </c>
      <c r="P219" s="118"/>
      <c r="Q219" s="118"/>
      <c r="V219" s="93"/>
      <c r="W219" s="93"/>
    </row>
    <row r="220" spans="1:23" x14ac:dyDescent="0.25">
      <c r="A220" s="90" t="s">
        <v>1561</v>
      </c>
      <c r="B220" s="119">
        <v>5</v>
      </c>
      <c r="C220" s="90" t="s">
        <v>1523</v>
      </c>
      <c r="D220" s="90" t="s">
        <v>101</v>
      </c>
      <c r="E220">
        <v>432</v>
      </c>
      <c r="F220">
        <v>433</v>
      </c>
      <c r="G220" s="93" t="s">
        <v>78</v>
      </c>
      <c r="H220" t="s">
        <v>129</v>
      </c>
      <c r="I220">
        <v>1</v>
      </c>
      <c r="J220">
        <v>212.88679486000001</v>
      </c>
      <c r="K220">
        <f>I220*J220</f>
        <v>212.88679486000001</v>
      </c>
      <c r="L220">
        <v>40</v>
      </c>
      <c r="M220">
        <f>(1-(L220/100))*K220</f>
        <v>127.732076916</v>
      </c>
      <c r="N220" s="90">
        <v>220</v>
      </c>
      <c r="O220" s="90" t="s">
        <v>160</v>
      </c>
      <c r="P220" s="118"/>
      <c r="Q220" s="118"/>
      <c r="V220" s="93"/>
      <c r="W220" s="93"/>
    </row>
    <row r="221" spans="1:23" x14ac:dyDescent="0.25">
      <c r="A221" s="90" t="s">
        <v>1562</v>
      </c>
      <c r="B221" s="119">
        <v>5</v>
      </c>
      <c r="C221" s="90" t="s">
        <v>1523</v>
      </c>
      <c r="D221" s="90" t="s">
        <v>88</v>
      </c>
      <c r="E221">
        <v>434</v>
      </c>
      <c r="F221">
        <v>435</v>
      </c>
      <c r="G221" s="93" t="s">
        <v>78</v>
      </c>
      <c r="H221" t="s">
        <v>130</v>
      </c>
      <c r="I221">
        <v>1</v>
      </c>
      <c r="J221">
        <v>206.87635298999999</v>
      </c>
      <c r="K221">
        <f>I221*J221</f>
        <v>206.87635298999999</v>
      </c>
      <c r="L221">
        <v>40</v>
      </c>
      <c r="M221">
        <f>(1-(L221/100))*K221</f>
        <v>124.12581179399999</v>
      </c>
      <c r="N221" s="90">
        <v>221</v>
      </c>
      <c r="O221" s="90" t="s">
        <v>161</v>
      </c>
      <c r="P221" s="118"/>
      <c r="Q221" s="118"/>
      <c r="V221" s="93"/>
      <c r="W221" s="93"/>
    </row>
    <row r="222" spans="1:23" x14ac:dyDescent="0.25">
      <c r="A222" s="90" t="s">
        <v>1563</v>
      </c>
      <c r="B222" s="119">
        <v>3</v>
      </c>
      <c r="C222" s="90" t="s">
        <v>1450</v>
      </c>
      <c r="D222" s="90" t="s">
        <v>80</v>
      </c>
      <c r="E222">
        <v>438</v>
      </c>
      <c r="F222">
        <v>457</v>
      </c>
      <c r="G222" s="93" t="s">
        <v>68</v>
      </c>
      <c r="H222" t="s">
        <v>1564</v>
      </c>
      <c r="I222">
        <v>1</v>
      </c>
      <c r="J222">
        <f>SUM(K223,K225)</f>
        <v>13283.713230629997</v>
      </c>
      <c r="K222">
        <f>I222*J222</f>
        <v>13283.713230629997</v>
      </c>
      <c r="L222">
        <f>100*(1-(M222/K222))</f>
        <v>39.999999999999993</v>
      </c>
      <c r="M222">
        <f>I222*SUM(M223,M225)</f>
        <v>7970.2279383779996</v>
      </c>
      <c r="N222" s="90">
        <v>222</v>
      </c>
      <c r="O222" s="90" t="s">
        <v>162</v>
      </c>
      <c r="P222" s="118"/>
      <c r="Q222" s="118"/>
      <c r="R222" s="90" t="s">
        <v>6441</v>
      </c>
      <c r="S222" s="90" t="s">
        <v>6744</v>
      </c>
      <c r="T222" s="90" t="s">
        <v>6889</v>
      </c>
      <c r="U222" s="90" t="s">
        <v>6593</v>
      </c>
      <c r="V222" s="93"/>
      <c r="W222" s="93"/>
    </row>
    <row r="223" spans="1:23" x14ac:dyDescent="0.25">
      <c r="A223" s="90" t="s">
        <v>1565</v>
      </c>
      <c r="B223" s="119">
        <v>4</v>
      </c>
      <c r="C223" s="90" t="s">
        <v>1563</v>
      </c>
      <c r="D223" s="90" t="s">
        <v>78</v>
      </c>
      <c r="E223">
        <v>439</v>
      </c>
      <c r="F223">
        <v>442</v>
      </c>
      <c r="G223" s="93" t="s">
        <v>68</v>
      </c>
      <c r="H223" t="s">
        <v>186</v>
      </c>
      <c r="I223">
        <v>3</v>
      </c>
      <c r="J223">
        <f>SUM(K224)</f>
        <v>256.72991214000001</v>
      </c>
      <c r="K223">
        <f>I223*J223</f>
        <v>770.18973642000003</v>
      </c>
      <c r="L223">
        <f>100*(1-(M223/K223))</f>
        <v>39.999999999999993</v>
      </c>
      <c r="M223">
        <f>I223*SUM(M224)</f>
        <v>462.11384185200006</v>
      </c>
      <c r="N223" s="90">
        <v>223</v>
      </c>
      <c r="O223" s="90" t="s">
        <v>163</v>
      </c>
      <c r="P223" s="118"/>
      <c r="Q223" s="118"/>
      <c r="R223" s="90" t="s">
        <v>4670</v>
      </c>
      <c r="S223" s="90" t="s">
        <v>5734</v>
      </c>
      <c r="T223" s="90" t="s">
        <v>6232</v>
      </c>
      <c r="U223" s="90" t="s">
        <v>5210</v>
      </c>
      <c r="V223" s="93"/>
      <c r="W223" s="93"/>
    </row>
    <row r="224" spans="1:23" x14ac:dyDescent="0.25">
      <c r="A224" s="90" t="s">
        <v>1566</v>
      </c>
      <c r="B224" s="119">
        <v>5</v>
      </c>
      <c r="C224" s="90" t="s">
        <v>1565</v>
      </c>
      <c r="D224" s="90" t="s">
        <v>78</v>
      </c>
      <c r="E224">
        <v>440</v>
      </c>
      <c r="F224">
        <v>441</v>
      </c>
      <c r="G224" s="93" t="s">
        <v>78</v>
      </c>
      <c r="H224" t="s">
        <v>187</v>
      </c>
      <c r="I224">
        <v>1</v>
      </c>
      <c r="J224">
        <v>256.72991214000001</v>
      </c>
      <c r="K224">
        <f>I224*J224</f>
        <v>256.72991214000001</v>
      </c>
      <c r="L224">
        <v>40</v>
      </c>
      <c r="M224">
        <f>(1-(L224/100))*K224</f>
        <v>154.03794728400001</v>
      </c>
      <c r="N224" s="90">
        <v>224</v>
      </c>
      <c r="O224" s="90" t="s">
        <v>164</v>
      </c>
      <c r="P224" s="118"/>
      <c r="Q224" s="118"/>
      <c r="V224" s="93"/>
      <c r="W224" s="93"/>
    </row>
    <row r="225" spans="1:23" x14ac:dyDescent="0.25">
      <c r="A225" s="90" t="s">
        <v>1567</v>
      </c>
      <c r="B225" s="119">
        <v>4</v>
      </c>
      <c r="C225" s="90" t="s">
        <v>1563</v>
      </c>
      <c r="D225" s="90" t="s">
        <v>79</v>
      </c>
      <c r="E225">
        <v>443</v>
      </c>
      <c r="F225">
        <v>456</v>
      </c>
      <c r="G225" s="93" t="s">
        <v>68</v>
      </c>
      <c r="H225" t="s">
        <v>1568</v>
      </c>
      <c r="I225">
        <v>1</v>
      </c>
      <c r="J225">
        <f>SUM(K226,K227,K228,K229,K230,K231)</f>
        <v>12513.523494209998</v>
      </c>
      <c r="K225">
        <f>I225*J225</f>
        <v>12513.523494209998</v>
      </c>
      <c r="L225">
        <f>100*(1-(M225/K225))</f>
        <v>39.999999999999993</v>
      </c>
      <c r="M225">
        <f>I225*SUM(M226,M227,M228,M229,M230,M231)</f>
        <v>7508.1140965259992</v>
      </c>
      <c r="N225" s="90">
        <v>225</v>
      </c>
      <c r="O225" s="90" t="s">
        <v>165</v>
      </c>
      <c r="P225" s="118"/>
      <c r="Q225" s="118"/>
      <c r="R225" s="90" t="s">
        <v>4671</v>
      </c>
      <c r="S225" s="90" t="s">
        <v>5735</v>
      </c>
      <c r="T225" s="90" t="s">
        <v>6233</v>
      </c>
      <c r="U225" s="90" t="s">
        <v>5211</v>
      </c>
      <c r="V225" s="93"/>
      <c r="W225" s="93"/>
    </row>
    <row r="226" spans="1:23" x14ac:dyDescent="0.25">
      <c r="A226" s="90" t="s">
        <v>1569</v>
      </c>
      <c r="B226" s="119">
        <v>5</v>
      </c>
      <c r="C226" s="90" t="s">
        <v>1567</v>
      </c>
      <c r="D226" s="90" t="s">
        <v>78</v>
      </c>
      <c r="E226">
        <v>444</v>
      </c>
      <c r="F226">
        <v>445</v>
      </c>
      <c r="G226" s="93" t="s">
        <v>78</v>
      </c>
      <c r="H226" t="s">
        <v>189</v>
      </c>
      <c r="I226">
        <v>1</v>
      </c>
      <c r="J226">
        <v>10880.466063919999</v>
      </c>
      <c r="K226">
        <f>I226*J226</f>
        <v>10880.466063919999</v>
      </c>
      <c r="L226">
        <v>40</v>
      </c>
      <c r="M226">
        <f>(1-(L226/100))*K226</f>
        <v>6528.279638351999</v>
      </c>
      <c r="N226" s="90">
        <v>226</v>
      </c>
      <c r="O226" s="90" t="s">
        <v>166</v>
      </c>
      <c r="P226" s="118"/>
      <c r="Q226" s="118"/>
      <c r="V226" s="93"/>
      <c r="W226" s="93"/>
    </row>
    <row r="227" spans="1:23" x14ac:dyDescent="0.25">
      <c r="A227" s="90" t="s">
        <v>1570</v>
      </c>
      <c r="B227" s="119">
        <v>5</v>
      </c>
      <c r="C227" s="90" t="s">
        <v>1567</v>
      </c>
      <c r="D227" s="90" t="s">
        <v>79</v>
      </c>
      <c r="E227">
        <v>446</v>
      </c>
      <c r="F227">
        <v>447</v>
      </c>
      <c r="G227" s="93" t="s">
        <v>78</v>
      </c>
      <c r="H227" t="s">
        <v>191</v>
      </c>
      <c r="I227">
        <v>1</v>
      </c>
      <c r="J227">
        <v>862.86769387000004</v>
      </c>
      <c r="K227">
        <f>I227*J227</f>
        <v>862.86769387000004</v>
      </c>
      <c r="L227">
        <v>40</v>
      </c>
      <c r="M227">
        <f>(1-(L227/100))*K227</f>
        <v>517.72061632199996</v>
      </c>
      <c r="N227" s="90">
        <v>227</v>
      </c>
      <c r="O227" s="90" t="s">
        <v>167</v>
      </c>
      <c r="P227" s="118"/>
      <c r="Q227" s="118"/>
      <c r="V227" s="93"/>
      <c r="W227" s="93"/>
    </row>
    <row r="228" spans="1:23" x14ac:dyDescent="0.25">
      <c r="A228" s="90" t="s">
        <v>1571</v>
      </c>
      <c r="B228" s="119">
        <v>5</v>
      </c>
      <c r="C228" s="90" t="s">
        <v>1567</v>
      </c>
      <c r="D228" s="90" t="s">
        <v>80</v>
      </c>
      <c r="E228">
        <v>448</v>
      </c>
      <c r="F228">
        <v>449</v>
      </c>
      <c r="G228" s="93" t="s">
        <v>78</v>
      </c>
      <c r="H228" t="s">
        <v>193</v>
      </c>
      <c r="I228">
        <v>0</v>
      </c>
      <c r="J228">
        <v>7211.7152680500003</v>
      </c>
      <c r="K228">
        <f>I228*J228</f>
        <v>0</v>
      </c>
      <c r="L228">
        <v>40</v>
      </c>
      <c r="M228">
        <f>(1-(L228/100))*K228</f>
        <v>0</v>
      </c>
      <c r="N228" s="90">
        <v>228</v>
      </c>
      <c r="O228" s="90" t="s">
        <v>168</v>
      </c>
      <c r="P228" s="118"/>
      <c r="Q228" s="118"/>
      <c r="V228" s="93"/>
      <c r="W228" s="93"/>
    </row>
    <row r="229" spans="1:23" x14ac:dyDescent="0.25">
      <c r="A229" s="90" t="s">
        <v>1572</v>
      </c>
      <c r="B229" s="119">
        <v>5</v>
      </c>
      <c r="C229" s="90" t="s">
        <v>1567</v>
      </c>
      <c r="D229" s="90" t="s">
        <v>95</v>
      </c>
      <c r="E229">
        <v>450</v>
      </c>
      <c r="F229">
        <v>451</v>
      </c>
      <c r="G229" s="93" t="s">
        <v>78</v>
      </c>
      <c r="H229" t="s">
        <v>194</v>
      </c>
      <c r="I229">
        <v>0</v>
      </c>
      <c r="J229">
        <v>214.52947918000001</v>
      </c>
      <c r="K229">
        <f>I229*J229</f>
        <v>0</v>
      </c>
      <c r="L229">
        <v>40</v>
      </c>
      <c r="M229">
        <f>(1-(L229/100))*K229</f>
        <v>0</v>
      </c>
      <c r="N229" s="90">
        <v>229</v>
      </c>
      <c r="O229" s="90" t="s">
        <v>169</v>
      </c>
      <c r="P229" s="118"/>
      <c r="Q229" s="118"/>
      <c r="V229" s="93"/>
      <c r="W229" s="93"/>
    </row>
    <row r="230" spans="1:23" x14ac:dyDescent="0.25">
      <c r="A230" s="90" t="s">
        <v>1573</v>
      </c>
      <c r="B230" s="119">
        <v>5</v>
      </c>
      <c r="C230" s="90" t="s">
        <v>1567</v>
      </c>
      <c r="D230" s="90" t="s">
        <v>96</v>
      </c>
      <c r="E230">
        <v>452</v>
      </c>
      <c r="F230">
        <v>453</v>
      </c>
      <c r="G230" s="93" t="s">
        <v>78</v>
      </c>
      <c r="H230" t="s">
        <v>196</v>
      </c>
      <c r="I230">
        <v>0</v>
      </c>
      <c r="J230">
        <v>214.52947918000001</v>
      </c>
      <c r="K230">
        <f>I230*J230</f>
        <v>0</v>
      </c>
      <c r="L230">
        <v>40</v>
      </c>
      <c r="M230">
        <f>(1-(L230/100))*K230</f>
        <v>0</v>
      </c>
      <c r="N230" s="90">
        <v>230</v>
      </c>
      <c r="O230" s="90" t="s">
        <v>1041</v>
      </c>
      <c r="P230" s="118"/>
      <c r="Q230" s="118"/>
      <c r="V230" s="93"/>
      <c r="W230" s="93"/>
    </row>
    <row r="231" spans="1:23" x14ac:dyDescent="0.25">
      <c r="A231" s="90" t="s">
        <v>1574</v>
      </c>
      <c r="B231" s="119">
        <v>5</v>
      </c>
      <c r="C231" s="90" t="s">
        <v>1567</v>
      </c>
      <c r="D231" s="90" t="s">
        <v>103</v>
      </c>
      <c r="E231">
        <v>454</v>
      </c>
      <c r="F231">
        <v>455</v>
      </c>
      <c r="G231" s="93" t="s">
        <v>78</v>
      </c>
      <c r="H231" t="s">
        <v>187</v>
      </c>
      <c r="I231">
        <v>3</v>
      </c>
      <c r="J231">
        <v>256.72991214000001</v>
      </c>
      <c r="K231">
        <f>I231*J231</f>
        <v>770.18973642000003</v>
      </c>
      <c r="L231">
        <v>40</v>
      </c>
      <c r="M231">
        <f>(1-(L231/100))*K231</f>
        <v>462.11384185200001</v>
      </c>
      <c r="N231" s="90">
        <v>231</v>
      </c>
      <c r="O231" s="90" t="s">
        <v>170</v>
      </c>
      <c r="P231" s="118"/>
      <c r="Q231" s="118"/>
      <c r="V231" s="93"/>
      <c r="W231" s="93"/>
    </row>
    <row r="232" spans="1:23" x14ac:dyDescent="0.25">
      <c r="A232" s="90" t="s">
        <v>1575</v>
      </c>
      <c r="B232" s="119">
        <v>3</v>
      </c>
      <c r="C232" s="90" t="s">
        <v>1450</v>
      </c>
      <c r="D232" s="90" t="s">
        <v>95</v>
      </c>
      <c r="E232">
        <v>458</v>
      </c>
      <c r="F232">
        <v>471</v>
      </c>
      <c r="G232" s="93" t="s">
        <v>68</v>
      </c>
      <c r="H232" t="s">
        <v>1576</v>
      </c>
      <c r="I232">
        <v>1</v>
      </c>
      <c r="J232">
        <f>SUM(K233,K237)</f>
        <v>7964.93</v>
      </c>
      <c r="K232">
        <f>I232*J232</f>
        <v>7964.93</v>
      </c>
      <c r="L232">
        <f>100*(1-(M232/K232))</f>
        <v>40</v>
      </c>
      <c r="M232">
        <f>I232*SUM(M233,M237)</f>
        <v>4778.9579999999996</v>
      </c>
      <c r="N232" s="90">
        <v>232</v>
      </c>
      <c r="O232" s="90" t="s">
        <v>171</v>
      </c>
      <c r="P232" s="118"/>
      <c r="Q232" s="118"/>
      <c r="R232" s="90" t="s">
        <v>6442</v>
      </c>
      <c r="S232" s="90" t="s">
        <v>6745</v>
      </c>
      <c r="T232" s="90" t="s">
        <v>6890</v>
      </c>
      <c r="U232" s="90" t="s">
        <v>6594</v>
      </c>
      <c r="V232" s="93"/>
      <c r="W232" s="93"/>
    </row>
    <row r="233" spans="1:23" x14ac:dyDescent="0.25">
      <c r="A233" s="90" t="s">
        <v>1577</v>
      </c>
      <c r="B233" s="119">
        <v>4</v>
      </c>
      <c r="C233" s="90" t="s">
        <v>1575</v>
      </c>
      <c r="D233" s="90" t="s">
        <v>78</v>
      </c>
      <c r="E233">
        <v>459</v>
      </c>
      <c r="F233">
        <v>466</v>
      </c>
      <c r="G233" s="93" t="s">
        <v>68</v>
      </c>
      <c r="H233" t="s">
        <v>112</v>
      </c>
      <c r="I233">
        <v>1</v>
      </c>
      <c r="J233">
        <f>SUM(K234,K235,K236)</f>
        <v>5811.7800000000007</v>
      </c>
      <c r="K233">
        <f>I233*J233</f>
        <v>5811.7800000000007</v>
      </c>
      <c r="L233">
        <f>100*(1-(M233/K233))</f>
        <v>40.000000000000014</v>
      </c>
      <c r="M233">
        <f>I233*SUM(M234,M235,M236)</f>
        <v>3487.0679999999998</v>
      </c>
      <c r="N233" s="90">
        <v>233</v>
      </c>
      <c r="O233" s="90" t="s">
        <v>1042</v>
      </c>
      <c r="P233" s="118"/>
      <c r="Q233" s="118"/>
      <c r="R233" s="90" t="s">
        <v>4672</v>
      </c>
      <c r="S233" s="90" t="s">
        <v>5736</v>
      </c>
      <c r="T233" s="90" t="s">
        <v>6234</v>
      </c>
      <c r="U233" s="90" t="s">
        <v>5212</v>
      </c>
      <c r="V233" s="93"/>
      <c r="W233" s="93"/>
    </row>
    <row r="234" spans="1:23" x14ac:dyDescent="0.25">
      <c r="A234" s="90" t="s">
        <v>1578</v>
      </c>
      <c r="B234" s="119">
        <v>5</v>
      </c>
      <c r="C234" s="90" t="s">
        <v>1577</v>
      </c>
      <c r="D234" s="90" t="s">
        <v>78</v>
      </c>
      <c r="E234">
        <v>460</v>
      </c>
      <c r="F234">
        <v>461</v>
      </c>
      <c r="G234" s="93" t="s">
        <v>78</v>
      </c>
      <c r="H234" t="s">
        <v>113</v>
      </c>
      <c r="I234">
        <v>1</v>
      </c>
      <c r="J234">
        <v>121.31</v>
      </c>
      <c r="K234">
        <f>I234*J234</f>
        <v>121.31</v>
      </c>
      <c r="L234">
        <v>40</v>
      </c>
      <c r="M234">
        <f>(1-(L234/100))*K234</f>
        <v>72.786000000000001</v>
      </c>
      <c r="N234" s="90">
        <v>234</v>
      </c>
      <c r="O234" s="90" t="s">
        <v>172</v>
      </c>
      <c r="P234" s="118"/>
      <c r="Q234" s="118"/>
      <c r="V234" s="93"/>
      <c r="W234" s="93"/>
    </row>
    <row r="235" spans="1:23" x14ac:dyDescent="0.25">
      <c r="A235" s="90" t="s">
        <v>1579</v>
      </c>
      <c r="B235" s="119">
        <v>5</v>
      </c>
      <c r="C235" s="90" t="s">
        <v>1577</v>
      </c>
      <c r="D235" s="90" t="s">
        <v>79</v>
      </c>
      <c r="E235">
        <v>462</v>
      </c>
      <c r="F235">
        <v>463</v>
      </c>
      <c r="G235" s="93" t="s">
        <v>78</v>
      </c>
      <c r="H235" t="s">
        <v>114</v>
      </c>
      <c r="I235">
        <v>1</v>
      </c>
      <c r="J235">
        <v>5658.47</v>
      </c>
      <c r="K235">
        <f>I235*J235</f>
        <v>5658.47</v>
      </c>
      <c r="L235">
        <v>40</v>
      </c>
      <c r="M235">
        <f>(1-(L235/100))*K235</f>
        <v>3395.0819999999999</v>
      </c>
      <c r="N235" s="90">
        <v>235</v>
      </c>
      <c r="O235" s="90" t="s">
        <v>1043</v>
      </c>
      <c r="P235" s="118"/>
      <c r="Q235" s="118"/>
      <c r="V235" s="93"/>
      <c r="W235" s="93"/>
    </row>
    <row r="236" spans="1:23" x14ac:dyDescent="0.25">
      <c r="A236" s="90" t="s">
        <v>1580</v>
      </c>
      <c r="B236" s="119">
        <v>5</v>
      </c>
      <c r="C236" s="90" t="s">
        <v>1577</v>
      </c>
      <c r="D236" s="90" t="s">
        <v>80</v>
      </c>
      <c r="E236">
        <v>464</v>
      </c>
      <c r="F236">
        <v>465</v>
      </c>
      <c r="G236" s="93" t="s">
        <v>78</v>
      </c>
      <c r="H236" t="s">
        <v>115</v>
      </c>
      <c r="I236">
        <v>1</v>
      </c>
      <c r="J236">
        <v>32</v>
      </c>
      <c r="K236">
        <f>I236*J236</f>
        <v>32</v>
      </c>
      <c r="L236">
        <v>40</v>
      </c>
      <c r="M236">
        <f>(1-(L236/100))*K236</f>
        <v>19.2</v>
      </c>
      <c r="N236" s="90">
        <v>236</v>
      </c>
      <c r="O236" s="90" t="s">
        <v>173</v>
      </c>
      <c r="P236" s="118"/>
      <c r="Q236" s="118"/>
      <c r="V236" s="93"/>
      <c r="W236" s="93"/>
    </row>
    <row r="237" spans="1:23" x14ac:dyDescent="0.25">
      <c r="A237" s="90" t="s">
        <v>1581</v>
      </c>
      <c r="B237" s="119">
        <v>4</v>
      </c>
      <c r="C237" s="90" t="s">
        <v>1575</v>
      </c>
      <c r="D237" s="90" t="s">
        <v>79</v>
      </c>
      <c r="E237">
        <v>467</v>
      </c>
      <c r="F237">
        <v>470</v>
      </c>
      <c r="G237" s="93" t="s">
        <v>68</v>
      </c>
      <c r="H237" t="s">
        <v>116</v>
      </c>
      <c r="I237">
        <v>1</v>
      </c>
      <c r="J237">
        <f>SUM(K238)</f>
        <v>2153.15</v>
      </c>
      <c r="K237">
        <f>I237*J237</f>
        <v>2153.15</v>
      </c>
      <c r="L237">
        <f>100*(1-(M237/K237))</f>
        <v>40</v>
      </c>
      <c r="M237">
        <f>I237*SUM(M238)</f>
        <v>1291.8900000000001</v>
      </c>
      <c r="N237" s="90">
        <v>237</v>
      </c>
      <c r="O237" s="90" t="s">
        <v>1044</v>
      </c>
      <c r="P237" s="118"/>
      <c r="Q237" s="118"/>
      <c r="R237" s="90" t="s">
        <v>4673</v>
      </c>
      <c r="S237" s="90" t="s">
        <v>5737</v>
      </c>
      <c r="T237" s="90" t="s">
        <v>6235</v>
      </c>
      <c r="U237" s="90" t="s">
        <v>5213</v>
      </c>
      <c r="V237" s="93"/>
      <c r="W237" s="93"/>
    </row>
    <row r="238" spans="1:23" x14ac:dyDescent="0.25">
      <c r="A238" s="90" t="s">
        <v>1582</v>
      </c>
      <c r="B238" s="119">
        <v>5</v>
      </c>
      <c r="C238" s="90" t="s">
        <v>1581</v>
      </c>
      <c r="D238" s="90" t="s">
        <v>78</v>
      </c>
      <c r="E238">
        <v>468</v>
      </c>
      <c r="F238">
        <v>469</v>
      </c>
      <c r="G238" s="93" t="s">
        <v>78</v>
      </c>
      <c r="H238" t="s">
        <v>117</v>
      </c>
      <c r="I238">
        <v>1</v>
      </c>
      <c r="J238">
        <v>2153.15</v>
      </c>
      <c r="K238">
        <f>I238*J238</f>
        <v>2153.15</v>
      </c>
      <c r="L238">
        <v>40</v>
      </c>
      <c r="M238">
        <f>(1-(L238/100))*K238</f>
        <v>1291.8900000000001</v>
      </c>
      <c r="N238" s="90">
        <v>238</v>
      </c>
      <c r="O238" s="90" t="s">
        <v>174</v>
      </c>
      <c r="P238" s="118"/>
      <c r="Q238" s="118"/>
      <c r="V238" s="93"/>
      <c r="W238" s="93"/>
    </row>
    <row r="239" spans="1:23" x14ac:dyDescent="0.25">
      <c r="A239" s="90" t="s">
        <v>1583</v>
      </c>
      <c r="B239" s="119">
        <v>3</v>
      </c>
      <c r="C239" s="90" t="s">
        <v>1450</v>
      </c>
      <c r="D239" s="90" t="s">
        <v>96</v>
      </c>
      <c r="E239">
        <v>472</v>
      </c>
      <c r="F239">
        <v>489</v>
      </c>
      <c r="G239" s="93" t="s">
        <v>68</v>
      </c>
      <c r="H239" t="s">
        <v>1584</v>
      </c>
      <c r="I239">
        <v>1</v>
      </c>
      <c r="J239">
        <f>SUM(K240)</f>
        <v>7394.1805679300005</v>
      </c>
      <c r="K239">
        <f>I239*J239</f>
        <v>7394.1805679300005</v>
      </c>
      <c r="L239">
        <f>100*(1-(M239/K239))</f>
        <v>40</v>
      </c>
      <c r="M239">
        <f>I239*SUM(M240)</f>
        <v>4436.5083407580005</v>
      </c>
      <c r="N239" s="90">
        <v>239</v>
      </c>
      <c r="O239" s="90" t="s">
        <v>175</v>
      </c>
      <c r="P239" s="118"/>
      <c r="Q239" s="118"/>
      <c r="R239" s="90" t="s">
        <v>6954</v>
      </c>
      <c r="S239" s="90" t="s">
        <v>7051</v>
      </c>
      <c r="T239" s="90" t="s">
        <v>7097</v>
      </c>
      <c r="U239" s="90" t="s">
        <v>7003</v>
      </c>
      <c r="V239" s="93"/>
      <c r="W239" s="93"/>
    </row>
    <row r="240" spans="1:23" x14ac:dyDescent="0.25">
      <c r="A240" s="90" t="s">
        <v>1585</v>
      </c>
      <c r="B240" s="119">
        <v>4</v>
      </c>
      <c r="C240" s="90" t="s">
        <v>1583</v>
      </c>
      <c r="D240" s="90" t="s">
        <v>78</v>
      </c>
      <c r="E240">
        <v>473</v>
      </c>
      <c r="F240">
        <v>488</v>
      </c>
      <c r="G240" s="93" t="s">
        <v>68</v>
      </c>
      <c r="H240" t="s">
        <v>1586</v>
      </c>
      <c r="I240">
        <v>1</v>
      </c>
      <c r="J240">
        <f>SUM(K241)</f>
        <v>7394.1805679300005</v>
      </c>
      <c r="K240">
        <f>I240*J240</f>
        <v>7394.1805679300005</v>
      </c>
      <c r="L240">
        <f>100*(1-(M240/K240))</f>
        <v>40</v>
      </c>
      <c r="M240">
        <f>I240*SUM(M241)</f>
        <v>4436.5083407580005</v>
      </c>
      <c r="N240" s="90">
        <v>240</v>
      </c>
      <c r="O240" s="90" t="s">
        <v>176</v>
      </c>
      <c r="P240" s="118"/>
      <c r="Q240" s="118"/>
      <c r="R240" s="90" t="s">
        <v>6443</v>
      </c>
      <c r="S240" s="90" t="s">
        <v>6746</v>
      </c>
      <c r="T240" s="90" t="s">
        <v>6891</v>
      </c>
      <c r="U240" s="90" t="s">
        <v>6595</v>
      </c>
      <c r="V240" s="93"/>
      <c r="W240" s="93"/>
    </row>
    <row r="241" spans="1:23" x14ac:dyDescent="0.25">
      <c r="A241" s="90" t="s">
        <v>1587</v>
      </c>
      <c r="B241" s="119">
        <v>5</v>
      </c>
      <c r="C241" s="90" t="s">
        <v>1585</v>
      </c>
      <c r="D241" s="90" t="s">
        <v>78</v>
      </c>
      <c r="E241">
        <v>474</v>
      </c>
      <c r="F241">
        <v>487</v>
      </c>
      <c r="G241" s="93" t="s">
        <v>68</v>
      </c>
      <c r="H241" t="s">
        <v>1397</v>
      </c>
      <c r="I241">
        <v>1</v>
      </c>
      <c r="J241">
        <f>SUM(K242,K243,K244,K245,K246,K247)</f>
        <v>7394.1805679300005</v>
      </c>
      <c r="K241">
        <f>I241*J241</f>
        <v>7394.1805679300005</v>
      </c>
      <c r="L241">
        <f>100*(1-(M241/K241))</f>
        <v>40</v>
      </c>
      <c r="M241">
        <f>I241*SUM(M242,M243,M244,M245,M246,M247)</f>
        <v>4436.5083407580005</v>
      </c>
      <c r="N241" s="90">
        <v>241</v>
      </c>
      <c r="O241" s="90" t="s">
        <v>177</v>
      </c>
      <c r="P241" s="118"/>
      <c r="Q241" s="118"/>
      <c r="R241" s="90" t="s">
        <v>4674</v>
      </c>
      <c r="S241" s="90" t="s">
        <v>5738</v>
      </c>
      <c r="T241" s="90" t="s">
        <v>6236</v>
      </c>
      <c r="U241" s="90" t="s">
        <v>5214</v>
      </c>
      <c r="V241" s="93"/>
      <c r="W241" s="93"/>
    </row>
    <row r="242" spans="1:23" x14ac:dyDescent="0.25">
      <c r="A242" s="90" t="s">
        <v>1588</v>
      </c>
      <c r="B242" s="119">
        <v>6</v>
      </c>
      <c r="C242" s="90" t="s">
        <v>1587</v>
      </c>
      <c r="D242" s="90" t="s">
        <v>78</v>
      </c>
      <c r="E242">
        <v>475</v>
      </c>
      <c r="F242">
        <v>476</v>
      </c>
      <c r="G242" s="93" t="s">
        <v>78</v>
      </c>
      <c r="H242" t="s">
        <v>126</v>
      </c>
      <c r="I242">
        <v>1</v>
      </c>
      <c r="J242">
        <v>491.93938622000002</v>
      </c>
      <c r="K242">
        <f>I242*J242</f>
        <v>491.93938622000002</v>
      </c>
      <c r="L242">
        <v>40</v>
      </c>
      <c r="M242">
        <f>(1-(L242/100))*K242</f>
        <v>295.163631732</v>
      </c>
      <c r="N242" s="90">
        <v>242</v>
      </c>
      <c r="O242" s="90" t="s">
        <v>178</v>
      </c>
      <c r="P242" s="118"/>
      <c r="Q242" s="118"/>
      <c r="V242" s="93"/>
      <c r="W242" s="93"/>
    </row>
    <row r="243" spans="1:23" x14ac:dyDescent="0.25">
      <c r="A243" s="90" t="s">
        <v>1589</v>
      </c>
      <c r="B243" s="119">
        <v>6</v>
      </c>
      <c r="C243" s="90" t="s">
        <v>1587</v>
      </c>
      <c r="D243" s="90" t="s">
        <v>79</v>
      </c>
      <c r="E243">
        <v>477</v>
      </c>
      <c r="F243">
        <v>478</v>
      </c>
      <c r="G243" s="93" t="s">
        <v>78</v>
      </c>
      <c r="H243" t="s">
        <v>120</v>
      </c>
      <c r="I243">
        <v>1</v>
      </c>
      <c r="J243">
        <v>967.93582071000003</v>
      </c>
      <c r="K243">
        <f>I243*J243</f>
        <v>967.93582071000003</v>
      </c>
      <c r="L243">
        <v>40</v>
      </c>
      <c r="M243">
        <f>(1-(L243/100))*K243</f>
        <v>580.76149242600002</v>
      </c>
      <c r="N243" s="90">
        <v>243</v>
      </c>
      <c r="O243" s="90" t="s">
        <v>179</v>
      </c>
      <c r="P243" s="118"/>
      <c r="Q243" s="118"/>
      <c r="V243" s="93"/>
      <c r="W243" s="93"/>
    </row>
    <row r="244" spans="1:23" x14ac:dyDescent="0.25">
      <c r="A244" s="90" t="s">
        <v>1590</v>
      </c>
      <c r="B244" s="119">
        <v>6</v>
      </c>
      <c r="C244" s="90" t="s">
        <v>1587</v>
      </c>
      <c r="D244" s="90" t="s">
        <v>80</v>
      </c>
      <c r="E244">
        <v>479</v>
      </c>
      <c r="F244">
        <v>480</v>
      </c>
      <c r="G244" s="93" t="s">
        <v>78</v>
      </c>
      <c r="H244" t="s">
        <v>125</v>
      </c>
      <c r="I244">
        <v>1</v>
      </c>
      <c r="J244">
        <v>967.93582071000003</v>
      </c>
      <c r="K244">
        <f>I244*J244</f>
        <v>967.93582071000003</v>
      </c>
      <c r="L244">
        <v>40</v>
      </c>
      <c r="M244">
        <f>(1-(L244/100))*K244</f>
        <v>580.76149242600002</v>
      </c>
      <c r="N244" s="90">
        <v>244</v>
      </c>
      <c r="O244" s="90" t="s">
        <v>180</v>
      </c>
      <c r="P244" s="118"/>
      <c r="Q244" s="118"/>
      <c r="V244" s="93"/>
      <c r="W244" s="93"/>
    </row>
    <row r="245" spans="1:23" x14ac:dyDescent="0.25">
      <c r="A245" s="90" t="s">
        <v>1591</v>
      </c>
      <c r="B245" s="119">
        <v>6</v>
      </c>
      <c r="C245" s="90" t="s">
        <v>1587</v>
      </c>
      <c r="D245" s="90" t="s">
        <v>95</v>
      </c>
      <c r="E245">
        <v>481</v>
      </c>
      <c r="F245">
        <v>482</v>
      </c>
      <c r="G245" s="93" t="s">
        <v>78</v>
      </c>
      <c r="H245" t="s">
        <v>123</v>
      </c>
      <c r="I245">
        <v>1</v>
      </c>
      <c r="J245">
        <v>313.76543995999998</v>
      </c>
      <c r="K245">
        <f>I245*J245</f>
        <v>313.76543995999998</v>
      </c>
      <c r="L245">
        <v>40</v>
      </c>
      <c r="M245">
        <f>(1-(L245/100))*K245</f>
        <v>188.25926397599997</v>
      </c>
      <c r="N245" s="90">
        <v>245</v>
      </c>
      <c r="O245" s="90" t="s">
        <v>1045</v>
      </c>
      <c r="P245" s="118"/>
      <c r="Q245" s="118"/>
      <c r="V245" s="93"/>
      <c r="W245" s="93"/>
    </row>
    <row r="246" spans="1:23" x14ac:dyDescent="0.25">
      <c r="A246" s="90" t="s">
        <v>1592</v>
      </c>
      <c r="B246" s="119">
        <v>6</v>
      </c>
      <c r="C246" s="90" t="s">
        <v>1587</v>
      </c>
      <c r="D246" s="90" t="s">
        <v>96</v>
      </c>
      <c r="E246">
        <v>483</v>
      </c>
      <c r="F246">
        <v>484</v>
      </c>
      <c r="G246" s="93" t="s">
        <v>78</v>
      </c>
      <c r="H246" t="s">
        <v>203</v>
      </c>
      <c r="I246">
        <v>1</v>
      </c>
      <c r="J246">
        <v>2064.00101872</v>
      </c>
      <c r="K246">
        <f>I246*J246</f>
        <v>2064.00101872</v>
      </c>
      <c r="L246">
        <v>40</v>
      </c>
      <c r="M246">
        <f>(1-(L246/100))*K246</f>
        <v>1238.4006112320001</v>
      </c>
      <c r="N246" s="90">
        <v>246</v>
      </c>
      <c r="O246" s="90" t="s">
        <v>181</v>
      </c>
      <c r="P246" s="118"/>
      <c r="Q246" s="118"/>
      <c r="V246" s="93"/>
      <c r="W246" s="93"/>
    </row>
    <row r="247" spans="1:23" x14ac:dyDescent="0.25">
      <c r="A247" s="90" t="s">
        <v>1593</v>
      </c>
      <c r="B247" s="119">
        <v>6</v>
      </c>
      <c r="C247" s="90" t="s">
        <v>1587</v>
      </c>
      <c r="D247" s="90" t="s">
        <v>103</v>
      </c>
      <c r="E247">
        <v>485</v>
      </c>
      <c r="F247">
        <v>486</v>
      </c>
      <c r="G247" s="93" t="s">
        <v>78</v>
      </c>
      <c r="H247" t="s">
        <v>191</v>
      </c>
      <c r="I247">
        <v>3</v>
      </c>
      <c r="J247">
        <v>862.86769387000004</v>
      </c>
      <c r="K247">
        <f>I247*J247</f>
        <v>2588.6030816100001</v>
      </c>
      <c r="L247">
        <v>40</v>
      </c>
      <c r="M247">
        <f>(1-(L247/100))*K247</f>
        <v>1553.161848966</v>
      </c>
      <c r="N247" s="90">
        <v>247</v>
      </c>
      <c r="O247" s="90" t="s">
        <v>182</v>
      </c>
      <c r="P247" s="118"/>
      <c r="Q247" s="118"/>
      <c r="V247" s="93"/>
      <c r="W247" s="93"/>
    </row>
    <row r="248" spans="1:23" x14ac:dyDescent="0.25">
      <c r="A248" s="90" t="s">
        <v>1594</v>
      </c>
      <c r="B248" s="119">
        <v>3</v>
      </c>
      <c r="C248" s="90" t="s">
        <v>1450</v>
      </c>
      <c r="D248" s="90" t="s">
        <v>103</v>
      </c>
      <c r="E248">
        <v>490</v>
      </c>
      <c r="F248">
        <v>509</v>
      </c>
      <c r="G248" s="93" t="s">
        <v>68</v>
      </c>
      <c r="H248" t="s">
        <v>1595</v>
      </c>
      <c r="I248">
        <v>1</v>
      </c>
      <c r="J248">
        <f>SUM(K249,K252,K254,K256)</f>
        <v>12677.74146186</v>
      </c>
      <c r="K248">
        <f>I248*J248</f>
        <v>12677.74146186</v>
      </c>
      <c r="L248">
        <f>100*(1-(M248/K248))</f>
        <v>85.6</v>
      </c>
      <c r="M248">
        <f>I248*SUM(M249,M252,M254,M256)</f>
        <v>1825.5947705078402</v>
      </c>
      <c r="N248" s="90">
        <v>248</v>
      </c>
      <c r="O248" s="90" t="s">
        <v>183</v>
      </c>
      <c r="P248" s="118"/>
      <c r="Q248" s="118"/>
      <c r="R248" s="90" t="s">
        <v>6444</v>
      </c>
      <c r="S248" s="90" t="s">
        <v>6747</v>
      </c>
      <c r="T248" s="90" t="s">
        <v>6892</v>
      </c>
      <c r="U248" s="90" t="s">
        <v>6596</v>
      </c>
      <c r="V248" s="93"/>
      <c r="W248" s="93"/>
    </row>
    <row r="249" spans="1:23" x14ac:dyDescent="0.25">
      <c r="A249" s="90" t="s">
        <v>1596</v>
      </c>
      <c r="B249" s="119">
        <v>4</v>
      </c>
      <c r="C249" s="90" t="s">
        <v>1594</v>
      </c>
      <c r="D249" s="90" t="s">
        <v>78</v>
      </c>
      <c r="E249">
        <v>491</v>
      </c>
      <c r="F249">
        <v>496</v>
      </c>
      <c r="G249" s="93" t="s">
        <v>68</v>
      </c>
      <c r="H249" t="s">
        <v>364</v>
      </c>
      <c r="I249">
        <v>1</v>
      </c>
      <c r="J249">
        <f>SUM(K250,K251)</f>
        <v>2292.1176620400001</v>
      </c>
      <c r="K249">
        <f>I249*J249</f>
        <v>2292.1176620400001</v>
      </c>
      <c r="L249">
        <f>100*(1-(M249/K249))</f>
        <v>85.6</v>
      </c>
      <c r="M249">
        <f>I249*SUM(M250,M251)</f>
        <v>330.06494333376008</v>
      </c>
      <c r="N249" s="90">
        <v>249</v>
      </c>
      <c r="O249" s="90" t="s">
        <v>184</v>
      </c>
      <c r="P249" s="118"/>
      <c r="Q249" s="118"/>
      <c r="R249" s="90" t="s">
        <v>4675</v>
      </c>
      <c r="S249" s="90" t="s">
        <v>5739</v>
      </c>
      <c r="T249" s="90" t="s">
        <v>6237</v>
      </c>
      <c r="U249" s="90" t="s">
        <v>5215</v>
      </c>
      <c r="V249" s="93"/>
      <c r="W249" s="93"/>
    </row>
    <row r="250" spans="1:23" x14ac:dyDescent="0.25">
      <c r="A250" s="90" t="s">
        <v>1597</v>
      </c>
      <c r="B250" s="119">
        <v>5</v>
      </c>
      <c r="C250" s="90" t="s">
        <v>1596</v>
      </c>
      <c r="D250" s="90" t="s">
        <v>78</v>
      </c>
      <c r="E250">
        <v>492</v>
      </c>
      <c r="F250">
        <v>493</v>
      </c>
      <c r="G250" s="93" t="s">
        <v>78</v>
      </c>
      <c r="H250" t="s">
        <v>366</v>
      </c>
      <c r="I250">
        <v>1</v>
      </c>
      <c r="J250">
        <v>509.35948044999998</v>
      </c>
      <c r="K250">
        <f>I250*J250</f>
        <v>509.35948044999998</v>
      </c>
      <c r="L250">
        <v>85.6</v>
      </c>
      <c r="M250">
        <f>(1-(L250/100))*K250</f>
        <v>73.347765184800011</v>
      </c>
      <c r="N250" s="90">
        <v>250</v>
      </c>
      <c r="O250" s="90" t="s">
        <v>1046</v>
      </c>
      <c r="P250" s="118"/>
      <c r="Q250" s="118"/>
      <c r="V250" s="93"/>
      <c r="W250" s="93"/>
    </row>
    <row r="251" spans="1:23" x14ac:dyDescent="0.25">
      <c r="A251" s="90" t="s">
        <v>1598</v>
      </c>
      <c r="B251" s="119">
        <v>5</v>
      </c>
      <c r="C251" s="90" t="s">
        <v>1596</v>
      </c>
      <c r="D251" s="90" t="s">
        <v>79</v>
      </c>
      <c r="E251">
        <v>494</v>
      </c>
      <c r="F251">
        <v>495</v>
      </c>
      <c r="G251" s="93" t="s">
        <v>78</v>
      </c>
      <c r="H251" t="s">
        <v>368</v>
      </c>
      <c r="I251">
        <v>1</v>
      </c>
      <c r="J251">
        <v>1782.75818159</v>
      </c>
      <c r="K251">
        <f>I251*J251</f>
        <v>1782.75818159</v>
      </c>
      <c r="L251">
        <v>85.6</v>
      </c>
      <c r="M251">
        <f>(1-(L251/100))*K251</f>
        <v>256.71717814896004</v>
      </c>
      <c r="N251" s="90">
        <v>251</v>
      </c>
      <c r="O251" s="90" t="s">
        <v>185</v>
      </c>
      <c r="P251" s="118"/>
      <c r="Q251" s="118"/>
      <c r="V251" s="93"/>
      <c r="W251" s="93"/>
    </row>
    <row r="252" spans="1:23" x14ac:dyDescent="0.25">
      <c r="A252" s="90" t="s">
        <v>1599</v>
      </c>
      <c r="B252" s="119">
        <v>4</v>
      </c>
      <c r="C252" s="90" t="s">
        <v>1594</v>
      </c>
      <c r="D252" s="90" t="s">
        <v>79</v>
      </c>
      <c r="E252">
        <v>497</v>
      </c>
      <c r="F252">
        <v>500</v>
      </c>
      <c r="G252" s="93" t="s">
        <v>68</v>
      </c>
      <c r="H252" t="s">
        <v>379</v>
      </c>
      <c r="I252">
        <v>1</v>
      </c>
      <c r="J252">
        <f>SUM(K253)</f>
        <v>303.06889087000002</v>
      </c>
      <c r="K252">
        <f>I252*J252</f>
        <v>303.06889087000002</v>
      </c>
      <c r="L252">
        <f>100*(1-(M252/K252))</f>
        <v>85.6</v>
      </c>
      <c r="M252">
        <f>I252*SUM(M253)</f>
        <v>43.641920285280008</v>
      </c>
      <c r="N252" s="90">
        <v>252</v>
      </c>
      <c r="O252" s="90" t="s">
        <v>188</v>
      </c>
      <c r="P252" s="118"/>
      <c r="Q252" s="118"/>
      <c r="R252" s="90" t="s">
        <v>4676</v>
      </c>
      <c r="S252" s="90" t="s">
        <v>5740</v>
      </c>
      <c r="T252" s="90" t="s">
        <v>6238</v>
      </c>
      <c r="U252" s="90" t="s">
        <v>5216</v>
      </c>
      <c r="V252" s="93"/>
      <c r="W252" s="93"/>
    </row>
    <row r="253" spans="1:23" x14ac:dyDescent="0.25">
      <c r="A253" s="90" t="s">
        <v>1600</v>
      </c>
      <c r="B253" s="119">
        <v>5</v>
      </c>
      <c r="C253" s="90" t="s">
        <v>1599</v>
      </c>
      <c r="D253" s="90" t="s">
        <v>78</v>
      </c>
      <c r="E253">
        <v>498</v>
      </c>
      <c r="F253">
        <v>499</v>
      </c>
      <c r="G253" s="93" t="s">
        <v>78</v>
      </c>
      <c r="H253" t="s">
        <v>381</v>
      </c>
      <c r="I253">
        <v>1</v>
      </c>
      <c r="J253">
        <v>303.06889087000002</v>
      </c>
      <c r="K253">
        <f>I253*J253</f>
        <v>303.06889087000002</v>
      </c>
      <c r="L253">
        <v>85.6</v>
      </c>
      <c r="M253">
        <f>(1-(L253/100))*K253</f>
        <v>43.641920285280008</v>
      </c>
      <c r="N253" s="90">
        <v>253</v>
      </c>
      <c r="O253" s="90" t="s">
        <v>1047</v>
      </c>
      <c r="P253" s="118"/>
      <c r="Q253" s="118"/>
      <c r="V253" s="93"/>
      <c r="W253" s="93"/>
    </row>
    <row r="254" spans="1:23" x14ac:dyDescent="0.25">
      <c r="A254" s="90" t="s">
        <v>1601</v>
      </c>
      <c r="B254" s="119">
        <v>4</v>
      </c>
      <c r="C254" s="90" t="s">
        <v>1594</v>
      </c>
      <c r="D254" s="90" t="s">
        <v>80</v>
      </c>
      <c r="E254">
        <v>501</v>
      </c>
      <c r="F254">
        <v>504</v>
      </c>
      <c r="G254" s="93" t="s">
        <v>68</v>
      </c>
      <c r="H254" t="s">
        <v>383</v>
      </c>
      <c r="I254">
        <v>1</v>
      </c>
      <c r="J254">
        <f>SUM(K255)</f>
        <v>1069.6549089499999</v>
      </c>
      <c r="K254">
        <f>I254*J254</f>
        <v>1069.6549089499999</v>
      </c>
      <c r="L254">
        <f>100*(1-(M254/K254))</f>
        <v>85.6</v>
      </c>
      <c r="M254">
        <f>I254*SUM(M255)</f>
        <v>154.0303068888</v>
      </c>
      <c r="N254" s="90">
        <v>254</v>
      </c>
      <c r="O254" s="90" t="s">
        <v>190</v>
      </c>
      <c r="P254" s="118"/>
      <c r="Q254" s="118"/>
      <c r="R254" s="90" t="s">
        <v>4677</v>
      </c>
      <c r="S254" s="90" t="s">
        <v>5741</v>
      </c>
      <c r="T254" s="90" t="s">
        <v>6239</v>
      </c>
      <c r="U254" s="90" t="s">
        <v>5217</v>
      </c>
      <c r="V254" s="93"/>
      <c r="W254" s="93"/>
    </row>
    <row r="255" spans="1:23" x14ac:dyDescent="0.25">
      <c r="A255" s="90" t="s">
        <v>1602</v>
      </c>
      <c r="B255" s="119">
        <v>5</v>
      </c>
      <c r="C255" s="90" t="s">
        <v>1601</v>
      </c>
      <c r="D255" s="90" t="s">
        <v>78</v>
      </c>
      <c r="E255">
        <v>502</v>
      </c>
      <c r="F255">
        <v>503</v>
      </c>
      <c r="G255" s="93" t="s">
        <v>78</v>
      </c>
      <c r="H255" t="s">
        <v>385</v>
      </c>
      <c r="I255">
        <v>1</v>
      </c>
      <c r="J255">
        <v>1069.6549089499999</v>
      </c>
      <c r="K255">
        <f>I255*J255</f>
        <v>1069.6549089499999</v>
      </c>
      <c r="L255">
        <v>85.6</v>
      </c>
      <c r="M255">
        <f>(1-(L255/100))*K255</f>
        <v>154.0303068888</v>
      </c>
      <c r="N255" s="90">
        <v>255</v>
      </c>
      <c r="O255" s="90" t="s">
        <v>192</v>
      </c>
      <c r="P255" s="118"/>
      <c r="Q255" s="118"/>
      <c r="V255" s="93"/>
      <c r="W255" s="93"/>
    </row>
    <row r="256" spans="1:23" x14ac:dyDescent="0.25">
      <c r="A256" s="90" t="s">
        <v>1603</v>
      </c>
      <c r="B256" s="119">
        <v>4</v>
      </c>
      <c r="C256" s="90" t="s">
        <v>1594</v>
      </c>
      <c r="D256" s="90" t="s">
        <v>95</v>
      </c>
      <c r="E256">
        <v>505</v>
      </c>
      <c r="F256">
        <v>508</v>
      </c>
      <c r="G256" s="93" t="s">
        <v>68</v>
      </c>
      <c r="H256" t="s">
        <v>387</v>
      </c>
      <c r="I256">
        <v>1</v>
      </c>
      <c r="J256">
        <f>SUM(K257)</f>
        <v>9012.9</v>
      </c>
      <c r="K256">
        <f>I256*J256</f>
        <v>9012.9</v>
      </c>
      <c r="L256">
        <f>100*(1-(M256/K256))</f>
        <v>85.6</v>
      </c>
      <c r="M256">
        <f>I256*SUM(M257)</f>
        <v>1297.8576</v>
      </c>
      <c r="N256" s="90">
        <v>256</v>
      </c>
      <c r="O256" s="90" t="s">
        <v>195</v>
      </c>
      <c r="P256" s="118"/>
      <c r="Q256" s="118"/>
      <c r="R256" s="90" t="s">
        <v>4678</v>
      </c>
      <c r="S256" s="90" t="s">
        <v>5742</v>
      </c>
      <c r="T256" s="90" t="s">
        <v>6240</v>
      </c>
      <c r="U256" s="90" t="s">
        <v>5218</v>
      </c>
      <c r="V256" s="93"/>
      <c r="W256" s="93"/>
    </row>
    <row r="257" spans="1:23" x14ac:dyDescent="0.25">
      <c r="A257" s="90" t="s">
        <v>1604</v>
      </c>
      <c r="B257" s="119">
        <v>5</v>
      </c>
      <c r="C257" s="90" t="s">
        <v>1603</v>
      </c>
      <c r="D257" s="90" t="s">
        <v>78</v>
      </c>
      <c r="E257">
        <v>506</v>
      </c>
      <c r="F257">
        <v>507</v>
      </c>
      <c r="G257" s="93" t="s">
        <v>78</v>
      </c>
      <c r="H257" t="s">
        <v>389</v>
      </c>
      <c r="I257">
        <v>1</v>
      </c>
      <c r="J257">
        <v>9012.9</v>
      </c>
      <c r="K257">
        <f>I257*J257</f>
        <v>9012.9</v>
      </c>
      <c r="L257">
        <v>85.6</v>
      </c>
      <c r="M257">
        <f>(1-(L257/100))*K257</f>
        <v>1297.8576</v>
      </c>
      <c r="N257" s="90">
        <v>257</v>
      </c>
      <c r="O257" s="90" t="s">
        <v>197</v>
      </c>
      <c r="P257" s="118"/>
      <c r="Q257" s="118"/>
      <c r="V257" s="93"/>
      <c r="W257" s="93"/>
    </row>
    <row r="258" spans="1:23" x14ac:dyDescent="0.25">
      <c r="A258" s="90" t="s">
        <v>1605</v>
      </c>
      <c r="B258" s="119">
        <v>3</v>
      </c>
      <c r="C258" s="90" t="s">
        <v>1450</v>
      </c>
      <c r="D258" s="90" t="s">
        <v>796</v>
      </c>
      <c r="E258">
        <v>510</v>
      </c>
      <c r="F258">
        <v>515</v>
      </c>
      <c r="G258" s="93" t="s">
        <v>68</v>
      </c>
      <c r="H258" t="s">
        <v>1606</v>
      </c>
      <c r="I258">
        <v>1</v>
      </c>
      <c r="J258">
        <f>SUM(K259)</f>
        <v>333.63045970000002</v>
      </c>
      <c r="K258">
        <f>I258*J258</f>
        <v>333.63045970000002</v>
      </c>
      <c r="L258">
        <f>100*(1-(M258/K258))</f>
        <v>85.6</v>
      </c>
      <c r="M258">
        <f>I258*SUM(M259)</f>
        <v>48.042786196800009</v>
      </c>
      <c r="N258" s="90">
        <v>258</v>
      </c>
      <c r="O258" s="90" t="s">
        <v>1048</v>
      </c>
      <c r="P258" s="118"/>
      <c r="Q258" s="118"/>
      <c r="R258" s="90" t="s">
        <v>6445</v>
      </c>
      <c r="S258" s="90" t="s">
        <v>6748</v>
      </c>
      <c r="T258" s="90" t="s">
        <v>6893</v>
      </c>
      <c r="U258" s="90" t="s">
        <v>6597</v>
      </c>
      <c r="V258" s="93"/>
      <c r="W258" s="93"/>
    </row>
    <row r="259" spans="1:23" x14ac:dyDescent="0.25">
      <c r="A259" s="90" t="s">
        <v>1607</v>
      </c>
      <c r="B259" s="119">
        <v>4</v>
      </c>
      <c r="C259" s="90" t="s">
        <v>1605</v>
      </c>
      <c r="D259" s="90" t="s">
        <v>78</v>
      </c>
      <c r="E259">
        <v>511</v>
      </c>
      <c r="F259">
        <v>514</v>
      </c>
      <c r="G259" s="93" t="s">
        <v>68</v>
      </c>
      <c r="H259" t="s">
        <v>399</v>
      </c>
      <c r="I259">
        <v>1</v>
      </c>
      <c r="J259">
        <f>SUM(K260)</f>
        <v>333.63045970000002</v>
      </c>
      <c r="K259">
        <f>I259*J259</f>
        <v>333.63045970000002</v>
      </c>
      <c r="L259">
        <f>100*(1-(M259/K259))</f>
        <v>85.6</v>
      </c>
      <c r="M259">
        <f>I259*SUM(M260)</f>
        <v>48.042786196800009</v>
      </c>
      <c r="N259" s="90">
        <v>259</v>
      </c>
      <c r="O259" s="90" t="s">
        <v>198</v>
      </c>
      <c r="P259" s="118"/>
      <c r="Q259" s="118"/>
      <c r="R259" s="90" t="s">
        <v>4679</v>
      </c>
      <c r="S259" s="90" t="s">
        <v>5743</v>
      </c>
      <c r="T259" s="90" t="s">
        <v>6241</v>
      </c>
      <c r="U259" s="90" t="s">
        <v>5219</v>
      </c>
      <c r="V259" s="93"/>
      <c r="W259" s="93"/>
    </row>
    <row r="260" spans="1:23" x14ac:dyDescent="0.25">
      <c r="A260" s="90" t="s">
        <v>1608</v>
      </c>
      <c r="B260" s="119">
        <v>5</v>
      </c>
      <c r="C260" s="90" t="s">
        <v>1607</v>
      </c>
      <c r="D260" s="90" t="s">
        <v>78</v>
      </c>
      <c r="E260">
        <v>512</v>
      </c>
      <c r="F260">
        <v>513</v>
      </c>
      <c r="G260" s="93" t="s">
        <v>78</v>
      </c>
      <c r="H260" t="s">
        <v>401</v>
      </c>
      <c r="I260">
        <v>1</v>
      </c>
      <c r="J260">
        <v>333.63045970000002</v>
      </c>
      <c r="K260">
        <f>I260*J260</f>
        <v>333.63045970000002</v>
      </c>
      <c r="L260">
        <v>85.6</v>
      </c>
      <c r="M260">
        <f>(1-(L260/100))*K260</f>
        <v>48.042786196800009</v>
      </c>
      <c r="N260" s="90">
        <v>260</v>
      </c>
      <c r="O260" s="90" t="s">
        <v>199</v>
      </c>
      <c r="P260" s="118"/>
      <c r="Q260" s="118"/>
      <c r="V260" s="93"/>
      <c r="W260" s="93"/>
    </row>
    <row r="261" spans="1:23" x14ac:dyDescent="0.25">
      <c r="A261" s="90" t="s">
        <v>1609</v>
      </c>
      <c r="B261" s="119">
        <v>3</v>
      </c>
      <c r="C261" s="90" t="s">
        <v>1450</v>
      </c>
      <c r="D261" s="90" t="s">
        <v>797</v>
      </c>
      <c r="E261">
        <v>516</v>
      </c>
      <c r="F261">
        <v>521</v>
      </c>
      <c r="G261" s="93" t="s">
        <v>68</v>
      </c>
      <c r="H261" t="s">
        <v>1610</v>
      </c>
      <c r="I261">
        <v>1</v>
      </c>
      <c r="J261">
        <f>SUM(K262)</f>
        <v>1324.33464918</v>
      </c>
      <c r="K261">
        <f>I261*J261</f>
        <v>1324.33464918</v>
      </c>
      <c r="L261">
        <f>100*(1-(M261/K261))</f>
        <v>85.6</v>
      </c>
      <c r="M261">
        <f>I261*SUM(M262)</f>
        <v>190.70418948192003</v>
      </c>
      <c r="N261" s="90">
        <v>261</v>
      </c>
      <c r="O261" s="90" t="s">
        <v>1049</v>
      </c>
      <c r="P261" s="118"/>
      <c r="Q261" s="118"/>
      <c r="R261" s="90" t="s">
        <v>6446</v>
      </c>
      <c r="S261" s="90" t="s">
        <v>6749</v>
      </c>
      <c r="T261" s="90" t="s">
        <v>6894</v>
      </c>
      <c r="U261" s="90" t="s">
        <v>6598</v>
      </c>
      <c r="V261" s="93"/>
      <c r="W261" s="93"/>
    </row>
    <row r="262" spans="1:23" x14ac:dyDescent="0.25">
      <c r="A262" s="90" t="s">
        <v>1611</v>
      </c>
      <c r="B262" s="119">
        <v>4</v>
      </c>
      <c r="C262" s="90" t="s">
        <v>1609</v>
      </c>
      <c r="D262" s="90" t="s">
        <v>78</v>
      </c>
      <c r="E262">
        <v>517</v>
      </c>
      <c r="F262">
        <v>520</v>
      </c>
      <c r="G262" s="93" t="s">
        <v>68</v>
      </c>
      <c r="H262" t="s">
        <v>418</v>
      </c>
      <c r="I262">
        <v>1</v>
      </c>
      <c r="J262">
        <f>SUM(K263)</f>
        <v>1324.33464918</v>
      </c>
      <c r="K262">
        <f>I262*J262</f>
        <v>1324.33464918</v>
      </c>
      <c r="L262">
        <f>100*(1-(M262/K262))</f>
        <v>85.6</v>
      </c>
      <c r="M262">
        <f>I262*SUM(M263)</f>
        <v>190.70418948192003</v>
      </c>
      <c r="N262" s="90">
        <v>262</v>
      </c>
      <c r="O262" s="90" t="s">
        <v>200</v>
      </c>
      <c r="P262" s="118"/>
      <c r="Q262" s="118"/>
      <c r="R262" s="90" t="s">
        <v>4680</v>
      </c>
      <c r="S262" s="90" t="s">
        <v>5744</v>
      </c>
      <c r="T262" s="90" t="s">
        <v>6242</v>
      </c>
      <c r="U262" s="90" t="s">
        <v>5220</v>
      </c>
      <c r="V262" s="93"/>
      <c r="W262" s="93"/>
    </row>
    <row r="263" spans="1:23" x14ac:dyDescent="0.25">
      <c r="A263" s="90" t="s">
        <v>1612</v>
      </c>
      <c r="B263" s="119">
        <v>5</v>
      </c>
      <c r="C263" s="90" t="s">
        <v>1611</v>
      </c>
      <c r="D263" s="90" t="s">
        <v>78</v>
      </c>
      <c r="E263">
        <v>518</v>
      </c>
      <c r="F263">
        <v>519</v>
      </c>
      <c r="G263" s="93" t="s">
        <v>78</v>
      </c>
      <c r="H263" t="s">
        <v>419</v>
      </c>
      <c r="I263">
        <v>1</v>
      </c>
      <c r="J263">
        <v>1324.33464918</v>
      </c>
      <c r="K263">
        <f>I263*J263</f>
        <v>1324.33464918</v>
      </c>
      <c r="L263">
        <v>85.6</v>
      </c>
      <c r="M263">
        <f>(1-(L263/100))*K263</f>
        <v>190.70418948192003</v>
      </c>
      <c r="N263" s="90">
        <v>263</v>
      </c>
      <c r="O263" s="90" t="s">
        <v>201</v>
      </c>
      <c r="P263" s="118"/>
      <c r="Q263" s="118"/>
      <c r="V263" s="93"/>
      <c r="W263" s="93"/>
    </row>
    <row r="264" spans="1:23" x14ac:dyDescent="0.25">
      <c r="A264" s="90" t="s">
        <v>1613</v>
      </c>
      <c r="B264" s="119">
        <v>3</v>
      </c>
      <c r="C264" s="90" t="s">
        <v>1450</v>
      </c>
      <c r="D264" s="90" t="s">
        <v>798</v>
      </c>
      <c r="E264">
        <v>522</v>
      </c>
      <c r="F264">
        <v>527</v>
      </c>
      <c r="G264" s="93" t="s">
        <v>68</v>
      </c>
      <c r="H264" t="s">
        <v>1614</v>
      </c>
      <c r="I264">
        <v>1</v>
      </c>
      <c r="J264">
        <f>SUM(K265)</f>
        <v>333.63045970000002</v>
      </c>
      <c r="K264">
        <f>I264*J264</f>
        <v>333.63045970000002</v>
      </c>
      <c r="L264">
        <f>100*(1-(M264/K264))</f>
        <v>76</v>
      </c>
      <c r="M264">
        <f>I264*SUM(M265)</f>
        <v>80.071310327999996</v>
      </c>
      <c r="N264" s="90">
        <v>264</v>
      </c>
      <c r="O264" s="90" t="s">
        <v>202</v>
      </c>
      <c r="P264" s="118"/>
      <c r="Q264" s="118"/>
      <c r="R264" s="90" t="s">
        <v>6447</v>
      </c>
      <c r="S264" s="90" t="s">
        <v>6750</v>
      </c>
      <c r="T264" s="90" t="s">
        <v>6895</v>
      </c>
      <c r="U264" s="90" t="s">
        <v>6599</v>
      </c>
    </row>
    <row r="265" spans="1:23" x14ac:dyDescent="0.25">
      <c r="A265" s="90" t="s">
        <v>1615</v>
      </c>
      <c r="B265" s="119">
        <v>4</v>
      </c>
      <c r="C265" s="90" t="s">
        <v>1613</v>
      </c>
      <c r="D265" s="90" t="s">
        <v>78</v>
      </c>
      <c r="E265">
        <v>523</v>
      </c>
      <c r="F265">
        <v>526</v>
      </c>
      <c r="G265" s="93" t="s">
        <v>68</v>
      </c>
      <c r="H265" t="s">
        <v>399</v>
      </c>
      <c r="I265">
        <v>1</v>
      </c>
      <c r="J265">
        <f>SUM(K266)</f>
        <v>333.63045970000002</v>
      </c>
      <c r="K265">
        <f>I265*J265</f>
        <v>333.63045970000002</v>
      </c>
      <c r="L265">
        <f>100*(1-(M265/K265))</f>
        <v>76</v>
      </c>
      <c r="M265">
        <f>I265*SUM(M266)</f>
        <v>80.071310327999996</v>
      </c>
      <c r="N265" s="90">
        <v>265</v>
      </c>
      <c r="O265" s="90" t="s">
        <v>204</v>
      </c>
      <c r="P265" s="118"/>
      <c r="Q265" s="118"/>
      <c r="R265" s="90" t="s">
        <v>4681</v>
      </c>
      <c r="S265" s="90" t="s">
        <v>5745</v>
      </c>
      <c r="T265" s="90" t="s">
        <v>6243</v>
      </c>
      <c r="U265" s="90" t="s">
        <v>5221</v>
      </c>
    </row>
    <row r="266" spans="1:23" x14ac:dyDescent="0.25">
      <c r="A266" s="90" t="s">
        <v>1616</v>
      </c>
      <c r="B266" s="119">
        <v>5</v>
      </c>
      <c r="C266" s="90" t="s">
        <v>1615</v>
      </c>
      <c r="D266" s="90" t="s">
        <v>78</v>
      </c>
      <c r="E266">
        <v>524</v>
      </c>
      <c r="F266">
        <v>525</v>
      </c>
      <c r="G266" s="93" t="s">
        <v>78</v>
      </c>
      <c r="H266" t="s">
        <v>401</v>
      </c>
      <c r="I266">
        <v>1</v>
      </c>
      <c r="J266">
        <v>333.63045970000002</v>
      </c>
      <c r="K266">
        <f>I266*J266</f>
        <v>333.63045970000002</v>
      </c>
      <c r="L266">
        <v>76</v>
      </c>
      <c r="M266">
        <f>(1-(L266/100))*K266</f>
        <v>80.071310327999996</v>
      </c>
      <c r="N266" s="90">
        <v>266</v>
      </c>
      <c r="O266" s="90" t="s">
        <v>205</v>
      </c>
      <c r="P266" s="118"/>
      <c r="Q266" s="118"/>
    </row>
    <row r="267" spans="1:23" x14ac:dyDescent="0.25">
      <c r="A267" s="90" t="s">
        <v>1617</v>
      </c>
      <c r="B267" s="119">
        <v>3</v>
      </c>
      <c r="C267" s="90" t="s">
        <v>1450</v>
      </c>
      <c r="D267" s="90" t="s">
        <v>799</v>
      </c>
      <c r="E267">
        <v>528</v>
      </c>
      <c r="F267">
        <v>533</v>
      </c>
      <c r="G267" s="93" t="s">
        <v>68</v>
      </c>
      <c r="H267" t="s">
        <v>1618</v>
      </c>
      <c r="I267">
        <v>1</v>
      </c>
      <c r="J267">
        <f>SUM(K268)</f>
        <v>1749.64981536</v>
      </c>
      <c r="K267">
        <f>I267*J267</f>
        <v>1749.64981536</v>
      </c>
      <c r="L267">
        <f>100*(1-(M267/K267))</f>
        <v>88</v>
      </c>
      <c r="M267">
        <f>I267*SUM(M268)</f>
        <v>209.95797784319998</v>
      </c>
      <c r="N267" s="90">
        <v>267</v>
      </c>
      <c r="O267" s="90" t="s">
        <v>206</v>
      </c>
      <c r="P267" s="118"/>
      <c r="Q267" s="118"/>
      <c r="R267" s="90" t="s">
        <v>6439</v>
      </c>
      <c r="S267" s="90" t="s">
        <v>6742</v>
      </c>
      <c r="T267" s="90" t="s">
        <v>6887</v>
      </c>
      <c r="U267" s="90" t="s">
        <v>6591</v>
      </c>
    </row>
    <row r="268" spans="1:23" x14ac:dyDescent="0.25">
      <c r="A268" s="90" t="s">
        <v>1619</v>
      </c>
      <c r="B268" s="119">
        <v>4</v>
      </c>
      <c r="C268" s="90" t="s">
        <v>1617</v>
      </c>
      <c r="D268" s="90" t="s">
        <v>78</v>
      </c>
      <c r="E268">
        <v>529</v>
      </c>
      <c r="F268">
        <v>532</v>
      </c>
      <c r="G268" s="93" t="s">
        <v>68</v>
      </c>
      <c r="H268" t="s">
        <v>422</v>
      </c>
      <c r="I268">
        <v>1</v>
      </c>
      <c r="J268">
        <f>SUM(K269)</f>
        <v>1749.64981536</v>
      </c>
      <c r="K268">
        <f>I268*J268</f>
        <v>1749.64981536</v>
      </c>
      <c r="L268">
        <f>100*(1-(M268/K268))</f>
        <v>88</v>
      </c>
      <c r="M268">
        <f>I268*SUM(M269)</f>
        <v>209.95797784319998</v>
      </c>
      <c r="N268" s="90">
        <v>268</v>
      </c>
      <c r="O268" s="90" t="s">
        <v>1050</v>
      </c>
      <c r="P268" s="118"/>
      <c r="Q268" s="118"/>
      <c r="R268" s="90" t="s">
        <v>4666</v>
      </c>
      <c r="S268" s="90" t="s">
        <v>5730</v>
      </c>
      <c r="T268" s="90" t="s">
        <v>6228</v>
      </c>
      <c r="U268" s="90" t="s">
        <v>5206</v>
      </c>
    </row>
    <row r="269" spans="1:23" x14ac:dyDescent="0.25">
      <c r="A269" s="90" t="s">
        <v>1620</v>
      </c>
      <c r="B269" s="119">
        <v>5</v>
      </c>
      <c r="C269" s="90" t="s">
        <v>1619</v>
      </c>
      <c r="D269" s="90" t="s">
        <v>78</v>
      </c>
      <c r="E269">
        <v>530</v>
      </c>
      <c r="F269">
        <v>531</v>
      </c>
      <c r="G269" s="93" t="s">
        <v>78</v>
      </c>
      <c r="H269" t="s">
        <v>424</v>
      </c>
      <c r="I269">
        <v>1</v>
      </c>
      <c r="J269">
        <v>1749.64981536</v>
      </c>
      <c r="K269">
        <f>I269*J269</f>
        <v>1749.64981536</v>
      </c>
      <c r="L269">
        <v>88</v>
      </c>
      <c r="M269">
        <f>(1-(L269/100))*K269</f>
        <v>209.95797784319998</v>
      </c>
      <c r="N269" s="90">
        <v>269</v>
      </c>
      <c r="O269" s="90" t="s">
        <v>207</v>
      </c>
      <c r="P269" s="118"/>
      <c r="Q269" s="118"/>
    </row>
    <row r="270" spans="1:23" x14ac:dyDescent="0.25">
      <c r="A270" s="90" t="s">
        <v>1621</v>
      </c>
      <c r="B270" s="119">
        <v>2</v>
      </c>
      <c r="C270" s="90" t="s">
        <v>78</v>
      </c>
      <c r="D270" s="90" t="s">
        <v>95</v>
      </c>
      <c r="E270">
        <v>535</v>
      </c>
      <c r="F270">
        <v>672</v>
      </c>
      <c r="G270" s="93" t="s">
        <v>68</v>
      </c>
      <c r="H270" t="s">
        <v>1622</v>
      </c>
      <c r="I270">
        <v>1</v>
      </c>
      <c r="J270">
        <f>SUM(K271,K300,K310,K317,K327,K330,K333,K336)</f>
        <v>75102.010197409996</v>
      </c>
      <c r="K270">
        <f>I270*J270</f>
        <v>75102.010197409996</v>
      </c>
      <c r="L270">
        <f>100*(1-(M270/K270))</f>
        <v>49.982450607401695</v>
      </c>
      <c r="M270">
        <f>I270*SUM(M271,M300,M310,M317,M327,M330,M333,M336)</f>
        <v>37564.185045323764</v>
      </c>
      <c r="N270" s="90">
        <v>270</v>
      </c>
      <c r="O270" s="90" t="s">
        <v>208</v>
      </c>
      <c r="P270" s="118"/>
      <c r="Q270" s="118"/>
      <c r="R270" s="90" t="s">
        <v>6955</v>
      </c>
      <c r="S270" s="90" t="s">
        <v>7052</v>
      </c>
      <c r="T270" s="90" t="s">
        <v>7098</v>
      </c>
      <c r="U270" s="90" t="s">
        <v>7004</v>
      </c>
    </row>
    <row r="271" spans="1:23" x14ac:dyDescent="0.25">
      <c r="A271" s="90" t="s">
        <v>1623</v>
      </c>
      <c r="B271" s="119">
        <v>3</v>
      </c>
      <c r="C271" s="90" t="s">
        <v>1621</v>
      </c>
      <c r="D271" s="90" t="s">
        <v>78</v>
      </c>
      <c r="E271">
        <v>536</v>
      </c>
      <c r="F271">
        <v>593</v>
      </c>
      <c r="G271" s="93" t="s">
        <v>68</v>
      </c>
      <c r="H271" t="s">
        <v>1624</v>
      </c>
      <c r="I271">
        <v>1</v>
      </c>
      <c r="J271">
        <f>SUM(K272,K274,K276,K278,K280,K282,K284,K286,K288,K290,K292,K294,K296,K298)</f>
        <v>38810.83437923</v>
      </c>
      <c r="K271">
        <f>I271*J271</f>
        <v>38810.83437923</v>
      </c>
      <c r="L271">
        <f>100*(1-(M271/K271))</f>
        <v>40</v>
      </c>
      <c r="M271">
        <f>I271*SUM(M272,M274,M276,M278,M280,M282,M284,M286,M288,M290,M292,M294,M296,M298)</f>
        <v>23286.500627538</v>
      </c>
      <c r="N271" s="90">
        <v>271</v>
      </c>
      <c r="O271" s="90" t="s">
        <v>1051</v>
      </c>
      <c r="P271" s="118"/>
      <c r="Q271" s="118"/>
      <c r="R271" s="90" t="s">
        <v>6448</v>
      </c>
      <c r="S271" s="90" t="s">
        <v>6751</v>
      </c>
      <c r="T271" s="90" t="s">
        <v>6896</v>
      </c>
      <c r="U271" s="90" t="s">
        <v>6600</v>
      </c>
    </row>
    <row r="272" spans="1:23" x14ac:dyDescent="0.25">
      <c r="A272" s="90" t="s">
        <v>1625</v>
      </c>
      <c r="B272" s="119">
        <v>4</v>
      </c>
      <c r="C272" s="90" t="s">
        <v>1623</v>
      </c>
      <c r="D272" s="90" t="s">
        <v>78</v>
      </c>
      <c r="E272">
        <v>537</v>
      </c>
      <c r="F272">
        <v>540</v>
      </c>
      <c r="G272" s="93" t="s">
        <v>68</v>
      </c>
      <c r="H272" t="s">
        <v>1235</v>
      </c>
      <c r="I272">
        <v>1</v>
      </c>
      <c r="J272">
        <f>SUM(K273)</f>
        <v>37.44</v>
      </c>
      <c r="K272">
        <f>I272*J272</f>
        <v>37.44</v>
      </c>
      <c r="L272">
        <f>100*(1-(M272/K272))</f>
        <v>40</v>
      </c>
      <c r="M272">
        <f>I272*SUM(M273)</f>
        <v>22.463999999999999</v>
      </c>
      <c r="N272" s="90">
        <v>272</v>
      </c>
      <c r="O272" s="90" t="s">
        <v>209</v>
      </c>
      <c r="P272" s="118"/>
      <c r="Q272" s="118"/>
      <c r="R272" s="90" t="s">
        <v>4682</v>
      </c>
      <c r="S272" s="90" t="s">
        <v>5746</v>
      </c>
      <c r="T272" s="90" t="s">
        <v>6244</v>
      </c>
      <c r="U272" s="90" t="s">
        <v>5222</v>
      </c>
    </row>
    <row r="273" spans="1:21" x14ac:dyDescent="0.25">
      <c r="A273" s="90" t="s">
        <v>1626</v>
      </c>
      <c r="B273" s="119">
        <v>5</v>
      </c>
      <c r="C273" s="90" t="s">
        <v>1625</v>
      </c>
      <c r="D273" s="90" t="s">
        <v>78</v>
      </c>
      <c r="E273">
        <v>538</v>
      </c>
      <c r="F273">
        <v>539</v>
      </c>
      <c r="G273" s="93" t="s">
        <v>78</v>
      </c>
      <c r="H273" t="s">
        <v>1235</v>
      </c>
      <c r="I273">
        <v>1</v>
      </c>
      <c r="J273">
        <v>37.44</v>
      </c>
      <c r="K273">
        <f>I273*J273</f>
        <v>37.44</v>
      </c>
      <c r="L273">
        <v>40</v>
      </c>
      <c r="M273">
        <f>(1-(L273/100))*K273</f>
        <v>22.463999999999999</v>
      </c>
      <c r="N273" s="90">
        <v>273</v>
      </c>
      <c r="O273" s="90" t="s">
        <v>210</v>
      </c>
      <c r="P273" s="118"/>
      <c r="Q273" s="118"/>
    </row>
    <row r="274" spans="1:21" x14ac:dyDescent="0.25">
      <c r="A274" s="90" t="s">
        <v>1627</v>
      </c>
      <c r="B274" s="119">
        <v>4</v>
      </c>
      <c r="C274" s="90" t="s">
        <v>1623</v>
      </c>
      <c r="D274" s="90" t="s">
        <v>79</v>
      </c>
      <c r="E274">
        <v>541</v>
      </c>
      <c r="F274">
        <v>544</v>
      </c>
      <c r="G274" s="93" t="s">
        <v>68</v>
      </c>
      <c r="H274" t="s">
        <v>1240</v>
      </c>
      <c r="I274">
        <v>1</v>
      </c>
      <c r="J274">
        <f>SUM(K275)</f>
        <v>700.36928562000003</v>
      </c>
      <c r="K274">
        <f>I274*J274</f>
        <v>700.36928562000003</v>
      </c>
      <c r="L274">
        <f>100*(1-(M274/K274))</f>
        <v>40</v>
      </c>
      <c r="M274">
        <f>I274*SUM(M275)</f>
        <v>420.22157137200003</v>
      </c>
      <c r="N274" s="90">
        <v>274</v>
      </c>
      <c r="O274" s="90" t="s">
        <v>211</v>
      </c>
      <c r="P274" s="118"/>
      <c r="Q274" s="118"/>
      <c r="R274" s="90" t="s">
        <v>4688</v>
      </c>
      <c r="S274" s="90" t="s">
        <v>5751</v>
      </c>
      <c r="T274" s="90" t="s">
        <v>6249</v>
      </c>
      <c r="U274" s="90" t="s">
        <v>5228</v>
      </c>
    </row>
    <row r="275" spans="1:21" x14ac:dyDescent="0.25">
      <c r="A275" s="90" t="s">
        <v>1628</v>
      </c>
      <c r="B275" s="119">
        <v>5</v>
      </c>
      <c r="C275" s="90" t="s">
        <v>1627</v>
      </c>
      <c r="D275" s="90" t="s">
        <v>78</v>
      </c>
      <c r="E275">
        <v>542</v>
      </c>
      <c r="F275">
        <v>543</v>
      </c>
      <c r="G275" s="93" t="s">
        <v>78</v>
      </c>
      <c r="H275" t="s">
        <v>1243</v>
      </c>
      <c r="I275">
        <v>1</v>
      </c>
      <c r="J275">
        <v>700.36928562000003</v>
      </c>
      <c r="K275">
        <f>I275*J275</f>
        <v>700.36928562000003</v>
      </c>
      <c r="L275">
        <v>40</v>
      </c>
      <c r="M275">
        <f>(1-(L275/100))*K275</f>
        <v>420.22157137200003</v>
      </c>
      <c r="N275" s="90">
        <v>275</v>
      </c>
      <c r="O275" s="90" t="s">
        <v>212</v>
      </c>
      <c r="P275" s="118"/>
      <c r="Q275" s="118"/>
    </row>
    <row r="276" spans="1:21" x14ac:dyDescent="0.25">
      <c r="A276" s="90" t="s">
        <v>1629</v>
      </c>
      <c r="B276" s="119">
        <v>4</v>
      </c>
      <c r="C276" s="90" t="s">
        <v>1623</v>
      </c>
      <c r="D276" s="90" t="s">
        <v>80</v>
      </c>
      <c r="E276">
        <v>545</v>
      </c>
      <c r="F276">
        <v>548</v>
      </c>
      <c r="G276" s="93" t="s">
        <v>68</v>
      </c>
      <c r="H276" t="s">
        <v>1246</v>
      </c>
      <c r="I276">
        <v>3</v>
      </c>
      <c r="J276">
        <f>SUM(K277)</f>
        <v>967.93582071000003</v>
      </c>
      <c r="K276">
        <f>I276*J276</f>
        <v>2903.8074621300002</v>
      </c>
      <c r="L276">
        <f>100*(1-(M276/K276))</f>
        <v>40</v>
      </c>
      <c r="M276">
        <f>I276*SUM(M277)</f>
        <v>1742.2844772779999</v>
      </c>
      <c r="N276" s="90">
        <v>276</v>
      </c>
      <c r="O276" s="90" t="s">
        <v>1052</v>
      </c>
      <c r="P276" s="118"/>
      <c r="Q276" s="118"/>
      <c r="R276" s="90" t="s">
        <v>4689</v>
      </c>
      <c r="S276" s="90" t="s">
        <v>5752</v>
      </c>
      <c r="T276" s="90" t="s">
        <v>6250</v>
      </c>
      <c r="U276" s="90" t="s">
        <v>5229</v>
      </c>
    </row>
    <row r="277" spans="1:21" x14ac:dyDescent="0.25">
      <c r="A277" s="90" t="s">
        <v>1630</v>
      </c>
      <c r="B277" s="119">
        <v>5</v>
      </c>
      <c r="C277" s="90" t="s">
        <v>1629</v>
      </c>
      <c r="D277" s="90" t="s">
        <v>78</v>
      </c>
      <c r="E277">
        <v>546</v>
      </c>
      <c r="F277">
        <v>547</v>
      </c>
      <c r="G277" s="93" t="s">
        <v>78</v>
      </c>
      <c r="H277" t="s">
        <v>120</v>
      </c>
      <c r="I277">
        <v>1</v>
      </c>
      <c r="J277">
        <v>967.93582071000003</v>
      </c>
      <c r="K277">
        <f>I277*J277</f>
        <v>967.93582071000003</v>
      </c>
      <c r="L277">
        <v>40</v>
      </c>
      <c r="M277">
        <f>(1-(L277/100))*K277</f>
        <v>580.76149242600002</v>
      </c>
      <c r="N277" s="90">
        <v>277</v>
      </c>
      <c r="O277" s="90" t="s">
        <v>213</v>
      </c>
      <c r="P277" s="118"/>
      <c r="Q277" s="118"/>
    </row>
    <row r="278" spans="1:21" x14ac:dyDescent="0.25">
      <c r="A278" s="90" t="s">
        <v>1631</v>
      </c>
      <c r="B278" s="119">
        <v>4</v>
      </c>
      <c r="C278" s="90" t="s">
        <v>1623</v>
      </c>
      <c r="D278" s="90" t="s">
        <v>95</v>
      </c>
      <c r="E278">
        <v>549</v>
      </c>
      <c r="F278">
        <v>552</v>
      </c>
      <c r="G278" s="93" t="s">
        <v>68</v>
      </c>
      <c r="H278" t="s">
        <v>1251</v>
      </c>
      <c r="I278">
        <v>1</v>
      </c>
      <c r="J278">
        <f>SUM(K279)</f>
        <v>967.93582071000003</v>
      </c>
      <c r="K278">
        <f>I278*J278</f>
        <v>967.93582071000003</v>
      </c>
      <c r="L278">
        <f>100*(1-(M278/K278))</f>
        <v>40</v>
      </c>
      <c r="M278">
        <f>I278*SUM(M279)</f>
        <v>580.76149242600002</v>
      </c>
      <c r="N278" s="90">
        <v>278</v>
      </c>
      <c r="O278" s="90" t="s">
        <v>214</v>
      </c>
      <c r="P278" s="118"/>
      <c r="Q278" s="118"/>
      <c r="R278" s="90" t="s">
        <v>4690</v>
      </c>
      <c r="S278" s="90" t="s">
        <v>5753</v>
      </c>
      <c r="T278" s="90" t="s">
        <v>6251</v>
      </c>
      <c r="U278" s="90" t="s">
        <v>5230</v>
      </c>
    </row>
    <row r="279" spans="1:21" x14ac:dyDescent="0.25">
      <c r="A279" s="90" t="s">
        <v>1632</v>
      </c>
      <c r="B279" s="119">
        <v>5</v>
      </c>
      <c r="C279" s="90" t="s">
        <v>1631</v>
      </c>
      <c r="D279" s="90" t="s">
        <v>78</v>
      </c>
      <c r="E279">
        <v>550</v>
      </c>
      <c r="F279">
        <v>551</v>
      </c>
      <c r="G279" s="93" t="s">
        <v>78</v>
      </c>
      <c r="H279" t="s">
        <v>125</v>
      </c>
      <c r="I279">
        <v>1</v>
      </c>
      <c r="J279">
        <v>967.93582071000003</v>
      </c>
      <c r="K279">
        <f>I279*J279</f>
        <v>967.93582071000003</v>
      </c>
      <c r="L279">
        <v>40</v>
      </c>
      <c r="M279">
        <f>(1-(L279/100))*K279</f>
        <v>580.76149242600002</v>
      </c>
      <c r="N279" s="90">
        <v>279</v>
      </c>
      <c r="O279" s="90" t="s">
        <v>1053</v>
      </c>
      <c r="P279" s="118"/>
      <c r="Q279" s="118"/>
    </row>
    <row r="280" spans="1:21" x14ac:dyDescent="0.25">
      <c r="A280" s="90" t="s">
        <v>1633</v>
      </c>
      <c r="B280" s="119">
        <v>4</v>
      </c>
      <c r="C280" s="90" t="s">
        <v>1623</v>
      </c>
      <c r="D280" s="90" t="s">
        <v>96</v>
      </c>
      <c r="E280">
        <v>553</v>
      </c>
      <c r="F280">
        <v>556</v>
      </c>
      <c r="G280" s="93" t="s">
        <v>68</v>
      </c>
      <c r="H280" t="s">
        <v>1261</v>
      </c>
      <c r="I280">
        <v>1</v>
      </c>
      <c r="J280">
        <f>SUM(K281)</f>
        <v>10160.44823634</v>
      </c>
      <c r="K280">
        <f>I280*J280</f>
        <v>10160.44823634</v>
      </c>
      <c r="L280">
        <f>100*(1-(M280/K280))</f>
        <v>40</v>
      </c>
      <c r="M280">
        <f>I280*SUM(M281)</f>
        <v>6096.268941804</v>
      </c>
      <c r="N280" s="90">
        <v>280</v>
      </c>
      <c r="O280" s="90" t="s">
        <v>215</v>
      </c>
      <c r="P280" s="118"/>
      <c r="Q280" s="118"/>
      <c r="R280" s="90" t="s">
        <v>4691</v>
      </c>
      <c r="S280" s="90" t="s">
        <v>5754</v>
      </c>
      <c r="T280" s="90" t="s">
        <v>6252</v>
      </c>
      <c r="U280" s="90" t="s">
        <v>5231</v>
      </c>
    </row>
    <row r="281" spans="1:21" x14ac:dyDescent="0.25">
      <c r="A281" s="90" t="s">
        <v>1634</v>
      </c>
      <c r="B281" s="119">
        <v>5</v>
      </c>
      <c r="C281" s="90" t="s">
        <v>1633</v>
      </c>
      <c r="D281" s="90" t="s">
        <v>78</v>
      </c>
      <c r="E281">
        <v>554</v>
      </c>
      <c r="F281">
        <v>555</v>
      </c>
      <c r="G281" s="93" t="s">
        <v>78</v>
      </c>
      <c r="H281" t="s">
        <v>1261</v>
      </c>
      <c r="I281">
        <v>1</v>
      </c>
      <c r="J281">
        <v>10160.44823634</v>
      </c>
      <c r="K281">
        <f>I281*J281</f>
        <v>10160.44823634</v>
      </c>
      <c r="L281">
        <v>40</v>
      </c>
      <c r="M281">
        <f>(1-(L281/100))*K281</f>
        <v>6096.268941804</v>
      </c>
      <c r="N281" s="90">
        <v>281</v>
      </c>
      <c r="O281" s="90" t="s">
        <v>216</v>
      </c>
      <c r="P281" s="118"/>
      <c r="Q281" s="118"/>
    </row>
    <row r="282" spans="1:21" x14ac:dyDescent="0.25">
      <c r="A282" s="90" t="s">
        <v>1635</v>
      </c>
      <c r="B282" s="119">
        <v>4</v>
      </c>
      <c r="C282" s="90" t="s">
        <v>1623</v>
      </c>
      <c r="D282" s="90" t="s">
        <v>103</v>
      </c>
      <c r="E282">
        <v>557</v>
      </c>
      <c r="F282">
        <v>560</v>
      </c>
      <c r="G282" s="93" t="s">
        <v>68</v>
      </c>
      <c r="H282" t="s">
        <v>1266</v>
      </c>
      <c r="I282">
        <v>1</v>
      </c>
      <c r="J282">
        <f>SUM(K283)</f>
        <v>9312.3647013900008</v>
      </c>
      <c r="K282">
        <f>I282*J282</f>
        <v>9312.3647013900008</v>
      </c>
      <c r="L282">
        <f>100*(1-(M282/K282))</f>
        <v>40</v>
      </c>
      <c r="M282">
        <f>I282*SUM(M283)</f>
        <v>5587.4188208340001</v>
      </c>
      <c r="N282" s="90">
        <v>282</v>
      </c>
      <c r="O282" s="90" t="s">
        <v>217</v>
      </c>
      <c r="P282" s="118"/>
      <c r="Q282" s="118"/>
      <c r="R282" s="90" t="s">
        <v>804</v>
      </c>
      <c r="S282" s="90" t="s">
        <v>872</v>
      </c>
      <c r="T282" s="90" t="s">
        <v>929</v>
      </c>
      <c r="U282" s="90" t="s">
        <v>833</v>
      </c>
    </row>
    <row r="283" spans="1:21" x14ac:dyDescent="0.25">
      <c r="A283" s="90" t="s">
        <v>1636</v>
      </c>
      <c r="B283" s="119">
        <v>5</v>
      </c>
      <c r="C283" s="90" t="s">
        <v>1635</v>
      </c>
      <c r="D283" s="90" t="s">
        <v>78</v>
      </c>
      <c r="E283">
        <v>558</v>
      </c>
      <c r="F283">
        <v>559</v>
      </c>
      <c r="G283" s="93" t="s">
        <v>78</v>
      </c>
      <c r="H283" t="s">
        <v>1269</v>
      </c>
      <c r="I283">
        <v>1</v>
      </c>
      <c r="J283">
        <v>9312.3647013900008</v>
      </c>
      <c r="K283">
        <f>I283*J283</f>
        <v>9312.3647013900008</v>
      </c>
      <c r="L283">
        <v>40</v>
      </c>
      <c r="M283">
        <f>(1-(L283/100))*K283</f>
        <v>5587.4188208340001</v>
      </c>
      <c r="N283" s="90">
        <v>283</v>
      </c>
      <c r="O283" s="90" t="s">
        <v>218</v>
      </c>
      <c r="P283" s="118"/>
      <c r="Q283" s="118"/>
    </row>
    <row r="284" spans="1:21" x14ac:dyDescent="0.25">
      <c r="A284" s="90" t="s">
        <v>1637</v>
      </c>
      <c r="B284" s="119">
        <v>4</v>
      </c>
      <c r="C284" s="90" t="s">
        <v>1623</v>
      </c>
      <c r="D284" s="90" t="s">
        <v>796</v>
      </c>
      <c r="E284">
        <v>561</v>
      </c>
      <c r="F284">
        <v>564</v>
      </c>
      <c r="G284" s="93" t="s">
        <v>68</v>
      </c>
      <c r="H284" t="s">
        <v>1638</v>
      </c>
      <c r="I284">
        <v>1</v>
      </c>
      <c r="J284">
        <f>SUM(K285)</f>
        <v>1980.13</v>
      </c>
      <c r="K284">
        <f>I284*J284</f>
        <v>1980.13</v>
      </c>
      <c r="L284">
        <f>100*(1-(M284/K284))</f>
        <v>40</v>
      </c>
      <c r="M284">
        <f>I284*SUM(M285)</f>
        <v>1188.078</v>
      </c>
      <c r="N284" s="90">
        <v>284</v>
      </c>
      <c r="O284" s="90" t="s">
        <v>219</v>
      </c>
      <c r="P284" s="118"/>
      <c r="Q284" s="118"/>
      <c r="R284" s="90" t="s">
        <v>4692</v>
      </c>
      <c r="S284" s="90" t="s">
        <v>873</v>
      </c>
      <c r="T284" s="90" t="s">
        <v>930</v>
      </c>
      <c r="U284" s="90" t="s">
        <v>5232</v>
      </c>
    </row>
    <row r="285" spans="1:21" x14ac:dyDescent="0.25">
      <c r="A285" s="90" t="s">
        <v>1639</v>
      </c>
      <c r="B285" s="119">
        <v>5</v>
      </c>
      <c r="C285" s="90" t="s">
        <v>1637</v>
      </c>
      <c r="D285" s="90" t="s">
        <v>78</v>
      </c>
      <c r="E285">
        <v>562</v>
      </c>
      <c r="F285">
        <v>563</v>
      </c>
      <c r="G285" s="93" t="s">
        <v>78</v>
      </c>
      <c r="H285" t="s">
        <v>1638</v>
      </c>
      <c r="I285">
        <v>1</v>
      </c>
      <c r="J285">
        <v>1980.13</v>
      </c>
      <c r="K285">
        <f>I285*J285</f>
        <v>1980.13</v>
      </c>
      <c r="L285">
        <v>40</v>
      </c>
      <c r="M285">
        <f>(1-(L285/100))*K285</f>
        <v>1188.078</v>
      </c>
      <c r="N285" s="90">
        <v>285</v>
      </c>
      <c r="O285" s="90" t="s">
        <v>1054</v>
      </c>
      <c r="P285" s="118"/>
      <c r="Q285" s="118"/>
    </row>
    <row r="286" spans="1:21" x14ac:dyDescent="0.25">
      <c r="A286" s="90" t="s">
        <v>1640</v>
      </c>
      <c r="B286" s="119">
        <v>4</v>
      </c>
      <c r="C286" s="90" t="s">
        <v>1623</v>
      </c>
      <c r="D286" s="90" t="s">
        <v>797</v>
      </c>
      <c r="E286">
        <v>565</v>
      </c>
      <c r="F286">
        <v>568</v>
      </c>
      <c r="G286" s="93" t="s">
        <v>68</v>
      </c>
      <c r="H286" t="s">
        <v>1272</v>
      </c>
      <c r="I286">
        <v>2</v>
      </c>
      <c r="J286">
        <f>SUM(K287)</f>
        <v>1308.5572392700001</v>
      </c>
      <c r="K286">
        <f>I286*J286</f>
        <v>2617.1144785400002</v>
      </c>
      <c r="L286">
        <f>100*(1-(M286/K286))</f>
        <v>40</v>
      </c>
      <c r="M286">
        <f>I286*SUM(M287)</f>
        <v>1570.2686871240001</v>
      </c>
      <c r="N286" s="90">
        <v>286</v>
      </c>
      <c r="O286" s="90" t="s">
        <v>220</v>
      </c>
      <c r="P286" s="118"/>
      <c r="Q286" s="118"/>
      <c r="R286" s="90" t="s">
        <v>4693</v>
      </c>
      <c r="S286" s="90" t="s">
        <v>5755</v>
      </c>
      <c r="T286" s="90" t="s">
        <v>6253</v>
      </c>
      <c r="U286" s="90" t="s">
        <v>5233</v>
      </c>
    </row>
    <row r="287" spans="1:21" x14ac:dyDescent="0.25">
      <c r="A287" s="90" t="s">
        <v>1641</v>
      </c>
      <c r="B287" s="119">
        <v>5</v>
      </c>
      <c r="C287" s="90" t="s">
        <v>1640</v>
      </c>
      <c r="D287" s="90" t="s">
        <v>78</v>
      </c>
      <c r="E287">
        <v>566</v>
      </c>
      <c r="F287">
        <v>567</v>
      </c>
      <c r="G287" s="93" t="s">
        <v>78</v>
      </c>
      <c r="H287" t="s">
        <v>1272</v>
      </c>
      <c r="I287">
        <v>1</v>
      </c>
      <c r="J287">
        <v>1308.5572392700001</v>
      </c>
      <c r="K287">
        <f>I287*J287</f>
        <v>1308.5572392700001</v>
      </c>
      <c r="L287">
        <v>40</v>
      </c>
      <c r="M287">
        <f>(1-(L287/100))*K287</f>
        <v>785.13434356200003</v>
      </c>
      <c r="N287" s="90">
        <v>287</v>
      </c>
      <c r="O287" s="90" t="s">
        <v>221</v>
      </c>
      <c r="P287" s="118"/>
      <c r="Q287" s="118"/>
    </row>
    <row r="288" spans="1:21" x14ac:dyDescent="0.25">
      <c r="A288" s="90" t="s">
        <v>1642</v>
      </c>
      <c r="B288" s="119">
        <v>4</v>
      </c>
      <c r="C288" s="90" t="s">
        <v>1623</v>
      </c>
      <c r="D288" s="90" t="s">
        <v>798</v>
      </c>
      <c r="E288">
        <v>569</v>
      </c>
      <c r="F288">
        <v>572</v>
      </c>
      <c r="G288" s="93" t="s">
        <v>68</v>
      </c>
      <c r="H288" t="s">
        <v>1485</v>
      </c>
      <c r="I288">
        <v>2</v>
      </c>
      <c r="J288">
        <f>SUM(K289)</f>
        <v>452</v>
      </c>
      <c r="K288">
        <f>I288*J288</f>
        <v>904</v>
      </c>
      <c r="L288">
        <f>100*(1-(M288/K288))</f>
        <v>40</v>
      </c>
      <c r="M288">
        <f>I288*SUM(M289)</f>
        <v>542.4</v>
      </c>
      <c r="N288" s="90">
        <v>288</v>
      </c>
      <c r="O288" s="90" t="s">
        <v>222</v>
      </c>
      <c r="P288" s="118"/>
      <c r="Q288" s="118"/>
      <c r="R288" s="90" t="s">
        <v>4694</v>
      </c>
      <c r="S288" s="90" t="s">
        <v>5756</v>
      </c>
      <c r="T288" s="90" t="s">
        <v>6254</v>
      </c>
      <c r="U288" s="90" t="s">
        <v>5234</v>
      </c>
    </row>
    <row r="289" spans="1:21" x14ac:dyDescent="0.25">
      <c r="A289" s="90" t="s">
        <v>1643</v>
      </c>
      <c r="B289" s="119">
        <v>5</v>
      </c>
      <c r="C289" s="90" t="s">
        <v>1642</v>
      </c>
      <c r="D289" s="90" t="s">
        <v>78</v>
      </c>
      <c r="E289">
        <v>570</v>
      </c>
      <c r="F289">
        <v>571</v>
      </c>
      <c r="G289" s="93" t="s">
        <v>78</v>
      </c>
      <c r="H289" t="s">
        <v>1488</v>
      </c>
      <c r="I289">
        <v>1</v>
      </c>
      <c r="J289">
        <v>452</v>
      </c>
      <c r="K289">
        <f>I289*J289</f>
        <v>452</v>
      </c>
      <c r="L289">
        <v>40</v>
      </c>
      <c r="M289">
        <f>(1-(L289/100))*K289</f>
        <v>271.2</v>
      </c>
      <c r="N289" s="90">
        <v>289</v>
      </c>
      <c r="O289" s="90" t="s">
        <v>223</v>
      </c>
      <c r="P289" s="118"/>
      <c r="Q289" s="118"/>
    </row>
    <row r="290" spans="1:21" x14ac:dyDescent="0.25">
      <c r="A290" s="90" t="s">
        <v>1644</v>
      </c>
      <c r="B290" s="119">
        <v>4</v>
      </c>
      <c r="C290" s="90" t="s">
        <v>1623</v>
      </c>
      <c r="D290" s="90" t="s">
        <v>799</v>
      </c>
      <c r="E290">
        <v>573</v>
      </c>
      <c r="F290">
        <v>576</v>
      </c>
      <c r="G290" s="93" t="s">
        <v>68</v>
      </c>
      <c r="H290" t="s">
        <v>145</v>
      </c>
      <c r="I290">
        <v>2</v>
      </c>
      <c r="J290">
        <f>SUM(K291)</f>
        <v>28.6</v>
      </c>
      <c r="K290">
        <f>I290*J290</f>
        <v>57.2</v>
      </c>
      <c r="L290">
        <f>100*(1-(M290/K290))</f>
        <v>40</v>
      </c>
      <c r="M290">
        <f>I290*SUM(M291)</f>
        <v>34.32</v>
      </c>
      <c r="N290" s="90">
        <v>290</v>
      </c>
      <c r="O290" s="90" t="s">
        <v>224</v>
      </c>
      <c r="P290" s="118"/>
      <c r="Q290" s="118"/>
      <c r="R290" s="90" t="s">
        <v>4683</v>
      </c>
      <c r="S290" s="90" t="s">
        <v>5747</v>
      </c>
      <c r="T290" s="90" t="s">
        <v>6245</v>
      </c>
      <c r="U290" s="90" t="s">
        <v>5223</v>
      </c>
    </row>
    <row r="291" spans="1:21" x14ac:dyDescent="0.25">
      <c r="A291" s="90" t="s">
        <v>1645</v>
      </c>
      <c r="B291" s="119">
        <v>5</v>
      </c>
      <c r="C291" s="90" t="s">
        <v>1644</v>
      </c>
      <c r="D291" s="90" t="s">
        <v>78</v>
      </c>
      <c r="E291">
        <v>574</v>
      </c>
      <c r="F291">
        <v>575</v>
      </c>
      <c r="G291" s="93" t="s">
        <v>78</v>
      </c>
      <c r="H291" t="s">
        <v>145</v>
      </c>
      <c r="I291">
        <v>1</v>
      </c>
      <c r="J291">
        <v>28.6</v>
      </c>
      <c r="K291">
        <f>I291*J291</f>
        <v>28.6</v>
      </c>
      <c r="L291">
        <v>40</v>
      </c>
      <c r="M291">
        <f>(1-(L291/100))*K291</f>
        <v>17.16</v>
      </c>
      <c r="N291" s="90">
        <v>291</v>
      </c>
      <c r="O291" s="90" t="s">
        <v>225</v>
      </c>
      <c r="P291" s="118"/>
      <c r="Q291" s="118"/>
    </row>
    <row r="292" spans="1:21" x14ac:dyDescent="0.25">
      <c r="A292" s="90" t="s">
        <v>1646</v>
      </c>
      <c r="B292" s="119">
        <v>4</v>
      </c>
      <c r="C292" s="90" t="s">
        <v>1623</v>
      </c>
      <c r="D292" s="90" t="s">
        <v>97</v>
      </c>
      <c r="E292">
        <v>577</v>
      </c>
      <c r="F292">
        <v>580</v>
      </c>
      <c r="G292" s="93" t="s">
        <v>68</v>
      </c>
      <c r="H292" t="s">
        <v>1495</v>
      </c>
      <c r="I292">
        <v>1</v>
      </c>
      <c r="J292">
        <f>SUM(K293)</f>
        <v>2358.3343945000001</v>
      </c>
      <c r="K292">
        <f>I292*J292</f>
        <v>2358.3343945000001</v>
      </c>
      <c r="L292">
        <f>100*(1-(M292/K292))</f>
        <v>40</v>
      </c>
      <c r="M292">
        <f>I292*SUM(M293)</f>
        <v>1415.0006367000001</v>
      </c>
      <c r="N292" s="90">
        <v>292</v>
      </c>
      <c r="O292" s="90" t="s">
        <v>226</v>
      </c>
      <c r="P292" s="118"/>
      <c r="Q292" s="118"/>
      <c r="R292" s="90" t="s">
        <v>4684</v>
      </c>
      <c r="S292" s="90" t="s">
        <v>994</v>
      </c>
      <c r="T292" s="90" t="s">
        <v>1021</v>
      </c>
      <c r="U292" s="90" t="s">
        <v>5224</v>
      </c>
    </row>
    <row r="293" spans="1:21" x14ac:dyDescent="0.25">
      <c r="A293" s="90" t="s">
        <v>1647</v>
      </c>
      <c r="B293" s="119">
        <v>5</v>
      </c>
      <c r="C293" s="90" t="s">
        <v>1646</v>
      </c>
      <c r="D293" s="90" t="s">
        <v>78</v>
      </c>
      <c r="E293">
        <v>578</v>
      </c>
      <c r="F293">
        <v>579</v>
      </c>
      <c r="G293" s="93" t="s">
        <v>78</v>
      </c>
      <c r="H293" t="s">
        <v>1495</v>
      </c>
      <c r="I293">
        <v>1</v>
      </c>
      <c r="J293">
        <v>2358.3343945000001</v>
      </c>
      <c r="K293">
        <f>I293*J293</f>
        <v>2358.3343945000001</v>
      </c>
      <c r="L293">
        <v>40</v>
      </c>
      <c r="M293">
        <f>(1-(L293/100))*K293</f>
        <v>1415.0006367000001</v>
      </c>
      <c r="N293" s="90">
        <v>293</v>
      </c>
      <c r="O293" s="90" t="s">
        <v>227</v>
      </c>
      <c r="P293" s="118"/>
      <c r="Q293" s="118"/>
    </row>
    <row r="294" spans="1:21" x14ac:dyDescent="0.25">
      <c r="A294" s="90" t="s">
        <v>1648</v>
      </c>
      <c r="B294" s="119">
        <v>4</v>
      </c>
      <c r="C294" s="90" t="s">
        <v>1623</v>
      </c>
      <c r="D294" s="90" t="s">
        <v>98</v>
      </c>
      <c r="E294">
        <v>581</v>
      </c>
      <c r="F294">
        <v>584</v>
      </c>
      <c r="G294" s="93" t="s">
        <v>68</v>
      </c>
      <c r="H294" t="s">
        <v>143</v>
      </c>
      <c r="I294">
        <v>1</v>
      </c>
      <c r="J294">
        <f>SUM(K295)</f>
        <v>27.17</v>
      </c>
      <c r="K294">
        <f>I294*J294</f>
        <v>27.17</v>
      </c>
      <c r="L294">
        <f>100*(1-(M294/K294))</f>
        <v>40</v>
      </c>
      <c r="M294">
        <f>I294*SUM(M295)</f>
        <v>16.302</v>
      </c>
      <c r="N294" s="90">
        <v>294</v>
      </c>
      <c r="O294" s="90" t="s">
        <v>228</v>
      </c>
      <c r="P294" s="118"/>
      <c r="Q294" s="118"/>
      <c r="R294" s="90" t="s">
        <v>4685</v>
      </c>
      <c r="S294" s="90" t="s">
        <v>5748</v>
      </c>
      <c r="T294" s="90" t="s">
        <v>6246</v>
      </c>
      <c r="U294" s="90" t="s">
        <v>5225</v>
      </c>
    </row>
    <row r="295" spans="1:21" x14ac:dyDescent="0.25">
      <c r="A295" s="90" t="s">
        <v>1649</v>
      </c>
      <c r="B295" s="119">
        <v>5</v>
      </c>
      <c r="C295" s="90" t="s">
        <v>1648</v>
      </c>
      <c r="D295" s="90" t="s">
        <v>78</v>
      </c>
      <c r="E295">
        <v>582</v>
      </c>
      <c r="F295">
        <v>583</v>
      </c>
      <c r="G295" s="93" t="s">
        <v>78</v>
      </c>
      <c r="H295" t="s">
        <v>143</v>
      </c>
      <c r="I295">
        <v>1</v>
      </c>
      <c r="J295">
        <v>27.17</v>
      </c>
      <c r="K295">
        <f>I295*J295</f>
        <v>27.17</v>
      </c>
      <c r="L295">
        <v>40</v>
      </c>
      <c r="M295">
        <f>(1-(L295/100))*K295</f>
        <v>16.302</v>
      </c>
      <c r="N295" s="90">
        <v>295</v>
      </c>
      <c r="O295" s="90" t="s">
        <v>229</v>
      </c>
      <c r="P295" s="118"/>
      <c r="Q295" s="118"/>
    </row>
    <row r="296" spans="1:21" x14ac:dyDescent="0.25">
      <c r="A296" s="90" t="s">
        <v>1650</v>
      </c>
      <c r="B296" s="119">
        <v>4</v>
      </c>
      <c r="C296" s="90" t="s">
        <v>1623</v>
      </c>
      <c r="D296" s="90" t="s">
        <v>99</v>
      </c>
      <c r="E296">
        <v>585</v>
      </c>
      <c r="F296">
        <v>588</v>
      </c>
      <c r="G296" s="93" t="s">
        <v>68</v>
      </c>
      <c r="H296" t="s">
        <v>1504</v>
      </c>
      <c r="I296">
        <v>1</v>
      </c>
      <c r="J296">
        <f>SUM(K297)</f>
        <v>184.52</v>
      </c>
      <c r="K296">
        <f>I296*J296</f>
        <v>184.52</v>
      </c>
      <c r="L296">
        <f>100*(1-(M296/K296))</f>
        <v>40</v>
      </c>
      <c r="M296">
        <f>I296*SUM(M297)</f>
        <v>110.712</v>
      </c>
      <c r="N296" s="90">
        <v>296</v>
      </c>
      <c r="O296" s="90" t="s">
        <v>1055</v>
      </c>
      <c r="P296" s="118"/>
      <c r="Q296" s="118"/>
      <c r="R296" s="90" t="s">
        <v>4686</v>
      </c>
      <c r="S296" s="90" t="s">
        <v>5749</v>
      </c>
      <c r="T296" s="90" t="s">
        <v>6247</v>
      </c>
      <c r="U296" s="90" t="s">
        <v>5226</v>
      </c>
    </row>
    <row r="297" spans="1:21" x14ac:dyDescent="0.25">
      <c r="A297" s="90" t="s">
        <v>1651</v>
      </c>
      <c r="B297" s="119">
        <v>5</v>
      </c>
      <c r="C297" s="90" t="s">
        <v>1650</v>
      </c>
      <c r="D297" s="90" t="s">
        <v>78</v>
      </c>
      <c r="E297">
        <v>586</v>
      </c>
      <c r="F297">
        <v>587</v>
      </c>
      <c r="G297" s="93" t="s">
        <v>78</v>
      </c>
      <c r="H297" t="s">
        <v>1504</v>
      </c>
      <c r="I297">
        <v>1</v>
      </c>
      <c r="J297">
        <v>184.52</v>
      </c>
      <c r="K297">
        <f>I297*J297</f>
        <v>184.52</v>
      </c>
      <c r="L297">
        <v>40</v>
      </c>
      <c r="M297">
        <f>(1-(L297/100))*K297</f>
        <v>110.712</v>
      </c>
      <c r="N297" s="90">
        <v>297</v>
      </c>
      <c r="O297" s="90" t="s">
        <v>230</v>
      </c>
      <c r="P297" s="118"/>
      <c r="Q297" s="118"/>
    </row>
    <row r="298" spans="1:21" x14ac:dyDescent="0.25">
      <c r="A298" s="90" t="s">
        <v>1652</v>
      </c>
      <c r="B298" s="119">
        <v>4</v>
      </c>
      <c r="C298" s="90" t="s">
        <v>1623</v>
      </c>
      <c r="D298" s="90" t="s">
        <v>100</v>
      </c>
      <c r="E298">
        <v>589</v>
      </c>
      <c r="F298">
        <v>592</v>
      </c>
      <c r="G298" s="93" t="s">
        <v>68</v>
      </c>
      <c r="H298" t="s">
        <v>1509</v>
      </c>
      <c r="I298">
        <v>2</v>
      </c>
      <c r="J298">
        <f>SUM(K299)</f>
        <v>3300</v>
      </c>
      <c r="K298">
        <f>I298*J298</f>
        <v>6600</v>
      </c>
      <c r="L298">
        <f>100*(1-(M298/K298))</f>
        <v>40</v>
      </c>
      <c r="M298">
        <f>I298*SUM(M299)</f>
        <v>3960</v>
      </c>
      <c r="N298" s="90">
        <v>298</v>
      </c>
      <c r="O298" s="90" t="s">
        <v>231</v>
      </c>
      <c r="P298" s="118"/>
      <c r="Q298" s="118"/>
      <c r="R298" s="90" t="s">
        <v>4687</v>
      </c>
      <c r="S298" s="90" t="s">
        <v>5750</v>
      </c>
      <c r="T298" s="90" t="s">
        <v>6248</v>
      </c>
      <c r="U298" s="90" t="s">
        <v>5227</v>
      </c>
    </row>
    <row r="299" spans="1:21" x14ac:dyDescent="0.25">
      <c r="A299" s="90" t="s">
        <v>1653</v>
      </c>
      <c r="B299" s="119">
        <v>5</v>
      </c>
      <c r="C299" s="90" t="s">
        <v>1652</v>
      </c>
      <c r="D299" s="90" t="s">
        <v>78</v>
      </c>
      <c r="E299">
        <v>590</v>
      </c>
      <c r="F299">
        <v>591</v>
      </c>
      <c r="G299" s="93" t="s">
        <v>78</v>
      </c>
      <c r="H299" t="s">
        <v>1509</v>
      </c>
      <c r="I299">
        <v>1</v>
      </c>
      <c r="J299">
        <v>3300</v>
      </c>
      <c r="K299">
        <f>I299*J299</f>
        <v>3300</v>
      </c>
      <c r="L299">
        <v>40</v>
      </c>
      <c r="M299">
        <f>(1-(L299/100))*K299</f>
        <v>1980</v>
      </c>
      <c r="N299" s="90">
        <v>299</v>
      </c>
      <c r="O299" s="90" t="s">
        <v>232</v>
      </c>
      <c r="P299" s="118"/>
      <c r="Q299" s="118"/>
    </row>
    <row r="300" spans="1:21" x14ac:dyDescent="0.25">
      <c r="A300" s="90" t="s">
        <v>1654</v>
      </c>
      <c r="B300" s="119">
        <v>3</v>
      </c>
      <c r="C300" s="90" t="s">
        <v>1621</v>
      </c>
      <c r="D300" s="90" t="s">
        <v>79</v>
      </c>
      <c r="E300">
        <v>594</v>
      </c>
      <c r="F300">
        <v>613</v>
      </c>
      <c r="G300" s="93" t="s">
        <v>68</v>
      </c>
      <c r="H300" t="s">
        <v>1655</v>
      </c>
      <c r="I300">
        <v>1</v>
      </c>
      <c r="J300">
        <f>SUM(K301,K303)</f>
        <v>13283.713230629997</v>
      </c>
      <c r="K300">
        <f>I300*J300</f>
        <v>13283.713230629997</v>
      </c>
      <c r="L300">
        <f>100*(1-(M300/K300))</f>
        <v>39.999999999999993</v>
      </c>
      <c r="M300">
        <f>I300*SUM(M301,M303)</f>
        <v>7970.2279383779996</v>
      </c>
      <c r="N300" s="90">
        <v>300</v>
      </c>
      <c r="O300" s="90" t="s">
        <v>1056</v>
      </c>
      <c r="P300" s="118"/>
      <c r="Q300" s="118"/>
      <c r="R300" s="90" t="s">
        <v>6449</v>
      </c>
      <c r="S300" s="90" t="s">
        <v>6752</v>
      </c>
      <c r="T300" s="90" t="s">
        <v>6897</v>
      </c>
      <c r="U300" s="90" t="s">
        <v>6601</v>
      </c>
    </row>
    <row r="301" spans="1:21" x14ac:dyDescent="0.25">
      <c r="A301" s="90" t="s">
        <v>1656</v>
      </c>
      <c r="B301" s="119">
        <v>4</v>
      </c>
      <c r="C301" s="90" t="s">
        <v>1654</v>
      </c>
      <c r="D301" s="90" t="s">
        <v>78</v>
      </c>
      <c r="E301">
        <v>595</v>
      </c>
      <c r="F301">
        <v>598</v>
      </c>
      <c r="G301" s="93" t="s">
        <v>68</v>
      </c>
      <c r="H301" t="s">
        <v>186</v>
      </c>
      <c r="I301">
        <v>3</v>
      </c>
      <c r="J301">
        <f>SUM(K302)</f>
        <v>256.72991214000001</v>
      </c>
      <c r="K301">
        <f>I301*J301</f>
        <v>770.18973642000003</v>
      </c>
      <c r="L301">
        <f>100*(1-(M301/K301))</f>
        <v>39.999999999999993</v>
      </c>
      <c r="M301">
        <f>I301*SUM(M302)</f>
        <v>462.11384185200006</v>
      </c>
      <c r="N301" s="90">
        <v>301</v>
      </c>
      <c r="O301" s="90" t="s">
        <v>233</v>
      </c>
      <c r="P301" s="118"/>
      <c r="Q301" s="118"/>
      <c r="R301" s="90" t="s">
        <v>4695</v>
      </c>
      <c r="S301" s="90" t="s">
        <v>982</v>
      </c>
      <c r="T301" s="90" t="s">
        <v>1009</v>
      </c>
      <c r="U301" s="90" t="s">
        <v>5235</v>
      </c>
    </row>
    <row r="302" spans="1:21" x14ac:dyDescent="0.25">
      <c r="A302" s="90" t="s">
        <v>1657</v>
      </c>
      <c r="B302" s="119">
        <v>5</v>
      </c>
      <c r="C302" s="90" t="s">
        <v>1656</v>
      </c>
      <c r="D302" s="90" t="s">
        <v>78</v>
      </c>
      <c r="E302">
        <v>596</v>
      </c>
      <c r="F302">
        <v>597</v>
      </c>
      <c r="G302" s="93" t="s">
        <v>78</v>
      </c>
      <c r="H302" t="s">
        <v>187</v>
      </c>
      <c r="I302">
        <v>1</v>
      </c>
      <c r="J302">
        <v>256.72991214000001</v>
      </c>
      <c r="K302">
        <f>I302*J302</f>
        <v>256.72991214000001</v>
      </c>
      <c r="L302">
        <v>40</v>
      </c>
      <c r="M302">
        <f>(1-(L302/100))*K302</f>
        <v>154.03794728400001</v>
      </c>
      <c r="N302" s="90">
        <v>302</v>
      </c>
      <c r="O302" s="90" t="s">
        <v>234</v>
      </c>
      <c r="P302" s="118"/>
      <c r="Q302" s="118"/>
    </row>
    <row r="303" spans="1:21" x14ac:dyDescent="0.25">
      <c r="A303" s="90" t="s">
        <v>1658</v>
      </c>
      <c r="B303" s="119">
        <v>4</v>
      </c>
      <c r="C303" s="90" t="s">
        <v>1654</v>
      </c>
      <c r="D303" s="90" t="s">
        <v>79</v>
      </c>
      <c r="E303">
        <v>599</v>
      </c>
      <c r="F303">
        <v>612</v>
      </c>
      <c r="G303" s="93" t="s">
        <v>68</v>
      </c>
      <c r="H303" t="s">
        <v>1568</v>
      </c>
      <c r="I303">
        <v>1</v>
      </c>
      <c r="J303">
        <f>SUM(K304,K305,K306,K307,K308,K309)</f>
        <v>12513.523494209998</v>
      </c>
      <c r="K303">
        <f>I303*J303</f>
        <v>12513.523494209998</v>
      </c>
      <c r="L303">
        <f>100*(1-(M303/K303))</f>
        <v>39.999999999999993</v>
      </c>
      <c r="M303">
        <f>I303*SUM(M304,M305,M306,M307,M308,M309)</f>
        <v>7508.1140965259992</v>
      </c>
      <c r="N303" s="90">
        <v>303</v>
      </c>
      <c r="O303" s="90" t="s">
        <v>1057</v>
      </c>
      <c r="P303" s="118"/>
      <c r="Q303" s="118"/>
      <c r="R303" s="90" t="s">
        <v>4696</v>
      </c>
      <c r="S303" s="90" t="s">
        <v>5757</v>
      </c>
      <c r="T303" s="90" t="s">
        <v>6255</v>
      </c>
      <c r="U303" s="90" t="s">
        <v>5236</v>
      </c>
    </row>
    <row r="304" spans="1:21" x14ac:dyDescent="0.25">
      <c r="A304" s="90" t="s">
        <v>1659</v>
      </c>
      <c r="B304" s="119">
        <v>5</v>
      </c>
      <c r="C304" s="90" t="s">
        <v>1658</v>
      </c>
      <c r="D304" s="90" t="s">
        <v>78</v>
      </c>
      <c r="E304">
        <v>600</v>
      </c>
      <c r="F304">
        <v>601</v>
      </c>
      <c r="G304" s="93" t="s">
        <v>78</v>
      </c>
      <c r="H304" t="s">
        <v>189</v>
      </c>
      <c r="I304">
        <v>1</v>
      </c>
      <c r="J304">
        <v>10880.466063919999</v>
      </c>
      <c r="K304">
        <f>I304*J304</f>
        <v>10880.466063919999</v>
      </c>
      <c r="L304">
        <v>40</v>
      </c>
      <c r="M304">
        <f>(1-(L304/100))*K304</f>
        <v>6528.279638351999</v>
      </c>
      <c r="N304" s="90">
        <v>304</v>
      </c>
      <c r="O304" s="90" t="s">
        <v>235</v>
      </c>
      <c r="P304" s="118"/>
      <c r="Q304" s="118"/>
    </row>
    <row r="305" spans="1:21" x14ac:dyDescent="0.25">
      <c r="A305" s="90" t="s">
        <v>1660</v>
      </c>
      <c r="B305" s="119">
        <v>5</v>
      </c>
      <c r="C305" s="90" t="s">
        <v>1658</v>
      </c>
      <c r="D305" s="90" t="s">
        <v>79</v>
      </c>
      <c r="E305">
        <v>602</v>
      </c>
      <c r="F305">
        <v>603</v>
      </c>
      <c r="G305" s="93" t="s">
        <v>78</v>
      </c>
      <c r="H305" t="s">
        <v>191</v>
      </c>
      <c r="I305">
        <v>1</v>
      </c>
      <c r="J305">
        <v>862.86769387000004</v>
      </c>
      <c r="K305">
        <f>I305*J305</f>
        <v>862.86769387000004</v>
      </c>
      <c r="L305">
        <v>40</v>
      </c>
      <c r="M305">
        <f>(1-(L305/100))*K305</f>
        <v>517.72061632199996</v>
      </c>
      <c r="N305" s="90">
        <v>305</v>
      </c>
      <c r="O305" s="90" t="s">
        <v>236</v>
      </c>
      <c r="P305" s="118"/>
      <c r="Q305" s="118"/>
    </row>
    <row r="306" spans="1:21" x14ac:dyDescent="0.25">
      <c r="A306" s="90" t="s">
        <v>1661</v>
      </c>
      <c r="B306" s="119">
        <v>5</v>
      </c>
      <c r="C306" s="90" t="s">
        <v>1658</v>
      </c>
      <c r="D306" s="90" t="s">
        <v>80</v>
      </c>
      <c r="E306">
        <v>604</v>
      </c>
      <c r="F306">
        <v>605</v>
      </c>
      <c r="G306" s="93" t="s">
        <v>78</v>
      </c>
      <c r="H306" t="s">
        <v>193</v>
      </c>
      <c r="I306">
        <v>0</v>
      </c>
      <c r="J306">
        <v>7211.7152680500003</v>
      </c>
      <c r="K306">
        <f>I306*J306</f>
        <v>0</v>
      </c>
      <c r="L306">
        <v>40</v>
      </c>
      <c r="M306">
        <f>(1-(L306/100))*K306</f>
        <v>0</v>
      </c>
      <c r="N306" s="90">
        <v>306</v>
      </c>
      <c r="O306" s="90" t="s">
        <v>237</v>
      </c>
      <c r="P306" s="118"/>
      <c r="Q306" s="118"/>
    </row>
    <row r="307" spans="1:21" x14ac:dyDescent="0.25">
      <c r="A307" s="90" t="s">
        <v>1662</v>
      </c>
      <c r="B307" s="119">
        <v>5</v>
      </c>
      <c r="C307" s="90" t="s">
        <v>1658</v>
      </c>
      <c r="D307" s="90" t="s">
        <v>95</v>
      </c>
      <c r="E307">
        <v>606</v>
      </c>
      <c r="F307">
        <v>607</v>
      </c>
      <c r="G307" s="93" t="s">
        <v>78</v>
      </c>
      <c r="H307" t="s">
        <v>194</v>
      </c>
      <c r="I307">
        <v>0</v>
      </c>
      <c r="J307">
        <v>214.52947918000001</v>
      </c>
      <c r="K307">
        <f>I307*J307</f>
        <v>0</v>
      </c>
      <c r="L307">
        <v>40</v>
      </c>
      <c r="M307">
        <f>(1-(L307/100))*K307</f>
        <v>0</v>
      </c>
      <c r="N307" s="90">
        <v>307</v>
      </c>
      <c r="O307" s="90" t="s">
        <v>238</v>
      </c>
      <c r="P307" s="118"/>
      <c r="Q307" s="118"/>
    </row>
    <row r="308" spans="1:21" x14ac:dyDescent="0.25">
      <c r="A308" s="90" t="s">
        <v>1663</v>
      </c>
      <c r="B308" s="119">
        <v>5</v>
      </c>
      <c r="C308" s="90" t="s">
        <v>1658</v>
      </c>
      <c r="D308" s="90" t="s">
        <v>96</v>
      </c>
      <c r="E308">
        <v>608</v>
      </c>
      <c r="F308">
        <v>609</v>
      </c>
      <c r="G308" s="93" t="s">
        <v>78</v>
      </c>
      <c r="H308" t="s">
        <v>196</v>
      </c>
      <c r="I308">
        <v>0</v>
      </c>
      <c r="J308">
        <v>214.52947918000001</v>
      </c>
      <c r="K308">
        <f>I308*J308</f>
        <v>0</v>
      </c>
      <c r="L308">
        <v>40</v>
      </c>
      <c r="M308">
        <f>(1-(L308/100))*K308</f>
        <v>0</v>
      </c>
      <c r="N308" s="90">
        <v>308</v>
      </c>
      <c r="O308" s="90" t="s">
        <v>239</v>
      </c>
      <c r="P308" s="118"/>
      <c r="Q308" s="118"/>
    </row>
    <row r="309" spans="1:21" x14ac:dyDescent="0.25">
      <c r="A309" s="90" t="s">
        <v>1664</v>
      </c>
      <c r="B309" s="119">
        <v>5</v>
      </c>
      <c r="C309" s="90" t="s">
        <v>1658</v>
      </c>
      <c r="D309" s="90" t="s">
        <v>103</v>
      </c>
      <c r="E309">
        <v>610</v>
      </c>
      <c r="F309">
        <v>611</v>
      </c>
      <c r="G309" s="93" t="s">
        <v>78</v>
      </c>
      <c r="H309" t="s">
        <v>187</v>
      </c>
      <c r="I309">
        <v>3</v>
      </c>
      <c r="J309">
        <v>256.72991214000001</v>
      </c>
      <c r="K309">
        <f>I309*J309</f>
        <v>770.18973642000003</v>
      </c>
      <c r="L309">
        <v>40</v>
      </c>
      <c r="M309">
        <f>(1-(L309/100))*K309</f>
        <v>462.11384185200001</v>
      </c>
      <c r="N309" s="90">
        <v>309</v>
      </c>
      <c r="O309" s="90" t="s">
        <v>240</v>
      </c>
      <c r="P309" s="118"/>
      <c r="Q309" s="118"/>
    </row>
    <row r="310" spans="1:21" x14ac:dyDescent="0.25">
      <c r="A310" s="90" t="s">
        <v>1665</v>
      </c>
      <c r="B310" s="119">
        <v>3</v>
      </c>
      <c r="C310" s="90" t="s">
        <v>1621</v>
      </c>
      <c r="D310" s="90" t="s">
        <v>80</v>
      </c>
      <c r="E310">
        <v>614</v>
      </c>
      <c r="F310">
        <v>627</v>
      </c>
      <c r="G310" s="93" t="s">
        <v>68</v>
      </c>
      <c r="H310" t="s">
        <v>1666</v>
      </c>
      <c r="I310">
        <v>1</v>
      </c>
      <c r="J310">
        <f>SUM(K311)</f>
        <v>6588.4757417500005</v>
      </c>
      <c r="K310">
        <f>I310*J310</f>
        <v>6588.4757417500005</v>
      </c>
      <c r="L310">
        <f>100*(1-(M310/K310))</f>
        <v>40</v>
      </c>
      <c r="M310">
        <f>I310*SUM(M311)</f>
        <v>3953.0854450500001</v>
      </c>
      <c r="N310" s="90">
        <v>310</v>
      </c>
      <c r="O310" s="90" t="s">
        <v>1058</v>
      </c>
      <c r="P310" s="118"/>
      <c r="Q310" s="118"/>
      <c r="R310" s="90" t="s">
        <v>6956</v>
      </c>
      <c r="S310" s="90" t="s">
        <v>7053</v>
      </c>
      <c r="T310" s="90" t="s">
        <v>7099</v>
      </c>
      <c r="U310" s="90" t="s">
        <v>7005</v>
      </c>
    </row>
    <row r="311" spans="1:21" x14ac:dyDescent="0.25">
      <c r="A311" s="90" t="s">
        <v>1667</v>
      </c>
      <c r="B311" s="119">
        <v>4</v>
      </c>
      <c r="C311" s="90" t="s">
        <v>1665</v>
      </c>
      <c r="D311" s="90" t="s">
        <v>78</v>
      </c>
      <c r="E311">
        <v>615</v>
      </c>
      <c r="F311">
        <v>626</v>
      </c>
      <c r="G311" s="93" t="s">
        <v>68</v>
      </c>
      <c r="H311" t="s">
        <v>1668</v>
      </c>
      <c r="I311">
        <v>1</v>
      </c>
      <c r="J311">
        <f>SUM(K312)</f>
        <v>6588.4757417500005</v>
      </c>
      <c r="K311">
        <f>I311*J311</f>
        <v>6588.4757417500005</v>
      </c>
      <c r="L311">
        <f>100*(1-(M311/K311))</f>
        <v>40</v>
      </c>
      <c r="M311">
        <f>I311*SUM(M312)</f>
        <v>3953.0854450500001</v>
      </c>
      <c r="N311" s="90">
        <v>311</v>
      </c>
      <c r="O311" s="90" t="s">
        <v>241</v>
      </c>
      <c r="P311" s="118"/>
      <c r="Q311" s="118"/>
      <c r="R311" s="90" t="s">
        <v>6450</v>
      </c>
      <c r="S311" s="90" t="s">
        <v>6753</v>
      </c>
      <c r="T311" s="90" t="s">
        <v>6898</v>
      </c>
      <c r="U311" s="90" t="s">
        <v>6602</v>
      </c>
    </row>
    <row r="312" spans="1:21" x14ac:dyDescent="0.25">
      <c r="A312" s="90" t="s">
        <v>1669</v>
      </c>
      <c r="B312" s="119">
        <v>5</v>
      </c>
      <c r="C312" s="90" t="s">
        <v>1667</v>
      </c>
      <c r="D312" s="90" t="s">
        <v>78</v>
      </c>
      <c r="E312">
        <v>616</v>
      </c>
      <c r="F312">
        <v>625</v>
      </c>
      <c r="G312" s="93" t="s">
        <v>68</v>
      </c>
      <c r="H312" t="s">
        <v>1397</v>
      </c>
      <c r="I312">
        <v>1</v>
      </c>
      <c r="J312">
        <f>SUM(K313,K314,K315,K316)</f>
        <v>6588.4757417500005</v>
      </c>
      <c r="K312">
        <f>I312*J312</f>
        <v>6588.4757417500005</v>
      </c>
      <c r="L312">
        <f>100*(1-(M312/K312))</f>
        <v>40</v>
      </c>
      <c r="M312">
        <f>I312*SUM(M313,M314,M315,M316)</f>
        <v>3953.0854450500001</v>
      </c>
      <c r="N312" s="90">
        <v>312</v>
      </c>
      <c r="O312" s="90" t="s">
        <v>242</v>
      </c>
      <c r="P312" s="118"/>
      <c r="Q312" s="118"/>
      <c r="R312" s="90" t="s">
        <v>4697</v>
      </c>
      <c r="S312" s="90" t="s">
        <v>983</v>
      </c>
      <c r="T312" s="90" t="s">
        <v>1010</v>
      </c>
      <c r="U312" s="90" t="s">
        <v>5237</v>
      </c>
    </row>
    <row r="313" spans="1:21" x14ac:dyDescent="0.25">
      <c r="A313" s="90" t="s">
        <v>1670</v>
      </c>
      <c r="B313" s="119">
        <v>6</v>
      </c>
      <c r="C313" s="90" t="s">
        <v>1669</v>
      </c>
      <c r="D313" s="90" t="s">
        <v>78</v>
      </c>
      <c r="E313">
        <v>617</v>
      </c>
      <c r="F313">
        <v>618</v>
      </c>
      <c r="G313" s="93" t="s">
        <v>78</v>
      </c>
      <c r="H313" t="s">
        <v>120</v>
      </c>
      <c r="I313">
        <v>1</v>
      </c>
      <c r="J313">
        <v>967.93582071000003</v>
      </c>
      <c r="K313">
        <f>I313*J313</f>
        <v>967.93582071000003</v>
      </c>
      <c r="L313">
        <v>40</v>
      </c>
      <c r="M313">
        <f>(1-(L313/100))*K313</f>
        <v>580.76149242600002</v>
      </c>
      <c r="N313" s="90">
        <v>313</v>
      </c>
      <c r="O313" s="90" t="s">
        <v>1059</v>
      </c>
      <c r="P313" s="118"/>
      <c r="Q313" s="118"/>
    </row>
    <row r="314" spans="1:21" x14ac:dyDescent="0.25">
      <c r="A314" s="90" t="s">
        <v>1671</v>
      </c>
      <c r="B314" s="119">
        <v>6</v>
      </c>
      <c r="C314" s="90" t="s">
        <v>1669</v>
      </c>
      <c r="D314" s="90" t="s">
        <v>79</v>
      </c>
      <c r="E314">
        <v>619</v>
      </c>
      <c r="F314">
        <v>620</v>
      </c>
      <c r="G314" s="93" t="s">
        <v>78</v>
      </c>
      <c r="H314" t="s">
        <v>125</v>
      </c>
      <c r="I314">
        <v>1</v>
      </c>
      <c r="J314">
        <v>967.93582071000003</v>
      </c>
      <c r="K314">
        <f>I314*J314</f>
        <v>967.93582071000003</v>
      </c>
      <c r="L314">
        <v>40</v>
      </c>
      <c r="M314">
        <f>(1-(L314/100))*K314</f>
        <v>580.76149242600002</v>
      </c>
      <c r="N314" s="90">
        <v>314</v>
      </c>
      <c r="O314" s="90" t="s">
        <v>243</v>
      </c>
      <c r="P314" s="118"/>
      <c r="Q314" s="118"/>
    </row>
    <row r="315" spans="1:21" x14ac:dyDescent="0.25">
      <c r="A315" s="90" t="s">
        <v>1672</v>
      </c>
      <c r="B315" s="119">
        <v>6</v>
      </c>
      <c r="C315" s="90" t="s">
        <v>1669</v>
      </c>
      <c r="D315" s="90" t="s">
        <v>80</v>
      </c>
      <c r="E315">
        <v>621</v>
      </c>
      <c r="F315">
        <v>622</v>
      </c>
      <c r="G315" s="93" t="s">
        <v>78</v>
      </c>
      <c r="H315" t="s">
        <v>203</v>
      </c>
      <c r="I315">
        <v>1</v>
      </c>
      <c r="J315">
        <v>2064.00101872</v>
      </c>
      <c r="K315">
        <f>I315*J315</f>
        <v>2064.00101872</v>
      </c>
      <c r="L315">
        <v>40</v>
      </c>
      <c r="M315">
        <f>(1-(L315/100))*K315</f>
        <v>1238.4006112320001</v>
      </c>
      <c r="N315" s="90">
        <v>315</v>
      </c>
      <c r="O315" s="90" t="s">
        <v>244</v>
      </c>
      <c r="P315" s="118"/>
      <c r="Q315" s="118"/>
    </row>
    <row r="316" spans="1:21" x14ac:dyDescent="0.25">
      <c r="A316" s="90" t="s">
        <v>1673</v>
      </c>
      <c r="B316" s="119">
        <v>6</v>
      </c>
      <c r="C316" s="90" t="s">
        <v>1669</v>
      </c>
      <c r="D316" s="90" t="s">
        <v>95</v>
      </c>
      <c r="E316">
        <v>623</v>
      </c>
      <c r="F316">
        <v>624</v>
      </c>
      <c r="G316" s="93" t="s">
        <v>78</v>
      </c>
      <c r="H316" t="s">
        <v>191</v>
      </c>
      <c r="I316">
        <v>3</v>
      </c>
      <c r="J316">
        <v>862.86769387000004</v>
      </c>
      <c r="K316">
        <f>I316*J316</f>
        <v>2588.6030816100001</v>
      </c>
      <c r="L316">
        <v>40</v>
      </c>
      <c r="M316">
        <f>(1-(L316/100))*K316</f>
        <v>1553.161848966</v>
      </c>
      <c r="N316" s="90">
        <v>316</v>
      </c>
      <c r="O316" s="90" t="s">
        <v>245</v>
      </c>
      <c r="P316" s="118"/>
      <c r="Q316" s="118"/>
    </row>
    <row r="317" spans="1:21" x14ac:dyDescent="0.25">
      <c r="A317" s="90" t="s">
        <v>1674</v>
      </c>
      <c r="B317" s="119">
        <v>3</v>
      </c>
      <c r="C317" s="90" t="s">
        <v>1621</v>
      </c>
      <c r="D317" s="90" t="s">
        <v>95</v>
      </c>
      <c r="E317">
        <v>628</v>
      </c>
      <c r="F317">
        <v>647</v>
      </c>
      <c r="G317" s="93" t="s">
        <v>68</v>
      </c>
      <c r="H317" t="s">
        <v>1675</v>
      </c>
      <c r="I317">
        <v>1</v>
      </c>
      <c r="J317">
        <f>SUM(K318,K321,K323,K325)</f>
        <v>12677.74146186</v>
      </c>
      <c r="K317">
        <f>I317*J317</f>
        <v>12677.74146186</v>
      </c>
      <c r="L317">
        <f>100*(1-(M317/K317))</f>
        <v>85.6</v>
      </c>
      <c r="M317">
        <f>I317*SUM(M318,M321,M323,M325)</f>
        <v>1825.5947705078402</v>
      </c>
      <c r="N317" s="90">
        <v>317</v>
      </c>
      <c r="O317" s="90" t="s">
        <v>1060</v>
      </c>
      <c r="P317" s="118"/>
      <c r="Q317" s="118"/>
      <c r="R317" s="90" t="s">
        <v>6451</v>
      </c>
      <c r="S317" s="90" t="s">
        <v>6754</v>
      </c>
      <c r="T317" s="90" t="s">
        <v>6899</v>
      </c>
      <c r="U317" s="90" t="s">
        <v>6603</v>
      </c>
    </row>
    <row r="318" spans="1:21" x14ac:dyDescent="0.25">
      <c r="A318" s="90" t="s">
        <v>1676</v>
      </c>
      <c r="B318" s="119">
        <v>4</v>
      </c>
      <c r="C318" s="90" t="s">
        <v>1674</v>
      </c>
      <c r="D318" s="90" t="s">
        <v>78</v>
      </c>
      <c r="E318">
        <v>629</v>
      </c>
      <c r="F318">
        <v>634</v>
      </c>
      <c r="G318" s="93" t="s">
        <v>68</v>
      </c>
      <c r="H318" t="s">
        <v>364</v>
      </c>
      <c r="I318">
        <v>1</v>
      </c>
      <c r="J318">
        <f>SUM(K319,K320)</f>
        <v>2292.1176620400001</v>
      </c>
      <c r="K318">
        <f>I318*J318</f>
        <v>2292.1176620400001</v>
      </c>
      <c r="L318">
        <f>100*(1-(M318/K318))</f>
        <v>85.6</v>
      </c>
      <c r="M318">
        <f>I318*SUM(M319,M320)</f>
        <v>330.06494333376008</v>
      </c>
      <c r="N318" s="90">
        <v>318</v>
      </c>
      <c r="O318" s="90" t="s">
        <v>246</v>
      </c>
      <c r="P318" s="118"/>
      <c r="Q318" s="118"/>
      <c r="R318" s="90" t="s">
        <v>4698</v>
      </c>
      <c r="S318" s="90" t="s">
        <v>5758</v>
      </c>
      <c r="T318" s="90" t="s">
        <v>6256</v>
      </c>
      <c r="U318" s="90" t="s">
        <v>5238</v>
      </c>
    </row>
    <row r="319" spans="1:21" x14ac:dyDescent="0.25">
      <c r="A319" s="90" t="s">
        <v>1677</v>
      </c>
      <c r="B319" s="119">
        <v>5</v>
      </c>
      <c r="C319" s="90" t="s">
        <v>1676</v>
      </c>
      <c r="D319" s="90" t="s">
        <v>78</v>
      </c>
      <c r="E319">
        <v>630</v>
      </c>
      <c r="F319">
        <v>631</v>
      </c>
      <c r="G319" s="93" t="s">
        <v>78</v>
      </c>
      <c r="H319" t="s">
        <v>366</v>
      </c>
      <c r="I319">
        <v>1</v>
      </c>
      <c r="J319">
        <v>509.35948044999998</v>
      </c>
      <c r="K319">
        <f>I319*J319</f>
        <v>509.35948044999998</v>
      </c>
      <c r="L319">
        <v>85.6</v>
      </c>
      <c r="M319">
        <f>(1-(L319/100))*K319</f>
        <v>73.347765184800011</v>
      </c>
      <c r="N319" s="90">
        <v>319</v>
      </c>
      <c r="O319" s="90" t="s">
        <v>247</v>
      </c>
      <c r="P319" s="118"/>
      <c r="Q319" s="118"/>
    </row>
    <row r="320" spans="1:21" x14ac:dyDescent="0.25">
      <c r="A320" s="90" t="s">
        <v>1678</v>
      </c>
      <c r="B320" s="119">
        <v>5</v>
      </c>
      <c r="C320" s="90" t="s">
        <v>1676</v>
      </c>
      <c r="D320" s="90" t="s">
        <v>79</v>
      </c>
      <c r="E320">
        <v>632</v>
      </c>
      <c r="F320">
        <v>633</v>
      </c>
      <c r="G320" s="93" t="s">
        <v>78</v>
      </c>
      <c r="H320" t="s">
        <v>368</v>
      </c>
      <c r="I320">
        <v>1</v>
      </c>
      <c r="J320">
        <v>1782.75818159</v>
      </c>
      <c r="K320">
        <f>I320*J320</f>
        <v>1782.75818159</v>
      </c>
      <c r="L320">
        <v>85.6</v>
      </c>
      <c r="M320">
        <f>(1-(L320/100))*K320</f>
        <v>256.71717814896004</v>
      </c>
      <c r="N320" s="90">
        <v>320</v>
      </c>
      <c r="O320" s="90" t="s">
        <v>248</v>
      </c>
      <c r="P320" s="118"/>
      <c r="Q320" s="118"/>
    </row>
    <row r="321" spans="1:21" x14ac:dyDescent="0.25">
      <c r="A321" s="90" t="s">
        <v>1679</v>
      </c>
      <c r="B321" s="119">
        <v>4</v>
      </c>
      <c r="C321" s="90" t="s">
        <v>1674</v>
      </c>
      <c r="D321" s="90" t="s">
        <v>79</v>
      </c>
      <c r="E321">
        <v>635</v>
      </c>
      <c r="F321">
        <v>638</v>
      </c>
      <c r="G321" s="93" t="s">
        <v>68</v>
      </c>
      <c r="H321" t="s">
        <v>379</v>
      </c>
      <c r="I321">
        <v>1</v>
      </c>
      <c r="J321">
        <f>SUM(K322)</f>
        <v>303.06889087000002</v>
      </c>
      <c r="K321">
        <f>I321*J321</f>
        <v>303.06889087000002</v>
      </c>
      <c r="L321">
        <f>100*(1-(M321/K321))</f>
        <v>85.6</v>
      </c>
      <c r="M321">
        <f>I321*SUM(M322)</f>
        <v>43.641920285280008</v>
      </c>
      <c r="N321" s="90">
        <v>321</v>
      </c>
      <c r="O321" s="90" t="s">
        <v>249</v>
      </c>
      <c r="P321" s="118"/>
      <c r="Q321" s="118"/>
      <c r="R321" s="90" t="s">
        <v>4699</v>
      </c>
      <c r="S321" s="90" t="s">
        <v>5759</v>
      </c>
      <c r="T321" s="90" t="s">
        <v>6257</v>
      </c>
      <c r="U321" s="90" t="s">
        <v>5239</v>
      </c>
    </row>
    <row r="322" spans="1:21" x14ac:dyDescent="0.25">
      <c r="A322" s="90" t="s">
        <v>1680</v>
      </c>
      <c r="B322" s="119">
        <v>5</v>
      </c>
      <c r="C322" s="90" t="s">
        <v>1679</v>
      </c>
      <c r="D322" s="90" t="s">
        <v>78</v>
      </c>
      <c r="E322">
        <v>636</v>
      </c>
      <c r="F322">
        <v>637</v>
      </c>
      <c r="G322" s="93" t="s">
        <v>78</v>
      </c>
      <c r="H322" t="s">
        <v>381</v>
      </c>
      <c r="I322">
        <v>1</v>
      </c>
      <c r="J322">
        <v>303.06889087000002</v>
      </c>
      <c r="K322">
        <f>I322*J322</f>
        <v>303.06889087000002</v>
      </c>
      <c r="L322">
        <v>85.6</v>
      </c>
      <c r="M322">
        <f>(1-(L322/100))*K322</f>
        <v>43.641920285280008</v>
      </c>
      <c r="N322" s="90">
        <v>322</v>
      </c>
      <c r="O322" s="90" t="s">
        <v>250</v>
      </c>
      <c r="P322" s="118"/>
      <c r="Q322" s="118"/>
    </row>
    <row r="323" spans="1:21" x14ac:dyDescent="0.25">
      <c r="A323" s="90" t="s">
        <v>1681</v>
      </c>
      <c r="B323" s="119">
        <v>4</v>
      </c>
      <c r="C323" s="90" t="s">
        <v>1674</v>
      </c>
      <c r="D323" s="90" t="s">
        <v>80</v>
      </c>
      <c r="E323">
        <v>639</v>
      </c>
      <c r="F323">
        <v>642</v>
      </c>
      <c r="G323" s="93" t="s">
        <v>68</v>
      </c>
      <c r="H323" t="s">
        <v>383</v>
      </c>
      <c r="I323">
        <v>1</v>
      </c>
      <c r="J323">
        <f>SUM(K324)</f>
        <v>1069.6549089499999</v>
      </c>
      <c r="K323">
        <f>I323*J323</f>
        <v>1069.6549089499999</v>
      </c>
      <c r="L323">
        <f>100*(1-(M323/K323))</f>
        <v>85.6</v>
      </c>
      <c r="M323">
        <f>I323*SUM(M324)</f>
        <v>154.0303068888</v>
      </c>
      <c r="N323" s="90">
        <v>323</v>
      </c>
      <c r="O323" s="90" t="s">
        <v>251</v>
      </c>
      <c r="P323" s="118"/>
      <c r="Q323" s="118"/>
      <c r="R323" s="90" t="s">
        <v>4700</v>
      </c>
      <c r="S323" s="90" t="s">
        <v>984</v>
      </c>
      <c r="T323" s="90" t="s">
        <v>1011</v>
      </c>
      <c r="U323" s="90" t="s">
        <v>5240</v>
      </c>
    </row>
    <row r="324" spans="1:21" x14ac:dyDescent="0.25">
      <c r="A324" s="90" t="s">
        <v>1682</v>
      </c>
      <c r="B324" s="119">
        <v>5</v>
      </c>
      <c r="C324" s="90" t="s">
        <v>1681</v>
      </c>
      <c r="D324" s="90" t="s">
        <v>78</v>
      </c>
      <c r="E324">
        <v>640</v>
      </c>
      <c r="F324">
        <v>641</v>
      </c>
      <c r="G324" s="93" t="s">
        <v>78</v>
      </c>
      <c r="H324" t="s">
        <v>385</v>
      </c>
      <c r="I324">
        <v>1</v>
      </c>
      <c r="J324">
        <v>1069.6549089499999</v>
      </c>
      <c r="K324">
        <f>I324*J324</f>
        <v>1069.6549089499999</v>
      </c>
      <c r="L324">
        <v>85.6</v>
      </c>
      <c r="M324">
        <f>(1-(L324/100))*K324</f>
        <v>154.0303068888</v>
      </c>
      <c r="N324" s="90">
        <v>324</v>
      </c>
      <c r="O324" s="90" t="s">
        <v>252</v>
      </c>
      <c r="P324" s="118"/>
      <c r="Q324" s="118"/>
    </row>
    <row r="325" spans="1:21" x14ac:dyDescent="0.25">
      <c r="A325" s="90" t="s">
        <v>1683</v>
      </c>
      <c r="B325" s="119">
        <v>4</v>
      </c>
      <c r="C325" s="90" t="s">
        <v>1674</v>
      </c>
      <c r="D325" s="90" t="s">
        <v>95</v>
      </c>
      <c r="E325">
        <v>643</v>
      </c>
      <c r="F325">
        <v>646</v>
      </c>
      <c r="G325" s="93" t="s">
        <v>68</v>
      </c>
      <c r="H325" t="s">
        <v>387</v>
      </c>
      <c r="I325">
        <v>1</v>
      </c>
      <c r="J325">
        <f>SUM(K326)</f>
        <v>9012.9</v>
      </c>
      <c r="K325">
        <f>I325*J325</f>
        <v>9012.9</v>
      </c>
      <c r="L325">
        <f>100*(1-(M325/K325))</f>
        <v>85.6</v>
      </c>
      <c r="M325">
        <f>I325*SUM(M326)</f>
        <v>1297.8576</v>
      </c>
      <c r="N325" s="90">
        <v>325</v>
      </c>
      <c r="O325" s="90" t="s">
        <v>253</v>
      </c>
      <c r="P325" s="118"/>
      <c r="Q325" s="118"/>
      <c r="R325" s="90" t="s">
        <v>4701</v>
      </c>
      <c r="S325" s="90" t="s">
        <v>5760</v>
      </c>
      <c r="T325" s="90" t="s">
        <v>6258</v>
      </c>
      <c r="U325" s="90" t="s">
        <v>5241</v>
      </c>
    </row>
    <row r="326" spans="1:21" x14ac:dyDescent="0.25">
      <c r="A326" s="90" t="s">
        <v>1684</v>
      </c>
      <c r="B326" s="119">
        <v>5</v>
      </c>
      <c r="C326" s="90" t="s">
        <v>1683</v>
      </c>
      <c r="D326" s="90" t="s">
        <v>78</v>
      </c>
      <c r="E326">
        <v>644</v>
      </c>
      <c r="F326">
        <v>645</v>
      </c>
      <c r="G326" s="93" t="s">
        <v>78</v>
      </c>
      <c r="H326" t="s">
        <v>389</v>
      </c>
      <c r="I326">
        <v>1</v>
      </c>
      <c r="J326">
        <v>9012.9</v>
      </c>
      <c r="K326">
        <f>I326*J326</f>
        <v>9012.9</v>
      </c>
      <c r="L326">
        <v>85.6</v>
      </c>
      <c r="M326">
        <f>(1-(L326/100))*K326</f>
        <v>1297.8576</v>
      </c>
      <c r="N326" s="90">
        <v>326</v>
      </c>
      <c r="O326" s="90" t="s">
        <v>1061</v>
      </c>
      <c r="P326" s="118"/>
      <c r="Q326" s="118"/>
    </row>
    <row r="327" spans="1:21" x14ac:dyDescent="0.25">
      <c r="A327" s="90" t="s">
        <v>1685</v>
      </c>
      <c r="B327" s="119">
        <v>3</v>
      </c>
      <c r="C327" s="90" t="s">
        <v>1621</v>
      </c>
      <c r="D327" s="90" t="s">
        <v>96</v>
      </c>
      <c r="E327">
        <v>648</v>
      </c>
      <c r="F327">
        <v>653</v>
      </c>
      <c r="G327" s="93" t="s">
        <v>68</v>
      </c>
      <c r="H327" t="s">
        <v>1686</v>
      </c>
      <c r="I327">
        <v>1</v>
      </c>
      <c r="J327">
        <f>SUM(K328)</f>
        <v>333.63045970000002</v>
      </c>
      <c r="K327">
        <f>I327*J327</f>
        <v>333.63045970000002</v>
      </c>
      <c r="L327">
        <f>100*(1-(M327/K327))</f>
        <v>85.6</v>
      </c>
      <c r="M327">
        <f>I327*SUM(M328)</f>
        <v>48.042786196800009</v>
      </c>
      <c r="N327" s="90">
        <v>327</v>
      </c>
      <c r="O327" s="90" t="s">
        <v>254</v>
      </c>
      <c r="P327" s="118"/>
      <c r="Q327" s="118"/>
      <c r="R327" s="90" t="s">
        <v>6452</v>
      </c>
      <c r="S327" s="90" t="s">
        <v>6755</v>
      </c>
      <c r="T327" s="90" t="s">
        <v>6900</v>
      </c>
      <c r="U327" s="90" t="s">
        <v>6604</v>
      </c>
    </row>
    <row r="328" spans="1:21" x14ac:dyDescent="0.25">
      <c r="A328" s="90" t="s">
        <v>1687</v>
      </c>
      <c r="B328" s="119">
        <v>4</v>
      </c>
      <c r="C328" s="90" t="s">
        <v>1685</v>
      </c>
      <c r="D328" s="90" t="s">
        <v>78</v>
      </c>
      <c r="E328">
        <v>649</v>
      </c>
      <c r="F328">
        <v>652</v>
      </c>
      <c r="G328" s="93" t="s">
        <v>68</v>
      </c>
      <c r="H328" t="s">
        <v>399</v>
      </c>
      <c r="I328">
        <v>1</v>
      </c>
      <c r="J328">
        <f>SUM(K329)</f>
        <v>333.63045970000002</v>
      </c>
      <c r="K328">
        <f>I328*J328</f>
        <v>333.63045970000002</v>
      </c>
      <c r="L328">
        <f>100*(1-(M328/K328))</f>
        <v>85.6</v>
      </c>
      <c r="M328">
        <f>I328*SUM(M329)</f>
        <v>48.042786196800009</v>
      </c>
      <c r="N328" s="90">
        <v>328</v>
      </c>
      <c r="O328" s="90" t="s">
        <v>255</v>
      </c>
      <c r="P328" s="118"/>
      <c r="Q328" s="118"/>
      <c r="R328" s="90" t="s">
        <v>4702</v>
      </c>
      <c r="S328" s="90" t="s">
        <v>5761</v>
      </c>
      <c r="T328" s="90" t="s">
        <v>6259</v>
      </c>
      <c r="U328" s="90" t="s">
        <v>5242</v>
      </c>
    </row>
    <row r="329" spans="1:21" x14ac:dyDescent="0.25">
      <c r="A329" s="90" t="s">
        <v>1688</v>
      </c>
      <c r="B329" s="119">
        <v>5</v>
      </c>
      <c r="C329" s="90" t="s">
        <v>1687</v>
      </c>
      <c r="D329" s="90" t="s">
        <v>78</v>
      </c>
      <c r="E329">
        <v>650</v>
      </c>
      <c r="F329">
        <v>651</v>
      </c>
      <c r="G329" s="93" t="s">
        <v>78</v>
      </c>
      <c r="H329" t="s">
        <v>401</v>
      </c>
      <c r="I329">
        <v>1</v>
      </c>
      <c r="J329">
        <v>333.63045970000002</v>
      </c>
      <c r="K329">
        <f>I329*J329</f>
        <v>333.63045970000002</v>
      </c>
      <c r="L329">
        <v>85.6</v>
      </c>
      <c r="M329">
        <f>(1-(L329/100))*K329</f>
        <v>48.042786196800009</v>
      </c>
      <c r="N329" s="90">
        <v>329</v>
      </c>
      <c r="O329" s="90" t="s">
        <v>1062</v>
      </c>
      <c r="P329" s="118"/>
      <c r="Q329" s="118"/>
    </row>
    <row r="330" spans="1:21" x14ac:dyDescent="0.25">
      <c r="A330" s="90" t="s">
        <v>1689</v>
      </c>
      <c r="B330" s="119">
        <v>3</v>
      </c>
      <c r="C330" s="90" t="s">
        <v>1621</v>
      </c>
      <c r="D330" s="90" t="s">
        <v>103</v>
      </c>
      <c r="E330">
        <v>654</v>
      </c>
      <c r="F330">
        <v>659</v>
      </c>
      <c r="G330" s="93" t="s">
        <v>68</v>
      </c>
      <c r="H330" t="s">
        <v>1690</v>
      </c>
      <c r="I330">
        <v>1</v>
      </c>
      <c r="J330">
        <f>SUM(K331)</f>
        <v>1324.33464918</v>
      </c>
      <c r="K330">
        <f>I330*J330</f>
        <v>1324.33464918</v>
      </c>
      <c r="L330">
        <f>100*(1-(M330/K330))</f>
        <v>85.6</v>
      </c>
      <c r="M330">
        <f>I330*SUM(M331)</f>
        <v>190.70418948192003</v>
      </c>
      <c r="N330" s="90">
        <v>330</v>
      </c>
      <c r="O330" s="90" t="s">
        <v>256</v>
      </c>
      <c r="P330" s="118"/>
      <c r="Q330" s="118"/>
      <c r="R330" s="90" t="s">
        <v>6453</v>
      </c>
      <c r="S330" s="90" t="s">
        <v>6756</v>
      </c>
      <c r="T330" s="90" t="s">
        <v>6901</v>
      </c>
      <c r="U330" s="90" t="s">
        <v>6605</v>
      </c>
    </row>
    <row r="331" spans="1:21" x14ac:dyDescent="0.25">
      <c r="A331" s="90" t="s">
        <v>1691</v>
      </c>
      <c r="B331" s="119">
        <v>4</v>
      </c>
      <c r="C331" s="90" t="s">
        <v>1689</v>
      </c>
      <c r="D331" s="90" t="s">
        <v>78</v>
      </c>
      <c r="E331">
        <v>655</v>
      </c>
      <c r="F331">
        <v>658</v>
      </c>
      <c r="G331" s="93" t="s">
        <v>68</v>
      </c>
      <c r="H331" t="s">
        <v>418</v>
      </c>
      <c r="I331">
        <v>1</v>
      </c>
      <c r="J331">
        <f>SUM(K332)</f>
        <v>1324.33464918</v>
      </c>
      <c r="K331">
        <f>I331*J331</f>
        <v>1324.33464918</v>
      </c>
      <c r="L331">
        <f>100*(1-(M331/K331))</f>
        <v>85.6</v>
      </c>
      <c r="M331">
        <f>I331*SUM(M332)</f>
        <v>190.70418948192003</v>
      </c>
      <c r="N331" s="90">
        <v>331</v>
      </c>
      <c r="O331" s="90" t="s">
        <v>257</v>
      </c>
      <c r="P331" s="118"/>
      <c r="Q331" s="118"/>
      <c r="R331" s="90" t="s">
        <v>4703</v>
      </c>
      <c r="S331" s="90" t="s">
        <v>985</v>
      </c>
      <c r="T331" s="90" t="s">
        <v>1012</v>
      </c>
      <c r="U331" s="90" t="s">
        <v>5243</v>
      </c>
    </row>
    <row r="332" spans="1:21" x14ac:dyDescent="0.25">
      <c r="A332" s="90" t="s">
        <v>1692</v>
      </c>
      <c r="B332" s="119">
        <v>5</v>
      </c>
      <c r="C332" s="90" t="s">
        <v>1691</v>
      </c>
      <c r="D332" s="90" t="s">
        <v>78</v>
      </c>
      <c r="E332">
        <v>656</v>
      </c>
      <c r="F332">
        <v>657</v>
      </c>
      <c r="G332" s="93" t="s">
        <v>78</v>
      </c>
      <c r="H332" t="s">
        <v>419</v>
      </c>
      <c r="I332">
        <v>1</v>
      </c>
      <c r="J332">
        <v>1324.33464918</v>
      </c>
      <c r="K332">
        <f>I332*J332</f>
        <v>1324.33464918</v>
      </c>
      <c r="L332">
        <v>85.6</v>
      </c>
      <c r="M332">
        <f>(1-(L332/100))*K332</f>
        <v>190.70418948192003</v>
      </c>
      <c r="N332" s="90">
        <v>332</v>
      </c>
      <c r="O332" s="90" t="s">
        <v>258</v>
      </c>
      <c r="P332" s="118"/>
      <c r="Q332" s="118"/>
    </row>
    <row r="333" spans="1:21" x14ac:dyDescent="0.25">
      <c r="A333" s="90" t="s">
        <v>1693</v>
      </c>
      <c r="B333" s="119">
        <v>3</v>
      </c>
      <c r="C333" s="90" t="s">
        <v>1621</v>
      </c>
      <c r="D333" s="90" t="s">
        <v>796</v>
      </c>
      <c r="E333">
        <v>660</v>
      </c>
      <c r="F333">
        <v>665</v>
      </c>
      <c r="G333" s="93" t="s">
        <v>68</v>
      </c>
      <c r="H333" t="s">
        <v>1694</v>
      </c>
      <c r="I333">
        <v>1</v>
      </c>
      <c r="J333">
        <f>SUM(K334)</f>
        <v>333.63045970000002</v>
      </c>
      <c r="K333">
        <f>I333*J333</f>
        <v>333.63045970000002</v>
      </c>
      <c r="L333">
        <f>100*(1-(M333/K333))</f>
        <v>76</v>
      </c>
      <c r="M333">
        <f>I333*SUM(M334)</f>
        <v>80.071310327999996</v>
      </c>
      <c r="N333" s="90">
        <v>333</v>
      </c>
      <c r="O333" s="90" t="s">
        <v>259</v>
      </c>
      <c r="P333" s="118"/>
      <c r="Q333" s="118"/>
      <c r="R333" s="90" t="s">
        <v>6454</v>
      </c>
      <c r="S333" s="90" t="s">
        <v>6757</v>
      </c>
      <c r="T333" s="90" t="s">
        <v>6902</v>
      </c>
      <c r="U333" s="90" t="s">
        <v>6606</v>
      </c>
    </row>
    <row r="334" spans="1:21" x14ac:dyDescent="0.25">
      <c r="A334" s="90" t="s">
        <v>1695</v>
      </c>
      <c r="B334" s="119">
        <v>4</v>
      </c>
      <c r="C334" s="90" t="s">
        <v>1693</v>
      </c>
      <c r="D334" s="90" t="s">
        <v>78</v>
      </c>
      <c r="E334">
        <v>661</v>
      </c>
      <c r="F334">
        <v>664</v>
      </c>
      <c r="G334" s="93" t="s">
        <v>68</v>
      </c>
      <c r="H334" t="s">
        <v>399</v>
      </c>
      <c r="I334">
        <v>1</v>
      </c>
      <c r="J334">
        <f>SUM(K335)</f>
        <v>333.63045970000002</v>
      </c>
      <c r="K334">
        <f>I334*J334</f>
        <v>333.63045970000002</v>
      </c>
      <c r="L334">
        <f>100*(1-(M334/K334))</f>
        <v>76</v>
      </c>
      <c r="M334">
        <f>I334*SUM(M335)</f>
        <v>80.071310327999996</v>
      </c>
      <c r="N334" s="90">
        <v>334</v>
      </c>
      <c r="O334" s="90" t="s">
        <v>260</v>
      </c>
      <c r="P334" s="118"/>
      <c r="Q334" s="118"/>
      <c r="R334" s="90" t="s">
        <v>4704</v>
      </c>
      <c r="S334" s="90" t="s">
        <v>858</v>
      </c>
      <c r="T334" s="90" t="s">
        <v>915</v>
      </c>
      <c r="U334" s="90" t="s">
        <v>5244</v>
      </c>
    </row>
    <row r="335" spans="1:21" x14ac:dyDescent="0.25">
      <c r="A335" s="90" t="s">
        <v>1696</v>
      </c>
      <c r="B335" s="119">
        <v>5</v>
      </c>
      <c r="C335" s="90" t="s">
        <v>1695</v>
      </c>
      <c r="D335" s="90" t="s">
        <v>78</v>
      </c>
      <c r="E335">
        <v>662</v>
      </c>
      <c r="F335">
        <v>663</v>
      </c>
      <c r="G335" s="93" t="s">
        <v>78</v>
      </c>
      <c r="H335" t="s">
        <v>401</v>
      </c>
      <c r="I335">
        <v>1</v>
      </c>
      <c r="J335">
        <v>333.63045970000002</v>
      </c>
      <c r="K335">
        <f>I335*J335</f>
        <v>333.63045970000002</v>
      </c>
      <c r="L335">
        <v>76</v>
      </c>
      <c r="M335">
        <f>(1-(L335/100))*K335</f>
        <v>80.071310327999996</v>
      </c>
      <c r="N335" s="90">
        <v>335</v>
      </c>
      <c r="O335" s="90" t="s">
        <v>1063</v>
      </c>
      <c r="P335" s="118"/>
      <c r="Q335" s="118"/>
    </row>
    <row r="336" spans="1:21" x14ac:dyDescent="0.25">
      <c r="A336" s="90" t="s">
        <v>1697</v>
      </c>
      <c r="B336" s="119">
        <v>3</v>
      </c>
      <c r="C336" s="90" t="s">
        <v>1621</v>
      </c>
      <c r="D336" s="90" t="s">
        <v>797</v>
      </c>
      <c r="E336">
        <v>666</v>
      </c>
      <c r="F336">
        <v>671</v>
      </c>
      <c r="G336" s="93" t="s">
        <v>68</v>
      </c>
      <c r="H336" t="s">
        <v>1698</v>
      </c>
      <c r="I336">
        <v>1</v>
      </c>
      <c r="J336">
        <f>SUM(K337)</f>
        <v>1749.64981536</v>
      </c>
      <c r="K336">
        <f>I336*J336</f>
        <v>1749.64981536</v>
      </c>
      <c r="L336">
        <f>100*(1-(M336/K336))</f>
        <v>88</v>
      </c>
      <c r="M336">
        <f>I336*SUM(M337)</f>
        <v>209.95797784319998</v>
      </c>
      <c r="N336" s="90">
        <v>336</v>
      </c>
      <c r="O336" s="90" t="s">
        <v>262</v>
      </c>
      <c r="P336" s="118"/>
      <c r="Q336" s="118"/>
      <c r="R336" s="90" t="s">
        <v>6455</v>
      </c>
      <c r="S336" s="90" t="s">
        <v>6758</v>
      </c>
      <c r="T336" s="90" t="s">
        <v>6903</v>
      </c>
      <c r="U336" s="90" t="s">
        <v>6607</v>
      </c>
    </row>
    <row r="337" spans="1:21" x14ac:dyDescent="0.25">
      <c r="A337" s="90" t="s">
        <v>1699</v>
      </c>
      <c r="B337" s="119">
        <v>4</v>
      </c>
      <c r="C337" s="90" t="s">
        <v>1697</v>
      </c>
      <c r="D337" s="90" t="s">
        <v>78</v>
      </c>
      <c r="E337">
        <v>667</v>
      </c>
      <c r="F337">
        <v>670</v>
      </c>
      <c r="G337" s="93" t="s">
        <v>68</v>
      </c>
      <c r="H337" t="s">
        <v>422</v>
      </c>
      <c r="I337">
        <v>1</v>
      </c>
      <c r="J337">
        <f>SUM(K338)</f>
        <v>1749.64981536</v>
      </c>
      <c r="K337">
        <f>I337*J337</f>
        <v>1749.64981536</v>
      </c>
      <c r="L337">
        <f>100*(1-(M337/K337))</f>
        <v>88</v>
      </c>
      <c r="M337">
        <f>I337*SUM(M338)</f>
        <v>209.95797784319998</v>
      </c>
      <c r="N337" s="90">
        <v>337</v>
      </c>
      <c r="O337" s="90" t="s">
        <v>263</v>
      </c>
      <c r="P337" s="118"/>
      <c r="Q337" s="118"/>
      <c r="R337" s="90" t="s">
        <v>4705</v>
      </c>
      <c r="S337" s="90" t="s">
        <v>5762</v>
      </c>
      <c r="T337" s="90" t="s">
        <v>6260</v>
      </c>
      <c r="U337" s="90" t="s">
        <v>5245</v>
      </c>
    </row>
    <row r="338" spans="1:21" x14ac:dyDescent="0.25">
      <c r="A338" s="90" t="s">
        <v>1700</v>
      </c>
      <c r="B338" s="119">
        <v>5</v>
      </c>
      <c r="C338" s="90" t="s">
        <v>1699</v>
      </c>
      <c r="D338" s="90" t="s">
        <v>78</v>
      </c>
      <c r="E338">
        <v>668</v>
      </c>
      <c r="F338">
        <v>669</v>
      </c>
      <c r="G338" s="93" t="s">
        <v>78</v>
      </c>
      <c r="H338" t="s">
        <v>424</v>
      </c>
      <c r="I338">
        <v>1</v>
      </c>
      <c r="J338">
        <v>1749.64981536</v>
      </c>
      <c r="K338">
        <f>I338*J338</f>
        <v>1749.64981536</v>
      </c>
      <c r="L338">
        <v>88</v>
      </c>
      <c r="M338">
        <f>(1-(L338/100))*K338</f>
        <v>209.95797784319998</v>
      </c>
      <c r="N338" s="90">
        <v>338</v>
      </c>
      <c r="O338" s="90" t="s">
        <v>1064</v>
      </c>
      <c r="P338" s="118"/>
      <c r="Q338" s="118"/>
    </row>
    <row r="339" spans="1:21" x14ac:dyDescent="0.25">
      <c r="A339" s="90" t="s">
        <v>1701</v>
      </c>
      <c r="B339" s="119">
        <v>2</v>
      </c>
      <c r="C339" s="90" t="s">
        <v>78</v>
      </c>
      <c r="D339" s="90" t="s">
        <v>96</v>
      </c>
      <c r="E339">
        <v>673</v>
      </c>
      <c r="F339">
        <v>746</v>
      </c>
      <c r="G339" s="93" t="s">
        <v>68</v>
      </c>
      <c r="H339" t="s">
        <v>1702</v>
      </c>
      <c r="I339">
        <v>1</v>
      </c>
      <c r="J339">
        <f>SUM(K340,K353,K360,K370,K373)</f>
        <v>44178.925722659995</v>
      </c>
      <c r="K339">
        <f>I339*J339</f>
        <v>44178.925722659995</v>
      </c>
      <c r="L339">
        <f>100*(1-(M339/K339))</f>
        <v>54.796833760275156</v>
      </c>
      <c r="M339">
        <f>I339*SUM(M340,M353,M360,M370,M373)</f>
        <v>19970.273237338555</v>
      </c>
      <c r="N339" s="90">
        <v>339</v>
      </c>
      <c r="O339" s="90" t="s">
        <v>265</v>
      </c>
      <c r="P339" s="118"/>
      <c r="Q339" s="118"/>
      <c r="R339" s="90" t="s">
        <v>6957</v>
      </c>
      <c r="S339" s="90" t="s">
        <v>7054</v>
      </c>
      <c r="T339" s="90" t="s">
        <v>7100</v>
      </c>
      <c r="U339" s="90" t="s">
        <v>7006</v>
      </c>
    </row>
    <row r="340" spans="1:21" x14ac:dyDescent="0.25">
      <c r="A340" s="90" t="s">
        <v>1703</v>
      </c>
      <c r="B340" s="119">
        <v>3</v>
      </c>
      <c r="C340" s="90" t="s">
        <v>1701</v>
      </c>
      <c r="D340" s="90" t="s">
        <v>78</v>
      </c>
      <c r="E340">
        <v>674</v>
      </c>
      <c r="F340">
        <v>699</v>
      </c>
      <c r="G340" s="93" t="s">
        <v>68</v>
      </c>
      <c r="H340" t="s">
        <v>1704</v>
      </c>
      <c r="I340">
        <v>1</v>
      </c>
      <c r="J340">
        <f>SUM(K341,K343,K345,K347,K349,K351)</f>
        <v>23254.743410170002</v>
      </c>
      <c r="K340">
        <f>I340*J340</f>
        <v>23254.743410170002</v>
      </c>
      <c r="L340">
        <f>100*(1-(M340/K340))</f>
        <v>40.000000000000014</v>
      </c>
      <c r="M340">
        <f>I340*SUM(M341,M343,M345,M347,M349,M351)</f>
        <v>13952.846046101999</v>
      </c>
      <c r="N340" s="90">
        <v>340</v>
      </c>
      <c r="O340" s="90" t="s">
        <v>266</v>
      </c>
      <c r="P340" s="118"/>
      <c r="Q340" s="118"/>
      <c r="R340" s="90" t="s">
        <v>6456</v>
      </c>
      <c r="S340" s="90" t="s">
        <v>6759</v>
      </c>
      <c r="T340" s="90" t="s">
        <v>6904</v>
      </c>
      <c r="U340" s="90" t="s">
        <v>6608</v>
      </c>
    </row>
    <row r="341" spans="1:21" x14ac:dyDescent="0.25">
      <c r="A341" s="90" t="s">
        <v>1705</v>
      </c>
      <c r="B341" s="119">
        <v>4</v>
      </c>
      <c r="C341" s="90" t="s">
        <v>1703</v>
      </c>
      <c r="D341" s="90" t="s">
        <v>78</v>
      </c>
      <c r="E341">
        <v>675</v>
      </c>
      <c r="F341">
        <v>678</v>
      </c>
      <c r="G341" s="93" t="s">
        <v>68</v>
      </c>
      <c r="H341" t="s">
        <v>1240</v>
      </c>
      <c r="I341">
        <v>1</v>
      </c>
      <c r="J341">
        <f>SUM(K342)</f>
        <v>700.36928562000003</v>
      </c>
      <c r="K341">
        <f>I341*J341</f>
        <v>700.36928562000003</v>
      </c>
      <c r="L341">
        <f>100*(1-(M341/K341))</f>
        <v>40</v>
      </c>
      <c r="M341">
        <f>I341*SUM(M342)</f>
        <v>420.22157137200003</v>
      </c>
      <c r="N341" s="90">
        <v>341</v>
      </c>
      <c r="O341" s="90" t="s">
        <v>267</v>
      </c>
      <c r="P341" s="118"/>
      <c r="Q341" s="118"/>
      <c r="R341" s="90" t="s">
        <v>4706</v>
      </c>
      <c r="S341" s="90" t="s">
        <v>986</v>
      </c>
      <c r="T341" s="90" t="s">
        <v>1013</v>
      </c>
      <c r="U341" s="90" t="s">
        <v>5246</v>
      </c>
    </row>
    <row r="342" spans="1:21" x14ac:dyDescent="0.25">
      <c r="A342" s="90" t="s">
        <v>1706</v>
      </c>
      <c r="B342" s="119">
        <v>5</v>
      </c>
      <c r="C342" s="90" t="s">
        <v>1705</v>
      </c>
      <c r="D342" s="90" t="s">
        <v>78</v>
      </c>
      <c r="E342">
        <v>676</v>
      </c>
      <c r="F342">
        <v>677</v>
      </c>
      <c r="G342" s="93" t="s">
        <v>78</v>
      </c>
      <c r="H342" t="s">
        <v>1243</v>
      </c>
      <c r="I342">
        <v>1</v>
      </c>
      <c r="J342">
        <v>700.36928562000003</v>
      </c>
      <c r="K342">
        <f>I342*J342</f>
        <v>700.36928562000003</v>
      </c>
      <c r="L342">
        <v>40</v>
      </c>
      <c r="M342">
        <f>(1-(L342/100))*K342</f>
        <v>420.22157137200003</v>
      </c>
      <c r="N342" s="90">
        <v>342</v>
      </c>
      <c r="O342" s="90" t="s">
        <v>1065</v>
      </c>
      <c r="P342" s="118"/>
      <c r="Q342" s="118"/>
    </row>
    <row r="343" spans="1:21" x14ac:dyDescent="0.25">
      <c r="A343" s="90" t="s">
        <v>1707</v>
      </c>
      <c r="B343" s="119">
        <v>4</v>
      </c>
      <c r="C343" s="90" t="s">
        <v>1703</v>
      </c>
      <c r="D343" s="90" t="s">
        <v>79</v>
      </c>
      <c r="E343">
        <v>679</v>
      </c>
      <c r="F343">
        <v>682</v>
      </c>
      <c r="G343" s="93" t="s">
        <v>68</v>
      </c>
      <c r="H343" t="s">
        <v>1246</v>
      </c>
      <c r="I343">
        <v>2</v>
      </c>
      <c r="J343">
        <f>SUM(K344)</f>
        <v>967.93582071000003</v>
      </c>
      <c r="K343">
        <f>I343*J343</f>
        <v>1935.8716414200001</v>
      </c>
      <c r="L343">
        <f>100*(1-(M343/K343))</f>
        <v>40</v>
      </c>
      <c r="M343">
        <f>I343*SUM(M344)</f>
        <v>1161.522984852</v>
      </c>
      <c r="N343" s="90">
        <v>343</v>
      </c>
      <c r="O343" s="90" t="s">
        <v>268</v>
      </c>
      <c r="P343" s="118"/>
      <c r="Q343" s="118"/>
      <c r="R343" s="90" t="s">
        <v>4707</v>
      </c>
      <c r="S343" s="90" t="s">
        <v>5763</v>
      </c>
      <c r="T343" s="90" t="s">
        <v>6261</v>
      </c>
      <c r="U343" s="90" t="s">
        <v>5247</v>
      </c>
    </row>
    <row r="344" spans="1:21" x14ac:dyDescent="0.25">
      <c r="A344" s="90" t="s">
        <v>1708</v>
      </c>
      <c r="B344" s="119">
        <v>5</v>
      </c>
      <c r="C344" s="90" t="s">
        <v>1707</v>
      </c>
      <c r="D344" s="90" t="s">
        <v>78</v>
      </c>
      <c r="E344">
        <v>680</v>
      </c>
      <c r="F344">
        <v>681</v>
      </c>
      <c r="G344" s="93" t="s">
        <v>78</v>
      </c>
      <c r="H344" t="s">
        <v>120</v>
      </c>
      <c r="I344">
        <v>1</v>
      </c>
      <c r="J344">
        <v>967.93582071000003</v>
      </c>
      <c r="K344">
        <f>I344*J344</f>
        <v>967.93582071000003</v>
      </c>
      <c r="L344">
        <v>40</v>
      </c>
      <c r="M344">
        <f>(1-(L344/100))*K344</f>
        <v>580.76149242600002</v>
      </c>
      <c r="N344" s="90">
        <v>344</v>
      </c>
      <c r="O344" s="90" t="s">
        <v>269</v>
      </c>
      <c r="P344" s="118"/>
      <c r="Q344" s="118"/>
    </row>
    <row r="345" spans="1:21" x14ac:dyDescent="0.25">
      <c r="A345" s="90" t="s">
        <v>1709</v>
      </c>
      <c r="B345" s="119">
        <v>4</v>
      </c>
      <c r="C345" s="90" t="s">
        <v>1703</v>
      </c>
      <c r="D345" s="90" t="s">
        <v>80</v>
      </c>
      <c r="E345">
        <v>683</v>
      </c>
      <c r="F345">
        <v>686</v>
      </c>
      <c r="G345" s="93" t="s">
        <v>68</v>
      </c>
      <c r="H345" t="s">
        <v>1266</v>
      </c>
      <c r="I345">
        <v>1</v>
      </c>
      <c r="J345">
        <f>SUM(K346)</f>
        <v>9312.3647013900008</v>
      </c>
      <c r="K345">
        <f>I345*J345</f>
        <v>9312.3647013900008</v>
      </c>
      <c r="L345">
        <f>100*(1-(M345/K345))</f>
        <v>40</v>
      </c>
      <c r="M345">
        <f>I345*SUM(M346)</f>
        <v>5587.4188208340001</v>
      </c>
      <c r="N345" s="90">
        <v>345</v>
      </c>
      <c r="O345" s="90" t="s">
        <v>270</v>
      </c>
      <c r="P345" s="118"/>
      <c r="Q345" s="118"/>
      <c r="R345" s="90" t="s">
        <v>4708</v>
      </c>
      <c r="S345" s="90" t="s">
        <v>5764</v>
      </c>
      <c r="T345" s="90" t="s">
        <v>6262</v>
      </c>
      <c r="U345" s="90" t="s">
        <v>5248</v>
      </c>
    </row>
    <row r="346" spans="1:21" x14ac:dyDescent="0.25">
      <c r="A346" s="90" t="s">
        <v>1710</v>
      </c>
      <c r="B346" s="119">
        <v>5</v>
      </c>
      <c r="C346" s="90" t="s">
        <v>1709</v>
      </c>
      <c r="D346" s="90" t="s">
        <v>78</v>
      </c>
      <c r="E346">
        <v>684</v>
      </c>
      <c r="F346">
        <v>685</v>
      </c>
      <c r="G346" s="93" t="s">
        <v>78</v>
      </c>
      <c r="H346" t="s">
        <v>1269</v>
      </c>
      <c r="I346">
        <v>1</v>
      </c>
      <c r="J346">
        <v>9312.3647013900008</v>
      </c>
      <c r="K346">
        <f>I346*J346</f>
        <v>9312.3647013900008</v>
      </c>
      <c r="L346">
        <v>40</v>
      </c>
      <c r="M346">
        <f>(1-(L346/100))*K346</f>
        <v>5587.4188208340001</v>
      </c>
      <c r="N346" s="90">
        <v>346</v>
      </c>
      <c r="O346" s="90" t="s">
        <v>271</v>
      </c>
      <c r="P346" s="118"/>
      <c r="Q346" s="118"/>
    </row>
    <row r="347" spans="1:21" x14ac:dyDescent="0.25">
      <c r="A347" s="90" t="s">
        <v>1711</v>
      </c>
      <c r="B347" s="119">
        <v>4</v>
      </c>
      <c r="C347" s="90" t="s">
        <v>1703</v>
      </c>
      <c r="D347" s="90" t="s">
        <v>95</v>
      </c>
      <c r="E347">
        <v>687</v>
      </c>
      <c r="F347">
        <v>690</v>
      </c>
      <c r="G347" s="93" t="s">
        <v>68</v>
      </c>
      <c r="H347" t="s">
        <v>1272</v>
      </c>
      <c r="I347">
        <v>2</v>
      </c>
      <c r="J347">
        <f>SUM(K348)</f>
        <v>1308.5572392700001</v>
      </c>
      <c r="K347">
        <f>I347*J347</f>
        <v>2617.1144785400002</v>
      </c>
      <c r="L347">
        <f>100*(1-(M347/K347))</f>
        <v>40</v>
      </c>
      <c r="M347">
        <f>I347*SUM(M348)</f>
        <v>1570.2686871240001</v>
      </c>
      <c r="N347" s="90">
        <v>347</v>
      </c>
      <c r="O347" s="90" t="s">
        <v>272</v>
      </c>
      <c r="P347" s="118"/>
      <c r="Q347" s="118"/>
      <c r="R347" s="90" t="s">
        <v>4709</v>
      </c>
      <c r="S347" s="90" t="s">
        <v>5765</v>
      </c>
      <c r="T347" s="90" t="s">
        <v>6263</v>
      </c>
      <c r="U347" s="90" t="s">
        <v>5249</v>
      </c>
    </row>
    <row r="348" spans="1:21" x14ac:dyDescent="0.25">
      <c r="A348" s="90" t="s">
        <v>1712</v>
      </c>
      <c r="B348" s="119">
        <v>5</v>
      </c>
      <c r="C348" s="90" t="s">
        <v>1711</v>
      </c>
      <c r="D348" s="90" t="s">
        <v>78</v>
      </c>
      <c r="E348">
        <v>688</v>
      </c>
      <c r="F348">
        <v>689</v>
      </c>
      <c r="G348" s="93" t="s">
        <v>78</v>
      </c>
      <c r="H348" t="s">
        <v>1272</v>
      </c>
      <c r="I348">
        <v>1</v>
      </c>
      <c r="J348">
        <v>1308.5572392700001</v>
      </c>
      <c r="K348">
        <f>I348*J348</f>
        <v>1308.5572392700001</v>
      </c>
      <c r="L348">
        <v>40</v>
      </c>
      <c r="M348">
        <f>(1-(L348/100))*K348</f>
        <v>785.13434356200003</v>
      </c>
      <c r="N348" s="90">
        <v>348</v>
      </c>
      <c r="O348" s="90" t="s">
        <v>1066</v>
      </c>
      <c r="P348" s="118"/>
      <c r="Q348" s="118"/>
    </row>
    <row r="349" spans="1:21" x14ac:dyDescent="0.25">
      <c r="A349" s="90" t="s">
        <v>1713</v>
      </c>
      <c r="B349" s="119">
        <v>4</v>
      </c>
      <c r="C349" s="90" t="s">
        <v>1703</v>
      </c>
      <c r="D349" s="90" t="s">
        <v>96</v>
      </c>
      <c r="E349">
        <v>691</v>
      </c>
      <c r="F349">
        <v>694</v>
      </c>
      <c r="G349" s="93" t="s">
        <v>68</v>
      </c>
      <c r="H349" t="s">
        <v>1714</v>
      </c>
      <c r="I349">
        <v>1</v>
      </c>
      <c r="J349">
        <f>SUM(K350)</f>
        <v>5389.0233031999996</v>
      </c>
      <c r="K349">
        <f>I349*J349</f>
        <v>5389.0233031999996</v>
      </c>
      <c r="L349">
        <f>100*(1-(M349/K349))</f>
        <v>40</v>
      </c>
      <c r="M349">
        <f>I349*SUM(M350)</f>
        <v>3233.4139819199995</v>
      </c>
      <c r="N349" s="90">
        <v>349</v>
      </c>
      <c r="O349" s="90" t="s">
        <v>273</v>
      </c>
      <c r="P349" s="118"/>
      <c r="Q349" s="118"/>
      <c r="R349" s="90" t="s">
        <v>800</v>
      </c>
      <c r="S349" s="90" t="s">
        <v>859</v>
      </c>
      <c r="T349" s="90" t="s">
        <v>916</v>
      </c>
      <c r="U349" s="90" t="s">
        <v>829</v>
      </c>
    </row>
    <row r="350" spans="1:21" x14ac:dyDescent="0.25">
      <c r="A350" s="90" t="s">
        <v>1715</v>
      </c>
      <c r="B350" s="119">
        <v>5</v>
      </c>
      <c r="C350" s="90" t="s">
        <v>1713</v>
      </c>
      <c r="D350" s="90" t="s">
        <v>78</v>
      </c>
      <c r="E350">
        <v>692</v>
      </c>
      <c r="F350">
        <v>693</v>
      </c>
      <c r="G350" s="93" t="s">
        <v>78</v>
      </c>
      <c r="H350" t="s">
        <v>1714</v>
      </c>
      <c r="I350">
        <v>1</v>
      </c>
      <c r="J350">
        <v>5389.0233031999996</v>
      </c>
      <c r="K350">
        <f>I350*J350</f>
        <v>5389.0233031999996</v>
      </c>
      <c r="L350">
        <v>40</v>
      </c>
      <c r="M350">
        <f>(1-(L350/100))*K350</f>
        <v>3233.4139819199995</v>
      </c>
      <c r="N350" s="90">
        <v>350</v>
      </c>
      <c r="O350" s="90" t="s">
        <v>274</v>
      </c>
      <c r="P350" s="118"/>
      <c r="Q350" s="118"/>
    </row>
    <row r="351" spans="1:21" x14ac:dyDescent="0.25">
      <c r="A351" s="90" t="s">
        <v>1716</v>
      </c>
      <c r="B351" s="119">
        <v>4</v>
      </c>
      <c r="C351" s="90" t="s">
        <v>1703</v>
      </c>
      <c r="D351" s="90" t="s">
        <v>103</v>
      </c>
      <c r="E351">
        <v>695</v>
      </c>
      <c r="F351">
        <v>698</v>
      </c>
      <c r="G351" s="93" t="s">
        <v>68</v>
      </c>
      <c r="H351" t="s">
        <v>1509</v>
      </c>
      <c r="I351">
        <v>1</v>
      </c>
      <c r="J351">
        <f>SUM(K352)</f>
        <v>3300</v>
      </c>
      <c r="K351">
        <f>I351*J351</f>
        <v>3300</v>
      </c>
      <c r="L351">
        <f>100*(1-(M351/K351))</f>
        <v>40</v>
      </c>
      <c r="M351">
        <f>I351*SUM(M352)</f>
        <v>1980</v>
      </c>
      <c r="N351" s="90">
        <v>351</v>
      </c>
      <c r="O351" s="90" t="s">
        <v>275</v>
      </c>
      <c r="P351" s="118"/>
      <c r="Q351" s="118"/>
      <c r="R351" s="90" t="s">
        <v>4710</v>
      </c>
      <c r="S351" s="90" t="s">
        <v>860</v>
      </c>
      <c r="T351" s="90" t="s">
        <v>917</v>
      </c>
      <c r="U351" s="90" t="s">
        <v>5250</v>
      </c>
    </row>
    <row r="352" spans="1:21" x14ac:dyDescent="0.25">
      <c r="A352" s="90" t="s">
        <v>1717</v>
      </c>
      <c r="B352" s="119">
        <v>5</v>
      </c>
      <c r="C352" s="90" t="s">
        <v>1716</v>
      </c>
      <c r="D352" s="90" t="s">
        <v>78</v>
      </c>
      <c r="E352">
        <v>696</v>
      </c>
      <c r="F352">
        <v>697</v>
      </c>
      <c r="G352" s="93" t="s">
        <v>78</v>
      </c>
      <c r="H352" t="s">
        <v>1509</v>
      </c>
      <c r="I352">
        <v>1</v>
      </c>
      <c r="J352">
        <v>3300</v>
      </c>
      <c r="K352">
        <f>I352*J352</f>
        <v>3300</v>
      </c>
      <c r="L352">
        <v>40</v>
      </c>
      <c r="M352">
        <f>(1-(L352/100))*K352</f>
        <v>1980</v>
      </c>
      <c r="N352" s="90">
        <v>352</v>
      </c>
      <c r="O352" s="90" t="s">
        <v>276</v>
      </c>
      <c r="P352" s="118"/>
      <c r="Q352" s="118"/>
    </row>
    <row r="353" spans="1:21" x14ac:dyDescent="0.25">
      <c r="A353" s="90" t="s">
        <v>1718</v>
      </c>
      <c r="B353" s="119">
        <v>3</v>
      </c>
      <c r="C353" s="90" t="s">
        <v>1701</v>
      </c>
      <c r="D353" s="90" t="s">
        <v>79</v>
      </c>
      <c r="E353">
        <v>700</v>
      </c>
      <c r="F353">
        <v>713</v>
      </c>
      <c r="G353" s="93" t="s">
        <v>68</v>
      </c>
      <c r="H353" t="s">
        <v>1719</v>
      </c>
      <c r="I353">
        <v>1</v>
      </c>
      <c r="J353">
        <f>SUM(K354)</f>
        <v>6588.4757417500005</v>
      </c>
      <c r="K353">
        <f>I353*J353</f>
        <v>6588.4757417500005</v>
      </c>
      <c r="L353">
        <f>100*(1-(M353/K353))</f>
        <v>40</v>
      </c>
      <c r="M353">
        <f>I353*SUM(M354)</f>
        <v>3953.0854450500001</v>
      </c>
      <c r="N353" s="90">
        <v>353</v>
      </c>
      <c r="O353" s="90" t="s">
        <v>277</v>
      </c>
      <c r="P353" s="118"/>
      <c r="Q353" s="118"/>
      <c r="R353" s="90" t="s">
        <v>6958</v>
      </c>
      <c r="S353" s="90" t="s">
        <v>7055</v>
      </c>
      <c r="T353" s="90" t="s">
        <v>7101</v>
      </c>
      <c r="U353" s="90" t="s">
        <v>7007</v>
      </c>
    </row>
    <row r="354" spans="1:21" x14ac:dyDescent="0.25">
      <c r="A354" s="90" t="s">
        <v>1720</v>
      </c>
      <c r="B354" s="119">
        <v>4</v>
      </c>
      <c r="C354" s="90" t="s">
        <v>1718</v>
      </c>
      <c r="D354" s="90" t="s">
        <v>78</v>
      </c>
      <c r="E354">
        <v>701</v>
      </c>
      <c r="F354">
        <v>712</v>
      </c>
      <c r="G354" s="93" t="s">
        <v>68</v>
      </c>
      <c r="H354" t="s">
        <v>1668</v>
      </c>
      <c r="I354">
        <v>1</v>
      </c>
      <c r="J354">
        <f>SUM(K355)</f>
        <v>6588.4757417500005</v>
      </c>
      <c r="K354">
        <f>I354*J354</f>
        <v>6588.4757417500005</v>
      </c>
      <c r="L354">
        <f>100*(1-(M354/K354))</f>
        <v>40</v>
      </c>
      <c r="M354">
        <f>I354*SUM(M355)</f>
        <v>3953.0854450500001</v>
      </c>
      <c r="N354" s="90">
        <v>354</v>
      </c>
      <c r="O354" s="90" t="s">
        <v>278</v>
      </c>
      <c r="P354" s="118"/>
      <c r="Q354" s="118"/>
      <c r="R354" s="90" t="s">
        <v>6457</v>
      </c>
      <c r="S354" s="90" t="s">
        <v>6760</v>
      </c>
      <c r="T354" s="90" t="s">
        <v>6905</v>
      </c>
      <c r="U354" s="90" t="s">
        <v>6609</v>
      </c>
    </row>
    <row r="355" spans="1:21" x14ac:dyDescent="0.25">
      <c r="A355" s="90" t="s">
        <v>1721</v>
      </c>
      <c r="B355" s="119">
        <v>5</v>
      </c>
      <c r="C355" s="90" t="s">
        <v>1720</v>
      </c>
      <c r="D355" s="90" t="s">
        <v>78</v>
      </c>
      <c r="E355">
        <v>702</v>
      </c>
      <c r="F355">
        <v>711</v>
      </c>
      <c r="G355" s="93" t="s">
        <v>68</v>
      </c>
      <c r="H355" t="s">
        <v>1397</v>
      </c>
      <c r="I355">
        <v>1</v>
      </c>
      <c r="J355">
        <f>SUM(K356,K357,K358,K359)</f>
        <v>6588.4757417500005</v>
      </c>
      <c r="K355">
        <f>I355*J355</f>
        <v>6588.4757417500005</v>
      </c>
      <c r="L355">
        <f>100*(1-(M355/K355))</f>
        <v>40</v>
      </c>
      <c r="M355">
        <f>I355*SUM(M356,M357,M358,M359)</f>
        <v>3953.0854450500001</v>
      </c>
      <c r="N355" s="90">
        <v>355</v>
      </c>
      <c r="O355" s="90" t="s">
        <v>279</v>
      </c>
      <c r="P355" s="118"/>
      <c r="Q355" s="118"/>
      <c r="R355" s="90" t="s">
        <v>4711</v>
      </c>
      <c r="S355" s="90" t="s">
        <v>5766</v>
      </c>
      <c r="T355" s="90" t="s">
        <v>6264</v>
      </c>
      <c r="U355" s="90" t="s">
        <v>5251</v>
      </c>
    </row>
    <row r="356" spans="1:21" x14ac:dyDescent="0.25">
      <c r="A356" s="90" t="s">
        <v>1722</v>
      </c>
      <c r="B356" s="119">
        <v>6</v>
      </c>
      <c r="C356" s="90" t="s">
        <v>1721</v>
      </c>
      <c r="D356" s="90" t="s">
        <v>78</v>
      </c>
      <c r="E356">
        <v>703</v>
      </c>
      <c r="F356">
        <v>704</v>
      </c>
      <c r="G356" s="93" t="s">
        <v>78</v>
      </c>
      <c r="H356" t="s">
        <v>120</v>
      </c>
      <c r="I356">
        <v>1</v>
      </c>
      <c r="J356">
        <v>967.93582071000003</v>
      </c>
      <c r="K356">
        <f>I356*J356</f>
        <v>967.93582071000003</v>
      </c>
      <c r="L356">
        <v>40</v>
      </c>
      <c r="M356">
        <f>(1-(L356/100))*K356</f>
        <v>580.76149242600002</v>
      </c>
      <c r="N356" s="90">
        <v>356</v>
      </c>
      <c r="O356" s="90" t="s">
        <v>280</v>
      </c>
      <c r="P356" s="118"/>
      <c r="Q356" s="118"/>
    </row>
    <row r="357" spans="1:21" x14ac:dyDescent="0.25">
      <c r="A357" s="90" t="s">
        <v>1723</v>
      </c>
      <c r="B357" s="119">
        <v>6</v>
      </c>
      <c r="C357" s="90" t="s">
        <v>1721</v>
      </c>
      <c r="D357" s="90" t="s">
        <v>79</v>
      </c>
      <c r="E357">
        <v>705</v>
      </c>
      <c r="F357">
        <v>706</v>
      </c>
      <c r="G357" s="93" t="s">
        <v>78</v>
      </c>
      <c r="H357" t="s">
        <v>125</v>
      </c>
      <c r="I357">
        <v>1</v>
      </c>
      <c r="J357">
        <v>967.93582071000003</v>
      </c>
      <c r="K357">
        <f>I357*J357</f>
        <v>967.93582071000003</v>
      </c>
      <c r="L357">
        <v>40</v>
      </c>
      <c r="M357">
        <f>(1-(L357/100))*K357</f>
        <v>580.76149242600002</v>
      </c>
      <c r="N357" s="90">
        <v>357</v>
      </c>
      <c r="O357" s="90" t="s">
        <v>1067</v>
      </c>
      <c r="P357" s="118"/>
      <c r="Q357" s="118"/>
    </row>
    <row r="358" spans="1:21" x14ac:dyDescent="0.25">
      <c r="A358" s="90" t="s">
        <v>1724</v>
      </c>
      <c r="B358" s="119">
        <v>6</v>
      </c>
      <c r="C358" s="90" t="s">
        <v>1721</v>
      </c>
      <c r="D358" s="90" t="s">
        <v>80</v>
      </c>
      <c r="E358">
        <v>707</v>
      </c>
      <c r="F358">
        <v>708</v>
      </c>
      <c r="G358" s="93" t="s">
        <v>78</v>
      </c>
      <c r="H358" t="s">
        <v>203</v>
      </c>
      <c r="I358">
        <v>1</v>
      </c>
      <c r="J358">
        <v>2064.00101872</v>
      </c>
      <c r="K358">
        <f>I358*J358</f>
        <v>2064.00101872</v>
      </c>
      <c r="L358">
        <v>40</v>
      </c>
      <c r="M358">
        <f>(1-(L358/100))*K358</f>
        <v>1238.4006112320001</v>
      </c>
      <c r="N358" s="90">
        <v>358</v>
      </c>
      <c r="O358" s="90" t="s">
        <v>281</v>
      </c>
      <c r="P358" s="118"/>
      <c r="Q358" s="118"/>
    </row>
    <row r="359" spans="1:21" x14ac:dyDescent="0.25">
      <c r="A359" s="90" t="s">
        <v>1725</v>
      </c>
      <c r="B359" s="119">
        <v>6</v>
      </c>
      <c r="C359" s="90" t="s">
        <v>1721</v>
      </c>
      <c r="D359" s="90" t="s">
        <v>95</v>
      </c>
      <c r="E359">
        <v>709</v>
      </c>
      <c r="F359">
        <v>710</v>
      </c>
      <c r="G359" s="93" t="s">
        <v>78</v>
      </c>
      <c r="H359" t="s">
        <v>191</v>
      </c>
      <c r="I359">
        <v>3</v>
      </c>
      <c r="J359">
        <v>862.86769387000004</v>
      </c>
      <c r="K359">
        <f>I359*J359</f>
        <v>2588.6030816100001</v>
      </c>
      <c r="L359">
        <v>40</v>
      </c>
      <c r="M359">
        <f>(1-(L359/100))*K359</f>
        <v>1553.161848966</v>
      </c>
      <c r="N359" s="90">
        <v>359</v>
      </c>
      <c r="O359" s="90" t="s">
        <v>282</v>
      </c>
      <c r="P359" s="118"/>
      <c r="Q359" s="118"/>
    </row>
    <row r="360" spans="1:21" x14ac:dyDescent="0.25">
      <c r="A360" s="90" t="s">
        <v>1726</v>
      </c>
      <c r="B360" s="119">
        <v>3</v>
      </c>
      <c r="C360" s="90" t="s">
        <v>1701</v>
      </c>
      <c r="D360" s="90" t="s">
        <v>80</v>
      </c>
      <c r="E360">
        <v>714</v>
      </c>
      <c r="F360">
        <v>733</v>
      </c>
      <c r="G360" s="93" t="s">
        <v>68</v>
      </c>
      <c r="H360" t="s">
        <v>1727</v>
      </c>
      <c r="I360">
        <v>1</v>
      </c>
      <c r="J360">
        <f>SUM(K361,K364,K366,K368)</f>
        <v>12677.74146186</v>
      </c>
      <c r="K360">
        <f>I360*J360</f>
        <v>12677.74146186</v>
      </c>
      <c r="L360">
        <f>100*(1-(M360/K360))</f>
        <v>85.6</v>
      </c>
      <c r="M360">
        <f>I360*SUM(M361,M364,M366,M368)</f>
        <v>1825.5947705078402</v>
      </c>
      <c r="N360" s="90">
        <v>360</v>
      </c>
      <c r="O360" s="90" t="s">
        <v>1068</v>
      </c>
      <c r="P360" s="118"/>
      <c r="Q360" s="118"/>
      <c r="R360" s="90" t="s">
        <v>6458</v>
      </c>
      <c r="S360" s="90" t="s">
        <v>6761</v>
      </c>
      <c r="T360" s="90" t="s">
        <v>6906</v>
      </c>
      <c r="U360" s="90" t="s">
        <v>6610</v>
      </c>
    </row>
    <row r="361" spans="1:21" x14ac:dyDescent="0.25">
      <c r="A361" s="90" t="s">
        <v>1728</v>
      </c>
      <c r="B361" s="119">
        <v>4</v>
      </c>
      <c r="C361" s="90" t="s">
        <v>1726</v>
      </c>
      <c r="D361" s="90" t="s">
        <v>78</v>
      </c>
      <c r="E361">
        <v>715</v>
      </c>
      <c r="F361">
        <v>720</v>
      </c>
      <c r="G361" s="93" t="s">
        <v>68</v>
      </c>
      <c r="H361" t="s">
        <v>364</v>
      </c>
      <c r="I361">
        <v>1</v>
      </c>
      <c r="J361">
        <f>SUM(K362,K363)</f>
        <v>2292.1176620400001</v>
      </c>
      <c r="K361">
        <f>I361*J361</f>
        <v>2292.1176620400001</v>
      </c>
      <c r="L361">
        <f>100*(1-(M361/K361))</f>
        <v>85.6</v>
      </c>
      <c r="M361">
        <f>I361*SUM(M362,M363)</f>
        <v>330.06494333376008</v>
      </c>
      <c r="N361" s="90">
        <v>361</v>
      </c>
      <c r="O361" s="90" t="s">
        <v>283</v>
      </c>
      <c r="P361" s="118"/>
      <c r="Q361" s="118"/>
      <c r="R361" s="90" t="s">
        <v>4712</v>
      </c>
      <c r="S361" s="90" t="s">
        <v>861</v>
      </c>
      <c r="T361" s="90" t="s">
        <v>918</v>
      </c>
      <c r="U361" s="90" t="s">
        <v>5252</v>
      </c>
    </row>
    <row r="362" spans="1:21" x14ac:dyDescent="0.25">
      <c r="A362" s="90" t="s">
        <v>1729</v>
      </c>
      <c r="B362" s="119">
        <v>5</v>
      </c>
      <c r="C362" s="90" t="s">
        <v>1728</v>
      </c>
      <c r="D362" s="90" t="s">
        <v>78</v>
      </c>
      <c r="E362">
        <v>716</v>
      </c>
      <c r="F362">
        <v>717</v>
      </c>
      <c r="G362" s="93" t="s">
        <v>78</v>
      </c>
      <c r="H362" t="s">
        <v>366</v>
      </c>
      <c r="I362">
        <v>1</v>
      </c>
      <c r="J362">
        <v>509.35948044999998</v>
      </c>
      <c r="K362">
        <f>I362*J362</f>
        <v>509.35948044999998</v>
      </c>
      <c r="L362">
        <v>85.6</v>
      </c>
      <c r="M362">
        <f>(1-(L362/100))*K362</f>
        <v>73.347765184800011</v>
      </c>
      <c r="N362" s="90">
        <v>362</v>
      </c>
      <c r="O362" s="90" t="s">
        <v>284</v>
      </c>
      <c r="P362" s="118"/>
      <c r="Q362" s="118"/>
    </row>
    <row r="363" spans="1:21" x14ac:dyDescent="0.25">
      <c r="A363" s="90" t="s">
        <v>1730</v>
      </c>
      <c r="B363" s="119">
        <v>5</v>
      </c>
      <c r="C363" s="90" t="s">
        <v>1728</v>
      </c>
      <c r="D363" s="90" t="s">
        <v>79</v>
      </c>
      <c r="E363">
        <v>718</v>
      </c>
      <c r="F363">
        <v>719</v>
      </c>
      <c r="G363" s="93" t="s">
        <v>78</v>
      </c>
      <c r="H363" t="s">
        <v>368</v>
      </c>
      <c r="I363">
        <v>1</v>
      </c>
      <c r="J363">
        <v>1782.75818159</v>
      </c>
      <c r="K363">
        <f>I363*J363</f>
        <v>1782.75818159</v>
      </c>
      <c r="L363">
        <v>85.6</v>
      </c>
      <c r="M363">
        <f>(1-(L363/100))*K363</f>
        <v>256.71717814896004</v>
      </c>
      <c r="N363" s="90">
        <v>363</v>
      </c>
      <c r="O363" s="90" t="s">
        <v>285</v>
      </c>
      <c r="P363" s="118"/>
      <c r="Q363" s="118"/>
    </row>
    <row r="364" spans="1:21" x14ac:dyDescent="0.25">
      <c r="A364" s="90" t="s">
        <v>1731</v>
      </c>
      <c r="B364" s="119">
        <v>4</v>
      </c>
      <c r="C364" s="90" t="s">
        <v>1726</v>
      </c>
      <c r="D364" s="90" t="s">
        <v>79</v>
      </c>
      <c r="E364">
        <v>721</v>
      </c>
      <c r="F364">
        <v>724</v>
      </c>
      <c r="G364" s="93" t="s">
        <v>68</v>
      </c>
      <c r="H364" t="s">
        <v>379</v>
      </c>
      <c r="I364">
        <v>1</v>
      </c>
      <c r="J364">
        <f>SUM(K365)</f>
        <v>303.06889087000002</v>
      </c>
      <c r="K364">
        <f>I364*J364</f>
        <v>303.06889087000002</v>
      </c>
      <c r="L364">
        <f>100*(1-(M364/K364))</f>
        <v>85.6</v>
      </c>
      <c r="M364">
        <f>I364*SUM(M365)</f>
        <v>43.641920285280008</v>
      </c>
      <c r="N364" s="90">
        <v>364</v>
      </c>
      <c r="O364" s="90" t="s">
        <v>286</v>
      </c>
      <c r="P364" s="118"/>
      <c r="Q364" s="118"/>
      <c r="R364" s="90" t="s">
        <v>4713</v>
      </c>
      <c r="S364" s="90" t="s">
        <v>5767</v>
      </c>
      <c r="T364" s="90" t="s">
        <v>6265</v>
      </c>
      <c r="U364" s="90" t="s">
        <v>5253</v>
      </c>
    </row>
    <row r="365" spans="1:21" x14ac:dyDescent="0.25">
      <c r="A365" s="90" t="s">
        <v>1732</v>
      </c>
      <c r="B365" s="119">
        <v>5</v>
      </c>
      <c r="C365" s="90" t="s">
        <v>1731</v>
      </c>
      <c r="D365" s="90" t="s">
        <v>78</v>
      </c>
      <c r="E365">
        <v>722</v>
      </c>
      <c r="F365">
        <v>723</v>
      </c>
      <c r="G365" s="93" t="s">
        <v>78</v>
      </c>
      <c r="H365" t="s">
        <v>381</v>
      </c>
      <c r="I365">
        <v>1</v>
      </c>
      <c r="J365">
        <v>303.06889087000002</v>
      </c>
      <c r="K365">
        <f>I365*J365</f>
        <v>303.06889087000002</v>
      </c>
      <c r="L365">
        <v>85.6</v>
      </c>
      <c r="M365">
        <f>(1-(L365/100))*K365</f>
        <v>43.641920285280008</v>
      </c>
      <c r="N365" s="90">
        <v>365</v>
      </c>
      <c r="O365" s="90" t="s">
        <v>287</v>
      </c>
      <c r="P365" s="118"/>
      <c r="Q365" s="118"/>
    </row>
    <row r="366" spans="1:21" x14ac:dyDescent="0.25">
      <c r="A366" s="90" t="s">
        <v>1733</v>
      </c>
      <c r="B366" s="119">
        <v>4</v>
      </c>
      <c r="C366" s="90" t="s">
        <v>1726</v>
      </c>
      <c r="D366" s="90" t="s">
        <v>80</v>
      </c>
      <c r="E366">
        <v>725</v>
      </c>
      <c r="F366">
        <v>728</v>
      </c>
      <c r="G366" s="93" t="s">
        <v>68</v>
      </c>
      <c r="H366" t="s">
        <v>383</v>
      </c>
      <c r="I366">
        <v>1</v>
      </c>
      <c r="J366">
        <f>SUM(K367)</f>
        <v>1069.6549089499999</v>
      </c>
      <c r="K366">
        <f>I366*J366</f>
        <v>1069.6549089499999</v>
      </c>
      <c r="L366">
        <f>100*(1-(M366/K366))</f>
        <v>85.6</v>
      </c>
      <c r="M366">
        <f>I366*SUM(M367)</f>
        <v>154.0303068888</v>
      </c>
      <c r="N366" s="90">
        <v>366</v>
      </c>
      <c r="O366" s="90" t="s">
        <v>288</v>
      </c>
      <c r="P366" s="118"/>
      <c r="Q366" s="118"/>
      <c r="R366" s="90" t="s">
        <v>4714</v>
      </c>
      <c r="S366" s="90" t="s">
        <v>5768</v>
      </c>
      <c r="T366" s="90" t="s">
        <v>6266</v>
      </c>
      <c r="U366" s="90" t="s">
        <v>5254</v>
      </c>
    </row>
    <row r="367" spans="1:21" x14ac:dyDescent="0.25">
      <c r="A367" s="90" t="s">
        <v>1734</v>
      </c>
      <c r="B367" s="119">
        <v>5</v>
      </c>
      <c r="C367" s="90" t="s">
        <v>1733</v>
      </c>
      <c r="D367" s="90" t="s">
        <v>78</v>
      </c>
      <c r="E367">
        <v>726</v>
      </c>
      <c r="F367">
        <v>727</v>
      </c>
      <c r="G367" s="93" t="s">
        <v>78</v>
      </c>
      <c r="H367" t="s">
        <v>385</v>
      </c>
      <c r="I367">
        <v>1</v>
      </c>
      <c r="J367">
        <v>1069.6549089499999</v>
      </c>
      <c r="K367">
        <f>I367*J367</f>
        <v>1069.6549089499999</v>
      </c>
      <c r="L367">
        <v>85.6</v>
      </c>
      <c r="M367">
        <f>(1-(L367/100))*K367</f>
        <v>154.0303068888</v>
      </c>
      <c r="N367" s="90">
        <v>367</v>
      </c>
      <c r="O367" s="90" t="s">
        <v>1069</v>
      </c>
      <c r="P367" s="118"/>
      <c r="Q367" s="118"/>
    </row>
    <row r="368" spans="1:21" x14ac:dyDescent="0.25">
      <c r="A368" s="90" t="s">
        <v>1735</v>
      </c>
      <c r="B368" s="119">
        <v>4</v>
      </c>
      <c r="C368" s="90" t="s">
        <v>1726</v>
      </c>
      <c r="D368" s="90" t="s">
        <v>95</v>
      </c>
      <c r="E368">
        <v>729</v>
      </c>
      <c r="F368">
        <v>732</v>
      </c>
      <c r="G368" s="93" t="s">
        <v>68</v>
      </c>
      <c r="H368" t="s">
        <v>387</v>
      </c>
      <c r="I368">
        <v>1</v>
      </c>
      <c r="J368">
        <f>SUM(K369)</f>
        <v>9012.9</v>
      </c>
      <c r="K368">
        <f>I368*J368</f>
        <v>9012.9</v>
      </c>
      <c r="L368">
        <f>100*(1-(M368/K368))</f>
        <v>85.6</v>
      </c>
      <c r="M368">
        <f>I368*SUM(M369)</f>
        <v>1297.8576</v>
      </c>
      <c r="N368" s="90">
        <v>368</v>
      </c>
      <c r="O368" s="90" t="s">
        <v>289</v>
      </c>
      <c r="P368" s="118"/>
      <c r="Q368" s="118"/>
      <c r="R368" s="90" t="s">
        <v>4715</v>
      </c>
      <c r="S368" s="90" t="s">
        <v>987</v>
      </c>
      <c r="T368" s="90" t="s">
        <v>1014</v>
      </c>
      <c r="U368" s="90" t="s">
        <v>5255</v>
      </c>
    </row>
    <row r="369" spans="1:21" x14ac:dyDescent="0.25">
      <c r="A369" s="90" t="s">
        <v>1736</v>
      </c>
      <c r="B369" s="119">
        <v>5</v>
      </c>
      <c r="C369" s="90" t="s">
        <v>1735</v>
      </c>
      <c r="D369" s="90" t="s">
        <v>78</v>
      </c>
      <c r="E369">
        <v>730</v>
      </c>
      <c r="F369">
        <v>731</v>
      </c>
      <c r="G369" s="93" t="s">
        <v>78</v>
      </c>
      <c r="H369" t="s">
        <v>389</v>
      </c>
      <c r="I369">
        <v>1</v>
      </c>
      <c r="J369">
        <v>9012.9</v>
      </c>
      <c r="K369">
        <f>I369*J369</f>
        <v>9012.9</v>
      </c>
      <c r="L369">
        <v>85.6</v>
      </c>
      <c r="M369">
        <f>(1-(L369/100))*K369</f>
        <v>1297.8576</v>
      </c>
      <c r="N369" s="90">
        <v>369</v>
      </c>
      <c r="O369" s="90" t="s">
        <v>290</v>
      </c>
      <c r="P369" s="118"/>
      <c r="Q369" s="118"/>
    </row>
    <row r="370" spans="1:21" x14ac:dyDescent="0.25">
      <c r="A370" s="90" t="s">
        <v>1737</v>
      </c>
      <c r="B370" s="119">
        <v>3</v>
      </c>
      <c r="C370" s="90" t="s">
        <v>1701</v>
      </c>
      <c r="D370" s="90" t="s">
        <v>95</v>
      </c>
      <c r="E370">
        <v>734</v>
      </c>
      <c r="F370">
        <v>739</v>
      </c>
      <c r="G370" s="93" t="s">
        <v>68</v>
      </c>
      <c r="H370" t="s">
        <v>1738</v>
      </c>
      <c r="I370">
        <v>1</v>
      </c>
      <c r="J370">
        <f>SUM(K371)</f>
        <v>333.63045970000002</v>
      </c>
      <c r="K370">
        <f>I370*J370</f>
        <v>333.63045970000002</v>
      </c>
      <c r="L370">
        <f>100*(1-(M370/K370))</f>
        <v>85.6</v>
      </c>
      <c r="M370">
        <f>I370*SUM(M371)</f>
        <v>48.042786196800009</v>
      </c>
      <c r="N370" s="90">
        <v>370</v>
      </c>
      <c r="O370" s="90" t="s">
        <v>291</v>
      </c>
      <c r="P370" s="118"/>
      <c r="Q370" s="118"/>
      <c r="R370" s="90" t="s">
        <v>6459</v>
      </c>
      <c r="S370" s="90" t="s">
        <v>6762</v>
      </c>
      <c r="T370" s="90" t="s">
        <v>6907</v>
      </c>
      <c r="U370" s="90" t="s">
        <v>6611</v>
      </c>
    </row>
    <row r="371" spans="1:21" x14ac:dyDescent="0.25">
      <c r="A371" s="90" t="s">
        <v>1739</v>
      </c>
      <c r="B371" s="119">
        <v>4</v>
      </c>
      <c r="C371" s="90" t="s">
        <v>1737</v>
      </c>
      <c r="D371" s="90" t="s">
        <v>78</v>
      </c>
      <c r="E371">
        <v>735</v>
      </c>
      <c r="F371">
        <v>738</v>
      </c>
      <c r="G371" s="93" t="s">
        <v>68</v>
      </c>
      <c r="H371" t="s">
        <v>399</v>
      </c>
      <c r="I371">
        <v>1</v>
      </c>
      <c r="J371">
        <f>SUM(K372)</f>
        <v>333.63045970000002</v>
      </c>
      <c r="K371">
        <f>I371*J371</f>
        <v>333.63045970000002</v>
      </c>
      <c r="L371">
        <f>100*(1-(M371/K371))</f>
        <v>85.6</v>
      </c>
      <c r="M371">
        <f>I371*SUM(M372)</f>
        <v>48.042786196800009</v>
      </c>
      <c r="N371" s="90">
        <v>371</v>
      </c>
      <c r="O371" s="90" t="s">
        <v>292</v>
      </c>
      <c r="P371" s="118"/>
      <c r="Q371" s="118"/>
      <c r="R371" s="90" t="s">
        <v>4716</v>
      </c>
      <c r="S371" s="90" t="s">
        <v>862</v>
      </c>
      <c r="T371" s="90" t="s">
        <v>919</v>
      </c>
      <c r="U371" s="90" t="s">
        <v>5256</v>
      </c>
    </row>
    <row r="372" spans="1:21" x14ac:dyDescent="0.25">
      <c r="A372" s="90" t="s">
        <v>1740</v>
      </c>
      <c r="B372" s="119">
        <v>5</v>
      </c>
      <c r="C372" s="90" t="s">
        <v>1739</v>
      </c>
      <c r="D372" s="90" t="s">
        <v>78</v>
      </c>
      <c r="E372">
        <v>736</v>
      </c>
      <c r="F372">
        <v>737</v>
      </c>
      <c r="G372" s="93" t="s">
        <v>78</v>
      </c>
      <c r="H372" t="s">
        <v>401</v>
      </c>
      <c r="I372">
        <v>1</v>
      </c>
      <c r="J372">
        <v>333.63045970000002</v>
      </c>
      <c r="K372">
        <f>I372*J372</f>
        <v>333.63045970000002</v>
      </c>
      <c r="L372">
        <v>85.6</v>
      </c>
      <c r="M372">
        <f>(1-(L372/100))*K372</f>
        <v>48.042786196800009</v>
      </c>
      <c r="N372" s="90">
        <v>372</v>
      </c>
      <c r="O372" s="90" t="s">
        <v>1070</v>
      </c>
      <c r="P372" s="118"/>
      <c r="Q372" s="118"/>
    </row>
    <row r="373" spans="1:21" x14ac:dyDescent="0.25">
      <c r="A373" s="90" t="s">
        <v>1741</v>
      </c>
      <c r="B373" s="119">
        <v>3</v>
      </c>
      <c r="C373" s="90" t="s">
        <v>1701</v>
      </c>
      <c r="D373" s="90" t="s">
        <v>96</v>
      </c>
      <c r="E373">
        <v>740</v>
      </c>
      <c r="F373">
        <v>745</v>
      </c>
      <c r="G373" s="93" t="s">
        <v>68</v>
      </c>
      <c r="H373" t="s">
        <v>1742</v>
      </c>
      <c r="I373">
        <v>1</v>
      </c>
      <c r="J373">
        <f>SUM(K374)</f>
        <v>1324.33464918</v>
      </c>
      <c r="K373">
        <f>I373*J373</f>
        <v>1324.33464918</v>
      </c>
      <c r="L373">
        <f>100*(1-(M373/K373))</f>
        <v>85.6</v>
      </c>
      <c r="M373">
        <f>I373*SUM(M374)</f>
        <v>190.70418948192003</v>
      </c>
      <c r="N373" s="90">
        <v>373</v>
      </c>
      <c r="O373" s="90" t="s">
        <v>293</v>
      </c>
      <c r="P373" s="118"/>
      <c r="Q373" s="118"/>
      <c r="R373" s="90" t="s">
        <v>6460</v>
      </c>
      <c r="S373" s="90" t="s">
        <v>6763</v>
      </c>
      <c r="T373" s="90" t="s">
        <v>6908</v>
      </c>
      <c r="U373" s="90" t="s">
        <v>6612</v>
      </c>
    </row>
    <row r="374" spans="1:21" x14ac:dyDescent="0.25">
      <c r="A374" s="90" t="s">
        <v>1743</v>
      </c>
      <c r="B374" s="119">
        <v>4</v>
      </c>
      <c r="C374" s="90" t="s">
        <v>1741</v>
      </c>
      <c r="D374" s="90" t="s">
        <v>78</v>
      </c>
      <c r="E374">
        <v>741</v>
      </c>
      <c r="F374">
        <v>744</v>
      </c>
      <c r="G374" s="93" t="s">
        <v>68</v>
      </c>
      <c r="H374" t="s">
        <v>418</v>
      </c>
      <c r="I374">
        <v>1</v>
      </c>
      <c r="J374">
        <f>SUM(K375)</f>
        <v>1324.33464918</v>
      </c>
      <c r="K374">
        <f>I374*J374</f>
        <v>1324.33464918</v>
      </c>
      <c r="L374">
        <f>100*(1-(M374/K374))</f>
        <v>85.6</v>
      </c>
      <c r="M374">
        <f>I374*SUM(M375)</f>
        <v>190.70418948192003</v>
      </c>
      <c r="N374" s="90">
        <v>374</v>
      </c>
      <c r="O374" s="90" t="s">
        <v>294</v>
      </c>
      <c r="P374" s="118"/>
      <c r="Q374" s="118"/>
      <c r="R374" s="90" t="s">
        <v>4717</v>
      </c>
      <c r="S374" s="90" t="s">
        <v>5769</v>
      </c>
      <c r="T374" s="90" t="s">
        <v>6267</v>
      </c>
      <c r="U374" s="90" t="s">
        <v>5257</v>
      </c>
    </row>
    <row r="375" spans="1:21" x14ac:dyDescent="0.25">
      <c r="A375" s="90" t="s">
        <v>1744</v>
      </c>
      <c r="B375" s="119">
        <v>5</v>
      </c>
      <c r="C375" s="90" t="s">
        <v>1743</v>
      </c>
      <c r="D375" s="90" t="s">
        <v>78</v>
      </c>
      <c r="E375">
        <v>742</v>
      </c>
      <c r="F375">
        <v>743</v>
      </c>
      <c r="G375" s="93" t="s">
        <v>78</v>
      </c>
      <c r="H375" t="s">
        <v>419</v>
      </c>
      <c r="I375">
        <v>1</v>
      </c>
      <c r="J375">
        <v>1324.33464918</v>
      </c>
      <c r="K375">
        <f>I375*J375</f>
        <v>1324.33464918</v>
      </c>
      <c r="L375">
        <v>85.6</v>
      </c>
      <c r="M375">
        <f>(1-(L375/100))*K375</f>
        <v>190.70418948192003</v>
      </c>
      <c r="N375" s="90">
        <v>375</v>
      </c>
      <c r="O375" s="90" t="s">
        <v>1071</v>
      </c>
      <c r="P375" s="118"/>
      <c r="Q375" s="118"/>
    </row>
    <row r="376" spans="1:21" x14ac:dyDescent="0.25">
      <c r="A376" s="90" t="s">
        <v>1745</v>
      </c>
      <c r="B376" s="119">
        <v>2</v>
      </c>
      <c r="C376" s="90" t="s">
        <v>78</v>
      </c>
      <c r="D376" s="90" t="s">
        <v>103</v>
      </c>
      <c r="E376">
        <v>747</v>
      </c>
      <c r="F376">
        <v>852</v>
      </c>
      <c r="G376" s="93" t="s">
        <v>68</v>
      </c>
      <c r="H376" t="s">
        <v>1746</v>
      </c>
      <c r="I376">
        <v>1</v>
      </c>
      <c r="J376">
        <f>SUM(K377,K406,K413,K423,K426)</f>
        <v>59735.016691719997</v>
      </c>
      <c r="K376">
        <f>I376*J376</f>
        <v>59735.016691719997</v>
      </c>
      <c r="L376">
        <f>100*(1-(M376/K376))</f>
        <v>50.943467597898163</v>
      </c>
      <c r="M376">
        <f>I376*SUM(M377,M406,M413,M423,M426)</f>
        <v>29303.927818774559</v>
      </c>
      <c r="N376" s="90">
        <v>376</v>
      </c>
      <c r="O376" s="90" t="s">
        <v>295</v>
      </c>
      <c r="P376" s="118"/>
      <c r="Q376" s="118"/>
      <c r="R376" s="90" t="s">
        <v>6959</v>
      </c>
      <c r="S376" s="90" t="s">
        <v>863</v>
      </c>
      <c r="T376" s="90" t="s">
        <v>920</v>
      </c>
      <c r="U376" s="90" t="s">
        <v>7008</v>
      </c>
    </row>
    <row r="377" spans="1:21" x14ac:dyDescent="0.25">
      <c r="A377" s="90" t="s">
        <v>1747</v>
      </c>
      <c r="B377" s="119">
        <v>3</v>
      </c>
      <c r="C377" s="90" t="s">
        <v>1745</v>
      </c>
      <c r="D377" s="90" t="s">
        <v>78</v>
      </c>
      <c r="E377">
        <v>748</v>
      </c>
      <c r="F377">
        <v>805</v>
      </c>
      <c r="G377" s="93" t="s">
        <v>68</v>
      </c>
      <c r="H377" t="s">
        <v>1748</v>
      </c>
      <c r="I377">
        <v>1</v>
      </c>
      <c r="J377">
        <f>SUM(K378,K380,K382,K384,K386,K388,K390,K392,K394,K396,K398,K400,K402,K404)</f>
        <v>38810.83437923</v>
      </c>
      <c r="K377">
        <f>I377*J377</f>
        <v>38810.83437923</v>
      </c>
      <c r="L377">
        <f>100*(1-(M377/K377))</f>
        <v>40</v>
      </c>
      <c r="M377">
        <f>I377*SUM(M378,M380,M382,M384,M386,M388,M390,M392,M394,M396,M398,M400,M402,M404)</f>
        <v>23286.500627538</v>
      </c>
      <c r="N377" s="90">
        <v>377</v>
      </c>
      <c r="O377" s="90" t="s">
        <v>296</v>
      </c>
      <c r="P377" s="118"/>
      <c r="Q377" s="118"/>
      <c r="R377" s="90" t="s">
        <v>6461</v>
      </c>
      <c r="S377" s="90" t="s">
        <v>6764</v>
      </c>
      <c r="T377" s="90" t="s">
        <v>6909</v>
      </c>
      <c r="U377" s="90" t="s">
        <v>6613</v>
      </c>
    </row>
    <row r="378" spans="1:21" x14ac:dyDescent="0.25">
      <c r="A378" s="90" t="s">
        <v>1749</v>
      </c>
      <c r="B378" s="119">
        <v>4</v>
      </c>
      <c r="C378" s="90" t="s">
        <v>1747</v>
      </c>
      <c r="D378" s="90" t="s">
        <v>78</v>
      </c>
      <c r="E378">
        <v>749</v>
      </c>
      <c r="F378">
        <v>752</v>
      </c>
      <c r="G378" s="93" t="s">
        <v>68</v>
      </c>
      <c r="H378" t="s">
        <v>1235</v>
      </c>
      <c r="I378">
        <v>1</v>
      </c>
      <c r="J378">
        <f>SUM(K379)</f>
        <v>37.44</v>
      </c>
      <c r="K378">
        <f>I378*J378</f>
        <v>37.44</v>
      </c>
      <c r="L378">
        <f>100*(1-(M378/K378))</f>
        <v>40</v>
      </c>
      <c r="M378">
        <f>I378*SUM(M379)</f>
        <v>22.463999999999999</v>
      </c>
      <c r="N378" s="90">
        <v>378</v>
      </c>
      <c r="O378" s="90" t="s">
        <v>297</v>
      </c>
      <c r="P378" s="118"/>
      <c r="Q378" s="118"/>
      <c r="R378" s="90" t="s">
        <v>4718</v>
      </c>
      <c r="S378" s="90" t="s">
        <v>864</v>
      </c>
      <c r="T378" s="90" t="s">
        <v>921</v>
      </c>
      <c r="U378" s="90" t="s">
        <v>5258</v>
      </c>
    </row>
    <row r="379" spans="1:21" x14ac:dyDescent="0.25">
      <c r="A379" s="90" t="s">
        <v>1750</v>
      </c>
      <c r="B379" s="119">
        <v>5</v>
      </c>
      <c r="C379" s="90" t="s">
        <v>1749</v>
      </c>
      <c r="D379" s="90" t="s">
        <v>78</v>
      </c>
      <c r="E379">
        <v>750</v>
      </c>
      <c r="F379">
        <v>751</v>
      </c>
      <c r="G379" s="93" t="s">
        <v>78</v>
      </c>
      <c r="H379" t="s">
        <v>1235</v>
      </c>
      <c r="I379">
        <v>1</v>
      </c>
      <c r="J379">
        <v>37.44</v>
      </c>
      <c r="K379">
        <f>I379*J379</f>
        <v>37.44</v>
      </c>
      <c r="L379">
        <v>40</v>
      </c>
      <c r="M379">
        <f>(1-(L379/100))*K379</f>
        <v>22.463999999999999</v>
      </c>
      <c r="N379" s="90">
        <v>379</v>
      </c>
      <c r="O379" s="90" t="s">
        <v>298</v>
      </c>
      <c r="P379" s="118"/>
      <c r="Q379" s="118"/>
    </row>
    <row r="380" spans="1:21" x14ac:dyDescent="0.25">
      <c r="A380" s="90" t="s">
        <v>1751</v>
      </c>
      <c r="B380" s="119">
        <v>4</v>
      </c>
      <c r="C380" s="90" t="s">
        <v>1747</v>
      </c>
      <c r="D380" s="90" t="s">
        <v>79</v>
      </c>
      <c r="E380">
        <v>753</v>
      </c>
      <c r="F380">
        <v>756</v>
      </c>
      <c r="G380" s="93" t="s">
        <v>68</v>
      </c>
      <c r="H380" t="s">
        <v>1240</v>
      </c>
      <c r="I380">
        <v>1</v>
      </c>
      <c r="J380">
        <f>SUM(K381)</f>
        <v>700.36928562000003</v>
      </c>
      <c r="K380">
        <f>I380*J380</f>
        <v>700.36928562000003</v>
      </c>
      <c r="L380">
        <f>100*(1-(M380/K380))</f>
        <v>40</v>
      </c>
      <c r="M380">
        <f>I380*SUM(M381)</f>
        <v>420.22157137200003</v>
      </c>
      <c r="N380" s="90">
        <v>380</v>
      </c>
      <c r="O380" s="90" t="s">
        <v>300</v>
      </c>
      <c r="P380" s="118"/>
      <c r="Q380" s="118"/>
      <c r="R380" s="90" t="s">
        <v>4724</v>
      </c>
      <c r="S380" s="90" t="s">
        <v>5773</v>
      </c>
      <c r="T380" s="90" t="s">
        <v>6271</v>
      </c>
      <c r="U380" s="90" t="s">
        <v>5264</v>
      </c>
    </row>
    <row r="381" spans="1:21" x14ac:dyDescent="0.25">
      <c r="A381" s="90" t="s">
        <v>1752</v>
      </c>
      <c r="B381" s="119">
        <v>5</v>
      </c>
      <c r="C381" s="90" t="s">
        <v>1751</v>
      </c>
      <c r="D381" s="90" t="s">
        <v>78</v>
      </c>
      <c r="E381">
        <v>754</v>
      </c>
      <c r="F381">
        <v>755</v>
      </c>
      <c r="G381" s="93" t="s">
        <v>78</v>
      </c>
      <c r="H381" t="s">
        <v>1243</v>
      </c>
      <c r="I381">
        <v>1</v>
      </c>
      <c r="J381">
        <v>700.36928562000003</v>
      </c>
      <c r="K381">
        <f>I381*J381</f>
        <v>700.36928562000003</v>
      </c>
      <c r="L381">
        <v>40</v>
      </c>
      <c r="M381">
        <f>(1-(L381/100))*K381</f>
        <v>420.22157137200003</v>
      </c>
      <c r="N381" s="90">
        <v>381</v>
      </c>
      <c r="O381" s="90" t="s">
        <v>302</v>
      </c>
      <c r="P381" s="118"/>
      <c r="Q381" s="118"/>
    </row>
    <row r="382" spans="1:21" x14ac:dyDescent="0.25">
      <c r="A382" s="90" t="s">
        <v>1753</v>
      </c>
      <c r="B382" s="119">
        <v>4</v>
      </c>
      <c r="C382" s="90" t="s">
        <v>1747</v>
      </c>
      <c r="D382" s="90" t="s">
        <v>80</v>
      </c>
      <c r="E382">
        <v>757</v>
      </c>
      <c r="F382">
        <v>760</v>
      </c>
      <c r="G382" s="93" t="s">
        <v>68</v>
      </c>
      <c r="H382" t="s">
        <v>1246</v>
      </c>
      <c r="I382">
        <v>3</v>
      </c>
      <c r="J382">
        <f>SUM(K383)</f>
        <v>967.93582071000003</v>
      </c>
      <c r="K382">
        <f>I382*J382</f>
        <v>2903.8074621300002</v>
      </c>
      <c r="L382">
        <f>100*(1-(M382/K382))</f>
        <v>40</v>
      </c>
      <c r="M382">
        <f>I382*SUM(M383)</f>
        <v>1742.2844772779999</v>
      </c>
      <c r="N382" s="90">
        <v>382</v>
      </c>
      <c r="O382" s="90" t="s">
        <v>303</v>
      </c>
      <c r="P382" s="118"/>
      <c r="Q382" s="118"/>
      <c r="R382" s="90" t="s">
        <v>4725</v>
      </c>
      <c r="S382" s="90" t="s">
        <v>988</v>
      </c>
      <c r="T382" s="90" t="s">
        <v>1015</v>
      </c>
      <c r="U382" s="90" t="s">
        <v>5265</v>
      </c>
    </row>
    <row r="383" spans="1:21" x14ac:dyDescent="0.25">
      <c r="A383" s="90" t="s">
        <v>1754</v>
      </c>
      <c r="B383" s="119">
        <v>5</v>
      </c>
      <c r="C383" s="90" t="s">
        <v>1753</v>
      </c>
      <c r="D383" s="90" t="s">
        <v>78</v>
      </c>
      <c r="E383">
        <v>758</v>
      </c>
      <c r="F383">
        <v>759</v>
      </c>
      <c r="G383" s="93" t="s">
        <v>78</v>
      </c>
      <c r="H383" t="s">
        <v>120</v>
      </c>
      <c r="I383">
        <v>1</v>
      </c>
      <c r="J383">
        <v>967.93582071000003</v>
      </c>
      <c r="K383">
        <f>I383*J383</f>
        <v>967.93582071000003</v>
      </c>
      <c r="L383">
        <v>40</v>
      </c>
      <c r="M383">
        <f>(1-(L383/100))*K383</f>
        <v>580.76149242600002</v>
      </c>
      <c r="N383" s="90">
        <v>383</v>
      </c>
      <c r="O383" s="90" t="s">
        <v>304</v>
      </c>
      <c r="P383" s="118"/>
      <c r="Q383" s="118"/>
    </row>
    <row r="384" spans="1:21" x14ac:dyDescent="0.25">
      <c r="A384" s="90" t="s">
        <v>1755</v>
      </c>
      <c r="B384" s="119">
        <v>4</v>
      </c>
      <c r="C384" s="90" t="s">
        <v>1747</v>
      </c>
      <c r="D384" s="90" t="s">
        <v>95</v>
      </c>
      <c r="E384">
        <v>761</v>
      </c>
      <c r="F384">
        <v>764</v>
      </c>
      <c r="G384" s="93" t="s">
        <v>68</v>
      </c>
      <c r="H384" t="s">
        <v>1251</v>
      </c>
      <c r="I384">
        <v>1</v>
      </c>
      <c r="J384">
        <f>SUM(K385)</f>
        <v>967.93582071000003</v>
      </c>
      <c r="K384">
        <f>I384*J384</f>
        <v>967.93582071000003</v>
      </c>
      <c r="L384">
        <f>100*(1-(M384/K384))</f>
        <v>40</v>
      </c>
      <c r="M384">
        <f>I384*SUM(M385)</f>
        <v>580.76149242600002</v>
      </c>
      <c r="N384" s="90">
        <v>384</v>
      </c>
      <c r="O384" s="90" t="s">
        <v>305</v>
      </c>
      <c r="P384" s="118"/>
      <c r="Q384" s="118"/>
      <c r="R384" s="90" t="s">
        <v>4726</v>
      </c>
      <c r="S384" s="90" t="s">
        <v>5774</v>
      </c>
      <c r="T384" s="90" t="s">
        <v>6272</v>
      </c>
      <c r="U384" s="90" t="s">
        <v>5266</v>
      </c>
    </row>
    <row r="385" spans="1:21" x14ac:dyDescent="0.25">
      <c r="A385" s="90" t="s">
        <v>1756</v>
      </c>
      <c r="B385" s="119">
        <v>5</v>
      </c>
      <c r="C385" s="90" t="s">
        <v>1755</v>
      </c>
      <c r="D385" s="90" t="s">
        <v>78</v>
      </c>
      <c r="E385">
        <v>762</v>
      </c>
      <c r="F385">
        <v>763</v>
      </c>
      <c r="G385" s="93" t="s">
        <v>78</v>
      </c>
      <c r="H385" t="s">
        <v>125</v>
      </c>
      <c r="I385">
        <v>1</v>
      </c>
      <c r="J385">
        <v>967.93582071000003</v>
      </c>
      <c r="K385">
        <f>I385*J385</f>
        <v>967.93582071000003</v>
      </c>
      <c r="L385">
        <v>40</v>
      </c>
      <c r="M385">
        <f>(1-(L385/100))*K385</f>
        <v>580.76149242600002</v>
      </c>
      <c r="N385" s="90">
        <v>385</v>
      </c>
      <c r="O385" s="90" t="s">
        <v>306</v>
      </c>
      <c r="P385" s="118"/>
      <c r="Q385" s="118"/>
    </row>
    <row r="386" spans="1:21" x14ac:dyDescent="0.25">
      <c r="A386" s="90" t="s">
        <v>1757</v>
      </c>
      <c r="B386" s="119">
        <v>4</v>
      </c>
      <c r="C386" s="90" t="s">
        <v>1747</v>
      </c>
      <c r="D386" s="90" t="s">
        <v>96</v>
      </c>
      <c r="E386">
        <v>765</v>
      </c>
      <c r="F386">
        <v>768</v>
      </c>
      <c r="G386" s="93" t="s">
        <v>68</v>
      </c>
      <c r="H386" t="s">
        <v>1261</v>
      </c>
      <c r="I386">
        <v>1</v>
      </c>
      <c r="J386">
        <f>SUM(K387)</f>
        <v>10160.44823634</v>
      </c>
      <c r="K386">
        <f>I386*J386</f>
        <v>10160.44823634</v>
      </c>
      <c r="L386">
        <f>100*(1-(M386/K386))</f>
        <v>40</v>
      </c>
      <c r="M386">
        <f>I386*SUM(M387)</f>
        <v>6096.268941804</v>
      </c>
      <c r="N386" s="90">
        <v>386</v>
      </c>
      <c r="O386" s="90" t="s">
        <v>1072</v>
      </c>
      <c r="P386" s="118"/>
      <c r="Q386" s="118"/>
      <c r="R386" s="90" t="s">
        <v>4727</v>
      </c>
      <c r="S386" s="90" t="s">
        <v>5775</v>
      </c>
      <c r="T386" s="90" t="s">
        <v>6273</v>
      </c>
      <c r="U386" s="90" t="s">
        <v>5267</v>
      </c>
    </row>
    <row r="387" spans="1:21" x14ac:dyDescent="0.25">
      <c r="A387" s="90" t="s">
        <v>1758</v>
      </c>
      <c r="B387" s="119">
        <v>5</v>
      </c>
      <c r="C387" s="90" t="s">
        <v>1757</v>
      </c>
      <c r="D387" s="90" t="s">
        <v>78</v>
      </c>
      <c r="E387">
        <v>766</v>
      </c>
      <c r="F387">
        <v>767</v>
      </c>
      <c r="G387" s="93" t="s">
        <v>78</v>
      </c>
      <c r="H387" t="s">
        <v>1261</v>
      </c>
      <c r="I387">
        <v>1</v>
      </c>
      <c r="J387">
        <v>10160.44823634</v>
      </c>
      <c r="K387">
        <f>I387*J387</f>
        <v>10160.44823634</v>
      </c>
      <c r="L387">
        <v>40</v>
      </c>
      <c r="M387">
        <f>(1-(L387/100))*K387</f>
        <v>6096.268941804</v>
      </c>
      <c r="N387" s="90">
        <v>387</v>
      </c>
      <c r="O387" s="90" t="s">
        <v>307</v>
      </c>
      <c r="P387" s="118"/>
      <c r="Q387" s="118"/>
    </row>
    <row r="388" spans="1:21" x14ac:dyDescent="0.25">
      <c r="A388" s="90" t="s">
        <v>1759</v>
      </c>
      <c r="B388" s="119">
        <v>4</v>
      </c>
      <c r="C388" s="90" t="s">
        <v>1747</v>
      </c>
      <c r="D388" s="90" t="s">
        <v>103</v>
      </c>
      <c r="E388">
        <v>769</v>
      </c>
      <c r="F388">
        <v>772</v>
      </c>
      <c r="G388" s="93" t="s">
        <v>68</v>
      </c>
      <c r="H388" t="s">
        <v>1266</v>
      </c>
      <c r="I388">
        <v>1</v>
      </c>
      <c r="J388">
        <f>SUM(K389)</f>
        <v>9312.3647013900008</v>
      </c>
      <c r="K388">
        <f>I388*J388</f>
        <v>9312.3647013900008</v>
      </c>
      <c r="L388">
        <f>100*(1-(M388/K388))</f>
        <v>40</v>
      </c>
      <c r="M388">
        <f>I388*SUM(M389)</f>
        <v>5587.4188208340001</v>
      </c>
      <c r="N388" s="90">
        <v>388</v>
      </c>
      <c r="O388" s="90" t="s">
        <v>1073</v>
      </c>
      <c r="P388" s="118"/>
      <c r="Q388" s="118"/>
      <c r="R388" s="90" t="s">
        <v>4728</v>
      </c>
      <c r="S388" s="90" t="s">
        <v>5776</v>
      </c>
      <c r="T388" s="90" t="s">
        <v>6274</v>
      </c>
      <c r="U388" s="90" t="s">
        <v>5268</v>
      </c>
    </row>
    <row r="389" spans="1:21" x14ac:dyDescent="0.25">
      <c r="A389" s="90" t="s">
        <v>1760</v>
      </c>
      <c r="B389" s="119">
        <v>5</v>
      </c>
      <c r="C389" s="90" t="s">
        <v>1759</v>
      </c>
      <c r="D389" s="90" t="s">
        <v>78</v>
      </c>
      <c r="E389">
        <v>770</v>
      </c>
      <c r="F389">
        <v>771</v>
      </c>
      <c r="G389" s="93" t="s">
        <v>78</v>
      </c>
      <c r="H389" t="s">
        <v>1269</v>
      </c>
      <c r="I389">
        <v>1</v>
      </c>
      <c r="J389">
        <v>9312.3647013900008</v>
      </c>
      <c r="K389">
        <f>I389*J389</f>
        <v>9312.3647013900008</v>
      </c>
      <c r="L389">
        <v>40</v>
      </c>
      <c r="M389">
        <f>(1-(L389/100))*K389</f>
        <v>5587.4188208340001</v>
      </c>
      <c r="N389" s="90">
        <v>389</v>
      </c>
      <c r="O389" s="90" t="s">
        <v>308</v>
      </c>
      <c r="P389" s="118"/>
      <c r="Q389" s="118"/>
    </row>
    <row r="390" spans="1:21" x14ac:dyDescent="0.25">
      <c r="A390" s="90" t="s">
        <v>1761</v>
      </c>
      <c r="B390" s="119">
        <v>4</v>
      </c>
      <c r="C390" s="90" t="s">
        <v>1747</v>
      </c>
      <c r="D390" s="90" t="s">
        <v>796</v>
      </c>
      <c r="E390">
        <v>773</v>
      </c>
      <c r="F390">
        <v>776</v>
      </c>
      <c r="G390" s="93" t="s">
        <v>68</v>
      </c>
      <c r="H390" t="s">
        <v>1638</v>
      </c>
      <c r="I390">
        <v>1</v>
      </c>
      <c r="J390">
        <f>SUM(K391)</f>
        <v>1980.13</v>
      </c>
      <c r="K390">
        <f>I390*J390</f>
        <v>1980.13</v>
      </c>
      <c r="L390">
        <f>100*(1-(M390/K390))</f>
        <v>40</v>
      </c>
      <c r="M390">
        <f>I390*SUM(M391)</f>
        <v>1188.078</v>
      </c>
      <c r="N390" s="90">
        <v>390</v>
      </c>
      <c r="O390" s="90" t="s">
        <v>309</v>
      </c>
      <c r="P390" s="118"/>
      <c r="Q390" s="118"/>
      <c r="R390" s="90" t="s">
        <v>4729</v>
      </c>
      <c r="S390" s="90" t="s">
        <v>5777</v>
      </c>
      <c r="T390" s="90" t="s">
        <v>6275</v>
      </c>
      <c r="U390" s="90" t="s">
        <v>5269</v>
      </c>
    </row>
    <row r="391" spans="1:21" x14ac:dyDescent="0.25">
      <c r="A391" s="90" t="s">
        <v>1762</v>
      </c>
      <c r="B391" s="119">
        <v>5</v>
      </c>
      <c r="C391" s="90" t="s">
        <v>1761</v>
      </c>
      <c r="D391" s="90" t="s">
        <v>78</v>
      </c>
      <c r="E391">
        <v>774</v>
      </c>
      <c r="F391">
        <v>775</v>
      </c>
      <c r="G391" s="93" t="s">
        <v>78</v>
      </c>
      <c r="H391" t="s">
        <v>1638</v>
      </c>
      <c r="I391">
        <v>1</v>
      </c>
      <c r="J391">
        <v>1980.13</v>
      </c>
      <c r="K391">
        <f>I391*J391</f>
        <v>1980.13</v>
      </c>
      <c r="L391">
        <v>40</v>
      </c>
      <c r="M391">
        <f>(1-(L391/100))*K391</f>
        <v>1188.078</v>
      </c>
      <c r="N391" s="90">
        <v>391</v>
      </c>
      <c r="O391" s="90" t="s">
        <v>1074</v>
      </c>
      <c r="P391" s="118"/>
      <c r="Q391" s="118"/>
    </row>
    <row r="392" spans="1:21" x14ac:dyDescent="0.25">
      <c r="A392" s="90" t="s">
        <v>1763</v>
      </c>
      <c r="B392" s="119">
        <v>4</v>
      </c>
      <c r="C392" s="90" t="s">
        <v>1747</v>
      </c>
      <c r="D392" s="90" t="s">
        <v>797</v>
      </c>
      <c r="E392">
        <v>777</v>
      </c>
      <c r="F392">
        <v>780</v>
      </c>
      <c r="G392" s="93" t="s">
        <v>68</v>
      </c>
      <c r="H392" t="s">
        <v>1272</v>
      </c>
      <c r="I392">
        <v>2</v>
      </c>
      <c r="J392">
        <f>SUM(K393)</f>
        <v>1308.5572392700001</v>
      </c>
      <c r="K392">
        <f>I392*J392</f>
        <v>2617.1144785400002</v>
      </c>
      <c r="L392">
        <f>100*(1-(M392/K392))</f>
        <v>40</v>
      </c>
      <c r="M392">
        <f>I392*SUM(M393)</f>
        <v>1570.2686871240001</v>
      </c>
      <c r="N392" s="90">
        <v>392</v>
      </c>
      <c r="O392" s="90" t="s">
        <v>310</v>
      </c>
      <c r="P392" s="118"/>
      <c r="Q392" s="118"/>
      <c r="R392" s="90" t="s">
        <v>4730</v>
      </c>
      <c r="S392" s="90" t="s">
        <v>5778</v>
      </c>
      <c r="T392" s="90" t="s">
        <v>6276</v>
      </c>
      <c r="U392" s="90" t="s">
        <v>5270</v>
      </c>
    </row>
    <row r="393" spans="1:21" x14ac:dyDescent="0.25">
      <c r="A393" s="90" t="s">
        <v>1764</v>
      </c>
      <c r="B393" s="119">
        <v>5</v>
      </c>
      <c r="C393" s="90" t="s">
        <v>1763</v>
      </c>
      <c r="D393" s="90" t="s">
        <v>78</v>
      </c>
      <c r="E393">
        <v>778</v>
      </c>
      <c r="F393">
        <v>779</v>
      </c>
      <c r="G393" s="93" t="s">
        <v>78</v>
      </c>
      <c r="H393" t="s">
        <v>1272</v>
      </c>
      <c r="I393">
        <v>1</v>
      </c>
      <c r="J393">
        <v>1308.5572392700001</v>
      </c>
      <c r="K393">
        <f>I393*J393</f>
        <v>1308.5572392700001</v>
      </c>
      <c r="L393">
        <v>40</v>
      </c>
      <c r="M393">
        <f>(1-(L393/100))*K393</f>
        <v>785.13434356200003</v>
      </c>
      <c r="N393" s="90">
        <v>393</v>
      </c>
      <c r="O393" s="90" t="s">
        <v>311</v>
      </c>
      <c r="P393" s="118"/>
      <c r="Q393" s="118"/>
    </row>
    <row r="394" spans="1:21" x14ac:dyDescent="0.25">
      <c r="A394" s="90" t="s">
        <v>1765</v>
      </c>
      <c r="B394" s="119">
        <v>4</v>
      </c>
      <c r="C394" s="90" t="s">
        <v>1747</v>
      </c>
      <c r="D394" s="90" t="s">
        <v>798</v>
      </c>
      <c r="E394">
        <v>781</v>
      </c>
      <c r="F394">
        <v>784</v>
      </c>
      <c r="G394" s="93" t="s">
        <v>68</v>
      </c>
      <c r="H394" t="s">
        <v>1485</v>
      </c>
      <c r="I394">
        <v>2</v>
      </c>
      <c r="J394">
        <f>SUM(K395)</f>
        <v>452</v>
      </c>
      <c r="K394">
        <f>I394*J394</f>
        <v>904</v>
      </c>
      <c r="L394">
        <f>100*(1-(M394/K394))</f>
        <v>40</v>
      </c>
      <c r="M394">
        <f>I394*SUM(M395)</f>
        <v>542.4</v>
      </c>
      <c r="N394" s="90">
        <v>394</v>
      </c>
      <c r="O394" s="90" t="s">
        <v>312</v>
      </c>
      <c r="P394" s="118"/>
      <c r="Q394" s="118"/>
      <c r="R394" s="90" t="s">
        <v>801</v>
      </c>
      <c r="S394" s="90" t="s">
        <v>865</v>
      </c>
      <c r="T394" s="90" t="s">
        <v>922</v>
      </c>
      <c r="U394" s="90" t="s">
        <v>830</v>
      </c>
    </row>
    <row r="395" spans="1:21" x14ac:dyDescent="0.25">
      <c r="A395" s="90" t="s">
        <v>1766</v>
      </c>
      <c r="B395" s="119">
        <v>5</v>
      </c>
      <c r="C395" s="90" t="s">
        <v>1765</v>
      </c>
      <c r="D395" s="90" t="s">
        <v>78</v>
      </c>
      <c r="E395">
        <v>782</v>
      </c>
      <c r="F395">
        <v>783</v>
      </c>
      <c r="G395" s="93" t="s">
        <v>78</v>
      </c>
      <c r="H395" t="s">
        <v>1488</v>
      </c>
      <c r="I395">
        <v>1</v>
      </c>
      <c r="J395">
        <v>452</v>
      </c>
      <c r="K395">
        <f>I395*J395</f>
        <v>452</v>
      </c>
      <c r="L395">
        <v>40</v>
      </c>
      <c r="M395">
        <f>(1-(L395/100))*K395</f>
        <v>271.2</v>
      </c>
      <c r="N395" s="90">
        <v>395</v>
      </c>
      <c r="O395" s="90" t="s">
        <v>313</v>
      </c>
      <c r="P395" s="118"/>
      <c r="Q395" s="118"/>
    </row>
    <row r="396" spans="1:21" x14ac:dyDescent="0.25">
      <c r="A396" s="90" t="s">
        <v>1767</v>
      </c>
      <c r="B396" s="119">
        <v>4</v>
      </c>
      <c r="C396" s="90" t="s">
        <v>1747</v>
      </c>
      <c r="D396" s="90" t="s">
        <v>799</v>
      </c>
      <c r="E396">
        <v>785</v>
      </c>
      <c r="F396">
        <v>788</v>
      </c>
      <c r="G396" s="93" t="s">
        <v>68</v>
      </c>
      <c r="H396" t="s">
        <v>145</v>
      </c>
      <c r="I396">
        <v>2</v>
      </c>
      <c r="J396">
        <f>SUM(K397)</f>
        <v>28.6</v>
      </c>
      <c r="K396">
        <f>I396*J396</f>
        <v>57.2</v>
      </c>
      <c r="L396">
        <f>100*(1-(M396/K396))</f>
        <v>40</v>
      </c>
      <c r="M396">
        <f>I396*SUM(M397)</f>
        <v>34.32</v>
      </c>
      <c r="N396" s="90">
        <v>396</v>
      </c>
      <c r="O396" s="90" t="s">
        <v>314</v>
      </c>
      <c r="P396" s="118"/>
      <c r="Q396" s="118"/>
      <c r="R396" s="90" t="s">
        <v>4719</v>
      </c>
      <c r="S396" s="90" t="s">
        <v>866</v>
      </c>
      <c r="T396" s="90" t="s">
        <v>923</v>
      </c>
      <c r="U396" s="90" t="s">
        <v>5259</v>
      </c>
    </row>
    <row r="397" spans="1:21" x14ac:dyDescent="0.25">
      <c r="A397" s="90" t="s">
        <v>1768</v>
      </c>
      <c r="B397" s="119">
        <v>5</v>
      </c>
      <c r="C397" s="90" t="s">
        <v>1767</v>
      </c>
      <c r="D397" s="90" t="s">
        <v>78</v>
      </c>
      <c r="E397">
        <v>786</v>
      </c>
      <c r="F397">
        <v>787</v>
      </c>
      <c r="G397" s="93" t="s">
        <v>78</v>
      </c>
      <c r="H397" t="s">
        <v>145</v>
      </c>
      <c r="I397">
        <v>1</v>
      </c>
      <c r="J397">
        <v>28.6</v>
      </c>
      <c r="K397">
        <f>I397*J397</f>
        <v>28.6</v>
      </c>
      <c r="L397">
        <v>40</v>
      </c>
      <c r="M397">
        <f>(1-(L397/100))*K397</f>
        <v>17.16</v>
      </c>
      <c r="N397" s="90">
        <v>397</v>
      </c>
      <c r="O397" s="90" t="s">
        <v>315</v>
      </c>
      <c r="P397" s="118"/>
      <c r="Q397" s="118"/>
    </row>
    <row r="398" spans="1:21" x14ac:dyDescent="0.25">
      <c r="A398" s="90" t="s">
        <v>1769</v>
      </c>
      <c r="B398" s="119">
        <v>4</v>
      </c>
      <c r="C398" s="90" t="s">
        <v>1747</v>
      </c>
      <c r="D398" s="90" t="s">
        <v>97</v>
      </c>
      <c r="E398">
        <v>789</v>
      </c>
      <c r="F398">
        <v>792</v>
      </c>
      <c r="G398" s="93" t="s">
        <v>68</v>
      </c>
      <c r="H398" t="s">
        <v>1495</v>
      </c>
      <c r="I398">
        <v>1</v>
      </c>
      <c r="J398">
        <f>SUM(K399)</f>
        <v>2358.3343945000001</v>
      </c>
      <c r="K398">
        <f>I398*J398</f>
        <v>2358.3343945000001</v>
      </c>
      <c r="L398">
        <f>100*(1-(M398/K398))</f>
        <v>40</v>
      </c>
      <c r="M398">
        <f>I398*SUM(M399)</f>
        <v>1415.0006367000001</v>
      </c>
      <c r="N398" s="90">
        <v>398</v>
      </c>
      <c r="O398" s="90" t="s">
        <v>316</v>
      </c>
      <c r="P398" s="118"/>
      <c r="Q398" s="118"/>
      <c r="R398" s="90" t="s">
        <v>4720</v>
      </c>
      <c r="S398" s="90" t="s">
        <v>5770</v>
      </c>
      <c r="T398" s="90" t="s">
        <v>6268</v>
      </c>
      <c r="U398" s="90" t="s">
        <v>5260</v>
      </c>
    </row>
    <row r="399" spans="1:21" x14ac:dyDescent="0.25">
      <c r="A399" s="90" t="s">
        <v>1770</v>
      </c>
      <c r="B399" s="119">
        <v>5</v>
      </c>
      <c r="C399" s="90" t="s">
        <v>1769</v>
      </c>
      <c r="D399" s="90" t="s">
        <v>78</v>
      </c>
      <c r="E399">
        <v>790</v>
      </c>
      <c r="F399">
        <v>791</v>
      </c>
      <c r="G399" s="93" t="s">
        <v>78</v>
      </c>
      <c r="H399" t="s">
        <v>1495</v>
      </c>
      <c r="I399">
        <v>1</v>
      </c>
      <c r="J399">
        <v>2358.3343945000001</v>
      </c>
      <c r="K399">
        <f>I399*J399</f>
        <v>2358.3343945000001</v>
      </c>
      <c r="L399">
        <v>40</v>
      </c>
      <c r="M399">
        <f>(1-(L399/100))*K399</f>
        <v>1415.0006367000001</v>
      </c>
      <c r="N399" s="90">
        <v>399</v>
      </c>
      <c r="O399" s="90" t="s">
        <v>1075</v>
      </c>
      <c r="P399" s="118"/>
      <c r="Q399" s="118"/>
    </row>
    <row r="400" spans="1:21" x14ac:dyDescent="0.25">
      <c r="A400" s="90" t="s">
        <v>1771</v>
      </c>
      <c r="B400" s="119">
        <v>4</v>
      </c>
      <c r="C400" s="90" t="s">
        <v>1747</v>
      </c>
      <c r="D400" s="90" t="s">
        <v>98</v>
      </c>
      <c r="E400">
        <v>793</v>
      </c>
      <c r="F400">
        <v>796</v>
      </c>
      <c r="G400" s="93" t="s">
        <v>68</v>
      </c>
      <c r="H400" t="s">
        <v>143</v>
      </c>
      <c r="I400">
        <v>1</v>
      </c>
      <c r="J400">
        <f>SUM(K401)</f>
        <v>27.17</v>
      </c>
      <c r="K400">
        <f>I400*J400</f>
        <v>27.17</v>
      </c>
      <c r="L400">
        <f>100*(1-(M400/K400))</f>
        <v>40</v>
      </c>
      <c r="M400">
        <f>I400*SUM(M401)</f>
        <v>16.302</v>
      </c>
      <c r="N400" s="90">
        <v>400</v>
      </c>
      <c r="O400" s="90" t="s">
        <v>317</v>
      </c>
      <c r="P400" s="118"/>
      <c r="Q400" s="118"/>
      <c r="R400" s="90" t="s">
        <v>4721</v>
      </c>
      <c r="S400" s="90" t="s">
        <v>5771</v>
      </c>
      <c r="T400" s="90" t="s">
        <v>6269</v>
      </c>
      <c r="U400" s="90" t="s">
        <v>5261</v>
      </c>
    </row>
    <row r="401" spans="1:21" x14ac:dyDescent="0.25">
      <c r="A401" s="90" t="s">
        <v>1772</v>
      </c>
      <c r="B401" s="119">
        <v>5</v>
      </c>
      <c r="C401" s="90" t="s">
        <v>1771</v>
      </c>
      <c r="D401" s="90" t="s">
        <v>78</v>
      </c>
      <c r="E401">
        <v>794</v>
      </c>
      <c r="F401">
        <v>795</v>
      </c>
      <c r="G401" s="93" t="s">
        <v>78</v>
      </c>
      <c r="H401" t="s">
        <v>143</v>
      </c>
      <c r="I401">
        <v>1</v>
      </c>
      <c r="J401">
        <v>27.17</v>
      </c>
      <c r="K401">
        <f>I401*J401</f>
        <v>27.17</v>
      </c>
      <c r="L401">
        <v>40</v>
      </c>
      <c r="M401">
        <f>(1-(L401/100))*K401</f>
        <v>16.302</v>
      </c>
      <c r="N401" s="90">
        <v>401</v>
      </c>
      <c r="O401" s="90" t="s">
        <v>318</v>
      </c>
      <c r="P401" s="118"/>
      <c r="Q401" s="118"/>
    </row>
    <row r="402" spans="1:21" x14ac:dyDescent="0.25">
      <c r="A402" s="90" t="s">
        <v>1773</v>
      </c>
      <c r="B402" s="119">
        <v>4</v>
      </c>
      <c r="C402" s="90" t="s">
        <v>1747</v>
      </c>
      <c r="D402" s="90" t="s">
        <v>99</v>
      </c>
      <c r="E402">
        <v>797</v>
      </c>
      <c r="F402">
        <v>800</v>
      </c>
      <c r="G402" s="93" t="s">
        <v>68</v>
      </c>
      <c r="H402" t="s">
        <v>1504</v>
      </c>
      <c r="I402">
        <v>1</v>
      </c>
      <c r="J402">
        <f>SUM(K403)</f>
        <v>184.52</v>
      </c>
      <c r="K402">
        <f>I402*J402</f>
        <v>184.52</v>
      </c>
      <c r="L402">
        <f>100*(1-(M402/K402))</f>
        <v>40</v>
      </c>
      <c r="M402">
        <f>I402*SUM(M403)</f>
        <v>110.712</v>
      </c>
      <c r="N402" s="90">
        <v>402</v>
      </c>
      <c r="O402" s="90" t="s">
        <v>319</v>
      </c>
      <c r="P402" s="118"/>
      <c r="Q402" s="118"/>
      <c r="R402" s="90" t="s">
        <v>4722</v>
      </c>
      <c r="S402" s="90" t="s">
        <v>5772</v>
      </c>
      <c r="T402" s="90" t="s">
        <v>6270</v>
      </c>
      <c r="U402" s="90" t="s">
        <v>5262</v>
      </c>
    </row>
    <row r="403" spans="1:21" x14ac:dyDescent="0.25">
      <c r="A403" s="90" t="s">
        <v>1774</v>
      </c>
      <c r="B403" s="119">
        <v>5</v>
      </c>
      <c r="C403" s="90" t="s">
        <v>1773</v>
      </c>
      <c r="D403" s="90" t="s">
        <v>78</v>
      </c>
      <c r="E403">
        <v>798</v>
      </c>
      <c r="F403">
        <v>799</v>
      </c>
      <c r="G403" s="93" t="s">
        <v>78</v>
      </c>
      <c r="H403" t="s">
        <v>1504</v>
      </c>
      <c r="I403">
        <v>1</v>
      </c>
      <c r="J403">
        <v>184.52</v>
      </c>
      <c r="K403">
        <f>I403*J403</f>
        <v>184.52</v>
      </c>
      <c r="L403">
        <v>40</v>
      </c>
      <c r="M403">
        <f>(1-(L403/100))*K403</f>
        <v>110.712</v>
      </c>
      <c r="N403" s="90">
        <v>403</v>
      </c>
      <c r="O403" s="90" t="s">
        <v>320</v>
      </c>
      <c r="P403" s="118"/>
      <c r="Q403" s="118"/>
    </row>
    <row r="404" spans="1:21" x14ac:dyDescent="0.25">
      <c r="A404" s="90" t="s">
        <v>1775</v>
      </c>
      <c r="B404" s="119">
        <v>4</v>
      </c>
      <c r="C404" s="90" t="s">
        <v>1747</v>
      </c>
      <c r="D404" s="90" t="s">
        <v>100</v>
      </c>
      <c r="E404">
        <v>801</v>
      </c>
      <c r="F404">
        <v>804</v>
      </c>
      <c r="G404" s="93" t="s">
        <v>68</v>
      </c>
      <c r="H404" t="s">
        <v>1509</v>
      </c>
      <c r="I404">
        <v>2</v>
      </c>
      <c r="J404">
        <f>SUM(K405)</f>
        <v>3300</v>
      </c>
      <c r="K404">
        <f>I404*J404</f>
        <v>6600</v>
      </c>
      <c r="L404">
        <f>100*(1-(M404/K404))</f>
        <v>40</v>
      </c>
      <c r="M404">
        <f>I404*SUM(M405)</f>
        <v>3960</v>
      </c>
      <c r="N404" s="90">
        <v>404</v>
      </c>
      <c r="O404" s="90" t="s">
        <v>321</v>
      </c>
      <c r="P404" s="118"/>
      <c r="Q404" s="118"/>
      <c r="R404" s="90" t="s">
        <v>4723</v>
      </c>
      <c r="S404" s="90" t="s">
        <v>989</v>
      </c>
      <c r="T404" s="90" t="s">
        <v>1016</v>
      </c>
      <c r="U404" s="90" t="s">
        <v>5263</v>
      </c>
    </row>
    <row r="405" spans="1:21" x14ac:dyDescent="0.25">
      <c r="A405" s="90" t="s">
        <v>1776</v>
      </c>
      <c r="B405" s="119">
        <v>5</v>
      </c>
      <c r="C405" s="90" t="s">
        <v>1775</v>
      </c>
      <c r="D405" s="90" t="s">
        <v>78</v>
      </c>
      <c r="E405">
        <v>802</v>
      </c>
      <c r="F405">
        <v>803</v>
      </c>
      <c r="G405" s="93" t="s">
        <v>78</v>
      </c>
      <c r="H405" t="s">
        <v>1509</v>
      </c>
      <c r="I405">
        <v>1</v>
      </c>
      <c r="J405">
        <v>3300</v>
      </c>
      <c r="K405">
        <f>I405*J405</f>
        <v>3300</v>
      </c>
      <c r="L405">
        <v>40</v>
      </c>
      <c r="M405">
        <f>(1-(L405/100))*K405</f>
        <v>1980</v>
      </c>
      <c r="N405" s="90">
        <v>405</v>
      </c>
      <c r="O405" s="90" t="s">
        <v>322</v>
      </c>
      <c r="P405" s="118"/>
      <c r="Q405" s="118"/>
    </row>
    <row r="406" spans="1:21" x14ac:dyDescent="0.25">
      <c r="A406" s="90" t="s">
        <v>1777</v>
      </c>
      <c r="B406" s="119">
        <v>3</v>
      </c>
      <c r="C406" s="90" t="s">
        <v>1745</v>
      </c>
      <c r="D406" s="90" t="s">
        <v>79</v>
      </c>
      <c r="E406">
        <v>806</v>
      </c>
      <c r="F406">
        <v>819</v>
      </c>
      <c r="G406" s="93" t="s">
        <v>68</v>
      </c>
      <c r="H406" t="s">
        <v>1778</v>
      </c>
      <c r="I406">
        <v>1</v>
      </c>
      <c r="J406">
        <f>SUM(K407)</f>
        <v>6588.4757417500005</v>
      </c>
      <c r="K406">
        <f>I406*J406</f>
        <v>6588.4757417500005</v>
      </c>
      <c r="L406">
        <f>100*(1-(M406/K406))</f>
        <v>40</v>
      </c>
      <c r="M406">
        <f>I406*SUM(M407)</f>
        <v>3953.0854450500001</v>
      </c>
      <c r="N406" s="90">
        <v>406</v>
      </c>
      <c r="O406" s="90" t="s">
        <v>1076</v>
      </c>
      <c r="P406" s="118"/>
      <c r="Q406" s="118"/>
      <c r="R406" s="90" t="s">
        <v>6960</v>
      </c>
      <c r="S406" s="90" t="s">
        <v>7056</v>
      </c>
      <c r="T406" s="90" t="s">
        <v>7102</v>
      </c>
      <c r="U406" s="90" t="s">
        <v>7009</v>
      </c>
    </row>
    <row r="407" spans="1:21" x14ac:dyDescent="0.25">
      <c r="A407" s="90" t="s">
        <v>1779</v>
      </c>
      <c r="B407" s="119">
        <v>4</v>
      </c>
      <c r="C407" s="90" t="s">
        <v>1777</v>
      </c>
      <c r="D407" s="90" t="s">
        <v>78</v>
      </c>
      <c r="E407">
        <v>807</v>
      </c>
      <c r="F407">
        <v>818</v>
      </c>
      <c r="G407" s="93" t="s">
        <v>68</v>
      </c>
      <c r="H407" t="s">
        <v>1668</v>
      </c>
      <c r="I407">
        <v>1</v>
      </c>
      <c r="J407">
        <f>SUM(K408)</f>
        <v>6588.4757417500005</v>
      </c>
      <c r="K407">
        <f>I407*J407</f>
        <v>6588.4757417500005</v>
      </c>
      <c r="L407">
        <f>100*(1-(M407/K407))</f>
        <v>40</v>
      </c>
      <c r="M407">
        <f>I407*SUM(M408)</f>
        <v>3953.0854450500001</v>
      </c>
      <c r="N407" s="90">
        <v>407</v>
      </c>
      <c r="O407" s="90" t="s">
        <v>323</v>
      </c>
      <c r="P407" s="118"/>
      <c r="Q407" s="118"/>
      <c r="R407" s="90" t="s">
        <v>972</v>
      </c>
      <c r="S407" s="90" t="s">
        <v>990</v>
      </c>
      <c r="T407" s="90" t="s">
        <v>1017</v>
      </c>
      <c r="U407" s="90" t="s">
        <v>977</v>
      </c>
    </row>
    <row r="408" spans="1:21" x14ac:dyDescent="0.25">
      <c r="A408" s="90" t="s">
        <v>1780</v>
      </c>
      <c r="B408" s="119">
        <v>5</v>
      </c>
      <c r="C408" s="90" t="s">
        <v>1779</v>
      </c>
      <c r="D408" s="90" t="s">
        <v>78</v>
      </c>
      <c r="E408">
        <v>808</v>
      </c>
      <c r="F408">
        <v>817</v>
      </c>
      <c r="G408" s="93" t="s">
        <v>68</v>
      </c>
      <c r="H408" t="s">
        <v>1397</v>
      </c>
      <c r="I408">
        <v>1</v>
      </c>
      <c r="J408">
        <f>SUM(K409,K410,K411,K412)</f>
        <v>6588.4757417500005</v>
      </c>
      <c r="K408">
        <f>I408*J408</f>
        <v>6588.4757417500005</v>
      </c>
      <c r="L408">
        <f>100*(1-(M408/K408))</f>
        <v>40</v>
      </c>
      <c r="M408">
        <f>I408*SUM(M409,M410,M411,M412)</f>
        <v>3953.0854450500001</v>
      </c>
      <c r="N408" s="90">
        <v>408</v>
      </c>
      <c r="O408" s="90" t="s">
        <v>324</v>
      </c>
      <c r="P408" s="118"/>
      <c r="Q408" s="118"/>
      <c r="R408" s="90" t="s">
        <v>4731</v>
      </c>
      <c r="S408" s="90" t="s">
        <v>867</v>
      </c>
      <c r="T408" s="90" t="s">
        <v>924</v>
      </c>
      <c r="U408" s="90" t="s">
        <v>5271</v>
      </c>
    </row>
    <row r="409" spans="1:21" x14ac:dyDescent="0.25">
      <c r="A409" s="90" t="s">
        <v>1781</v>
      </c>
      <c r="B409" s="119">
        <v>6</v>
      </c>
      <c r="C409" s="90" t="s">
        <v>1780</v>
      </c>
      <c r="D409" s="90" t="s">
        <v>78</v>
      </c>
      <c r="E409">
        <v>809</v>
      </c>
      <c r="F409">
        <v>810</v>
      </c>
      <c r="G409" s="93" t="s">
        <v>78</v>
      </c>
      <c r="H409" t="s">
        <v>120</v>
      </c>
      <c r="I409">
        <v>1</v>
      </c>
      <c r="J409">
        <v>967.93582071000003</v>
      </c>
      <c r="K409">
        <f>I409*J409</f>
        <v>967.93582071000003</v>
      </c>
      <c r="L409">
        <v>40</v>
      </c>
      <c r="M409">
        <f>(1-(L409/100))*K409</f>
        <v>580.76149242600002</v>
      </c>
      <c r="N409" s="90">
        <v>409</v>
      </c>
      <c r="O409" s="90" t="s">
        <v>325</v>
      </c>
      <c r="P409" s="118"/>
      <c r="Q409" s="118"/>
    </row>
    <row r="410" spans="1:21" x14ac:dyDescent="0.25">
      <c r="A410" s="90" t="s">
        <v>1782</v>
      </c>
      <c r="B410" s="119">
        <v>6</v>
      </c>
      <c r="C410" s="90" t="s">
        <v>1780</v>
      </c>
      <c r="D410" s="90" t="s">
        <v>79</v>
      </c>
      <c r="E410">
        <v>811</v>
      </c>
      <c r="F410">
        <v>812</v>
      </c>
      <c r="G410" s="93" t="s">
        <v>78</v>
      </c>
      <c r="H410" t="s">
        <v>125</v>
      </c>
      <c r="I410">
        <v>1</v>
      </c>
      <c r="J410">
        <v>967.93582071000003</v>
      </c>
      <c r="K410">
        <f>I410*J410</f>
        <v>967.93582071000003</v>
      </c>
      <c r="L410">
        <v>40</v>
      </c>
      <c r="M410">
        <f>(1-(L410/100))*K410</f>
        <v>580.76149242600002</v>
      </c>
      <c r="N410" s="90">
        <v>410</v>
      </c>
      <c r="O410" s="90" t="s">
        <v>326</v>
      </c>
      <c r="P410" s="118"/>
      <c r="Q410" s="118"/>
    </row>
    <row r="411" spans="1:21" x14ac:dyDescent="0.25">
      <c r="A411" s="90" t="s">
        <v>1783</v>
      </c>
      <c r="B411" s="119">
        <v>6</v>
      </c>
      <c r="C411" s="90" t="s">
        <v>1780</v>
      </c>
      <c r="D411" s="90" t="s">
        <v>80</v>
      </c>
      <c r="E411">
        <v>813</v>
      </c>
      <c r="F411">
        <v>814</v>
      </c>
      <c r="G411" s="93" t="s">
        <v>78</v>
      </c>
      <c r="H411" t="s">
        <v>203</v>
      </c>
      <c r="I411">
        <v>1</v>
      </c>
      <c r="J411">
        <v>2064.00101872</v>
      </c>
      <c r="K411">
        <f>I411*J411</f>
        <v>2064.00101872</v>
      </c>
      <c r="L411">
        <v>40</v>
      </c>
      <c r="M411">
        <f>(1-(L411/100))*K411</f>
        <v>1238.4006112320001</v>
      </c>
      <c r="N411" s="90">
        <v>411</v>
      </c>
      <c r="O411" s="90" t="s">
        <v>327</v>
      </c>
      <c r="P411" s="118"/>
      <c r="Q411" s="118"/>
    </row>
    <row r="412" spans="1:21" x14ac:dyDescent="0.25">
      <c r="A412" s="90" t="s">
        <v>1784</v>
      </c>
      <c r="B412" s="119">
        <v>6</v>
      </c>
      <c r="C412" s="90" t="s">
        <v>1780</v>
      </c>
      <c r="D412" s="90" t="s">
        <v>95</v>
      </c>
      <c r="E412">
        <v>815</v>
      </c>
      <c r="F412">
        <v>816</v>
      </c>
      <c r="G412" s="93" t="s">
        <v>78</v>
      </c>
      <c r="H412" t="s">
        <v>191</v>
      </c>
      <c r="I412">
        <v>3</v>
      </c>
      <c r="J412">
        <v>862.86769387000004</v>
      </c>
      <c r="K412">
        <f>I412*J412</f>
        <v>2588.6030816100001</v>
      </c>
      <c r="L412">
        <v>40</v>
      </c>
      <c r="M412">
        <f>(1-(L412/100))*K412</f>
        <v>1553.161848966</v>
      </c>
      <c r="N412" s="90">
        <v>412</v>
      </c>
      <c r="O412" s="90" t="s">
        <v>328</v>
      </c>
      <c r="P412" s="118"/>
      <c r="Q412" s="118"/>
    </row>
    <row r="413" spans="1:21" x14ac:dyDescent="0.25">
      <c r="A413" s="90" t="s">
        <v>1785</v>
      </c>
      <c r="B413" s="119">
        <v>3</v>
      </c>
      <c r="C413" s="90" t="s">
        <v>1745</v>
      </c>
      <c r="D413" s="90" t="s">
        <v>80</v>
      </c>
      <c r="E413">
        <v>820</v>
      </c>
      <c r="F413">
        <v>839</v>
      </c>
      <c r="G413" s="93" t="s">
        <v>68</v>
      </c>
      <c r="H413" t="s">
        <v>1786</v>
      </c>
      <c r="I413">
        <v>1</v>
      </c>
      <c r="J413">
        <f>SUM(K414,K417,K419,K421)</f>
        <v>12677.74146186</v>
      </c>
      <c r="K413">
        <f>I413*J413</f>
        <v>12677.74146186</v>
      </c>
      <c r="L413">
        <f>100*(1-(M413/K413))</f>
        <v>85.6</v>
      </c>
      <c r="M413">
        <f>I413*SUM(M414,M417,M419,M421)</f>
        <v>1825.5947705078402</v>
      </c>
      <c r="N413" s="90">
        <v>413</v>
      </c>
      <c r="O413" s="90" t="s">
        <v>329</v>
      </c>
      <c r="P413" s="118"/>
      <c r="Q413" s="118"/>
      <c r="R413" s="90" t="s">
        <v>6462</v>
      </c>
      <c r="S413" s="90" t="s">
        <v>6765</v>
      </c>
      <c r="T413" s="90" t="s">
        <v>6910</v>
      </c>
      <c r="U413" s="90" t="s">
        <v>6614</v>
      </c>
    </row>
    <row r="414" spans="1:21" x14ac:dyDescent="0.25">
      <c r="A414" s="90" t="s">
        <v>1787</v>
      </c>
      <c r="B414" s="119">
        <v>4</v>
      </c>
      <c r="C414" s="90" t="s">
        <v>1785</v>
      </c>
      <c r="D414" s="90" t="s">
        <v>78</v>
      </c>
      <c r="E414">
        <v>821</v>
      </c>
      <c r="F414">
        <v>826</v>
      </c>
      <c r="G414" s="93" t="s">
        <v>68</v>
      </c>
      <c r="H414" t="s">
        <v>364</v>
      </c>
      <c r="I414">
        <v>1</v>
      </c>
      <c r="J414">
        <f>SUM(K415,K416)</f>
        <v>2292.1176620400001</v>
      </c>
      <c r="K414">
        <f>I414*J414</f>
        <v>2292.1176620400001</v>
      </c>
      <c r="L414">
        <f>100*(1-(M414/K414))</f>
        <v>85.6</v>
      </c>
      <c r="M414">
        <f>I414*SUM(M415,M416)</f>
        <v>330.06494333376008</v>
      </c>
      <c r="N414" s="90">
        <v>414</v>
      </c>
      <c r="O414" s="90" t="s">
        <v>330</v>
      </c>
      <c r="P414" s="118"/>
      <c r="Q414" s="118"/>
      <c r="R414" s="90" t="s">
        <v>4732</v>
      </c>
      <c r="S414" s="90" t="s">
        <v>5779</v>
      </c>
      <c r="T414" s="90" t="s">
        <v>6277</v>
      </c>
      <c r="U414" s="90" t="s">
        <v>5272</v>
      </c>
    </row>
    <row r="415" spans="1:21" x14ac:dyDescent="0.25">
      <c r="A415" s="90" t="s">
        <v>1788</v>
      </c>
      <c r="B415" s="119">
        <v>5</v>
      </c>
      <c r="C415" s="90" t="s">
        <v>1787</v>
      </c>
      <c r="D415" s="90" t="s">
        <v>78</v>
      </c>
      <c r="E415">
        <v>822</v>
      </c>
      <c r="F415">
        <v>823</v>
      </c>
      <c r="G415" s="93" t="s">
        <v>78</v>
      </c>
      <c r="H415" t="s">
        <v>366</v>
      </c>
      <c r="I415">
        <v>1</v>
      </c>
      <c r="J415">
        <v>509.35948044999998</v>
      </c>
      <c r="K415">
        <f>I415*J415</f>
        <v>509.35948044999998</v>
      </c>
      <c r="L415">
        <v>85.6</v>
      </c>
      <c r="M415">
        <f>(1-(L415/100))*K415</f>
        <v>73.347765184800011</v>
      </c>
      <c r="N415" s="90">
        <v>415</v>
      </c>
      <c r="O415" s="90" t="s">
        <v>331</v>
      </c>
      <c r="P415" s="118"/>
      <c r="Q415" s="118"/>
    </row>
    <row r="416" spans="1:21" x14ac:dyDescent="0.25">
      <c r="A416" s="90" t="s">
        <v>1789</v>
      </c>
      <c r="B416" s="119">
        <v>5</v>
      </c>
      <c r="C416" s="90" t="s">
        <v>1787</v>
      </c>
      <c r="D416" s="90" t="s">
        <v>79</v>
      </c>
      <c r="E416">
        <v>824</v>
      </c>
      <c r="F416">
        <v>825</v>
      </c>
      <c r="G416" s="93" t="s">
        <v>78</v>
      </c>
      <c r="H416" t="s">
        <v>368</v>
      </c>
      <c r="I416">
        <v>1</v>
      </c>
      <c r="J416">
        <v>1782.75818159</v>
      </c>
      <c r="K416">
        <f>I416*J416</f>
        <v>1782.75818159</v>
      </c>
      <c r="L416">
        <v>85.6</v>
      </c>
      <c r="M416">
        <f>(1-(L416/100))*K416</f>
        <v>256.71717814896004</v>
      </c>
      <c r="N416" s="90">
        <v>416</v>
      </c>
      <c r="O416" s="90" t="s">
        <v>1077</v>
      </c>
      <c r="P416" s="118"/>
      <c r="Q416" s="118"/>
    </row>
    <row r="417" spans="1:21" x14ac:dyDescent="0.25">
      <c r="A417" s="90" t="s">
        <v>1790</v>
      </c>
      <c r="B417" s="119">
        <v>4</v>
      </c>
      <c r="C417" s="90" t="s">
        <v>1785</v>
      </c>
      <c r="D417" s="90" t="s">
        <v>79</v>
      </c>
      <c r="E417">
        <v>827</v>
      </c>
      <c r="F417">
        <v>830</v>
      </c>
      <c r="G417" s="93" t="s">
        <v>68</v>
      </c>
      <c r="H417" t="s">
        <v>379</v>
      </c>
      <c r="I417">
        <v>1</v>
      </c>
      <c r="J417">
        <f>SUM(K418)</f>
        <v>303.06889087000002</v>
      </c>
      <c r="K417">
        <f>I417*J417</f>
        <v>303.06889087000002</v>
      </c>
      <c r="L417">
        <f>100*(1-(M417/K417))</f>
        <v>85.6</v>
      </c>
      <c r="M417">
        <f>I417*SUM(M418)</f>
        <v>43.641920285280008</v>
      </c>
      <c r="N417" s="90">
        <v>417</v>
      </c>
      <c r="O417" s="90" t="s">
        <v>332</v>
      </c>
      <c r="P417" s="118"/>
      <c r="Q417" s="118"/>
      <c r="R417" s="90" t="s">
        <v>4733</v>
      </c>
      <c r="S417" s="90" t="s">
        <v>5780</v>
      </c>
      <c r="T417" s="90" t="s">
        <v>6278</v>
      </c>
      <c r="U417" s="90" t="s">
        <v>5273</v>
      </c>
    </row>
    <row r="418" spans="1:21" x14ac:dyDescent="0.25">
      <c r="A418" s="90" t="s">
        <v>1791</v>
      </c>
      <c r="B418" s="119">
        <v>5</v>
      </c>
      <c r="C418" s="90" t="s">
        <v>1790</v>
      </c>
      <c r="D418" s="90" t="s">
        <v>78</v>
      </c>
      <c r="E418">
        <v>828</v>
      </c>
      <c r="F418">
        <v>829</v>
      </c>
      <c r="G418" s="93" t="s">
        <v>78</v>
      </c>
      <c r="H418" t="s">
        <v>381</v>
      </c>
      <c r="I418">
        <v>1</v>
      </c>
      <c r="J418">
        <v>303.06889087000002</v>
      </c>
      <c r="K418">
        <f>I418*J418</f>
        <v>303.06889087000002</v>
      </c>
      <c r="L418">
        <v>85.6</v>
      </c>
      <c r="M418">
        <f>(1-(L418/100))*K418</f>
        <v>43.641920285280008</v>
      </c>
      <c r="N418" s="90">
        <v>418</v>
      </c>
      <c r="O418" s="90" t="s">
        <v>1078</v>
      </c>
      <c r="P418" s="118"/>
      <c r="Q418" s="118"/>
    </row>
    <row r="419" spans="1:21" x14ac:dyDescent="0.25">
      <c r="A419" s="90" t="s">
        <v>1792</v>
      </c>
      <c r="B419" s="119">
        <v>4</v>
      </c>
      <c r="C419" s="90" t="s">
        <v>1785</v>
      </c>
      <c r="D419" s="90" t="s">
        <v>80</v>
      </c>
      <c r="E419">
        <v>831</v>
      </c>
      <c r="F419">
        <v>834</v>
      </c>
      <c r="G419" s="93" t="s">
        <v>68</v>
      </c>
      <c r="H419" t="s">
        <v>383</v>
      </c>
      <c r="I419">
        <v>1</v>
      </c>
      <c r="J419">
        <f>SUM(K420)</f>
        <v>1069.6549089499999</v>
      </c>
      <c r="K419">
        <f>I419*J419</f>
        <v>1069.6549089499999</v>
      </c>
      <c r="L419">
        <f>100*(1-(M419/K419))</f>
        <v>85.6</v>
      </c>
      <c r="M419">
        <f>I419*SUM(M420)</f>
        <v>154.0303068888</v>
      </c>
      <c r="N419" s="90">
        <v>419</v>
      </c>
      <c r="O419" s="90" t="s">
        <v>333</v>
      </c>
      <c r="P419" s="118"/>
      <c r="Q419" s="118"/>
      <c r="R419" s="90" t="s">
        <v>4734</v>
      </c>
      <c r="S419" s="90" t="s">
        <v>5781</v>
      </c>
      <c r="T419" s="90" t="s">
        <v>6279</v>
      </c>
      <c r="U419" s="90" t="s">
        <v>5274</v>
      </c>
    </row>
    <row r="420" spans="1:21" x14ac:dyDescent="0.25">
      <c r="A420" s="90" t="s">
        <v>1793</v>
      </c>
      <c r="B420" s="119">
        <v>5</v>
      </c>
      <c r="C420" s="90" t="s">
        <v>1792</v>
      </c>
      <c r="D420" s="90" t="s">
        <v>78</v>
      </c>
      <c r="E420">
        <v>832</v>
      </c>
      <c r="F420">
        <v>833</v>
      </c>
      <c r="G420" s="93" t="s">
        <v>78</v>
      </c>
      <c r="H420" t="s">
        <v>385</v>
      </c>
      <c r="I420">
        <v>1</v>
      </c>
      <c r="J420">
        <v>1069.6549089499999</v>
      </c>
      <c r="K420">
        <f>I420*J420</f>
        <v>1069.6549089499999</v>
      </c>
      <c r="L420">
        <v>85.6</v>
      </c>
      <c r="M420">
        <f>(1-(L420/100))*K420</f>
        <v>154.0303068888</v>
      </c>
      <c r="N420" s="90">
        <v>420</v>
      </c>
      <c r="O420" s="90" t="s">
        <v>1079</v>
      </c>
      <c r="P420" s="118"/>
      <c r="Q420" s="118"/>
    </row>
    <row r="421" spans="1:21" x14ac:dyDescent="0.25">
      <c r="A421" s="90" t="s">
        <v>1794</v>
      </c>
      <c r="B421" s="119">
        <v>4</v>
      </c>
      <c r="C421" s="90" t="s">
        <v>1785</v>
      </c>
      <c r="D421" s="90" t="s">
        <v>95</v>
      </c>
      <c r="E421">
        <v>835</v>
      </c>
      <c r="F421">
        <v>838</v>
      </c>
      <c r="G421" s="93" t="s">
        <v>68</v>
      </c>
      <c r="H421" t="s">
        <v>387</v>
      </c>
      <c r="I421">
        <v>1</v>
      </c>
      <c r="J421">
        <f>SUM(K422)</f>
        <v>9012.9</v>
      </c>
      <c r="K421">
        <f>I421*J421</f>
        <v>9012.9</v>
      </c>
      <c r="L421">
        <f>100*(1-(M421/K421))</f>
        <v>85.6</v>
      </c>
      <c r="M421">
        <f>I421*SUM(M422)</f>
        <v>1297.8576</v>
      </c>
      <c r="N421" s="90">
        <v>421</v>
      </c>
      <c r="O421" s="90" t="s">
        <v>335</v>
      </c>
      <c r="P421" s="118"/>
      <c r="Q421" s="118"/>
      <c r="R421" s="90" t="s">
        <v>4735</v>
      </c>
      <c r="S421" s="90" t="s">
        <v>5782</v>
      </c>
      <c r="T421" s="90" t="s">
        <v>6280</v>
      </c>
      <c r="U421" s="90" t="s">
        <v>5275</v>
      </c>
    </row>
    <row r="422" spans="1:21" x14ac:dyDescent="0.25">
      <c r="A422" s="90" t="s">
        <v>1795</v>
      </c>
      <c r="B422" s="119">
        <v>5</v>
      </c>
      <c r="C422" s="90" t="s">
        <v>1794</v>
      </c>
      <c r="D422" s="90" t="s">
        <v>78</v>
      </c>
      <c r="E422">
        <v>836</v>
      </c>
      <c r="F422">
        <v>837</v>
      </c>
      <c r="G422" s="93" t="s">
        <v>78</v>
      </c>
      <c r="H422" t="s">
        <v>389</v>
      </c>
      <c r="I422">
        <v>1</v>
      </c>
      <c r="J422">
        <v>9012.9</v>
      </c>
      <c r="K422">
        <f>I422*J422</f>
        <v>9012.9</v>
      </c>
      <c r="L422">
        <v>85.6</v>
      </c>
      <c r="M422">
        <f>(1-(L422/100))*K422</f>
        <v>1297.8576</v>
      </c>
      <c r="N422" s="90">
        <v>422</v>
      </c>
      <c r="O422" s="90" t="s">
        <v>336</v>
      </c>
      <c r="P422" s="118"/>
      <c r="Q422" s="118"/>
    </row>
    <row r="423" spans="1:21" x14ac:dyDescent="0.25">
      <c r="A423" s="90" t="s">
        <v>1796</v>
      </c>
      <c r="B423" s="119">
        <v>3</v>
      </c>
      <c r="C423" s="90" t="s">
        <v>1745</v>
      </c>
      <c r="D423" s="90" t="s">
        <v>95</v>
      </c>
      <c r="E423">
        <v>840</v>
      </c>
      <c r="F423">
        <v>845</v>
      </c>
      <c r="G423" s="93" t="s">
        <v>68</v>
      </c>
      <c r="H423" t="s">
        <v>1797</v>
      </c>
      <c r="I423">
        <v>1</v>
      </c>
      <c r="J423">
        <f>SUM(K424)</f>
        <v>333.63045970000002</v>
      </c>
      <c r="K423">
        <f>I423*J423</f>
        <v>333.63045970000002</v>
      </c>
      <c r="L423">
        <f>100*(1-(M423/K423))</f>
        <v>85.6</v>
      </c>
      <c r="M423">
        <f>I423*SUM(M424)</f>
        <v>48.042786196800009</v>
      </c>
      <c r="N423" s="90">
        <v>423</v>
      </c>
      <c r="O423" s="90" t="s">
        <v>338</v>
      </c>
      <c r="P423" s="118"/>
      <c r="Q423" s="118"/>
      <c r="R423" s="90" t="s">
        <v>6463</v>
      </c>
      <c r="S423" s="90" t="s">
        <v>991</v>
      </c>
      <c r="T423" s="90" t="s">
        <v>1018</v>
      </c>
      <c r="U423" s="90" t="s">
        <v>6615</v>
      </c>
    </row>
    <row r="424" spans="1:21" x14ac:dyDescent="0.25">
      <c r="A424" s="90" t="s">
        <v>1798</v>
      </c>
      <c r="B424" s="119">
        <v>4</v>
      </c>
      <c r="C424" s="90" t="s">
        <v>1796</v>
      </c>
      <c r="D424" s="90" t="s">
        <v>78</v>
      </c>
      <c r="E424">
        <v>841</v>
      </c>
      <c r="F424">
        <v>844</v>
      </c>
      <c r="G424" s="93" t="s">
        <v>68</v>
      </c>
      <c r="H424" t="s">
        <v>399</v>
      </c>
      <c r="I424">
        <v>1</v>
      </c>
      <c r="J424">
        <f>SUM(K425)</f>
        <v>333.63045970000002</v>
      </c>
      <c r="K424">
        <f>I424*J424</f>
        <v>333.63045970000002</v>
      </c>
      <c r="L424">
        <f>100*(1-(M424/K424))</f>
        <v>85.6</v>
      </c>
      <c r="M424">
        <f>I424*SUM(M425)</f>
        <v>48.042786196800009</v>
      </c>
      <c r="N424" s="90">
        <v>424</v>
      </c>
      <c r="O424" s="90" t="s">
        <v>339</v>
      </c>
      <c r="P424" s="118"/>
      <c r="Q424" s="118"/>
      <c r="R424" s="90" t="s">
        <v>802</v>
      </c>
      <c r="S424" s="90" t="s">
        <v>868</v>
      </c>
      <c r="T424" s="90" t="s">
        <v>925</v>
      </c>
      <c r="U424" s="90" t="s">
        <v>831</v>
      </c>
    </row>
    <row r="425" spans="1:21" x14ac:dyDescent="0.25">
      <c r="A425" s="90" t="s">
        <v>1799</v>
      </c>
      <c r="B425" s="119">
        <v>5</v>
      </c>
      <c r="C425" s="90" t="s">
        <v>1798</v>
      </c>
      <c r="D425" s="90" t="s">
        <v>78</v>
      </c>
      <c r="E425">
        <v>842</v>
      </c>
      <c r="F425">
        <v>843</v>
      </c>
      <c r="G425" s="93" t="s">
        <v>78</v>
      </c>
      <c r="H425" t="s">
        <v>401</v>
      </c>
      <c r="I425">
        <v>1</v>
      </c>
      <c r="J425">
        <v>333.63045970000002</v>
      </c>
      <c r="K425">
        <f>I425*J425</f>
        <v>333.63045970000002</v>
      </c>
      <c r="L425">
        <v>85.6</v>
      </c>
      <c r="M425">
        <f>(1-(L425/100))*K425</f>
        <v>48.042786196800009</v>
      </c>
      <c r="N425" s="90">
        <v>425</v>
      </c>
      <c r="O425" s="90" t="s">
        <v>340</v>
      </c>
      <c r="P425" s="118"/>
      <c r="Q425" s="118"/>
    </row>
    <row r="426" spans="1:21" x14ac:dyDescent="0.25">
      <c r="A426" s="90" t="s">
        <v>1800</v>
      </c>
      <c r="B426" s="119">
        <v>3</v>
      </c>
      <c r="C426" s="90" t="s">
        <v>1745</v>
      </c>
      <c r="D426" s="90" t="s">
        <v>96</v>
      </c>
      <c r="E426">
        <v>846</v>
      </c>
      <c r="F426">
        <v>851</v>
      </c>
      <c r="G426" s="93" t="s">
        <v>68</v>
      </c>
      <c r="H426" t="s">
        <v>1801</v>
      </c>
      <c r="I426">
        <v>1</v>
      </c>
      <c r="J426">
        <f>SUM(K427)</f>
        <v>1324.33464918</v>
      </c>
      <c r="K426">
        <f>I426*J426</f>
        <v>1324.33464918</v>
      </c>
      <c r="L426">
        <f>100*(1-(M426/K426))</f>
        <v>85.6</v>
      </c>
      <c r="M426">
        <f>I426*SUM(M427)</f>
        <v>190.70418948192003</v>
      </c>
      <c r="N426" s="90">
        <v>426</v>
      </c>
      <c r="O426" s="90" t="s">
        <v>341</v>
      </c>
      <c r="P426" s="118"/>
      <c r="Q426" s="118"/>
      <c r="R426" s="90" t="s">
        <v>973</v>
      </c>
      <c r="S426" s="90" t="s">
        <v>992</v>
      </c>
      <c r="T426" s="90" t="s">
        <v>1019</v>
      </c>
      <c r="U426" s="90" t="s">
        <v>978</v>
      </c>
    </row>
    <row r="427" spans="1:21" x14ac:dyDescent="0.25">
      <c r="A427" s="90" t="s">
        <v>1802</v>
      </c>
      <c r="B427" s="119">
        <v>4</v>
      </c>
      <c r="C427" s="90" t="s">
        <v>1800</v>
      </c>
      <c r="D427" s="90" t="s">
        <v>78</v>
      </c>
      <c r="E427">
        <v>847</v>
      </c>
      <c r="F427">
        <v>850</v>
      </c>
      <c r="G427" s="93" t="s">
        <v>68</v>
      </c>
      <c r="H427" t="s">
        <v>418</v>
      </c>
      <c r="I427">
        <v>1</v>
      </c>
      <c r="J427">
        <f>SUM(K428)</f>
        <v>1324.33464918</v>
      </c>
      <c r="K427">
        <f>I427*J427</f>
        <v>1324.33464918</v>
      </c>
      <c r="L427">
        <f>100*(1-(M427/K427))</f>
        <v>85.6</v>
      </c>
      <c r="M427">
        <f>I427*SUM(M428)</f>
        <v>190.70418948192003</v>
      </c>
      <c r="N427" s="90">
        <v>427</v>
      </c>
      <c r="O427" s="90" t="s">
        <v>342</v>
      </c>
      <c r="P427" s="118"/>
      <c r="Q427" s="118"/>
      <c r="R427" s="90" t="s">
        <v>4736</v>
      </c>
      <c r="S427" s="90" t="s">
        <v>869</v>
      </c>
      <c r="T427" s="90" t="s">
        <v>926</v>
      </c>
      <c r="U427" s="90" t="s">
        <v>5276</v>
      </c>
    </row>
    <row r="428" spans="1:21" x14ac:dyDescent="0.25">
      <c r="A428" s="90" t="s">
        <v>1803</v>
      </c>
      <c r="B428" s="119">
        <v>5</v>
      </c>
      <c r="C428" s="90" t="s">
        <v>1802</v>
      </c>
      <c r="D428" s="90" t="s">
        <v>78</v>
      </c>
      <c r="E428">
        <v>848</v>
      </c>
      <c r="F428">
        <v>849</v>
      </c>
      <c r="G428" s="93" t="s">
        <v>78</v>
      </c>
      <c r="H428" t="s">
        <v>419</v>
      </c>
      <c r="I428">
        <v>1</v>
      </c>
      <c r="J428">
        <v>1324.33464918</v>
      </c>
      <c r="K428">
        <f>I428*J428</f>
        <v>1324.33464918</v>
      </c>
      <c r="L428">
        <v>85.6</v>
      </c>
      <c r="M428">
        <f>(1-(L428/100))*K428</f>
        <v>190.70418948192003</v>
      </c>
      <c r="N428" s="90">
        <v>428</v>
      </c>
      <c r="O428" s="90" t="s">
        <v>343</v>
      </c>
      <c r="P428" s="118"/>
      <c r="Q428" s="118"/>
    </row>
    <row r="429" spans="1:21" x14ac:dyDescent="0.25">
      <c r="A429" s="90" t="s">
        <v>1804</v>
      </c>
      <c r="B429" s="119">
        <v>2</v>
      </c>
      <c r="C429" s="90" t="s">
        <v>78</v>
      </c>
      <c r="D429" s="90" t="s">
        <v>796</v>
      </c>
      <c r="E429">
        <v>853</v>
      </c>
      <c r="F429">
        <v>992</v>
      </c>
      <c r="G429" s="93" t="s">
        <v>68</v>
      </c>
      <c r="H429" t="s">
        <v>1805</v>
      </c>
      <c r="I429">
        <v>1</v>
      </c>
      <c r="J429">
        <f>SUM(K430,K474,K483,K493,K496)</f>
        <v>85891.381458050004</v>
      </c>
      <c r="K429">
        <f>I429*J429</f>
        <v>85891.381458050004</v>
      </c>
      <c r="L429">
        <f>100*(1-(M429/K429))</f>
        <v>47.610870945707397</v>
      </c>
      <c r="M429">
        <f>I429*SUM(M430,M474,M483,M493,M496)</f>
        <v>44997.746678572563</v>
      </c>
      <c r="N429" s="90">
        <v>429</v>
      </c>
      <c r="O429" s="90" t="s">
        <v>344</v>
      </c>
      <c r="P429" s="118"/>
      <c r="Q429" s="118"/>
      <c r="R429" s="90" t="s">
        <v>6961</v>
      </c>
      <c r="S429" s="90" t="s">
        <v>7057</v>
      </c>
      <c r="T429" s="90" t="s">
        <v>7103</v>
      </c>
      <c r="U429" s="90" t="s">
        <v>7010</v>
      </c>
    </row>
    <row r="430" spans="1:21" x14ac:dyDescent="0.25">
      <c r="A430" s="90" t="s">
        <v>1806</v>
      </c>
      <c r="B430" s="119">
        <v>3</v>
      </c>
      <c r="C430" s="90" t="s">
        <v>1804</v>
      </c>
      <c r="D430" s="90" t="s">
        <v>78</v>
      </c>
      <c r="E430">
        <v>854</v>
      </c>
      <c r="F430">
        <v>941</v>
      </c>
      <c r="G430" s="93" t="s">
        <v>68</v>
      </c>
      <c r="H430" t="s">
        <v>1807</v>
      </c>
      <c r="I430">
        <v>1</v>
      </c>
      <c r="J430">
        <f>SUM(K431,K433,K435,K437,K439,K441,K443,K445,K447,K449,K451,K453,K470,K472)</f>
        <v>64161.494319380006</v>
      </c>
      <c r="K430">
        <f>I430*J430</f>
        <v>64161.494319380006</v>
      </c>
      <c r="L430">
        <f>100*(1-(M430/K430))</f>
        <v>40</v>
      </c>
      <c r="M430">
        <f>I430*SUM(M431,M433,M435,M437,M439,M441,M443,M445,M447,M449,M451,M453,M470,M472)</f>
        <v>38496.896591627999</v>
      </c>
      <c r="N430" s="90">
        <v>430</v>
      </c>
      <c r="O430" s="90" t="s">
        <v>1080</v>
      </c>
      <c r="P430" s="118"/>
      <c r="Q430" s="118"/>
      <c r="R430" s="90" t="s">
        <v>6464</v>
      </c>
      <c r="S430" s="90" t="s">
        <v>6766</v>
      </c>
      <c r="T430" s="90" t="s">
        <v>6911</v>
      </c>
      <c r="U430" s="90" t="s">
        <v>6616</v>
      </c>
    </row>
    <row r="431" spans="1:21" x14ac:dyDescent="0.25">
      <c r="A431" s="90" t="s">
        <v>1808</v>
      </c>
      <c r="B431" s="119">
        <v>4</v>
      </c>
      <c r="C431" s="90" t="s">
        <v>1806</v>
      </c>
      <c r="D431" s="90" t="s">
        <v>78</v>
      </c>
      <c r="E431">
        <v>855</v>
      </c>
      <c r="F431">
        <v>858</v>
      </c>
      <c r="G431" s="93" t="s">
        <v>68</v>
      </c>
      <c r="H431" t="s">
        <v>1809</v>
      </c>
      <c r="I431">
        <v>1</v>
      </c>
      <c r="J431">
        <f>SUM(K432)</f>
        <v>926.14287533000004</v>
      </c>
      <c r="K431">
        <f>I431*J431</f>
        <v>926.14287533000004</v>
      </c>
      <c r="L431">
        <f>100*(1-(M431/K431))</f>
        <v>40</v>
      </c>
      <c r="M431">
        <f>I431*SUM(M432)</f>
        <v>555.685725198</v>
      </c>
      <c r="N431" s="90">
        <v>431</v>
      </c>
      <c r="O431" s="90" t="s">
        <v>346</v>
      </c>
      <c r="P431" s="118"/>
      <c r="Q431" s="118"/>
      <c r="R431" s="90" t="s">
        <v>4737</v>
      </c>
      <c r="S431" s="90" t="s">
        <v>870</v>
      </c>
      <c r="T431" s="90" t="s">
        <v>927</v>
      </c>
      <c r="U431" s="90" t="s">
        <v>5277</v>
      </c>
    </row>
    <row r="432" spans="1:21" x14ac:dyDescent="0.25">
      <c r="A432" s="90" t="s">
        <v>1810</v>
      </c>
      <c r="B432" s="119">
        <v>5</v>
      </c>
      <c r="C432" s="90" t="s">
        <v>1808</v>
      </c>
      <c r="D432" s="90" t="s">
        <v>78</v>
      </c>
      <c r="E432">
        <v>856</v>
      </c>
      <c r="F432">
        <v>857</v>
      </c>
      <c r="G432" s="93" t="s">
        <v>78</v>
      </c>
      <c r="H432" t="s">
        <v>131</v>
      </c>
      <c r="I432">
        <v>1</v>
      </c>
      <c r="J432">
        <v>926.14287533000004</v>
      </c>
      <c r="K432">
        <f>I432*J432</f>
        <v>926.14287533000004</v>
      </c>
      <c r="L432">
        <v>40</v>
      </c>
      <c r="M432">
        <f>(1-(L432/100))*K432</f>
        <v>555.685725198</v>
      </c>
      <c r="N432" s="90">
        <v>432</v>
      </c>
      <c r="O432" s="90" t="s">
        <v>347</v>
      </c>
      <c r="P432" s="118"/>
      <c r="Q432" s="118"/>
    </row>
    <row r="433" spans="1:21" x14ac:dyDescent="0.25">
      <c r="A433" s="90" t="s">
        <v>1811</v>
      </c>
      <c r="B433" s="119">
        <v>4</v>
      </c>
      <c r="C433" s="90" t="s">
        <v>1806</v>
      </c>
      <c r="D433" s="90" t="s">
        <v>79</v>
      </c>
      <c r="E433">
        <v>859</v>
      </c>
      <c r="F433">
        <v>862</v>
      </c>
      <c r="G433" s="93" t="s">
        <v>68</v>
      </c>
      <c r="H433" t="s">
        <v>1812</v>
      </c>
      <c r="I433">
        <v>1</v>
      </c>
      <c r="J433">
        <f>SUM(K434)</f>
        <v>1655.4183114699999</v>
      </c>
      <c r="K433">
        <f>I433*J433</f>
        <v>1655.4183114699999</v>
      </c>
      <c r="L433">
        <f>100*(1-(M433/K433))</f>
        <v>40</v>
      </c>
      <c r="M433">
        <f>I433*SUM(M434)</f>
        <v>993.25098688199989</v>
      </c>
      <c r="N433" s="90">
        <v>433</v>
      </c>
      <c r="O433" s="90" t="s">
        <v>1081</v>
      </c>
      <c r="P433" s="118"/>
      <c r="Q433" s="118"/>
      <c r="R433" s="90" t="s">
        <v>4743</v>
      </c>
      <c r="S433" s="90" t="s">
        <v>5788</v>
      </c>
      <c r="T433" s="90" t="s">
        <v>6286</v>
      </c>
      <c r="U433" s="90" t="s">
        <v>5283</v>
      </c>
    </row>
    <row r="434" spans="1:21" x14ac:dyDescent="0.25">
      <c r="A434" s="90" t="s">
        <v>1813</v>
      </c>
      <c r="B434" s="119">
        <v>5</v>
      </c>
      <c r="C434" s="90" t="s">
        <v>1811</v>
      </c>
      <c r="D434" s="90" t="s">
        <v>78</v>
      </c>
      <c r="E434">
        <v>860</v>
      </c>
      <c r="F434">
        <v>861</v>
      </c>
      <c r="G434" s="93" t="s">
        <v>78</v>
      </c>
      <c r="H434" t="s">
        <v>694</v>
      </c>
      <c r="I434">
        <v>1</v>
      </c>
      <c r="J434">
        <v>1655.4183114699999</v>
      </c>
      <c r="K434">
        <f>I434*J434</f>
        <v>1655.4183114699999</v>
      </c>
      <c r="L434">
        <v>40</v>
      </c>
      <c r="M434">
        <f>(1-(L434/100))*K434</f>
        <v>993.25098688199989</v>
      </c>
      <c r="N434" s="90">
        <v>434</v>
      </c>
      <c r="O434" s="90" t="s">
        <v>349</v>
      </c>
      <c r="P434" s="118"/>
      <c r="Q434" s="118"/>
    </row>
    <row r="435" spans="1:21" x14ac:dyDescent="0.25">
      <c r="A435" s="90" t="s">
        <v>1814</v>
      </c>
      <c r="B435" s="119">
        <v>4</v>
      </c>
      <c r="C435" s="90" t="s">
        <v>1806</v>
      </c>
      <c r="D435" s="90" t="s">
        <v>80</v>
      </c>
      <c r="E435">
        <v>863</v>
      </c>
      <c r="F435">
        <v>866</v>
      </c>
      <c r="G435" s="93" t="s">
        <v>68</v>
      </c>
      <c r="H435" t="s">
        <v>1815</v>
      </c>
      <c r="I435">
        <v>3</v>
      </c>
      <c r="J435">
        <f>SUM(K436)</f>
        <v>491.93938622000002</v>
      </c>
      <c r="K435">
        <f>I435*J435</f>
        <v>1475.8181586600001</v>
      </c>
      <c r="L435">
        <f>100*(1-(M435/K435))</f>
        <v>40</v>
      </c>
      <c r="M435">
        <f>I435*SUM(M436)</f>
        <v>885.490895196</v>
      </c>
      <c r="N435" s="90">
        <v>435</v>
      </c>
      <c r="O435" s="90" t="s">
        <v>350</v>
      </c>
      <c r="P435" s="118"/>
      <c r="Q435" s="118"/>
      <c r="R435" s="90" t="s">
        <v>4744</v>
      </c>
      <c r="S435" s="90" t="s">
        <v>5789</v>
      </c>
      <c r="T435" s="90" t="s">
        <v>6287</v>
      </c>
      <c r="U435" s="90" t="s">
        <v>5284</v>
      </c>
    </row>
    <row r="436" spans="1:21" x14ac:dyDescent="0.25">
      <c r="A436" s="90" t="s">
        <v>1816</v>
      </c>
      <c r="B436" s="119">
        <v>5</v>
      </c>
      <c r="C436" s="90" t="s">
        <v>1814</v>
      </c>
      <c r="D436" s="90" t="s">
        <v>78</v>
      </c>
      <c r="E436">
        <v>864</v>
      </c>
      <c r="F436">
        <v>865</v>
      </c>
      <c r="G436" s="93" t="s">
        <v>78</v>
      </c>
      <c r="H436" t="s">
        <v>126</v>
      </c>
      <c r="I436">
        <v>1</v>
      </c>
      <c r="J436">
        <v>491.93938622000002</v>
      </c>
      <c r="K436">
        <f>I436*J436</f>
        <v>491.93938622000002</v>
      </c>
      <c r="L436">
        <v>40</v>
      </c>
      <c r="M436">
        <f>(1-(L436/100))*K436</f>
        <v>295.163631732</v>
      </c>
      <c r="N436" s="90">
        <v>436</v>
      </c>
      <c r="O436" s="90" t="s">
        <v>351</v>
      </c>
      <c r="P436" s="118"/>
      <c r="Q436" s="118"/>
    </row>
    <row r="437" spans="1:21" x14ac:dyDescent="0.25">
      <c r="A437" s="90" t="s">
        <v>1817</v>
      </c>
      <c r="B437" s="119">
        <v>4</v>
      </c>
      <c r="C437" s="90" t="s">
        <v>1806</v>
      </c>
      <c r="D437" s="90" t="s">
        <v>95</v>
      </c>
      <c r="E437">
        <v>867</v>
      </c>
      <c r="F437">
        <v>870</v>
      </c>
      <c r="G437" s="93" t="s">
        <v>68</v>
      </c>
      <c r="H437" t="s">
        <v>1818</v>
      </c>
      <c r="I437">
        <v>4</v>
      </c>
      <c r="J437">
        <f>SUM(K438)</f>
        <v>313.76543995999998</v>
      </c>
      <c r="K437">
        <f>I437*J437</f>
        <v>1255.0617598399999</v>
      </c>
      <c r="L437">
        <f>100*(1-(M437/K437))</f>
        <v>40</v>
      </c>
      <c r="M437">
        <f>I437*SUM(M438)</f>
        <v>753.03705590399989</v>
      </c>
      <c r="N437" s="90">
        <v>437</v>
      </c>
      <c r="O437" s="90" t="s">
        <v>352</v>
      </c>
      <c r="P437" s="118"/>
      <c r="Q437" s="118"/>
      <c r="R437" s="90" t="s">
        <v>4745</v>
      </c>
      <c r="S437" s="90" t="s">
        <v>5790</v>
      </c>
      <c r="T437" s="90" t="s">
        <v>6288</v>
      </c>
      <c r="U437" s="90" t="s">
        <v>5285</v>
      </c>
    </row>
    <row r="438" spans="1:21" x14ac:dyDescent="0.25">
      <c r="A438" s="90" t="s">
        <v>1819</v>
      </c>
      <c r="B438" s="119">
        <v>5</v>
      </c>
      <c r="C438" s="90" t="s">
        <v>1817</v>
      </c>
      <c r="D438" s="90" t="s">
        <v>78</v>
      </c>
      <c r="E438">
        <v>868</v>
      </c>
      <c r="F438">
        <v>869</v>
      </c>
      <c r="G438" s="93" t="s">
        <v>78</v>
      </c>
      <c r="H438" t="s">
        <v>123</v>
      </c>
      <c r="I438">
        <v>1</v>
      </c>
      <c r="J438">
        <v>313.76543995999998</v>
      </c>
      <c r="K438">
        <f>I438*J438</f>
        <v>313.76543995999998</v>
      </c>
      <c r="L438">
        <v>40</v>
      </c>
      <c r="M438">
        <f>(1-(L438/100))*K438</f>
        <v>188.25926397599997</v>
      </c>
      <c r="N438" s="90">
        <v>438</v>
      </c>
      <c r="O438" s="90" t="s">
        <v>353</v>
      </c>
      <c r="P438" s="118"/>
      <c r="Q438" s="118"/>
    </row>
    <row r="439" spans="1:21" x14ac:dyDescent="0.25">
      <c r="A439" s="90" t="s">
        <v>1820</v>
      </c>
      <c r="B439" s="119">
        <v>4</v>
      </c>
      <c r="C439" s="90" t="s">
        <v>1806</v>
      </c>
      <c r="D439" s="90" t="s">
        <v>96</v>
      </c>
      <c r="E439">
        <v>871</v>
      </c>
      <c r="F439">
        <v>874</v>
      </c>
      <c r="G439" s="93" t="s">
        <v>68</v>
      </c>
      <c r="H439" t="s">
        <v>1821</v>
      </c>
      <c r="I439">
        <v>1</v>
      </c>
      <c r="J439">
        <f>SUM(K440)</f>
        <v>666.34407233000002</v>
      </c>
      <c r="K439">
        <f>I439*J439</f>
        <v>666.34407233000002</v>
      </c>
      <c r="L439">
        <f>100*(1-(M439/K439))</f>
        <v>40</v>
      </c>
      <c r="M439">
        <f>I439*SUM(M440)</f>
        <v>399.806443398</v>
      </c>
      <c r="N439" s="90">
        <v>439</v>
      </c>
      <c r="O439" s="90" t="s">
        <v>354</v>
      </c>
      <c r="P439" s="118"/>
      <c r="Q439" s="118"/>
      <c r="R439" s="90" t="s">
        <v>4746</v>
      </c>
      <c r="S439" s="90" t="s">
        <v>5791</v>
      </c>
      <c r="T439" s="90" t="s">
        <v>6289</v>
      </c>
      <c r="U439" s="90" t="s">
        <v>5286</v>
      </c>
    </row>
    <row r="440" spans="1:21" x14ac:dyDescent="0.25">
      <c r="A440" s="90" t="s">
        <v>1822</v>
      </c>
      <c r="B440" s="119">
        <v>5</v>
      </c>
      <c r="C440" s="90" t="s">
        <v>1820</v>
      </c>
      <c r="D440" s="90" t="s">
        <v>78</v>
      </c>
      <c r="E440">
        <v>872</v>
      </c>
      <c r="F440">
        <v>873</v>
      </c>
      <c r="G440" s="93" t="s">
        <v>78</v>
      </c>
      <c r="H440" t="s">
        <v>698</v>
      </c>
      <c r="I440">
        <v>1</v>
      </c>
      <c r="J440">
        <v>666.34407233000002</v>
      </c>
      <c r="K440">
        <f>I440*J440</f>
        <v>666.34407233000002</v>
      </c>
      <c r="L440">
        <v>40</v>
      </c>
      <c r="M440">
        <f>(1-(L440/100))*K440</f>
        <v>399.806443398</v>
      </c>
      <c r="N440" s="90">
        <v>440</v>
      </c>
      <c r="O440" s="90" t="s">
        <v>1082</v>
      </c>
      <c r="P440" s="118"/>
      <c r="Q440" s="118"/>
    </row>
    <row r="441" spans="1:21" x14ac:dyDescent="0.25">
      <c r="A441" s="90" t="s">
        <v>1823</v>
      </c>
      <c r="B441" s="119">
        <v>4</v>
      </c>
      <c r="C441" s="90" t="s">
        <v>1806</v>
      </c>
      <c r="D441" s="90" t="s">
        <v>103</v>
      </c>
      <c r="E441">
        <v>875</v>
      </c>
      <c r="F441">
        <v>878</v>
      </c>
      <c r="G441" s="93" t="s">
        <v>68</v>
      </c>
      <c r="H441" t="s">
        <v>1240</v>
      </c>
      <c r="I441">
        <v>1</v>
      </c>
      <c r="J441">
        <f>SUM(K442)</f>
        <v>700.36928562000003</v>
      </c>
      <c r="K441">
        <f>I441*J441</f>
        <v>700.36928562000003</v>
      </c>
      <c r="L441">
        <f>100*(1-(M441/K441))</f>
        <v>40</v>
      </c>
      <c r="M441">
        <f>I441*SUM(M442)</f>
        <v>420.22157137200003</v>
      </c>
      <c r="N441" s="90">
        <v>441</v>
      </c>
      <c r="O441" s="90" t="s">
        <v>357</v>
      </c>
      <c r="P441" s="118"/>
      <c r="Q441" s="118"/>
      <c r="R441" s="90" t="s">
        <v>4747</v>
      </c>
      <c r="S441" s="90" t="s">
        <v>5792</v>
      </c>
      <c r="T441" s="90" t="s">
        <v>6290</v>
      </c>
      <c r="U441" s="90" t="s">
        <v>5287</v>
      </c>
    </row>
    <row r="442" spans="1:21" x14ac:dyDescent="0.25">
      <c r="A442" s="90" t="s">
        <v>1824</v>
      </c>
      <c r="B442" s="119">
        <v>5</v>
      </c>
      <c r="C442" s="90" t="s">
        <v>1823</v>
      </c>
      <c r="D442" s="90" t="s">
        <v>78</v>
      </c>
      <c r="E442">
        <v>876</v>
      </c>
      <c r="F442">
        <v>877</v>
      </c>
      <c r="G442" s="93" t="s">
        <v>78</v>
      </c>
      <c r="H442" t="s">
        <v>1243</v>
      </c>
      <c r="I442">
        <v>1</v>
      </c>
      <c r="J442">
        <v>700.36928562000003</v>
      </c>
      <c r="K442">
        <f>I442*J442</f>
        <v>700.36928562000003</v>
      </c>
      <c r="L442">
        <v>40</v>
      </c>
      <c r="M442">
        <f>(1-(L442/100))*K442</f>
        <v>420.22157137200003</v>
      </c>
      <c r="N442" s="90">
        <v>442</v>
      </c>
      <c r="O442" s="90" t="s">
        <v>359</v>
      </c>
      <c r="P442" s="118"/>
      <c r="Q442" s="118"/>
    </row>
    <row r="443" spans="1:21" x14ac:dyDescent="0.25">
      <c r="A443" s="90" t="s">
        <v>1825</v>
      </c>
      <c r="B443" s="119">
        <v>4</v>
      </c>
      <c r="C443" s="90" t="s">
        <v>1806</v>
      </c>
      <c r="D443" s="90" t="s">
        <v>796</v>
      </c>
      <c r="E443">
        <v>879</v>
      </c>
      <c r="F443">
        <v>882</v>
      </c>
      <c r="G443" s="93" t="s">
        <v>68</v>
      </c>
      <c r="H443" t="s">
        <v>1246</v>
      </c>
      <c r="I443">
        <v>4</v>
      </c>
      <c r="J443">
        <f>SUM(K444)</f>
        <v>967.93582071000003</v>
      </c>
      <c r="K443">
        <f>I443*J443</f>
        <v>3871.7432828400001</v>
      </c>
      <c r="L443">
        <f>100*(1-(M443/K443))</f>
        <v>40</v>
      </c>
      <c r="M443">
        <f>I443*SUM(M444)</f>
        <v>2323.0459697040001</v>
      </c>
      <c r="N443" s="90">
        <v>443</v>
      </c>
      <c r="O443" s="90" t="s">
        <v>1083</v>
      </c>
      <c r="P443" s="118"/>
      <c r="Q443" s="118"/>
      <c r="R443" s="90" t="s">
        <v>803</v>
      </c>
      <c r="S443" s="90" t="s">
        <v>871</v>
      </c>
      <c r="T443" s="90" t="s">
        <v>928</v>
      </c>
      <c r="U443" s="90" t="s">
        <v>832</v>
      </c>
    </row>
    <row r="444" spans="1:21" x14ac:dyDescent="0.25">
      <c r="A444" s="90" t="s">
        <v>1826</v>
      </c>
      <c r="B444" s="119">
        <v>5</v>
      </c>
      <c r="C444" s="90" t="s">
        <v>1825</v>
      </c>
      <c r="D444" s="90" t="s">
        <v>78</v>
      </c>
      <c r="E444">
        <v>880</v>
      </c>
      <c r="F444">
        <v>881</v>
      </c>
      <c r="G444" s="93" t="s">
        <v>78</v>
      </c>
      <c r="H444" t="s">
        <v>120</v>
      </c>
      <c r="I444">
        <v>1</v>
      </c>
      <c r="J444">
        <v>967.93582071000003</v>
      </c>
      <c r="K444">
        <f>I444*J444</f>
        <v>967.93582071000003</v>
      </c>
      <c r="L444">
        <v>40</v>
      </c>
      <c r="M444">
        <f>(1-(L444/100))*K444</f>
        <v>580.76149242600002</v>
      </c>
      <c r="N444" s="90">
        <v>444</v>
      </c>
      <c r="O444" s="90" t="s">
        <v>360</v>
      </c>
      <c r="P444" s="118"/>
      <c r="Q444" s="118"/>
    </row>
    <row r="445" spans="1:21" x14ac:dyDescent="0.25">
      <c r="A445" s="90" t="s">
        <v>1827</v>
      </c>
      <c r="B445" s="119">
        <v>4</v>
      </c>
      <c r="C445" s="90" t="s">
        <v>1806</v>
      </c>
      <c r="D445" s="90" t="s">
        <v>797</v>
      </c>
      <c r="E445">
        <v>883</v>
      </c>
      <c r="F445">
        <v>886</v>
      </c>
      <c r="G445" s="93" t="s">
        <v>68</v>
      </c>
      <c r="H445" t="s">
        <v>106</v>
      </c>
      <c r="I445">
        <v>2</v>
      </c>
      <c r="J445">
        <f>SUM(K446)</f>
        <v>5209</v>
      </c>
      <c r="K445">
        <f>I445*J445</f>
        <v>10418</v>
      </c>
      <c r="L445">
        <f>100*(1-(M445/K445))</f>
        <v>40</v>
      </c>
      <c r="M445">
        <f>I445*SUM(M446)</f>
        <v>6250.8</v>
      </c>
      <c r="N445" s="90">
        <v>445</v>
      </c>
      <c r="O445" s="90" t="s">
        <v>1084</v>
      </c>
      <c r="P445" s="118"/>
      <c r="Q445" s="118"/>
      <c r="R445" s="90" t="s">
        <v>974</v>
      </c>
      <c r="S445" s="90" t="s">
        <v>993</v>
      </c>
      <c r="T445" s="90" t="s">
        <v>1020</v>
      </c>
      <c r="U445" s="90" t="s">
        <v>979</v>
      </c>
    </row>
    <row r="446" spans="1:21" x14ac:dyDescent="0.25">
      <c r="A446" s="90" t="s">
        <v>1828</v>
      </c>
      <c r="B446" s="119">
        <v>5</v>
      </c>
      <c r="C446" s="90" t="s">
        <v>1827</v>
      </c>
      <c r="D446" s="90" t="s">
        <v>78</v>
      </c>
      <c r="E446">
        <v>884</v>
      </c>
      <c r="F446">
        <v>885</v>
      </c>
      <c r="G446" s="93" t="s">
        <v>78</v>
      </c>
      <c r="H446" t="s">
        <v>107</v>
      </c>
      <c r="I446">
        <v>1</v>
      </c>
      <c r="J446">
        <v>5209</v>
      </c>
      <c r="K446">
        <f>I446*J446</f>
        <v>5209</v>
      </c>
      <c r="L446">
        <v>40</v>
      </c>
      <c r="M446">
        <f>(1-(L446/100))*K446</f>
        <v>3125.4</v>
      </c>
      <c r="N446" s="90">
        <v>446</v>
      </c>
      <c r="O446" s="90" t="s">
        <v>361</v>
      </c>
      <c r="P446" s="118"/>
      <c r="Q446" s="118"/>
    </row>
    <row r="447" spans="1:21" x14ac:dyDescent="0.25">
      <c r="A447" s="90" t="s">
        <v>1829</v>
      </c>
      <c r="B447" s="119">
        <v>4</v>
      </c>
      <c r="C447" s="90" t="s">
        <v>1806</v>
      </c>
      <c r="D447" s="90" t="s">
        <v>798</v>
      </c>
      <c r="E447">
        <v>887</v>
      </c>
      <c r="F447">
        <v>890</v>
      </c>
      <c r="G447" s="93" t="s">
        <v>68</v>
      </c>
      <c r="H447" t="s">
        <v>1266</v>
      </c>
      <c r="I447">
        <v>1</v>
      </c>
      <c r="J447">
        <f>SUM(K448)</f>
        <v>9312.3647013900008</v>
      </c>
      <c r="K447">
        <f>I447*J447</f>
        <v>9312.3647013900008</v>
      </c>
      <c r="L447">
        <f>100*(1-(M447/K447))</f>
        <v>40</v>
      </c>
      <c r="M447">
        <f>I447*SUM(M448)</f>
        <v>5587.4188208340001</v>
      </c>
      <c r="N447" s="90">
        <v>447</v>
      </c>
      <c r="O447" s="90" t="s">
        <v>362</v>
      </c>
      <c r="P447" s="118"/>
      <c r="Q447" s="118"/>
      <c r="R447" s="90" t="s">
        <v>4748</v>
      </c>
      <c r="S447" s="90" t="s">
        <v>5793</v>
      </c>
      <c r="T447" s="90" t="s">
        <v>6291</v>
      </c>
      <c r="U447" s="90" t="s">
        <v>5288</v>
      </c>
    </row>
    <row r="448" spans="1:21" x14ac:dyDescent="0.25">
      <c r="A448" s="90" t="s">
        <v>1830</v>
      </c>
      <c r="B448" s="119">
        <v>5</v>
      </c>
      <c r="C448" s="90" t="s">
        <v>1829</v>
      </c>
      <c r="D448" s="90" t="s">
        <v>78</v>
      </c>
      <c r="E448">
        <v>888</v>
      </c>
      <c r="F448">
        <v>889</v>
      </c>
      <c r="G448" s="93" t="s">
        <v>78</v>
      </c>
      <c r="H448" t="s">
        <v>1269</v>
      </c>
      <c r="I448">
        <v>1</v>
      </c>
      <c r="J448">
        <v>9312.3647013900008</v>
      </c>
      <c r="K448">
        <f>I448*J448</f>
        <v>9312.3647013900008</v>
      </c>
      <c r="L448">
        <v>40</v>
      </c>
      <c r="M448">
        <f>(1-(L448/100))*K448</f>
        <v>5587.4188208340001</v>
      </c>
      <c r="N448" s="90">
        <v>448</v>
      </c>
      <c r="O448" s="90" t="s">
        <v>1085</v>
      </c>
      <c r="P448" s="118"/>
      <c r="Q448" s="118"/>
    </row>
    <row r="449" spans="1:21" x14ac:dyDescent="0.25">
      <c r="A449" s="90" t="s">
        <v>1831</v>
      </c>
      <c r="B449" s="119">
        <v>4</v>
      </c>
      <c r="C449" s="90" t="s">
        <v>1806</v>
      </c>
      <c r="D449" s="90" t="s">
        <v>799</v>
      </c>
      <c r="E449">
        <v>891</v>
      </c>
      <c r="F449">
        <v>894</v>
      </c>
      <c r="G449" s="93" t="s">
        <v>68</v>
      </c>
      <c r="H449" t="s">
        <v>1638</v>
      </c>
      <c r="I449">
        <v>1</v>
      </c>
      <c r="J449">
        <f>SUM(K450)</f>
        <v>1980.13</v>
      </c>
      <c r="K449">
        <f>I449*J449</f>
        <v>1980.13</v>
      </c>
      <c r="L449">
        <f>100*(1-(M449/K449))</f>
        <v>40</v>
      </c>
      <c r="M449">
        <f>I449*SUM(M450)</f>
        <v>1188.078</v>
      </c>
      <c r="N449" s="90">
        <v>449</v>
      </c>
      <c r="O449" s="90" t="s">
        <v>363</v>
      </c>
      <c r="P449" s="118"/>
      <c r="Q449" s="118"/>
      <c r="R449" s="90" t="s">
        <v>4738</v>
      </c>
      <c r="S449" s="90" t="s">
        <v>5783</v>
      </c>
      <c r="T449" s="90" t="s">
        <v>6281</v>
      </c>
      <c r="U449" s="90" t="s">
        <v>5278</v>
      </c>
    </row>
    <row r="450" spans="1:21" x14ac:dyDescent="0.25">
      <c r="A450" s="90" t="s">
        <v>1832</v>
      </c>
      <c r="B450" s="119">
        <v>5</v>
      </c>
      <c r="C450" s="90" t="s">
        <v>1831</v>
      </c>
      <c r="D450" s="90" t="s">
        <v>78</v>
      </c>
      <c r="E450">
        <v>892</v>
      </c>
      <c r="F450">
        <v>893</v>
      </c>
      <c r="G450" s="93" t="s">
        <v>78</v>
      </c>
      <c r="H450" t="s">
        <v>1638</v>
      </c>
      <c r="I450">
        <v>1</v>
      </c>
      <c r="J450">
        <v>1980.13</v>
      </c>
      <c r="K450">
        <f>I450*J450</f>
        <v>1980.13</v>
      </c>
      <c r="L450">
        <v>40</v>
      </c>
      <c r="M450">
        <f>(1-(L450/100))*K450</f>
        <v>1188.078</v>
      </c>
      <c r="N450" s="90">
        <v>450</v>
      </c>
      <c r="O450" s="90" t="s">
        <v>1086</v>
      </c>
      <c r="P450" s="118"/>
      <c r="Q450" s="118"/>
    </row>
    <row r="451" spans="1:21" x14ac:dyDescent="0.25">
      <c r="A451" s="90" t="s">
        <v>1833</v>
      </c>
      <c r="B451" s="119">
        <v>4</v>
      </c>
      <c r="C451" s="90" t="s">
        <v>1806</v>
      </c>
      <c r="D451" s="90" t="s">
        <v>97</v>
      </c>
      <c r="E451">
        <v>895</v>
      </c>
      <c r="F451">
        <v>898</v>
      </c>
      <c r="G451" s="93" t="s">
        <v>68</v>
      </c>
      <c r="H451" t="s">
        <v>1272</v>
      </c>
      <c r="I451">
        <v>2</v>
      </c>
      <c r="J451">
        <f>SUM(K452)</f>
        <v>1308.5572392700001</v>
      </c>
      <c r="K451">
        <f>I451*J451</f>
        <v>2617.1144785400002</v>
      </c>
      <c r="L451">
        <f>100*(1-(M451/K451))</f>
        <v>40</v>
      </c>
      <c r="M451">
        <f>I451*SUM(M452)</f>
        <v>1570.2686871240001</v>
      </c>
      <c r="N451" s="90">
        <v>451</v>
      </c>
      <c r="O451" s="90" t="s">
        <v>365</v>
      </c>
      <c r="P451" s="118"/>
      <c r="Q451" s="118"/>
      <c r="R451" s="90" t="s">
        <v>4739</v>
      </c>
      <c r="S451" s="90" t="s">
        <v>5784</v>
      </c>
      <c r="T451" s="90" t="s">
        <v>6282</v>
      </c>
      <c r="U451" s="90" t="s">
        <v>5279</v>
      </c>
    </row>
    <row r="452" spans="1:21" x14ac:dyDescent="0.25">
      <c r="A452" s="90" t="s">
        <v>1834</v>
      </c>
      <c r="B452" s="119">
        <v>5</v>
      </c>
      <c r="C452" s="90" t="s">
        <v>1833</v>
      </c>
      <c r="D452" s="90" t="s">
        <v>78</v>
      </c>
      <c r="E452">
        <v>896</v>
      </c>
      <c r="F452">
        <v>897</v>
      </c>
      <c r="G452" s="93" t="s">
        <v>78</v>
      </c>
      <c r="H452" t="s">
        <v>1272</v>
      </c>
      <c r="I452">
        <v>1</v>
      </c>
      <c r="J452">
        <v>1308.5572392700001</v>
      </c>
      <c r="K452">
        <f>I452*J452</f>
        <v>1308.5572392700001</v>
      </c>
      <c r="L452">
        <v>40</v>
      </c>
      <c r="M452">
        <f>(1-(L452/100))*K452</f>
        <v>785.13434356200003</v>
      </c>
      <c r="N452" s="90">
        <v>452</v>
      </c>
      <c r="O452" s="90" t="s">
        <v>367</v>
      </c>
      <c r="P452" s="118"/>
      <c r="Q452" s="118"/>
    </row>
    <row r="453" spans="1:21" x14ac:dyDescent="0.25">
      <c r="A453" s="90" t="s">
        <v>1835</v>
      </c>
      <c r="B453" s="119">
        <v>4</v>
      </c>
      <c r="C453" s="90" t="s">
        <v>1806</v>
      </c>
      <c r="D453" s="90" t="s">
        <v>98</v>
      </c>
      <c r="E453">
        <v>899</v>
      </c>
      <c r="F453">
        <v>932</v>
      </c>
      <c r="G453" s="93" t="s">
        <v>68</v>
      </c>
      <c r="H453" t="s">
        <v>1836</v>
      </c>
      <c r="I453">
        <v>1</v>
      </c>
      <c r="J453">
        <f>SUM(K454,K455,K456,K457,K458,K459,K460,K461,K462,K463,K464,K465,K466,K467,K468,K469)</f>
        <v>11904.940786960002</v>
      </c>
      <c r="K453">
        <f>I453*J453</f>
        <v>11904.940786960002</v>
      </c>
      <c r="L453">
        <f>100*(1-(M453/K453))</f>
        <v>40.000000000000021</v>
      </c>
      <c r="M453">
        <f>I453*SUM(M454,M455,M456,M457,M458,M459,M460,M461,M462,M463,M464,M465,M466,M467,M468,M469)</f>
        <v>7142.9644721759987</v>
      </c>
      <c r="N453" s="90">
        <v>453</v>
      </c>
      <c r="O453" s="90" t="s">
        <v>1087</v>
      </c>
      <c r="P453" s="118"/>
      <c r="Q453" s="118"/>
      <c r="R453" s="90" t="s">
        <v>4740</v>
      </c>
      <c r="S453" s="90" t="s">
        <v>5785</v>
      </c>
      <c r="T453" s="90" t="s">
        <v>6283</v>
      </c>
      <c r="U453" s="90" t="s">
        <v>5280</v>
      </c>
    </row>
    <row r="454" spans="1:21" x14ac:dyDescent="0.25">
      <c r="A454" s="90" t="s">
        <v>1837</v>
      </c>
      <c r="B454" s="119">
        <v>5</v>
      </c>
      <c r="C454" s="90" t="s">
        <v>1835</v>
      </c>
      <c r="D454" s="90" t="s">
        <v>78</v>
      </c>
      <c r="E454">
        <v>900</v>
      </c>
      <c r="F454">
        <v>901</v>
      </c>
      <c r="G454" s="93" t="s">
        <v>78</v>
      </c>
      <c r="H454" t="s">
        <v>126</v>
      </c>
      <c r="I454">
        <v>1</v>
      </c>
      <c r="J454">
        <v>491.93938622000002</v>
      </c>
      <c r="K454">
        <f>I454*J454</f>
        <v>491.93938622000002</v>
      </c>
      <c r="L454">
        <v>40</v>
      </c>
      <c r="M454">
        <f>(1-(L454/100))*K454</f>
        <v>295.163631732</v>
      </c>
      <c r="N454" s="90">
        <v>454</v>
      </c>
      <c r="O454" s="90" t="s">
        <v>370</v>
      </c>
      <c r="P454" s="118"/>
      <c r="Q454" s="118"/>
    </row>
    <row r="455" spans="1:21" x14ac:dyDescent="0.25">
      <c r="A455" s="90" t="s">
        <v>1838</v>
      </c>
      <c r="B455" s="119">
        <v>5</v>
      </c>
      <c r="C455" s="90" t="s">
        <v>1835</v>
      </c>
      <c r="D455" s="90" t="s">
        <v>79</v>
      </c>
      <c r="E455">
        <v>902</v>
      </c>
      <c r="F455">
        <v>903</v>
      </c>
      <c r="G455" s="93" t="s">
        <v>78</v>
      </c>
      <c r="H455" t="s">
        <v>131</v>
      </c>
      <c r="I455">
        <v>1</v>
      </c>
      <c r="J455">
        <v>926.14287533000004</v>
      </c>
      <c r="K455">
        <f>I455*J455</f>
        <v>926.14287533000004</v>
      </c>
      <c r="L455">
        <v>40</v>
      </c>
      <c r="M455">
        <f>(1-(L455/100))*K455</f>
        <v>555.685725198</v>
      </c>
      <c r="N455" s="90">
        <v>455</v>
      </c>
      <c r="O455" s="90" t="s">
        <v>373</v>
      </c>
      <c r="P455" s="118"/>
      <c r="Q455" s="118"/>
    </row>
    <row r="456" spans="1:21" x14ac:dyDescent="0.25">
      <c r="A456" s="90" t="s">
        <v>1839</v>
      </c>
      <c r="B456" s="119">
        <v>5</v>
      </c>
      <c r="C456" s="90" t="s">
        <v>1835</v>
      </c>
      <c r="D456" s="90" t="s">
        <v>80</v>
      </c>
      <c r="E456">
        <v>904</v>
      </c>
      <c r="F456">
        <v>905</v>
      </c>
      <c r="G456" s="93" t="s">
        <v>78</v>
      </c>
      <c r="H456" t="s">
        <v>123</v>
      </c>
      <c r="I456">
        <v>3</v>
      </c>
      <c r="J456">
        <v>313.76543995999998</v>
      </c>
      <c r="K456">
        <f>I456*J456</f>
        <v>941.29631987999994</v>
      </c>
      <c r="L456">
        <v>40</v>
      </c>
      <c r="M456">
        <f>(1-(L456/100))*K456</f>
        <v>564.77779192799994</v>
      </c>
      <c r="N456" s="90">
        <v>456</v>
      </c>
      <c r="O456" s="90" t="s">
        <v>375</v>
      </c>
      <c r="P456" s="118"/>
      <c r="Q456" s="118"/>
    </row>
    <row r="457" spans="1:21" x14ac:dyDescent="0.25">
      <c r="A457" s="90" t="s">
        <v>1840</v>
      </c>
      <c r="B457" s="119">
        <v>5</v>
      </c>
      <c r="C457" s="90" t="s">
        <v>1835</v>
      </c>
      <c r="D457" s="90" t="s">
        <v>95</v>
      </c>
      <c r="E457">
        <v>906</v>
      </c>
      <c r="F457">
        <v>907</v>
      </c>
      <c r="G457" s="93" t="s">
        <v>78</v>
      </c>
      <c r="H457" t="s">
        <v>132</v>
      </c>
      <c r="I457">
        <v>1</v>
      </c>
      <c r="J457">
        <v>5940.1629950300003</v>
      </c>
      <c r="K457">
        <f>I457*J457</f>
        <v>5940.1629950300003</v>
      </c>
      <c r="L457">
        <v>40</v>
      </c>
      <c r="M457">
        <f>(1-(L457/100))*K457</f>
        <v>3564.0977970180002</v>
      </c>
      <c r="N457" s="90">
        <v>457</v>
      </c>
      <c r="O457" s="90" t="s">
        <v>376</v>
      </c>
      <c r="P457" s="118"/>
      <c r="Q457" s="118"/>
    </row>
    <row r="458" spans="1:21" x14ac:dyDescent="0.25">
      <c r="A458" s="90" t="s">
        <v>1841</v>
      </c>
      <c r="B458" s="119">
        <v>5</v>
      </c>
      <c r="C458" s="90" t="s">
        <v>1835</v>
      </c>
      <c r="D458" s="90" t="s">
        <v>96</v>
      </c>
      <c r="E458">
        <v>908</v>
      </c>
      <c r="F458">
        <v>909</v>
      </c>
      <c r="G458" s="93" t="s">
        <v>78</v>
      </c>
      <c r="H458" t="s">
        <v>133</v>
      </c>
      <c r="I458">
        <v>0</v>
      </c>
      <c r="J458">
        <v>1527.53087992</v>
      </c>
      <c r="K458">
        <f>I458*J458</f>
        <v>0</v>
      </c>
      <c r="L458">
        <v>40</v>
      </c>
      <c r="M458">
        <f>(1-(L458/100))*K458</f>
        <v>0</v>
      </c>
      <c r="N458" s="90">
        <v>458</v>
      </c>
      <c r="O458" s="90" t="s">
        <v>377</v>
      </c>
      <c r="P458" s="118"/>
      <c r="Q458" s="118"/>
    </row>
    <row r="459" spans="1:21" x14ac:dyDescent="0.25">
      <c r="A459" s="90" t="s">
        <v>1842</v>
      </c>
      <c r="B459" s="119">
        <v>5</v>
      </c>
      <c r="C459" s="90" t="s">
        <v>1835</v>
      </c>
      <c r="D459" s="90" t="s">
        <v>103</v>
      </c>
      <c r="E459">
        <v>910</v>
      </c>
      <c r="F459">
        <v>911</v>
      </c>
      <c r="G459" s="93" t="s">
        <v>78</v>
      </c>
      <c r="H459" t="s">
        <v>119</v>
      </c>
      <c r="I459">
        <v>1</v>
      </c>
      <c r="J459">
        <v>594.85546925000006</v>
      </c>
      <c r="K459">
        <f>I459*J459</f>
        <v>594.85546925000006</v>
      </c>
      <c r="L459">
        <v>40</v>
      </c>
      <c r="M459">
        <f>(1-(L459/100))*K459</f>
        <v>356.91328155000002</v>
      </c>
      <c r="N459" s="90">
        <v>459</v>
      </c>
      <c r="O459" s="90" t="s">
        <v>1088</v>
      </c>
      <c r="P459" s="118"/>
      <c r="Q459" s="118"/>
    </row>
    <row r="460" spans="1:21" x14ac:dyDescent="0.25">
      <c r="A460" s="90" t="s">
        <v>1843</v>
      </c>
      <c r="B460" s="119">
        <v>5</v>
      </c>
      <c r="C460" s="90" t="s">
        <v>1835</v>
      </c>
      <c r="D460" s="90" t="s">
        <v>796</v>
      </c>
      <c r="E460">
        <v>912</v>
      </c>
      <c r="F460">
        <v>913</v>
      </c>
      <c r="G460" s="93" t="s">
        <v>78</v>
      </c>
      <c r="H460" t="s">
        <v>107</v>
      </c>
      <c r="I460">
        <v>0</v>
      </c>
      <c r="J460">
        <v>5209</v>
      </c>
      <c r="K460">
        <f>I460*J460</f>
        <v>0</v>
      </c>
      <c r="L460">
        <v>40</v>
      </c>
      <c r="M460">
        <f>(1-(L460/100))*K460</f>
        <v>0</v>
      </c>
      <c r="N460" s="90">
        <v>460</v>
      </c>
      <c r="O460" s="90" t="s">
        <v>380</v>
      </c>
      <c r="P460" s="118"/>
      <c r="Q460" s="118"/>
    </row>
    <row r="461" spans="1:21" x14ac:dyDescent="0.25">
      <c r="A461" s="90" t="s">
        <v>1844</v>
      </c>
      <c r="B461" s="119">
        <v>5</v>
      </c>
      <c r="C461" s="90" t="s">
        <v>1835</v>
      </c>
      <c r="D461" s="90" t="s">
        <v>797</v>
      </c>
      <c r="E461">
        <v>914</v>
      </c>
      <c r="F461">
        <v>915</v>
      </c>
      <c r="G461" s="93" t="s">
        <v>78</v>
      </c>
      <c r="H461" t="s">
        <v>127</v>
      </c>
      <c r="I461">
        <v>1</v>
      </c>
      <c r="J461">
        <v>275.43613906000002</v>
      </c>
      <c r="K461">
        <f>I461*J461</f>
        <v>275.43613906000002</v>
      </c>
      <c r="L461">
        <v>40</v>
      </c>
      <c r="M461">
        <f>(1-(L461/100))*K461</f>
        <v>165.261683436</v>
      </c>
      <c r="N461" s="90">
        <v>461</v>
      </c>
      <c r="O461" s="90" t="s">
        <v>382</v>
      </c>
      <c r="P461" s="118"/>
      <c r="Q461" s="118"/>
    </row>
    <row r="462" spans="1:21" x14ac:dyDescent="0.25">
      <c r="A462" s="90" t="s">
        <v>1845</v>
      </c>
      <c r="B462" s="119">
        <v>5</v>
      </c>
      <c r="C462" s="90" t="s">
        <v>1835</v>
      </c>
      <c r="D462" s="90" t="s">
        <v>798</v>
      </c>
      <c r="E462">
        <v>916</v>
      </c>
      <c r="F462">
        <v>917</v>
      </c>
      <c r="G462" s="93" t="s">
        <v>78</v>
      </c>
      <c r="H462" t="s">
        <v>121</v>
      </c>
      <c r="I462">
        <v>1</v>
      </c>
      <c r="J462">
        <v>78.186680249999995</v>
      </c>
      <c r="K462">
        <f>I462*J462</f>
        <v>78.186680249999995</v>
      </c>
      <c r="L462">
        <v>40</v>
      </c>
      <c r="M462">
        <f>(1-(L462/100))*K462</f>
        <v>46.912008149999998</v>
      </c>
      <c r="N462" s="90">
        <v>462</v>
      </c>
      <c r="O462" s="90" t="s">
        <v>1089</v>
      </c>
      <c r="P462" s="118"/>
      <c r="Q462" s="118"/>
    </row>
    <row r="463" spans="1:21" x14ac:dyDescent="0.25">
      <c r="A463" s="90" t="s">
        <v>1846</v>
      </c>
      <c r="B463" s="119">
        <v>5</v>
      </c>
      <c r="C463" s="90" t="s">
        <v>1835</v>
      </c>
      <c r="D463" s="90" t="s">
        <v>799</v>
      </c>
      <c r="E463">
        <v>918</v>
      </c>
      <c r="F463">
        <v>919</v>
      </c>
      <c r="G463" s="93" t="s">
        <v>78</v>
      </c>
      <c r="H463" t="s">
        <v>122</v>
      </c>
      <c r="I463">
        <v>1</v>
      </c>
      <c r="J463">
        <v>823.90169361999995</v>
      </c>
      <c r="K463">
        <f>I463*J463</f>
        <v>823.90169361999995</v>
      </c>
      <c r="L463">
        <v>40</v>
      </c>
      <c r="M463">
        <f>(1-(L463/100))*K463</f>
        <v>494.34101617199997</v>
      </c>
      <c r="N463" s="90">
        <v>463</v>
      </c>
      <c r="O463" s="90" t="s">
        <v>384</v>
      </c>
      <c r="P463" s="118"/>
      <c r="Q463" s="118"/>
    </row>
    <row r="464" spans="1:21" x14ac:dyDescent="0.25">
      <c r="A464" s="90" t="s">
        <v>1847</v>
      </c>
      <c r="B464" s="119">
        <v>5</v>
      </c>
      <c r="C464" s="90" t="s">
        <v>1835</v>
      </c>
      <c r="D464" s="90" t="s">
        <v>97</v>
      </c>
      <c r="E464">
        <v>920</v>
      </c>
      <c r="F464">
        <v>921</v>
      </c>
      <c r="G464" s="93" t="s">
        <v>78</v>
      </c>
      <c r="H464" t="s">
        <v>128</v>
      </c>
      <c r="I464">
        <v>1</v>
      </c>
      <c r="J464">
        <v>270.62269196</v>
      </c>
      <c r="K464">
        <f>I464*J464</f>
        <v>270.62269196</v>
      </c>
      <c r="L464">
        <v>40</v>
      </c>
      <c r="M464">
        <f>(1-(L464/100))*K464</f>
        <v>162.37361517599999</v>
      </c>
      <c r="N464" s="90">
        <v>464</v>
      </c>
      <c r="O464" s="90" t="s">
        <v>386</v>
      </c>
      <c r="P464" s="118"/>
      <c r="Q464" s="118"/>
    </row>
    <row r="465" spans="1:21" x14ac:dyDescent="0.25">
      <c r="A465" s="90" t="s">
        <v>1848</v>
      </c>
      <c r="B465" s="119">
        <v>5</v>
      </c>
      <c r="C465" s="90" t="s">
        <v>1835</v>
      </c>
      <c r="D465" s="90" t="s">
        <v>98</v>
      </c>
      <c r="E465">
        <v>922</v>
      </c>
      <c r="F465">
        <v>923</v>
      </c>
      <c r="G465" s="93" t="s">
        <v>78</v>
      </c>
      <c r="H465" t="s">
        <v>134</v>
      </c>
      <c r="I465">
        <v>0</v>
      </c>
      <c r="J465">
        <v>119.07551254000001</v>
      </c>
      <c r="K465">
        <f>I465*J465</f>
        <v>0</v>
      </c>
      <c r="L465">
        <v>40</v>
      </c>
      <c r="M465">
        <f>(1-(L465/100))*K465</f>
        <v>0</v>
      </c>
      <c r="N465" s="90">
        <v>465</v>
      </c>
      <c r="O465" s="90" t="s">
        <v>1090</v>
      </c>
      <c r="P465" s="118"/>
      <c r="Q465" s="118"/>
    </row>
    <row r="466" spans="1:21" x14ac:dyDescent="0.25">
      <c r="A466" s="90" t="s">
        <v>1849</v>
      </c>
      <c r="B466" s="119">
        <v>5</v>
      </c>
      <c r="C466" s="90" t="s">
        <v>1835</v>
      </c>
      <c r="D466" s="90" t="s">
        <v>99</v>
      </c>
      <c r="E466">
        <v>924</v>
      </c>
      <c r="F466">
        <v>925</v>
      </c>
      <c r="G466" s="93" t="s">
        <v>78</v>
      </c>
      <c r="H466" t="s">
        <v>135</v>
      </c>
      <c r="I466">
        <v>0</v>
      </c>
      <c r="J466">
        <v>56.526168339999998</v>
      </c>
      <c r="K466">
        <f>I466*J466</f>
        <v>0</v>
      </c>
      <c r="L466">
        <v>40</v>
      </c>
      <c r="M466">
        <f>(1-(L466/100))*K466</f>
        <v>0</v>
      </c>
      <c r="N466" s="90">
        <v>466</v>
      </c>
      <c r="O466" s="90" t="s">
        <v>388</v>
      </c>
      <c r="P466" s="118"/>
      <c r="Q466" s="118"/>
    </row>
    <row r="467" spans="1:21" x14ac:dyDescent="0.25">
      <c r="A467" s="90" t="s">
        <v>1850</v>
      </c>
      <c r="B467" s="119">
        <v>5</v>
      </c>
      <c r="C467" s="90" t="s">
        <v>1835</v>
      </c>
      <c r="D467" s="90" t="s">
        <v>100</v>
      </c>
      <c r="E467">
        <v>926</v>
      </c>
      <c r="F467">
        <v>927</v>
      </c>
      <c r="G467" s="93" t="s">
        <v>78</v>
      </c>
      <c r="H467" t="s">
        <v>129</v>
      </c>
      <c r="I467">
        <v>1</v>
      </c>
      <c r="J467">
        <v>212.88679486000001</v>
      </c>
      <c r="K467">
        <f>I467*J467</f>
        <v>212.88679486000001</v>
      </c>
      <c r="L467">
        <v>40</v>
      </c>
      <c r="M467">
        <f>(1-(L467/100))*K467</f>
        <v>127.732076916</v>
      </c>
      <c r="N467" s="90">
        <v>467</v>
      </c>
      <c r="O467" s="90" t="s">
        <v>390</v>
      </c>
      <c r="P467" s="118"/>
      <c r="Q467" s="118"/>
    </row>
    <row r="468" spans="1:21" x14ac:dyDescent="0.25">
      <c r="A468" s="90" t="s">
        <v>1851</v>
      </c>
      <c r="B468" s="119">
        <v>5</v>
      </c>
      <c r="C468" s="90" t="s">
        <v>1835</v>
      </c>
      <c r="D468" s="90" t="s">
        <v>81</v>
      </c>
      <c r="E468">
        <v>928</v>
      </c>
      <c r="F468">
        <v>929</v>
      </c>
      <c r="G468" s="93" t="s">
        <v>78</v>
      </c>
      <c r="H468" t="s">
        <v>130</v>
      </c>
      <c r="I468">
        <v>1</v>
      </c>
      <c r="J468">
        <v>206.87635298999999</v>
      </c>
      <c r="K468">
        <f>I468*J468</f>
        <v>206.87635298999999</v>
      </c>
      <c r="L468">
        <v>40</v>
      </c>
      <c r="M468">
        <f>(1-(L468/100))*K468</f>
        <v>124.12581179399999</v>
      </c>
      <c r="N468" s="90">
        <v>468</v>
      </c>
      <c r="O468" s="90" t="s">
        <v>1091</v>
      </c>
      <c r="P468" s="118"/>
      <c r="Q468" s="118"/>
    </row>
    <row r="469" spans="1:21" x14ac:dyDescent="0.25">
      <c r="A469" s="90" t="s">
        <v>1852</v>
      </c>
      <c r="B469" s="119">
        <v>5</v>
      </c>
      <c r="C469" s="90" t="s">
        <v>1835</v>
      </c>
      <c r="D469" s="90" t="s">
        <v>83</v>
      </c>
      <c r="E469">
        <v>930</v>
      </c>
      <c r="F469">
        <v>931</v>
      </c>
      <c r="G469" s="93" t="s">
        <v>78</v>
      </c>
      <c r="H469" t="s">
        <v>136</v>
      </c>
      <c r="I469">
        <v>1</v>
      </c>
      <c r="J469">
        <v>1142.63338851</v>
      </c>
      <c r="K469">
        <f>I469*J469</f>
        <v>1142.63338851</v>
      </c>
      <c r="L469">
        <v>40</v>
      </c>
      <c r="M469">
        <f>(1-(L469/100))*K469</f>
        <v>685.58003310599997</v>
      </c>
      <c r="N469" s="90">
        <v>469</v>
      </c>
      <c r="O469" s="90" t="s">
        <v>393</v>
      </c>
      <c r="P469" s="118"/>
      <c r="Q469" s="118"/>
    </row>
    <row r="470" spans="1:21" x14ac:dyDescent="0.25">
      <c r="A470" s="90" t="s">
        <v>1853</v>
      </c>
      <c r="B470" s="119">
        <v>4</v>
      </c>
      <c r="C470" s="90" t="s">
        <v>1806</v>
      </c>
      <c r="D470" s="90" t="s">
        <v>99</v>
      </c>
      <c r="E470">
        <v>933</v>
      </c>
      <c r="F470">
        <v>936</v>
      </c>
      <c r="G470" s="93" t="s">
        <v>68</v>
      </c>
      <c r="H470" t="s">
        <v>1714</v>
      </c>
      <c r="I470">
        <v>2</v>
      </c>
      <c r="J470">
        <f>SUM(K471)</f>
        <v>5389.0233031999996</v>
      </c>
      <c r="K470">
        <f>I470*J470</f>
        <v>10778.046606399999</v>
      </c>
      <c r="L470">
        <f>100*(1-(M470/K470))</f>
        <v>40</v>
      </c>
      <c r="M470">
        <f>I470*SUM(M471)</f>
        <v>6466.827963839999</v>
      </c>
      <c r="N470" s="90">
        <v>470</v>
      </c>
      <c r="O470" s="90" t="s">
        <v>395</v>
      </c>
      <c r="P470" s="118"/>
      <c r="Q470" s="118"/>
      <c r="R470" s="90" t="s">
        <v>4741</v>
      </c>
      <c r="S470" s="90" t="s">
        <v>5786</v>
      </c>
      <c r="T470" s="90" t="s">
        <v>6284</v>
      </c>
      <c r="U470" s="90" t="s">
        <v>5281</v>
      </c>
    </row>
    <row r="471" spans="1:21" x14ac:dyDescent="0.25">
      <c r="A471" s="90" t="s">
        <v>1854</v>
      </c>
      <c r="B471" s="119">
        <v>5</v>
      </c>
      <c r="C471" s="90" t="s">
        <v>1853</v>
      </c>
      <c r="D471" s="90" t="s">
        <v>78</v>
      </c>
      <c r="E471">
        <v>934</v>
      </c>
      <c r="F471">
        <v>935</v>
      </c>
      <c r="G471" s="93" t="s">
        <v>78</v>
      </c>
      <c r="H471" t="s">
        <v>1714</v>
      </c>
      <c r="I471">
        <v>1</v>
      </c>
      <c r="J471">
        <v>5389.0233031999996</v>
      </c>
      <c r="K471">
        <f>I471*J471</f>
        <v>5389.0233031999996</v>
      </c>
      <c r="L471">
        <v>40</v>
      </c>
      <c r="M471">
        <f>(1-(L471/100))*K471</f>
        <v>3233.4139819199995</v>
      </c>
      <c r="N471" s="90">
        <v>471</v>
      </c>
      <c r="O471" s="90" t="s">
        <v>396</v>
      </c>
      <c r="P471" s="118"/>
      <c r="Q471" s="118"/>
    </row>
    <row r="472" spans="1:21" x14ac:dyDescent="0.25">
      <c r="A472" s="90" t="s">
        <v>1855</v>
      </c>
      <c r="B472" s="119">
        <v>4</v>
      </c>
      <c r="C472" s="90" t="s">
        <v>1806</v>
      </c>
      <c r="D472" s="90" t="s">
        <v>100</v>
      </c>
      <c r="E472">
        <v>937</v>
      </c>
      <c r="F472">
        <v>940</v>
      </c>
      <c r="G472" s="93" t="s">
        <v>68</v>
      </c>
      <c r="H472" t="s">
        <v>1509</v>
      </c>
      <c r="I472">
        <v>2</v>
      </c>
      <c r="J472">
        <f>SUM(K473)</f>
        <v>3300</v>
      </c>
      <c r="K472">
        <f>I472*J472</f>
        <v>6600</v>
      </c>
      <c r="L472">
        <f>100*(1-(M472/K472))</f>
        <v>40</v>
      </c>
      <c r="M472">
        <f>I472*SUM(M473)</f>
        <v>3960</v>
      </c>
      <c r="N472" s="90">
        <v>472</v>
      </c>
      <c r="O472" s="90" t="s">
        <v>397</v>
      </c>
      <c r="P472" s="118"/>
      <c r="Q472" s="118"/>
      <c r="R472" s="90" t="s">
        <v>4742</v>
      </c>
      <c r="S472" s="90" t="s">
        <v>5787</v>
      </c>
      <c r="T472" s="90" t="s">
        <v>6285</v>
      </c>
      <c r="U472" s="90" t="s">
        <v>5282</v>
      </c>
    </row>
    <row r="473" spans="1:21" x14ac:dyDescent="0.25">
      <c r="A473" s="90" t="s">
        <v>1856</v>
      </c>
      <c r="B473" s="119">
        <v>5</v>
      </c>
      <c r="C473" s="90" t="s">
        <v>1855</v>
      </c>
      <c r="D473" s="90" t="s">
        <v>78</v>
      </c>
      <c r="E473">
        <v>938</v>
      </c>
      <c r="F473">
        <v>939</v>
      </c>
      <c r="G473" s="93" t="s">
        <v>78</v>
      </c>
      <c r="H473" t="s">
        <v>1509</v>
      </c>
      <c r="I473">
        <v>1</v>
      </c>
      <c r="J473">
        <v>3300</v>
      </c>
      <c r="K473">
        <f>I473*J473</f>
        <v>3300</v>
      </c>
      <c r="L473">
        <v>40</v>
      </c>
      <c r="M473">
        <f>(1-(L473/100))*K473</f>
        <v>1980</v>
      </c>
      <c r="N473" s="90">
        <v>473</v>
      </c>
      <c r="O473" s="90" t="s">
        <v>398</v>
      </c>
      <c r="P473" s="118"/>
      <c r="Q473" s="118"/>
    </row>
    <row r="474" spans="1:21" x14ac:dyDescent="0.25">
      <c r="A474" s="90" t="s">
        <v>1857</v>
      </c>
      <c r="B474" s="119">
        <v>3</v>
      </c>
      <c r="C474" s="90" t="s">
        <v>1804</v>
      </c>
      <c r="D474" s="90" t="s">
        <v>79</v>
      </c>
      <c r="E474">
        <v>942</v>
      </c>
      <c r="F474">
        <v>959</v>
      </c>
      <c r="G474" s="93" t="s">
        <v>68</v>
      </c>
      <c r="H474" t="s">
        <v>1858</v>
      </c>
      <c r="I474">
        <v>1</v>
      </c>
      <c r="J474">
        <f>SUM(K475)</f>
        <v>7394.1805679300005</v>
      </c>
      <c r="K474">
        <f>I474*J474</f>
        <v>7394.1805679300005</v>
      </c>
      <c r="L474">
        <f>100*(1-(M474/K474))</f>
        <v>40</v>
      </c>
      <c r="M474">
        <f>I474*SUM(M475)</f>
        <v>4436.5083407580005</v>
      </c>
      <c r="N474" s="90">
        <v>474</v>
      </c>
      <c r="O474" s="90" t="s">
        <v>400</v>
      </c>
      <c r="P474" s="118"/>
      <c r="Q474" s="118"/>
      <c r="R474" s="90" t="s">
        <v>6962</v>
      </c>
      <c r="S474" s="90" t="s">
        <v>7058</v>
      </c>
      <c r="T474" s="90" t="s">
        <v>7104</v>
      </c>
      <c r="U474" s="90" t="s">
        <v>7011</v>
      </c>
    </row>
    <row r="475" spans="1:21" x14ac:dyDescent="0.25">
      <c r="A475" s="90" t="s">
        <v>1859</v>
      </c>
      <c r="B475" s="119">
        <v>4</v>
      </c>
      <c r="C475" s="90" t="s">
        <v>1857</v>
      </c>
      <c r="D475" s="90" t="s">
        <v>78</v>
      </c>
      <c r="E475">
        <v>943</v>
      </c>
      <c r="F475">
        <v>958</v>
      </c>
      <c r="G475" s="93" t="s">
        <v>68</v>
      </c>
      <c r="H475" t="s">
        <v>1586</v>
      </c>
      <c r="I475">
        <v>1</v>
      </c>
      <c r="J475">
        <f>SUM(K476)</f>
        <v>7394.1805679300005</v>
      </c>
      <c r="K475">
        <f>I475*J475</f>
        <v>7394.1805679300005</v>
      </c>
      <c r="L475">
        <f>100*(1-(M475/K475))</f>
        <v>40</v>
      </c>
      <c r="M475">
        <f>I475*SUM(M476)</f>
        <v>4436.5083407580005</v>
      </c>
      <c r="N475" s="90">
        <v>475</v>
      </c>
      <c r="O475" s="90" t="s">
        <v>402</v>
      </c>
      <c r="P475" s="118"/>
      <c r="Q475" s="118"/>
      <c r="R475" s="90" t="s">
        <v>6465</v>
      </c>
      <c r="S475" s="90" t="s">
        <v>6767</v>
      </c>
      <c r="T475" s="90" t="s">
        <v>6912</v>
      </c>
      <c r="U475" s="90" t="s">
        <v>6617</v>
      </c>
    </row>
    <row r="476" spans="1:21" x14ac:dyDescent="0.25">
      <c r="A476" s="90" t="s">
        <v>1860</v>
      </c>
      <c r="B476" s="119">
        <v>5</v>
      </c>
      <c r="C476" s="90" t="s">
        <v>1859</v>
      </c>
      <c r="D476" s="90" t="s">
        <v>78</v>
      </c>
      <c r="E476">
        <v>944</v>
      </c>
      <c r="F476">
        <v>957</v>
      </c>
      <c r="G476" s="93" t="s">
        <v>68</v>
      </c>
      <c r="H476" t="s">
        <v>1397</v>
      </c>
      <c r="I476">
        <v>1</v>
      </c>
      <c r="J476">
        <f>SUM(K477,K478,K479,K480,K481,K482)</f>
        <v>7394.1805679300005</v>
      </c>
      <c r="K476">
        <f>I476*J476</f>
        <v>7394.1805679300005</v>
      </c>
      <c r="L476">
        <f>100*(1-(M476/K476))</f>
        <v>40</v>
      </c>
      <c r="M476">
        <f>I476*SUM(M477,M478,M479,M480,M481,M482)</f>
        <v>4436.5083407580005</v>
      </c>
      <c r="N476" s="90">
        <v>476</v>
      </c>
      <c r="O476" s="90" t="s">
        <v>1092</v>
      </c>
      <c r="P476" s="118"/>
      <c r="Q476" s="118"/>
      <c r="R476" s="90" t="s">
        <v>4749</v>
      </c>
      <c r="S476" s="90" t="s">
        <v>5794</v>
      </c>
      <c r="T476" s="90" t="s">
        <v>6292</v>
      </c>
      <c r="U476" s="90" t="s">
        <v>5289</v>
      </c>
    </row>
    <row r="477" spans="1:21" x14ac:dyDescent="0.25">
      <c r="A477" s="90" t="s">
        <v>1861</v>
      </c>
      <c r="B477" s="119">
        <v>6</v>
      </c>
      <c r="C477" s="90" t="s">
        <v>1860</v>
      </c>
      <c r="D477" s="90" t="s">
        <v>78</v>
      </c>
      <c r="E477">
        <v>945</v>
      </c>
      <c r="F477">
        <v>946</v>
      </c>
      <c r="G477" s="93" t="s">
        <v>78</v>
      </c>
      <c r="H477" t="s">
        <v>126</v>
      </c>
      <c r="I477">
        <v>1</v>
      </c>
      <c r="J477">
        <v>491.93938622000002</v>
      </c>
      <c r="K477">
        <f>I477*J477</f>
        <v>491.93938622000002</v>
      </c>
      <c r="L477">
        <v>40</v>
      </c>
      <c r="M477">
        <f>(1-(L477/100))*K477</f>
        <v>295.163631732</v>
      </c>
      <c r="N477" s="90">
        <v>477</v>
      </c>
      <c r="O477" s="90" t="s">
        <v>403</v>
      </c>
      <c r="P477" s="118"/>
      <c r="Q477" s="118"/>
    </row>
    <row r="478" spans="1:21" x14ac:dyDescent="0.25">
      <c r="A478" s="90" t="s">
        <v>1862</v>
      </c>
      <c r="B478" s="119">
        <v>6</v>
      </c>
      <c r="C478" s="90" t="s">
        <v>1860</v>
      </c>
      <c r="D478" s="90" t="s">
        <v>79</v>
      </c>
      <c r="E478">
        <v>947</v>
      </c>
      <c r="F478">
        <v>948</v>
      </c>
      <c r="G478" s="93" t="s">
        <v>78</v>
      </c>
      <c r="H478" t="s">
        <v>120</v>
      </c>
      <c r="I478">
        <v>1</v>
      </c>
      <c r="J478">
        <v>967.93582071000003</v>
      </c>
      <c r="K478">
        <f>I478*J478</f>
        <v>967.93582071000003</v>
      </c>
      <c r="L478">
        <v>40</v>
      </c>
      <c r="M478">
        <f>(1-(L478/100))*K478</f>
        <v>580.76149242600002</v>
      </c>
      <c r="N478" s="90">
        <v>478</v>
      </c>
      <c r="O478" s="90" t="s">
        <v>1093</v>
      </c>
      <c r="P478" s="118"/>
      <c r="Q478" s="118"/>
    </row>
    <row r="479" spans="1:21" x14ac:dyDescent="0.25">
      <c r="A479" s="90" t="s">
        <v>1863</v>
      </c>
      <c r="B479" s="119">
        <v>6</v>
      </c>
      <c r="C479" s="90" t="s">
        <v>1860</v>
      </c>
      <c r="D479" s="90" t="s">
        <v>80</v>
      </c>
      <c r="E479">
        <v>949</v>
      </c>
      <c r="F479">
        <v>950</v>
      </c>
      <c r="G479" s="93" t="s">
        <v>78</v>
      </c>
      <c r="H479" t="s">
        <v>125</v>
      </c>
      <c r="I479">
        <v>1</v>
      </c>
      <c r="J479">
        <v>967.93582071000003</v>
      </c>
      <c r="K479">
        <f>I479*J479</f>
        <v>967.93582071000003</v>
      </c>
      <c r="L479">
        <v>40</v>
      </c>
      <c r="M479">
        <f>(1-(L479/100))*K479</f>
        <v>580.76149242600002</v>
      </c>
      <c r="N479" s="90">
        <v>479</v>
      </c>
      <c r="O479" s="90" t="s">
        <v>404</v>
      </c>
      <c r="P479" s="118"/>
      <c r="Q479" s="118"/>
    </row>
    <row r="480" spans="1:21" x14ac:dyDescent="0.25">
      <c r="A480" s="90" t="s">
        <v>1864</v>
      </c>
      <c r="B480" s="119">
        <v>6</v>
      </c>
      <c r="C480" s="90" t="s">
        <v>1860</v>
      </c>
      <c r="D480" s="90" t="s">
        <v>95</v>
      </c>
      <c r="E480">
        <v>951</v>
      </c>
      <c r="F480">
        <v>952</v>
      </c>
      <c r="G480" s="93" t="s">
        <v>78</v>
      </c>
      <c r="H480" t="s">
        <v>123</v>
      </c>
      <c r="I480">
        <v>1</v>
      </c>
      <c r="J480">
        <v>313.76543995999998</v>
      </c>
      <c r="K480">
        <f>I480*J480</f>
        <v>313.76543995999998</v>
      </c>
      <c r="L480">
        <v>40</v>
      </c>
      <c r="M480">
        <f>(1-(L480/100))*K480</f>
        <v>188.25926397599997</v>
      </c>
      <c r="N480" s="90">
        <v>480</v>
      </c>
      <c r="O480" s="90" t="s">
        <v>405</v>
      </c>
      <c r="P480" s="118"/>
      <c r="Q480" s="118"/>
    </row>
    <row r="481" spans="1:21" x14ac:dyDescent="0.25">
      <c r="A481" s="90" t="s">
        <v>1865</v>
      </c>
      <c r="B481" s="119">
        <v>6</v>
      </c>
      <c r="C481" s="90" t="s">
        <v>1860</v>
      </c>
      <c r="D481" s="90" t="s">
        <v>96</v>
      </c>
      <c r="E481">
        <v>953</v>
      </c>
      <c r="F481">
        <v>954</v>
      </c>
      <c r="G481" s="93" t="s">
        <v>78</v>
      </c>
      <c r="H481" t="s">
        <v>203</v>
      </c>
      <c r="I481">
        <v>1</v>
      </c>
      <c r="J481">
        <v>2064.00101872</v>
      </c>
      <c r="K481">
        <f>I481*J481</f>
        <v>2064.00101872</v>
      </c>
      <c r="L481">
        <v>40</v>
      </c>
      <c r="M481">
        <f>(1-(L481/100))*K481</f>
        <v>1238.4006112320001</v>
      </c>
      <c r="N481" s="90">
        <v>481</v>
      </c>
      <c r="O481" s="90" t="s">
        <v>1094</v>
      </c>
      <c r="P481" s="118"/>
      <c r="Q481" s="118"/>
    </row>
    <row r="482" spans="1:21" x14ac:dyDescent="0.25">
      <c r="A482" s="90" t="s">
        <v>1866</v>
      </c>
      <c r="B482" s="119">
        <v>6</v>
      </c>
      <c r="C482" s="90" t="s">
        <v>1860</v>
      </c>
      <c r="D482" s="90" t="s">
        <v>103</v>
      </c>
      <c r="E482">
        <v>955</v>
      </c>
      <c r="F482">
        <v>956</v>
      </c>
      <c r="G482" s="93" t="s">
        <v>78</v>
      </c>
      <c r="H482" t="s">
        <v>191</v>
      </c>
      <c r="I482">
        <v>3</v>
      </c>
      <c r="J482">
        <v>862.86769387000004</v>
      </c>
      <c r="K482">
        <f>I482*J482</f>
        <v>2588.6030816100001</v>
      </c>
      <c r="L482">
        <v>40</v>
      </c>
      <c r="M482">
        <f>(1-(L482/100))*K482</f>
        <v>1553.161848966</v>
      </c>
      <c r="N482" s="90">
        <v>482</v>
      </c>
      <c r="O482" s="90" t="s">
        <v>408</v>
      </c>
      <c r="P482" s="118"/>
      <c r="Q482" s="118"/>
    </row>
    <row r="483" spans="1:21" x14ac:dyDescent="0.25">
      <c r="A483" s="90" t="s">
        <v>1867</v>
      </c>
      <c r="B483" s="119">
        <v>3</v>
      </c>
      <c r="C483" s="90" t="s">
        <v>1804</v>
      </c>
      <c r="D483" s="90" t="s">
        <v>80</v>
      </c>
      <c r="E483">
        <v>960</v>
      </c>
      <c r="F483">
        <v>979</v>
      </c>
      <c r="G483" s="93" t="s">
        <v>68</v>
      </c>
      <c r="H483" t="s">
        <v>1868</v>
      </c>
      <c r="I483">
        <v>1</v>
      </c>
      <c r="J483">
        <f>SUM(K484,K487,K489,K491)</f>
        <v>12677.74146186</v>
      </c>
      <c r="K483">
        <f>I483*J483</f>
        <v>12677.74146186</v>
      </c>
      <c r="L483">
        <f>100*(1-(M483/K483))</f>
        <v>85.6</v>
      </c>
      <c r="M483">
        <f>I483*SUM(M484,M487,M489,M491)</f>
        <v>1825.5947705078402</v>
      </c>
      <c r="N483" s="90">
        <v>483</v>
      </c>
      <c r="O483" s="90" t="s">
        <v>410</v>
      </c>
      <c r="P483" s="118"/>
      <c r="Q483" s="118"/>
      <c r="R483" s="90" t="s">
        <v>6466</v>
      </c>
      <c r="S483" s="90" t="s">
        <v>6768</v>
      </c>
      <c r="T483" s="90" t="s">
        <v>6913</v>
      </c>
      <c r="U483" s="90" t="s">
        <v>6618</v>
      </c>
    </row>
    <row r="484" spans="1:21" x14ac:dyDescent="0.25">
      <c r="A484" s="90" t="s">
        <v>1869</v>
      </c>
      <c r="B484" s="119">
        <v>4</v>
      </c>
      <c r="C484" s="90" t="s">
        <v>1867</v>
      </c>
      <c r="D484" s="90" t="s">
        <v>78</v>
      </c>
      <c r="E484">
        <v>961</v>
      </c>
      <c r="F484">
        <v>966</v>
      </c>
      <c r="G484" s="93" t="s">
        <v>68</v>
      </c>
      <c r="H484" t="s">
        <v>364</v>
      </c>
      <c r="I484">
        <v>1</v>
      </c>
      <c r="J484">
        <f>SUM(K485,K486)</f>
        <v>2292.1176620400001</v>
      </c>
      <c r="K484">
        <f>I484*J484</f>
        <v>2292.1176620400001</v>
      </c>
      <c r="L484">
        <f>100*(1-(M484/K484))</f>
        <v>85.6</v>
      </c>
      <c r="M484">
        <f>I484*SUM(M485,M486)</f>
        <v>330.06494333376008</v>
      </c>
      <c r="N484" s="90">
        <v>484</v>
      </c>
      <c r="O484" s="90" t="s">
        <v>1095</v>
      </c>
      <c r="P484" s="118"/>
      <c r="Q484" s="118"/>
      <c r="R484" s="90" t="s">
        <v>4750</v>
      </c>
      <c r="S484" s="90" t="s">
        <v>5795</v>
      </c>
      <c r="T484" s="90" t="s">
        <v>6293</v>
      </c>
      <c r="U484" s="90" t="s">
        <v>5290</v>
      </c>
    </row>
    <row r="485" spans="1:21" x14ac:dyDescent="0.25">
      <c r="A485" s="90" t="s">
        <v>1870</v>
      </c>
      <c r="B485" s="119">
        <v>5</v>
      </c>
      <c r="C485" s="90" t="s">
        <v>1869</v>
      </c>
      <c r="D485" s="90" t="s">
        <v>78</v>
      </c>
      <c r="E485">
        <v>962</v>
      </c>
      <c r="F485">
        <v>963</v>
      </c>
      <c r="G485" s="93" t="s">
        <v>78</v>
      </c>
      <c r="H485" t="s">
        <v>366</v>
      </c>
      <c r="I485">
        <v>1</v>
      </c>
      <c r="J485">
        <v>509.35948044999998</v>
      </c>
      <c r="K485">
        <f>I485*J485</f>
        <v>509.35948044999998</v>
      </c>
      <c r="L485">
        <v>85.6</v>
      </c>
      <c r="M485">
        <f>(1-(L485/100))*K485</f>
        <v>73.347765184800011</v>
      </c>
      <c r="N485" s="90">
        <v>485</v>
      </c>
      <c r="O485" s="90" t="s">
        <v>413</v>
      </c>
      <c r="P485" s="118"/>
      <c r="Q485" s="118"/>
    </row>
    <row r="486" spans="1:21" x14ac:dyDescent="0.25">
      <c r="A486" s="90" t="s">
        <v>1871</v>
      </c>
      <c r="B486" s="119">
        <v>5</v>
      </c>
      <c r="C486" s="90" t="s">
        <v>1869</v>
      </c>
      <c r="D486" s="90" t="s">
        <v>79</v>
      </c>
      <c r="E486">
        <v>964</v>
      </c>
      <c r="F486">
        <v>965</v>
      </c>
      <c r="G486" s="93" t="s">
        <v>78</v>
      </c>
      <c r="H486" t="s">
        <v>368</v>
      </c>
      <c r="I486">
        <v>1</v>
      </c>
      <c r="J486">
        <v>1782.75818159</v>
      </c>
      <c r="K486">
        <f>I486*J486</f>
        <v>1782.75818159</v>
      </c>
      <c r="L486">
        <v>85.6</v>
      </c>
      <c r="M486">
        <f>(1-(L486/100))*K486</f>
        <v>256.71717814896004</v>
      </c>
      <c r="N486" s="90">
        <v>486</v>
      </c>
      <c r="O486" s="90" t="s">
        <v>415</v>
      </c>
      <c r="P486" s="118"/>
      <c r="Q486" s="118"/>
    </row>
    <row r="487" spans="1:21" x14ac:dyDescent="0.25">
      <c r="A487" s="90" t="s">
        <v>1872</v>
      </c>
      <c r="B487" s="119">
        <v>4</v>
      </c>
      <c r="C487" s="90" t="s">
        <v>1867</v>
      </c>
      <c r="D487" s="90" t="s">
        <v>79</v>
      </c>
      <c r="E487">
        <v>967</v>
      </c>
      <c r="F487">
        <v>970</v>
      </c>
      <c r="G487" s="93" t="s">
        <v>68</v>
      </c>
      <c r="H487" t="s">
        <v>379</v>
      </c>
      <c r="I487">
        <v>1</v>
      </c>
      <c r="J487">
        <f>SUM(K488)</f>
        <v>303.06889087000002</v>
      </c>
      <c r="K487">
        <f>I487*J487</f>
        <v>303.06889087000002</v>
      </c>
      <c r="L487">
        <f>100*(1-(M487/K487))</f>
        <v>85.6</v>
      </c>
      <c r="M487">
        <f>I487*SUM(M488)</f>
        <v>43.641920285280008</v>
      </c>
      <c r="N487" s="90">
        <v>487</v>
      </c>
      <c r="O487" s="90" t="s">
        <v>1096</v>
      </c>
      <c r="P487" s="118"/>
      <c r="Q487" s="118"/>
      <c r="R487" s="90" t="s">
        <v>4751</v>
      </c>
      <c r="S487" s="90" t="s">
        <v>5796</v>
      </c>
      <c r="T487" s="90" t="s">
        <v>6294</v>
      </c>
      <c r="U487" s="90" t="s">
        <v>5291</v>
      </c>
    </row>
    <row r="488" spans="1:21" x14ac:dyDescent="0.25">
      <c r="A488" s="90" t="s">
        <v>1873</v>
      </c>
      <c r="B488" s="119">
        <v>5</v>
      </c>
      <c r="C488" s="90" t="s">
        <v>1872</v>
      </c>
      <c r="D488" s="90" t="s">
        <v>78</v>
      </c>
      <c r="E488">
        <v>968</v>
      </c>
      <c r="F488">
        <v>969</v>
      </c>
      <c r="G488" s="93" t="s">
        <v>78</v>
      </c>
      <c r="H488" t="s">
        <v>381</v>
      </c>
      <c r="I488">
        <v>1</v>
      </c>
      <c r="J488">
        <v>303.06889087000002</v>
      </c>
      <c r="K488">
        <f>I488*J488</f>
        <v>303.06889087000002</v>
      </c>
      <c r="L488">
        <v>85.6</v>
      </c>
      <c r="M488">
        <f>(1-(L488/100))*K488</f>
        <v>43.641920285280008</v>
      </c>
      <c r="N488" s="90">
        <v>488</v>
      </c>
      <c r="O488" s="90" t="s">
        <v>417</v>
      </c>
      <c r="P488" s="118"/>
      <c r="Q488" s="118"/>
    </row>
    <row r="489" spans="1:21" x14ac:dyDescent="0.25">
      <c r="A489" s="90" t="s">
        <v>1874</v>
      </c>
      <c r="B489" s="119">
        <v>4</v>
      </c>
      <c r="C489" s="90" t="s">
        <v>1867</v>
      </c>
      <c r="D489" s="90" t="s">
        <v>80</v>
      </c>
      <c r="E489">
        <v>971</v>
      </c>
      <c r="F489">
        <v>974</v>
      </c>
      <c r="G489" s="93" t="s">
        <v>68</v>
      </c>
      <c r="H489" t="s">
        <v>383</v>
      </c>
      <c r="I489">
        <v>1</v>
      </c>
      <c r="J489">
        <f>SUM(K490)</f>
        <v>1069.6549089499999</v>
      </c>
      <c r="K489">
        <f>I489*J489</f>
        <v>1069.6549089499999</v>
      </c>
      <c r="L489">
        <f>100*(1-(M489/K489))</f>
        <v>85.6</v>
      </c>
      <c r="M489">
        <f>I489*SUM(M490)</f>
        <v>154.0303068888</v>
      </c>
      <c r="N489" s="90">
        <v>489</v>
      </c>
      <c r="O489" s="90" t="s">
        <v>420</v>
      </c>
      <c r="P489" s="118"/>
      <c r="Q489" s="118"/>
      <c r="R489" s="90" t="s">
        <v>4752</v>
      </c>
      <c r="S489" s="90" t="s">
        <v>1036</v>
      </c>
      <c r="T489" s="90" t="s">
        <v>1038</v>
      </c>
      <c r="U489" s="90" t="s">
        <v>5292</v>
      </c>
    </row>
    <row r="490" spans="1:21" x14ac:dyDescent="0.25">
      <c r="A490" s="90" t="s">
        <v>1875</v>
      </c>
      <c r="B490" s="119">
        <v>5</v>
      </c>
      <c r="C490" s="90" t="s">
        <v>1874</v>
      </c>
      <c r="D490" s="90" t="s">
        <v>78</v>
      </c>
      <c r="E490">
        <v>972</v>
      </c>
      <c r="F490">
        <v>973</v>
      </c>
      <c r="G490" s="93" t="s">
        <v>78</v>
      </c>
      <c r="H490" t="s">
        <v>385</v>
      </c>
      <c r="I490">
        <v>1</v>
      </c>
      <c r="J490">
        <v>1069.6549089499999</v>
      </c>
      <c r="K490">
        <f>I490*J490</f>
        <v>1069.6549089499999</v>
      </c>
      <c r="L490">
        <v>85.6</v>
      </c>
      <c r="M490">
        <f>(1-(L490/100))*K490</f>
        <v>154.0303068888</v>
      </c>
      <c r="N490" s="90">
        <v>490</v>
      </c>
      <c r="O490" s="90" t="s">
        <v>1097</v>
      </c>
      <c r="P490" s="118"/>
      <c r="Q490" s="118"/>
    </row>
    <row r="491" spans="1:21" x14ac:dyDescent="0.25">
      <c r="A491" s="90" t="s">
        <v>1876</v>
      </c>
      <c r="B491" s="119">
        <v>4</v>
      </c>
      <c r="C491" s="90" t="s">
        <v>1867</v>
      </c>
      <c r="D491" s="90" t="s">
        <v>95</v>
      </c>
      <c r="E491">
        <v>975</v>
      </c>
      <c r="F491">
        <v>978</v>
      </c>
      <c r="G491" s="93" t="s">
        <v>68</v>
      </c>
      <c r="H491" t="s">
        <v>387</v>
      </c>
      <c r="I491">
        <v>1</v>
      </c>
      <c r="J491">
        <f>SUM(K492)</f>
        <v>9012.9</v>
      </c>
      <c r="K491">
        <f>I491*J491</f>
        <v>9012.9</v>
      </c>
      <c r="L491">
        <f>100*(1-(M491/K491))</f>
        <v>85.6</v>
      </c>
      <c r="M491">
        <f>I491*SUM(M492)</f>
        <v>1297.8576</v>
      </c>
      <c r="N491" s="90">
        <v>491</v>
      </c>
      <c r="O491" s="90" t="s">
        <v>423</v>
      </c>
      <c r="P491" s="118"/>
      <c r="Q491" s="118"/>
      <c r="R491" s="90" t="s">
        <v>805</v>
      </c>
      <c r="S491" s="90" t="s">
        <v>874</v>
      </c>
      <c r="T491" s="90" t="s">
        <v>931</v>
      </c>
      <c r="U491" s="90" t="s">
        <v>834</v>
      </c>
    </row>
    <row r="492" spans="1:21" x14ac:dyDescent="0.25">
      <c r="A492" s="90" t="s">
        <v>1877</v>
      </c>
      <c r="B492" s="119">
        <v>5</v>
      </c>
      <c r="C492" s="90" t="s">
        <v>1876</v>
      </c>
      <c r="D492" s="90" t="s">
        <v>78</v>
      </c>
      <c r="E492">
        <v>976</v>
      </c>
      <c r="F492">
        <v>977</v>
      </c>
      <c r="G492" s="93" t="s">
        <v>78</v>
      </c>
      <c r="H492" t="s">
        <v>389</v>
      </c>
      <c r="I492">
        <v>1</v>
      </c>
      <c r="J492">
        <v>9012.9</v>
      </c>
      <c r="K492">
        <f>I492*J492</f>
        <v>9012.9</v>
      </c>
      <c r="L492">
        <v>85.6</v>
      </c>
      <c r="M492">
        <f>(1-(L492/100))*K492</f>
        <v>1297.8576</v>
      </c>
      <c r="N492" s="90">
        <v>492</v>
      </c>
      <c r="O492" s="90" t="s">
        <v>425</v>
      </c>
      <c r="P492" s="118"/>
      <c r="Q492" s="118"/>
    </row>
    <row r="493" spans="1:21" x14ac:dyDescent="0.25">
      <c r="A493" s="90" t="s">
        <v>1878</v>
      </c>
      <c r="B493" s="119">
        <v>3</v>
      </c>
      <c r="C493" s="90" t="s">
        <v>1804</v>
      </c>
      <c r="D493" s="90" t="s">
        <v>95</v>
      </c>
      <c r="E493">
        <v>980</v>
      </c>
      <c r="F493">
        <v>985</v>
      </c>
      <c r="G493" s="93" t="s">
        <v>68</v>
      </c>
      <c r="H493" t="s">
        <v>1879</v>
      </c>
      <c r="I493">
        <v>1</v>
      </c>
      <c r="J493">
        <f>SUM(K494)</f>
        <v>333.63045970000002</v>
      </c>
      <c r="K493">
        <f>I493*J493</f>
        <v>333.63045970000002</v>
      </c>
      <c r="L493">
        <f>100*(1-(M493/K493))</f>
        <v>85.6</v>
      </c>
      <c r="M493">
        <f>I493*SUM(M494)</f>
        <v>48.042786196800009</v>
      </c>
      <c r="N493" s="90">
        <v>493</v>
      </c>
      <c r="O493" s="90" t="s">
        <v>426</v>
      </c>
      <c r="P493" s="118"/>
      <c r="Q493" s="118"/>
      <c r="R493" s="90" t="s">
        <v>806</v>
      </c>
      <c r="S493" s="90" t="s">
        <v>875</v>
      </c>
      <c r="T493" s="90" t="s">
        <v>932</v>
      </c>
      <c r="U493" s="90" t="s">
        <v>835</v>
      </c>
    </row>
    <row r="494" spans="1:21" x14ac:dyDescent="0.25">
      <c r="A494" s="90" t="s">
        <v>1880</v>
      </c>
      <c r="B494" s="119">
        <v>4</v>
      </c>
      <c r="C494" s="90" t="s">
        <v>1878</v>
      </c>
      <c r="D494" s="90" t="s">
        <v>78</v>
      </c>
      <c r="E494">
        <v>981</v>
      </c>
      <c r="F494">
        <v>984</v>
      </c>
      <c r="G494" s="93" t="s">
        <v>68</v>
      </c>
      <c r="H494" t="s">
        <v>399</v>
      </c>
      <c r="I494">
        <v>1</v>
      </c>
      <c r="J494">
        <f>SUM(K495)</f>
        <v>333.63045970000002</v>
      </c>
      <c r="K494">
        <f>I494*J494</f>
        <v>333.63045970000002</v>
      </c>
      <c r="L494">
        <f>100*(1-(M494/K494))</f>
        <v>85.6</v>
      </c>
      <c r="M494">
        <f>I494*SUM(M495)</f>
        <v>48.042786196800009</v>
      </c>
      <c r="N494" s="90">
        <v>494</v>
      </c>
      <c r="O494" s="90" t="s">
        <v>427</v>
      </c>
      <c r="P494" s="118"/>
      <c r="Q494" s="118"/>
      <c r="R494" s="90" t="s">
        <v>4753</v>
      </c>
      <c r="S494" s="90" t="s">
        <v>5797</v>
      </c>
      <c r="T494" s="90" t="s">
        <v>6295</v>
      </c>
      <c r="U494" s="90" t="s">
        <v>5293</v>
      </c>
    </row>
    <row r="495" spans="1:21" x14ac:dyDescent="0.25">
      <c r="A495" s="90" t="s">
        <v>1881</v>
      </c>
      <c r="B495" s="119">
        <v>5</v>
      </c>
      <c r="C495" s="90" t="s">
        <v>1880</v>
      </c>
      <c r="D495" s="90" t="s">
        <v>78</v>
      </c>
      <c r="E495">
        <v>982</v>
      </c>
      <c r="F495">
        <v>983</v>
      </c>
      <c r="G495" s="93" t="s">
        <v>78</v>
      </c>
      <c r="H495" t="s">
        <v>401</v>
      </c>
      <c r="I495">
        <v>1</v>
      </c>
      <c r="J495">
        <v>333.63045970000002</v>
      </c>
      <c r="K495">
        <f>I495*J495</f>
        <v>333.63045970000002</v>
      </c>
      <c r="L495">
        <v>85.6</v>
      </c>
      <c r="M495">
        <f>(1-(L495/100))*K495</f>
        <v>48.042786196800009</v>
      </c>
      <c r="N495" s="90">
        <v>495</v>
      </c>
      <c r="O495" s="90" t="s">
        <v>428</v>
      </c>
      <c r="P495" s="118"/>
      <c r="Q495" s="118"/>
    </row>
    <row r="496" spans="1:21" x14ac:dyDescent="0.25">
      <c r="A496" s="90" t="s">
        <v>1882</v>
      </c>
      <c r="B496" s="119">
        <v>3</v>
      </c>
      <c r="C496" s="90" t="s">
        <v>1804</v>
      </c>
      <c r="D496" s="90" t="s">
        <v>96</v>
      </c>
      <c r="E496">
        <v>986</v>
      </c>
      <c r="F496">
        <v>991</v>
      </c>
      <c r="G496" s="93" t="s">
        <v>68</v>
      </c>
      <c r="H496" t="s">
        <v>1883</v>
      </c>
      <c r="I496">
        <v>1</v>
      </c>
      <c r="J496">
        <f>SUM(K497)</f>
        <v>1324.33464918</v>
      </c>
      <c r="K496">
        <f>I496*J496</f>
        <v>1324.33464918</v>
      </c>
      <c r="L496">
        <f>100*(1-(M496/K496))</f>
        <v>85.6</v>
      </c>
      <c r="M496">
        <f>I496*SUM(M497)</f>
        <v>190.70418948192003</v>
      </c>
      <c r="N496" s="90">
        <v>496</v>
      </c>
      <c r="O496" s="90" t="s">
        <v>429</v>
      </c>
      <c r="P496" s="118"/>
      <c r="Q496" s="118"/>
      <c r="R496" s="90" t="s">
        <v>807</v>
      </c>
      <c r="S496" s="90" t="s">
        <v>876</v>
      </c>
      <c r="T496" s="90" t="s">
        <v>933</v>
      </c>
      <c r="U496" s="90" t="s">
        <v>836</v>
      </c>
    </row>
    <row r="497" spans="1:21" x14ac:dyDescent="0.25">
      <c r="A497" s="90" t="s">
        <v>1884</v>
      </c>
      <c r="B497" s="119">
        <v>4</v>
      </c>
      <c r="C497" s="90" t="s">
        <v>1882</v>
      </c>
      <c r="D497" s="90" t="s">
        <v>78</v>
      </c>
      <c r="E497">
        <v>987</v>
      </c>
      <c r="F497">
        <v>990</v>
      </c>
      <c r="G497" s="93" t="s">
        <v>68</v>
      </c>
      <c r="H497" t="s">
        <v>418</v>
      </c>
      <c r="I497">
        <v>1</v>
      </c>
      <c r="J497">
        <f>SUM(K498)</f>
        <v>1324.33464918</v>
      </c>
      <c r="K497">
        <f>I497*J497</f>
        <v>1324.33464918</v>
      </c>
      <c r="L497">
        <f>100*(1-(M497/K497))</f>
        <v>85.6</v>
      </c>
      <c r="M497">
        <f>I497*SUM(M498)</f>
        <v>190.70418948192003</v>
      </c>
      <c r="N497" s="90">
        <v>497</v>
      </c>
      <c r="O497" s="90" t="s">
        <v>430</v>
      </c>
      <c r="P497" s="118"/>
      <c r="Q497" s="118"/>
      <c r="R497" s="90" t="s">
        <v>4754</v>
      </c>
      <c r="S497" s="90" t="s">
        <v>5798</v>
      </c>
      <c r="T497" s="90" t="s">
        <v>6296</v>
      </c>
      <c r="U497" s="90" t="s">
        <v>5294</v>
      </c>
    </row>
    <row r="498" spans="1:21" x14ac:dyDescent="0.25">
      <c r="A498" s="90" t="s">
        <v>1885</v>
      </c>
      <c r="B498" s="119">
        <v>5</v>
      </c>
      <c r="C498" s="90" t="s">
        <v>1884</v>
      </c>
      <c r="D498" s="90" t="s">
        <v>78</v>
      </c>
      <c r="E498">
        <v>988</v>
      </c>
      <c r="F498">
        <v>989</v>
      </c>
      <c r="G498" s="93" t="s">
        <v>78</v>
      </c>
      <c r="H498" t="s">
        <v>419</v>
      </c>
      <c r="I498">
        <v>1</v>
      </c>
      <c r="J498">
        <v>1324.33464918</v>
      </c>
      <c r="K498">
        <f>I498*J498</f>
        <v>1324.33464918</v>
      </c>
      <c r="L498">
        <v>85.6</v>
      </c>
      <c r="M498">
        <f>(1-(L498/100))*K498</f>
        <v>190.70418948192003</v>
      </c>
      <c r="N498" s="90">
        <v>498</v>
      </c>
      <c r="O498" s="90" t="s">
        <v>431</v>
      </c>
      <c r="P498" s="118"/>
      <c r="Q498" s="118"/>
    </row>
    <row r="499" spans="1:21" x14ac:dyDescent="0.25">
      <c r="A499" s="90" t="s">
        <v>1886</v>
      </c>
      <c r="B499" s="119">
        <v>2</v>
      </c>
      <c r="C499" s="90" t="s">
        <v>78</v>
      </c>
      <c r="D499" s="90" t="s">
        <v>797</v>
      </c>
      <c r="E499">
        <v>993</v>
      </c>
      <c r="F499">
        <v>1128</v>
      </c>
      <c r="G499" s="93" t="s">
        <v>68</v>
      </c>
      <c r="H499" t="s">
        <v>1887</v>
      </c>
      <c r="I499">
        <v>1</v>
      </c>
      <c r="J499">
        <f>SUM(K500,K544,K551,K561,K564)</f>
        <v>85085.67663187001</v>
      </c>
      <c r="K499">
        <f>I499*J499</f>
        <v>85085.67663187001</v>
      </c>
      <c r="L499">
        <f>100*(1-(M499/K499))</f>
        <v>47.68294083684691</v>
      </c>
      <c r="M499">
        <f>I499*SUM(M500,M544,M551,M561,M564)</f>
        <v>44514.323782864558</v>
      </c>
      <c r="N499" s="90">
        <v>499</v>
      </c>
      <c r="O499" s="90" t="s">
        <v>432</v>
      </c>
      <c r="P499" s="118"/>
      <c r="Q499" s="118"/>
      <c r="R499" s="90" t="s">
        <v>6963</v>
      </c>
      <c r="S499" s="90" t="s">
        <v>7059</v>
      </c>
      <c r="T499" s="90" t="s">
        <v>7105</v>
      </c>
      <c r="U499" s="90" t="s">
        <v>7012</v>
      </c>
    </row>
    <row r="500" spans="1:21" x14ac:dyDescent="0.25">
      <c r="A500" s="90" t="s">
        <v>1888</v>
      </c>
      <c r="B500" s="119">
        <v>3</v>
      </c>
      <c r="C500" s="90" t="s">
        <v>1886</v>
      </c>
      <c r="D500" s="90" t="s">
        <v>78</v>
      </c>
      <c r="E500">
        <v>994</v>
      </c>
      <c r="F500">
        <v>1081</v>
      </c>
      <c r="G500" s="93" t="s">
        <v>68</v>
      </c>
      <c r="H500" t="s">
        <v>1889</v>
      </c>
      <c r="I500">
        <v>1</v>
      </c>
      <c r="J500">
        <f>SUM(K501,K503,K505,K507,K509,K511,K513,K515,K517,K519,K521,K523,K540,K542)</f>
        <v>64161.494319380006</v>
      </c>
      <c r="K500">
        <f>I500*J500</f>
        <v>64161.494319380006</v>
      </c>
      <c r="L500">
        <f>100*(1-(M500/K500))</f>
        <v>40</v>
      </c>
      <c r="M500">
        <f>I500*SUM(M501,M503,M505,M507,M509,M511,M513,M515,M517,M519,M521,M523,M540,M542)</f>
        <v>38496.896591627999</v>
      </c>
      <c r="N500" s="90">
        <v>500</v>
      </c>
      <c r="O500" s="90" t="s">
        <v>434</v>
      </c>
      <c r="P500" s="118"/>
      <c r="Q500" s="118"/>
      <c r="R500" s="90" t="s">
        <v>6467</v>
      </c>
      <c r="S500" s="90" t="s">
        <v>995</v>
      </c>
      <c r="T500" s="90" t="s">
        <v>1022</v>
      </c>
      <c r="U500" s="90" t="s">
        <v>6619</v>
      </c>
    </row>
    <row r="501" spans="1:21" x14ac:dyDescent="0.25">
      <c r="A501" s="90" t="s">
        <v>1890</v>
      </c>
      <c r="B501" s="119">
        <v>4</v>
      </c>
      <c r="C501" s="90" t="s">
        <v>1888</v>
      </c>
      <c r="D501" s="90" t="s">
        <v>78</v>
      </c>
      <c r="E501">
        <v>995</v>
      </c>
      <c r="F501">
        <v>998</v>
      </c>
      <c r="G501" s="93" t="s">
        <v>68</v>
      </c>
      <c r="H501" t="s">
        <v>1809</v>
      </c>
      <c r="I501">
        <v>1</v>
      </c>
      <c r="J501">
        <f>SUM(K502)</f>
        <v>926.14287533000004</v>
      </c>
      <c r="K501">
        <f>I501*J501</f>
        <v>926.14287533000004</v>
      </c>
      <c r="L501">
        <f>100*(1-(M501/K501))</f>
        <v>40</v>
      </c>
      <c r="M501">
        <f>I501*SUM(M502)</f>
        <v>555.685725198</v>
      </c>
      <c r="N501" s="90">
        <v>501</v>
      </c>
      <c r="O501" s="90" t="s">
        <v>435</v>
      </c>
      <c r="P501" s="118"/>
      <c r="Q501" s="118"/>
      <c r="R501" s="90" t="s">
        <v>4755</v>
      </c>
      <c r="S501" s="90" t="s">
        <v>877</v>
      </c>
      <c r="T501" s="90" t="s">
        <v>934</v>
      </c>
      <c r="U501" s="90" t="s">
        <v>5295</v>
      </c>
    </row>
    <row r="502" spans="1:21" x14ac:dyDescent="0.25">
      <c r="A502" s="90" t="s">
        <v>1891</v>
      </c>
      <c r="B502" s="119">
        <v>5</v>
      </c>
      <c r="C502" s="90" t="s">
        <v>1890</v>
      </c>
      <c r="D502" s="90" t="s">
        <v>78</v>
      </c>
      <c r="E502">
        <v>996</v>
      </c>
      <c r="F502">
        <v>997</v>
      </c>
      <c r="G502" s="93" t="s">
        <v>78</v>
      </c>
      <c r="H502" t="s">
        <v>131</v>
      </c>
      <c r="I502">
        <v>1</v>
      </c>
      <c r="J502">
        <v>926.14287533000004</v>
      </c>
      <c r="K502">
        <f>I502*J502</f>
        <v>926.14287533000004</v>
      </c>
      <c r="L502">
        <v>40</v>
      </c>
      <c r="M502">
        <f>(1-(L502/100))*K502</f>
        <v>555.685725198</v>
      </c>
      <c r="N502" s="90">
        <v>502</v>
      </c>
      <c r="O502" s="90" t="s">
        <v>436</v>
      </c>
      <c r="P502" s="118"/>
      <c r="Q502" s="118"/>
    </row>
    <row r="503" spans="1:21" x14ac:dyDescent="0.25">
      <c r="A503" s="90" t="s">
        <v>1892</v>
      </c>
      <c r="B503" s="119">
        <v>4</v>
      </c>
      <c r="C503" s="90" t="s">
        <v>1888</v>
      </c>
      <c r="D503" s="90" t="s">
        <v>79</v>
      </c>
      <c r="E503">
        <v>999</v>
      </c>
      <c r="F503">
        <v>1002</v>
      </c>
      <c r="G503" s="93" t="s">
        <v>68</v>
      </c>
      <c r="H503" t="s">
        <v>1812</v>
      </c>
      <c r="I503">
        <v>1</v>
      </c>
      <c r="J503">
        <f>SUM(K504)</f>
        <v>1655.4183114699999</v>
      </c>
      <c r="K503">
        <f>I503*J503</f>
        <v>1655.4183114699999</v>
      </c>
      <c r="L503">
        <f>100*(1-(M503/K503))</f>
        <v>40</v>
      </c>
      <c r="M503">
        <f>I503*SUM(M504)</f>
        <v>993.25098688199989</v>
      </c>
      <c r="N503" s="90">
        <v>503</v>
      </c>
      <c r="O503" s="90" t="s">
        <v>437</v>
      </c>
      <c r="P503" s="118"/>
      <c r="Q503" s="118"/>
      <c r="R503" s="90" t="s">
        <v>4757</v>
      </c>
      <c r="S503" s="90" t="s">
        <v>5799</v>
      </c>
      <c r="T503" s="90" t="s">
        <v>6297</v>
      </c>
      <c r="U503" s="90" t="s">
        <v>5297</v>
      </c>
    </row>
    <row r="504" spans="1:21" x14ac:dyDescent="0.25">
      <c r="A504" s="90" t="s">
        <v>1893</v>
      </c>
      <c r="B504" s="119">
        <v>5</v>
      </c>
      <c r="C504" s="90" t="s">
        <v>1892</v>
      </c>
      <c r="D504" s="90" t="s">
        <v>78</v>
      </c>
      <c r="E504">
        <v>1000</v>
      </c>
      <c r="F504">
        <v>1001</v>
      </c>
      <c r="G504" s="93" t="s">
        <v>78</v>
      </c>
      <c r="H504" t="s">
        <v>694</v>
      </c>
      <c r="I504">
        <v>1</v>
      </c>
      <c r="J504">
        <v>1655.4183114699999</v>
      </c>
      <c r="K504">
        <f>I504*J504</f>
        <v>1655.4183114699999</v>
      </c>
      <c r="L504">
        <v>40</v>
      </c>
      <c r="M504">
        <f>(1-(L504/100))*K504</f>
        <v>993.25098688199989</v>
      </c>
      <c r="N504" s="90">
        <v>504</v>
      </c>
      <c r="O504" s="90" t="s">
        <v>438</v>
      </c>
      <c r="P504" s="118"/>
      <c r="Q504" s="118"/>
    </row>
    <row r="505" spans="1:21" x14ac:dyDescent="0.25">
      <c r="A505" s="90" t="s">
        <v>1894</v>
      </c>
      <c r="B505" s="119">
        <v>4</v>
      </c>
      <c r="C505" s="90" t="s">
        <v>1888</v>
      </c>
      <c r="D505" s="90" t="s">
        <v>80</v>
      </c>
      <c r="E505">
        <v>1003</v>
      </c>
      <c r="F505">
        <v>1006</v>
      </c>
      <c r="G505" s="93" t="s">
        <v>68</v>
      </c>
      <c r="H505" t="s">
        <v>1815</v>
      </c>
      <c r="I505">
        <v>3</v>
      </c>
      <c r="J505">
        <f>SUM(K506)</f>
        <v>491.93938622000002</v>
      </c>
      <c r="K505">
        <f>I505*J505</f>
        <v>1475.8181586600001</v>
      </c>
      <c r="L505">
        <f>100*(1-(M505/K505))</f>
        <v>40</v>
      </c>
      <c r="M505">
        <f>I505*SUM(M506)</f>
        <v>885.490895196</v>
      </c>
      <c r="N505" s="90">
        <v>505</v>
      </c>
      <c r="O505" s="90" t="s">
        <v>439</v>
      </c>
      <c r="P505" s="118"/>
      <c r="Q505" s="118"/>
      <c r="R505" s="90" t="s">
        <v>4758</v>
      </c>
      <c r="S505" s="90" t="s">
        <v>996</v>
      </c>
      <c r="T505" s="90" t="s">
        <v>1023</v>
      </c>
      <c r="U505" s="90" t="s">
        <v>5298</v>
      </c>
    </row>
    <row r="506" spans="1:21" x14ac:dyDescent="0.25">
      <c r="A506" s="90" t="s">
        <v>1895</v>
      </c>
      <c r="B506" s="119">
        <v>5</v>
      </c>
      <c r="C506" s="90" t="s">
        <v>1894</v>
      </c>
      <c r="D506" s="90" t="s">
        <v>78</v>
      </c>
      <c r="E506">
        <v>1004</v>
      </c>
      <c r="F506">
        <v>1005</v>
      </c>
      <c r="G506" s="93" t="s">
        <v>78</v>
      </c>
      <c r="H506" t="s">
        <v>126</v>
      </c>
      <c r="I506">
        <v>1</v>
      </c>
      <c r="J506">
        <v>491.93938622000002</v>
      </c>
      <c r="K506">
        <f>I506*J506</f>
        <v>491.93938622000002</v>
      </c>
      <c r="L506">
        <v>40</v>
      </c>
      <c r="M506">
        <f>(1-(L506/100))*K506</f>
        <v>295.163631732</v>
      </c>
      <c r="N506" s="90">
        <v>506</v>
      </c>
      <c r="O506" s="90" t="s">
        <v>440</v>
      </c>
      <c r="P506" s="118"/>
      <c r="Q506" s="118"/>
    </row>
    <row r="507" spans="1:21" x14ac:dyDescent="0.25">
      <c r="A507" s="90" t="s">
        <v>1896</v>
      </c>
      <c r="B507" s="119">
        <v>4</v>
      </c>
      <c r="C507" s="90" t="s">
        <v>1888</v>
      </c>
      <c r="D507" s="90" t="s">
        <v>95</v>
      </c>
      <c r="E507">
        <v>1007</v>
      </c>
      <c r="F507">
        <v>1010</v>
      </c>
      <c r="G507" s="93" t="s">
        <v>68</v>
      </c>
      <c r="H507" t="s">
        <v>1818</v>
      </c>
      <c r="I507">
        <v>4</v>
      </c>
      <c r="J507">
        <f>SUM(K508)</f>
        <v>313.76543995999998</v>
      </c>
      <c r="K507">
        <f>I507*J507</f>
        <v>1255.0617598399999</v>
      </c>
      <c r="L507">
        <f>100*(1-(M507/K507))</f>
        <v>40</v>
      </c>
      <c r="M507">
        <f>I507*SUM(M508)</f>
        <v>753.03705590399989</v>
      </c>
      <c r="N507" s="90">
        <v>507</v>
      </c>
      <c r="O507" s="90" t="s">
        <v>441</v>
      </c>
      <c r="P507" s="118"/>
      <c r="Q507" s="118"/>
      <c r="R507" s="90" t="s">
        <v>4759</v>
      </c>
      <c r="S507" s="90" t="s">
        <v>5800</v>
      </c>
      <c r="T507" s="90" t="s">
        <v>6298</v>
      </c>
      <c r="U507" s="90" t="s">
        <v>5299</v>
      </c>
    </row>
    <row r="508" spans="1:21" x14ac:dyDescent="0.25">
      <c r="A508" s="90" t="s">
        <v>1897</v>
      </c>
      <c r="B508" s="119">
        <v>5</v>
      </c>
      <c r="C508" s="90" t="s">
        <v>1896</v>
      </c>
      <c r="D508" s="90" t="s">
        <v>78</v>
      </c>
      <c r="E508">
        <v>1008</v>
      </c>
      <c r="F508">
        <v>1009</v>
      </c>
      <c r="G508" s="93" t="s">
        <v>78</v>
      </c>
      <c r="H508" t="s">
        <v>123</v>
      </c>
      <c r="I508">
        <v>1</v>
      </c>
      <c r="J508">
        <v>313.76543995999998</v>
      </c>
      <c r="K508">
        <f>I508*J508</f>
        <v>313.76543995999998</v>
      </c>
      <c r="L508">
        <v>40</v>
      </c>
      <c r="M508">
        <f>(1-(L508/100))*K508</f>
        <v>188.25926397599997</v>
      </c>
      <c r="N508" s="90">
        <v>508</v>
      </c>
      <c r="O508" s="90" t="s">
        <v>442</v>
      </c>
      <c r="P508" s="118"/>
      <c r="Q508" s="118"/>
    </row>
    <row r="509" spans="1:21" x14ac:dyDescent="0.25">
      <c r="A509" s="90" t="s">
        <v>1898</v>
      </c>
      <c r="B509" s="119">
        <v>4</v>
      </c>
      <c r="C509" s="90" t="s">
        <v>1888</v>
      </c>
      <c r="D509" s="90" t="s">
        <v>96</v>
      </c>
      <c r="E509">
        <v>1011</v>
      </c>
      <c r="F509">
        <v>1014</v>
      </c>
      <c r="G509" s="93" t="s">
        <v>68</v>
      </c>
      <c r="H509" t="s">
        <v>1821</v>
      </c>
      <c r="I509">
        <v>1</v>
      </c>
      <c r="J509">
        <f>SUM(K510)</f>
        <v>666.34407233000002</v>
      </c>
      <c r="K509">
        <f>I509*J509</f>
        <v>666.34407233000002</v>
      </c>
      <c r="L509">
        <f>100*(1-(M509/K509))</f>
        <v>40</v>
      </c>
      <c r="M509">
        <f>I509*SUM(M510)</f>
        <v>399.806443398</v>
      </c>
      <c r="N509" s="90">
        <v>509</v>
      </c>
      <c r="O509" s="90" t="s">
        <v>443</v>
      </c>
      <c r="P509" s="118"/>
      <c r="Q509" s="118"/>
      <c r="R509" s="90" t="s">
        <v>808</v>
      </c>
      <c r="S509" s="90" t="s">
        <v>878</v>
      </c>
      <c r="T509" s="90" t="s">
        <v>935</v>
      </c>
      <c r="U509" s="90" t="s">
        <v>837</v>
      </c>
    </row>
    <row r="510" spans="1:21" x14ac:dyDescent="0.25">
      <c r="A510" s="90" t="s">
        <v>1899</v>
      </c>
      <c r="B510" s="119">
        <v>5</v>
      </c>
      <c r="C510" s="90" t="s">
        <v>1898</v>
      </c>
      <c r="D510" s="90" t="s">
        <v>78</v>
      </c>
      <c r="E510">
        <v>1012</v>
      </c>
      <c r="F510">
        <v>1013</v>
      </c>
      <c r="G510" s="93" t="s">
        <v>78</v>
      </c>
      <c r="H510" t="s">
        <v>698</v>
      </c>
      <c r="I510">
        <v>1</v>
      </c>
      <c r="J510">
        <v>666.34407233000002</v>
      </c>
      <c r="K510">
        <f>I510*J510</f>
        <v>666.34407233000002</v>
      </c>
      <c r="L510">
        <v>40</v>
      </c>
      <c r="M510">
        <f>(1-(L510/100))*K510</f>
        <v>399.806443398</v>
      </c>
      <c r="N510" s="90">
        <v>510</v>
      </c>
      <c r="O510" s="90" t="s">
        <v>444</v>
      </c>
      <c r="P510" s="118"/>
      <c r="Q510" s="118"/>
    </row>
    <row r="511" spans="1:21" x14ac:dyDescent="0.25">
      <c r="A511" s="90" t="s">
        <v>1900</v>
      </c>
      <c r="B511" s="119">
        <v>4</v>
      </c>
      <c r="C511" s="90" t="s">
        <v>1888</v>
      </c>
      <c r="D511" s="90" t="s">
        <v>103</v>
      </c>
      <c r="E511">
        <v>1015</v>
      </c>
      <c r="F511">
        <v>1018</v>
      </c>
      <c r="G511" s="93" t="s">
        <v>68</v>
      </c>
      <c r="H511" t="s">
        <v>1240</v>
      </c>
      <c r="I511">
        <v>1</v>
      </c>
      <c r="J511">
        <f>SUM(K512)</f>
        <v>700.36928562000003</v>
      </c>
      <c r="K511">
        <f>I511*J511</f>
        <v>700.36928562000003</v>
      </c>
      <c r="L511">
        <f>100*(1-(M511/K511))</f>
        <v>40</v>
      </c>
      <c r="M511">
        <f>I511*SUM(M512)</f>
        <v>420.22157137200003</v>
      </c>
      <c r="N511" s="90">
        <v>511</v>
      </c>
      <c r="O511" s="90" t="s">
        <v>445</v>
      </c>
      <c r="P511" s="118"/>
      <c r="Q511" s="118"/>
      <c r="R511" s="90" t="s">
        <v>809</v>
      </c>
      <c r="S511" s="90" t="s">
        <v>879</v>
      </c>
      <c r="T511" s="90" t="s">
        <v>936</v>
      </c>
      <c r="U511" s="90" t="s">
        <v>838</v>
      </c>
    </row>
    <row r="512" spans="1:21" x14ac:dyDescent="0.25">
      <c r="A512" s="90" t="s">
        <v>1901</v>
      </c>
      <c r="B512" s="119">
        <v>5</v>
      </c>
      <c r="C512" s="90" t="s">
        <v>1900</v>
      </c>
      <c r="D512" s="90" t="s">
        <v>78</v>
      </c>
      <c r="E512">
        <v>1016</v>
      </c>
      <c r="F512">
        <v>1017</v>
      </c>
      <c r="G512" s="93" t="s">
        <v>78</v>
      </c>
      <c r="H512" t="s">
        <v>1243</v>
      </c>
      <c r="I512">
        <v>1</v>
      </c>
      <c r="J512">
        <v>700.36928562000003</v>
      </c>
      <c r="K512">
        <f>I512*J512</f>
        <v>700.36928562000003</v>
      </c>
      <c r="L512">
        <v>40</v>
      </c>
      <c r="M512">
        <f>(1-(L512/100))*K512</f>
        <v>420.22157137200003</v>
      </c>
      <c r="N512" s="90">
        <v>512</v>
      </c>
      <c r="O512" s="90" t="s">
        <v>1098</v>
      </c>
      <c r="P512" s="118"/>
      <c r="Q512" s="118"/>
    </row>
    <row r="513" spans="1:21" x14ac:dyDescent="0.25">
      <c r="A513" s="90" t="s">
        <v>1902</v>
      </c>
      <c r="B513" s="119">
        <v>4</v>
      </c>
      <c r="C513" s="90" t="s">
        <v>1888</v>
      </c>
      <c r="D513" s="90" t="s">
        <v>796</v>
      </c>
      <c r="E513">
        <v>1019</v>
      </c>
      <c r="F513">
        <v>1022</v>
      </c>
      <c r="G513" s="93" t="s">
        <v>68</v>
      </c>
      <c r="H513" t="s">
        <v>1246</v>
      </c>
      <c r="I513">
        <v>4</v>
      </c>
      <c r="J513">
        <f>SUM(K514)</f>
        <v>967.93582071000003</v>
      </c>
      <c r="K513">
        <f>I513*J513</f>
        <v>3871.7432828400001</v>
      </c>
      <c r="L513">
        <f>100*(1-(M513/K513))</f>
        <v>40</v>
      </c>
      <c r="M513">
        <f>I513*SUM(M514)</f>
        <v>2323.0459697040001</v>
      </c>
      <c r="N513" s="90">
        <v>513</v>
      </c>
      <c r="O513" s="90" t="s">
        <v>446</v>
      </c>
      <c r="P513" s="118"/>
      <c r="Q513" s="118"/>
      <c r="R513" s="90" t="s">
        <v>810</v>
      </c>
      <c r="S513" s="90" t="s">
        <v>880</v>
      </c>
      <c r="T513" s="90" t="s">
        <v>937</v>
      </c>
      <c r="U513" s="90" t="s">
        <v>839</v>
      </c>
    </row>
    <row r="514" spans="1:21" x14ac:dyDescent="0.25">
      <c r="A514" s="90" t="s">
        <v>1903</v>
      </c>
      <c r="B514" s="119">
        <v>5</v>
      </c>
      <c r="C514" s="90" t="s">
        <v>1902</v>
      </c>
      <c r="D514" s="90" t="s">
        <v>78</v>
      </c>
      <c r="E514">
        <v>1020</v>
      </c>
      <c r="F514">
        <v>1021</v>
      </c>
      <c r="G514" s="93" t="s">
        <v>78</v>
      </c>
      <c r="H514" t="s">
        <v>120</v>
      </c>
      <c r="I514">
        <v>1</v>
      </c>
      <c r="J514">
        <v>967.93582071000003</v>
      </c>
      <c r="K514">
        <f>I514*J514</f>
        <v>967.93582071000003</v>
      </c>
      <c r="L514">
        <v>40</v>
      </c>
      <c r="M514">
        <f>(1-(L514/100))*K514</f>
        <v>580.76149242600002</v>
      </c>
      <c r="N514" s="90">
        <v>514</v>
      </c>
      <c r="O514" s="90" t="s">
        <v>1099</v>
      </c>
      <c r="P514" s="118"/>
      <c r="Q514" s="118"/>
    </row>
    <row r="515" spans="1:21" x14ac:dyDescent="0.25">
      <c r="A515" s="90" t="s">
        <v>1904</v>
      </c>
      <c r="B515" s="119">
        <v>4</v>
      </c>
      <c r="C515" s="90" t="s">
        <v>1888</v>
      </c>
      <c r="D515" s="90" t="s">
        <v>797</v>
      </c>
      <c r="E515">
        <v>1023</v>
      </c>
      <c r="F515">
        <v>1026</v>
      </c>
      <c r="G515" s="93" t="s">
        <v>68</v>
      </c>
      <c r="H515" t="s">
        <v>106</v>
      </c>
      <c r="I515">
        <v>2</v>
      </c>
      <c r="J515">
        <f>SUM(K516)</f>
        <v>5209</v>
      </c>
      <c r="K515">
        <f>I515*J515</f>
        <v>10418</v>
      </c>
      <c r="L515">
        <f>100*(1-(M515/K515))</f>
        <v>40</v>
      </c>
      <c r="M515">
        <f>I515*SUM(M516)</f>
        <v>6250.8</v>
      </c>
      <c r="N515" s="90">
        <v>515</v>
      </c>
      <c r="O515" s="90" t="s">
        <v>447</v>
      </c>
      <c r="P515" s="118"/>
      <c r="Q515" s="118"/>
      <c r="R515" s="90" t="s">
        <v>4760</v>
      </c>
      <c r="S515" s="90" t="s">
        <v>997</v>
      </c>
      <c r="T515" s="90" t="s">
        <v>1024</v>
      </c>
      <c r="U515" s="90" t="s">
        <v>5300</v>
      </c>
    </row>
    <row r="516" spans="1:21" x14ac:dyDescent="0.25">
      <c r="A516" s="90" t="s">
        <v>1905</v>
      </c>
      <c r="B516" s="119">
        <v>5</v>
      </c>
      <c r="C516" s="90" t="s">
        <v>1904</v>
      </c>
      <c r="D516" s="90" t="s">
        <v>78</v>
      </c>
      <c r="E516">
        <v>1024</v>
      </c>
      <c r="F516">
        <v>1025</v>
      </c>
      <c r="G516" s="93" t="s">
        <v>78</v>
      </c>
      <c r="H516" t="s">
        <v>107</v>
      </c>
      <c r="I516">
        <v>1</v>
      </c>
      <c r="J516">
        <v>5209</v>
      </c>
      <c r="K516">
        <f>I516*J516</f>
        <v>5209</v>
      </c>
      <c r="L516">
        <v>40</v>
      </c>
      <c r="M516">
        <f>(1-(L516/100))*K516</f>
        <v>3125.4</v>
      </c>
      <c r="N516" s="90">
        <v>516</v>
      </c>
      <c r="O516" s="90" t="s">
        <v>1100</v>
      </c>
      <c r="P516" s="118"/>
      <c r="Q516" s="118"/>
    </row>
    <row r="517" spans="1:21" x14ac:dyDescent="0.25">
      <c r="A517" s="90" t="s">
        <v>1906</v>
      </c>
      <c r="B517" s="119">
        <v>4</v>
      </c>
      <c r="C517" s="90" t="s">
        <v>1888</v>
      </c>
      <c r="D517" s="90" t="s">
        <v>798</v>
      </c>
      <c r="E517">
        <v>1027</v>
      </c>
      <c r="F517">
        <v>1030</v>
      </c>
      <c r="G517" s="93" t="s">
        <v>68</v>
      </c>
      <c r="H517" t="s">
        <v>1266</v>
      </c>
      <c r="I517">
        <v>1</v>
      </c>
      <c r="J517">
        <f>SUM(K518)</f>
        <v>9312.3647013900008</v>
      </c>
      <c r="K517">
        <f>I517*J517</f>
        <v>9312.3647013900008</v>
      </c>
      <c r="L517">
        <f>100*(1-(M517/K517))</f>
        <v>40</v>
      </c>
      <c r="M517">
        <f>I517*SUM(M518)</f>
        <v>5587.4188208340001</v>
      </c>
      <c r="N517" s="90">
        <v>517</v>
      </c>
      <c r="O517" s="90" t="s">
        <v>450</v>
      </c>
      <c r="P517" s="118"/>
      <c r="Q517" s="118"/>
      <c r="R517" s="90" t="s">
        <v>4761</v>
      </c>
      <c r="S517" s="90" t="s">
        <v>5801</v>
      </c>
      <c r="T517" s="90" t="s">
        <v>6299</v>
      </c>
      <c r="U517" s="90" t="s">
        <v>5301</v>
      </c>
    </row>
    <row r="518" spans="1:21" x14ac:dyDescent="0.25">
      <c r="A518" s="90" t="s">
        <v>1907</v>
      </c>
      <c r="B518" s="119">
        <v>5</v>
      </c>
      <c r="C518" s="90" t="s">
        <v>1906</v>
      </c>
      <c r="D518" s="90" t="s">
        <v>78</v>
      </c>
      <c r="E518">
        <v>1028</v>
      </c>
      <c r="F518">
        <v>1029</v>
      </c>
      <c r="G518" s="93" t="s">
        <v>78</v>
      </c>
      <c r="H518" t="s">
        <v>1269</v>
      </c>
      <c r="I518">
        <v>1</v>
      </c>
      <c r="J518">
        <v>9312.3647013900008</v>
      </c>
      <c r="K518">
        <f>I518*J518</f>
        <v>9312.3647013900008</v>
      </c>
      <c r="L518">
        <v>40</v>
      </c>
      <c r="M518">
        <f>(1-(L518/100))*K518</f>
        <v>5587.4188208340001</v>
      </c>
      <c r="N518" s="90">
        <v>518</v>
      </c>
      <c r="O518" s="90" t="s">
        <v>451</v>
      </c>
      <c r="P518" s="118"/>
      <c r="Q518" s="118"/>
    </row>
    <row r="519" spans="1:21" x14ac:dyDescent="0.25">
      <c r="A519" s="90" t="s">
        <v>1908</v>
      </c>
      <c r="B519" s="119">
        <v>4</v>
      </c>
      <c r="C519" s="90" t="s">
        <v>1888</v>
      </c>
      <c r="D519" s="90" t="s">
        <v>799</v>
      </c>
      <c r="E519">
        <v>1031</v>
      </c>
      <c r="F519">
        <v>1034</v>
      </c>
      <c r="G519" s="93" t="s">
        <v>68</v>
      </c>
      <c r="H519" t="s">
        <v>1638</v>
      </c>
      <c r="I519">
        <v>1</v>
      </c>
      <c r="J519">
        <f>SUM(K520)</f>
        <v>1980.13</v>
      </c>
      <c r="K519">
        <f>I519*J519</f>
        <v>1980.13</v>
      </c>
      <c r="L519">
        <f>100*(1-(M519/K519))</f>
        <v>40</v>
      </c>
      <c r="M519">
        <f>I519*SUM(M520)</f>
        <v>1188.078</v>
      </c>
      <c r="N519" s="90">
        <v>519</v>
      </c>
      <c r="O519" s="90" t="s">
        <v>453</v>
      </c>
      <c r="P519" s="118"/>
      <c r="Q519" s="118"/>
      <c r="R519" s="90" t="s">
        <v>811</v>
      </c>
      <c r="S519" s="90" t="s">
        <v>881</v>
      </c>
      <c r="T519" s="90" t="s">
        <v>938</v>
      </c>
      <c r="U519" s="90" t="s">
        <v>840</v>
      </c>
    </row>
    <row r="520" spans="1:21" x14ac:dyDescent="0.25">
      <c r="A520" s="90" t="s">
        <v>1909</v>
      </c>
      <c r="B520" s="119">
        <v>5</v>
      </c>
      <c r="C520" s="90" t="s">
        <v>1908</v>
      </c>
      <c r="D520" s="90" t="s">
        <v>78</v>
      </c>
      <c r="E520">
        <v>1032</v>
      </c>
      <c r="F520">
        <v>1033</v>
      </c>
      <c r="G520" s="93" t="s">
        <v>78</v>
      </c>
      <c r="H520" t="s">
        <v>1638</v>
      </c>
      <c r="I520">
        <v>1</v>
      </c>
      <c r="J520">
        <v>1980.13</v>
      </c>
      <c r="K520">
        <f>I520*J520</f>
        <v>1980.13</v>
      </c>
      <c r="L520">
        <v>40</v>
      </c>
      <c r="M520">
        <f>(1-(L520/100))*K520</f>
        <v>1188.078</v>
      </c>
      <c r="N520" s="90">
        <v>520</v>
      </c>
      <c r="O520" s="90" t="s">
        <v>454</v>
      </c>
      <c r="P520" s="118"/>
      <c r="Q520" s="118"/>
    </row>
    <row r="521" spans="1:21" x14ac:dyDescent="0.25">
      <c r="A521" s="90" t="s">
        <v>1910</v>
      </c>
      <c r="B521" s="119">
        <v>4</v>
      </c>
      <c r="C521" s="90" t="s">
        <v>1888</v>
      </c>
      <c r="D521" s="90" t="s">
        <v>97</v>
      </c>
      <c r="E521">
        <v>1035</v>
      </c>
      <c r="F521">
        <v>1038</v>
      </c>
      <c r="G521" s="93" t="s">
        <v>68</v>
      </c>
      <c r="H521" t="s">
        <v>1272</v>
      </c>
      <c r="I521">
        <v>2</v>
      </c>
      <c r="J521">
        <f>SUM(K522)</f>
        <v>1308.5572392700001</v>
      </c>
      <c r="K521">
        <f>I521*J521</f>
        <v>2617.1144785400002</v>
      </c>
      <c r="L521">
        <f>100*(1-(M521/K521))</f>
        <v>40</v>
      </c>
      <c r="M521">
        <f>I521*SUM(M522)</f>
        <v>1570.2686871240001</v>
      </c>
      <c r="N521" s="90">
        <v>521</v>
      </c>
      <c r="O521" s="90" t="s">
        <v>456</v>
      </c>
      <c r="P521" s="118"/>
      <c r="Q521" s="118"/>
      <c r="R521" s="90" t="s">
        <v>812</v>
      </c>
      <c r="S521" s="90" t="s">
        <v>882</v>
      </c>
      <c r="T521" s="90" t="s">
        <v>939</v>
      </c>
      <c r="U521" s="90" t="s">
        <v>841</v>
      </c>
    </row>
    <row r="522" spans="1:21" x14ac:dyDescent="0.25">
      <c r="A522" s="90" t="s">
        <v>1911</v>
      </c>
      <c r="B522" s="119">
        <v>5</v>
      </c>
      <c r="C522" s="90" t="s">
        <v>1910</v>
      </c>
      <c r="D522" s="90" t="s">
        <v>78</v>
      </c>
      <c r="E522">
        <v>1036</v>
      </c>
      <c r="F522">
        <v>1037</v>
      </c>
      <c r="G522" s="93" t="s">
        <v>78</v>
      </c>
      <c r="H522" t="s">
        <v>1272</v>
      </c>
      <c r="I522">
        <v>1</v>
      </c>
      <c r="J522">
        <v>1308.5572392700001</v>
      </c>
      <c r="K522">
        <f>I522*J522</f>
        <v>1308.5572392700001</v>
      </c>
      <c r="L522">
        <v>40</v>
      </c>
      <c r="M522">
        <f>(1-(L522/100))*K522</f>
        <v>785.13434356200003</v>
      </c>
      <c r="N522" s="90">
        <v>522</v>
      </c>
      <c r="O522" s="90" t="s">
        <v>457</v>
      </c>
      <c r="P522" s="118"/>
      <c r="Q522" s="118"/>
    </row>
    <row r="523" spans="1:21" x14ac:dyDescent="0.25">
      <c r="A523" s="90" t="s">
        <v>1912</v>
      </c>
      <c r="B523" s="119">
        <v>4</v>
      </c>
      <c r="C523" s="90" t="s">
        <v>1888</v>
      </c>
      <c r="D523" s="90" t="s">
        <v>98</v>
      </c>
      <c r="E523">
        <v>1039</v>
      </c>
      <c r="F523">
        <v>1072</v>
      </c>
      <c r="G523" s="93" t="s">
        <v>68</v>
      </c>
      <c r="H523" t="s">
        <v>1836</v>
      </c>
      <c r="I523">
        <v>1</v>
      </c>
      <c r="J523">
        <f>SUM(K524,K525,K526,K527,K528,K529,K530,K531,K532,K533,K534,K535,K536,K537,K538,K539)</f>
        <v>11904.940786960002</v>
      </c>
      <c r="K523">
        <f>I523*J523</f>
        <v>11904.940786960002</v>
      </c>
      <c r="L523">
        <f>100*(1-(M523/K523))</f>
        <v>40.000000000000021</v>
      </c>
      <c r="M523">
        <f>I523*SUM(M524,M525,M526,M527,M528,M529,M530,M531,M532,M533,M534,M535,M536,M537,M538,M539)</f>
        <v>7142.9644721759987</v>
      </c>
      <c r="N523" s="90">
        <v>523</v>
      </c>
      <c r="O523" s="90" t="s">
        <v>459</v>
      </c>
      <c r="P523" s="118"/>
      <c r="Q523" s="118"/>
      <c r="R523" s="90" t="s">
        <v>4756</v>
      </c>
      <c r="S523" s="90" t="s">
        <v>883</v>
      </c>
      <c r="T523" s="90" t="s">
        <v>940</v>
      </c>
      <c r="U523" s="90" t="s">
        <v>5296</v>
      </c>
    </row>
    <row r="524" spans="1:21" x14ac:dyDescent="0.25">
      <c r="A524" s="90" t="s">
        <v>1913</v>
      </c>
      <c r="B524" s="119">
        <v>5</v>
      </c>
      <c r="C524" s="90" t="s">
        <v>1912</v>
      </c>
      <c r="D524" s="90" t="s">
        <v>78</v>
      </c>
      <c r="E524">
        <v>1040</v>
      </c>
      <c r="F524">
        <v>1041</v>
      </c>
      <c r="G524" s="93" t="s">
        <v>78</v>
      </c>
      <c r="H524" t="s">
        <v>126</v>
      </c>
      <c r="I524">
        <v>1</v>
      </c>
      <c r="J524">
        <v>491.93938622000002</v>
      </c>
      <c r="K524">
        <f>I524*J524</f>
        <v>491.93938622000002</v>
      </c>
      <c r="L524">
        <v>40</v>
      </c>
      <c r="M524">
        <f>(1-(L524/100))*K524</f>
        <v>295.163631732</v>
      </c>
      <c r="N524" s="90">
        <v>524</v>
      </c>
      <c r="O524" s="90" t="s">
        <v>460</v>
      </c>
      <c r="P524" s="118"/>
      <c r="Q524" s="118"/>
    </row>
    <row r="525" spans="1:21" x14ac:dyDescent="0.25">
      <c r="A525" s="90" t="s">
        <v>1914</v>
      </c>
      <c r="B525" s="119">
        <v>5</v>
      </c>
      <c r="C525" s="90" t="s">
        <v>1912</v>
      </c>
      <c r="D525" s="90" t="s">
        <v>79</v>
      </c>
      <c r="E525">
        <v>1042</v>
      </c>
      <c r="F525">
        <v>1043</v>
      </c>
      <c r="G525" s="93" t="s">
        <v>78</v>
      </c>
      <c r="H525" t="s">
        <v>131</v>
      </c>
      <c r="I525">
        <v>1</v>
      </c>
      <c r="J525">
        <v>926.14287533000004</v>
      </c>
      <c r="K525">
        <f>I525*J525</f>
        <v>926.14287533000004</v>
      </c>
      <c r="L525">
        <v>40</v>
      </c>
      <c r="M525">
        <f>(1-(L525/100))*K525</f>
        <v>555.685725198</v>
      </c>
      <c r="N525" s="90">
        <v>525</v>
      </c>
      <c r="O525" s="90" t="s">
        <v>461</v>
      </c>
      <c r="P525" s="118"/>
      <c r="Q525" s="118"/>
    </row>
    <row r="526" spans="1:21" x14ac:dyDescent="0.25">
      <c r="A526" s="90" t="s">
        <v>1915</v>
      </c>
      <c r="B526" s="119">
        <v>5</v>
      </c>
      <c r="C526" s="90" t="s">
        <v>1912</v>
      </c>
      <c r="D526" s="90" t="s">
        <v>80</v>
      </c>
      <c r="E526">
        <v>1044</v>
      </c>
      <c r="F526">
        <v>1045</v>
      </c>
      <c r="G526" s="93" t="s">
        <v>78</v>
      </c>
      <c r="H526" t="s">
        <v>123</v>
      </c>
      <c r="I526">
        <v>3</v>
      </c>
      <c r="J526">
        <v>313.76543995999998</v>
      </c>
      <c r="K526">
        <f>I526*J526</f>
        <v>941.29631987999994</v>
      </c>
      <c r="L526">
        <v>40</v>
      </c>
      <c r="M526">
        <f>(1-(L526/100))*K526</f>
        <v>564.77779192799994</v>
      </c>
      <c r="N526" s="90">
        <v>526</v>
      </c>
      <c r="O526" s="90" t="s">
        <v>462</v>
      </c>
      <c r="P526" s="118"/>
      <c r="Q526" s="118"/>
    </row>
    <row r="527" spans="1:21" x14ac:dyDescent="0.25">
      <c r="A527" s="90" t="s">
        <v>1916</v>
      </c>
      <c r="B527" s="119">
        <v>5</v>
      </c>
      <c r="C527" s="90" t="s">
        <v>1912</v>
      </c>
      <c r="D527" s="90" t="s">
        <v>95</v>
      </c>
      <c r="E527">
        <v>1046</v>
      </c>
      <c r="F527">
        <v>1047</v>
      </c>
      <c r="G527" s="93" t="s">
        <v>78</v>
      </c>
      <c r="H527" t="s">
        <v>132</v>
      </c>
      <c r="I527">
        <v>1</v>
      </c>
      <c r="J527">
        <v>5940.1629950300003</v>
      </c>
      <c r="K527">
        <f>I527*J527</f>
        <v>5940.1629950300003</v>
      </c>
      <c r="L527">
        <v>40</v>
      </c>
      <c r="M527">
        <f>(1-(L527/100))*K527</f>
        <v>3564.0977970180002</v>
      </c>
      <c r="N527" s="90">
        <v>527</v>
      </c>
      <c r="O527" s="90" t="s">
        <v>463</v>
      </c>
      <c r="P527" s="118"/>
      <c r="Q527" s="118"/>
    </row>
    <row r="528" spans="1:21" x14ac:dyDescent="0.25">
      <c r="A528" s="90" t="s">
        <v>1917</v>
      </c>
      <c r="B528" s="119">
        <v>5</v>
      </c>
      <c r="C528" s="90" t="s">
        <v>1912</v>
      </c>
      <c r="D528" s="90" t="s">
        <v>96</v>
      </c>
      <c r="E528">
        <v>1048</v>
      </c>
      <c r="F528">
        <v>1049</v>
      </c>
      <c r="G528" s="93" t="s">
        <v>78</v>
      </c>
      <c r="H528" t="s">
        <v>133</v>
      </c>
      <c r="I528">
        <v>0</v>
      </c>
      <c r="J528">
        <v>1527.53087992</v>
      </c>
      <c r="K528">
        <f>I528*J528</f>
        <v>0</v>
      </c>
      <c r="L528">
        <v>40</v>
      </c>
      <c r="M528">
        <f>(1-(L528/100))*K528</f>
        <v>0</v>
      </c>
      <c r="N528" s="90">
        <v>528</v>
      </c>
      <c r="O528" s="90" t="s">
        <v>464</v>
      </c>
      <c r="P528" s="118"/>
      <c r="Q528" s="118"/>
    </row>
    <row r="529" spans="1:21" x14ac:dyDescent="0.25">
      <c r="A529" s="90" t="s">
        <v>1918</v>
      </c>
      <c r="B529" s="119">
        <v>5</v>
      </c>
      <c r="C529" s="90" t="s">
        <v>1912</v>
      </c>
      <c r="D529" s="90" t="s">
        <v>103</v>
      </c>
      <c r="E529">
        <v>1050</v>
      </c>
      <c r="F529">
        <v>1051</v>
      </c>
      <c r="G529" s="93" t="s">
        <v>78</v>
      </c>
      <c r="H529" t="s">
        <v>119</v>
      </c>
      <c r="I529">
        <v>1</v>
      </c>
      <c r="J529">
        <v>594.85546925000006</v>
      </c>
      <c r="K529">
        <f>I529*J529</f>
        <v>594.85546925000006</v>
      </c>
      <c r="L529">
        <v>40</v>
      </c>
      <c r="M529">
        <f>(1-(L529/100))*K529</f>
        <v>356.91328155000002</v>
      </c>
      <c r="N529" s="90">
        <v>529</v>
      </c>
      <c r="O529" s="90" t="s">
        <v>465</v>
      </c>
      <c r="P529" s="118"/>
      <c r="Q529" s="118"/>
    </row>
    <row r="530" spans="1:21" x14ac:dyDescent="0.25">
      <c r="A530" s="90" t="s">
        <v>1919</v>
      </c>
      <c r="B530" s="119">
        <v>5</v>
      </c>
      <c r="C530" s="90" t="s">
        <v>1912</v>
      </c>
      <c r="D530" s="90" t="s">
        <v>796</v>
      </c>
      <c r="E530">
        <v>1052</v>
      </c>
      <c r="F530">
        <v>1053</v>
      </c>
      <c r="G530" s="93" t="s">
        <v>78</v>
      </c>
      <c r="H530" t="s">
        <v>107</v>
      </c>
      <c r="I530">
        <v>0</v>
      </c>
      <c r="J530">
        <v>5209</v>
      </c>
      <c r="K530">
        <f>I530*J530</f>
        <v>0</v>
      </c>
      <c r="L530">
        <v>40</v>
      </c>
      <c r="M530">
        <f>(1-(L530/100))*K530</f>
        <v>0</v>
      </c>
      <c r="N530" s="90">
        <v>530</v>
      </c>
      <c r="O530" s="90" t="s">
        <v>466</v>
      </c>
      <c r="P530" s="118"/>
      <c r="Q530" s="118"/>
    </row>
    <row r="531" spans="1:21" x14ac:dyDescent="0.25">
      <c r="A531" s="90" t="s">
        <v>1920</v>
      </c>
      <c r="B531" s="119">
        <v>5</v>
      </c>
      <c r="C531" s="90" t="s">
        <v>1912</v>
      </c>
      <c r="D531" s="90" t="s">
        <v>797</v>
      </c>
      <c r="E531">
        <v>1054</v>
      </c>
      <c r="F531">
        <v>1055</v>
      </c>
      <c r="G531" s="93" t="s">
        <v>78</v>
      </c>
      <c r="H531" t="s">
        <v>127</v>
      </c>
      <c r="I531">
        <v>1</v>
      </c>
      <c r="J531">
        <v>275.43613906000002</v>
      </c>
      <c r="K531">
        <f>I531*J531</f>
        <v>275.43613906000002</v>
      </c>
      <c r="L531">
        <v>40</v>
      </c>
      <c r="M531">
        <f>(1-(L531/100))*K531</f>
        <v>165.261683436</v>
      </c>
      <c r="N531" s="90">
        <v>531</v>
      </c>
      <c r="O531" s="90" t="s">
        <v>467</v>
      </c>
      <c r="P531" s="118"/>
      <c r="Q531" s="118"/>
    </row>
    <row r="532" spans="1:21" x14ac:dyDescent="0.25">
      <c r="A532" s="90" t="s">
        <v>1921</v>
      </c>
      <c r="B532" s="119">
        <v>5</v>
      </c>
      <c r="C532" s="90" t="s">
        <v>1912</v>
      </c>
      <c r="D532" s="90" t="s">
        <v>798</v>
      </c>
      <c r="E532">
        <v>1056</v>
      </c>
      <c r="F532">
        <v>1057</v>
      </c>
      <c r="G532" s="93" t="s">
        <v>78</v>
      </c>
      <c r="H532" t="s">
        <v>121</v>
      </c>
      <c r="I532">
        <v>1</v>
      </c>
      <c r="J532">
        <v>78.186680249999995</v>
      </c>
      <c r="K532">
        <f>I532*J532</f>
        <v>78.186680249999995</v>
      </c>
      <c r="L532">
        <v>40</v>
      </c>
      <c r="M532">
        <f>(1-(L532/100))*K532</f>
        <v>46.912008149999998</v>
      </c>
      <c r="N532" s="90">
        <v>532</v>
      </c>
      <c r="O532" s="90" t="s">
        <v>469</v>
      </c>
      <c r="P532" s="118"/>
      <c r="Q532" s="118"/>
    </row>
    <row r="533" spans="1:21" x14ac:dyDescent="0.25">
      <c r="A533" s="90" t="s">
        <v>1922</v>
      </c>
      <c r="B533" s="119">
        <v>5</v>
      </c>
      <c r="C533" s="90" t="s">
        <v>1912</v>
      </c>
      <c r="D533" s="90" t="s">
        <v>799</v>
      </c>
      <c r="E533">
        <v>1058</v>
      </c>
      <c r="F533">
        <v>1059</v>
      </c>
      <c r="G533" s="93" t="s">
        <v>78</v>
      </c>
      <c r="H533" t="s">
        <v>122</v>
      </c>
      <c r="I533">
        <v>1</v>
      </c>
      <c r="J533">
        <v>823.90169361999995</v>
      </c>
      <c r="K533">
        <f>I533*J533</f>
        <v>823.90169361999995</v>
      </c>
      <c r="L533">
        <v>40</v>
      </c>
      <c r="M533">
        <f>(1-(L533/100))*K533</f>
        <v>494.34101617199997</v>
      </c>
      <c r="N533" s="90">
        <v>533</v>
      </c>
      <c r="O533" s="90" t="s">
        <v>471</v>
      </c>
      <c r="P533" s="118"/>
      <c r="Q533" s="118"/>
    </row>
    <row r="534" spans="1:21" x14ac:dyDescent="0.25">
      <c r="A534" s="90" t="s">
        <v>1923</v>
      </c>
      <c r="B534" s="119">
        <v>5</v>
      </c>
      <c r="C534" s="90" t="s">
        <v>1912</v>
      </c>
      <c r="D534" s="90" t="s">
        <v>97</v>
      </c>
      <c r="E534">
        <v>1060</v>
      </c>
      <c r="F534">
        <v>1061</v>
      </c>
      <c r="G534" s="93" t="s">
        <v>78</v>
      </c>
      <c r="H534" t="s">
        <v>128</v>
      </c>
      <c r="I534">
        <v>1</v>
      </c>
      <c r="J534">
        <v>270.62269196</v>
      </c>
      <c r="K534">
        <f>I534*J534</f>
        <v>270.62269196</v>
      </c>
      <c r="L534">
        <v>40</v>
      </c>
      <c r="M534">
        <f>(1-(L534/100))*K534</f>
        <v>162.37361517599999</v>
      </c>
      <c r="N534" s="90">
        <v>534</v>
      </c>
      <c r="O534" s="90" t="s">
        <v>472</v>
      </c>
      <c r="P534" s="118"/>
      <c r="Q534" s="118"/>
    </row>
    <row r="535" spans="1:21" x14ac:dyDescent="0.25">
      <c r="A535" s="90" t="s">
        <v>1924</v>
      </c>
      <c r="B535" s="119">
        <v>5</v>
      </c>
      <c r="C535" s="90" t="s">
        <v>1912</v>
      </c>
      <c r="D535" s="90" t="s">
        <v>98</v>
      </c>
      <c r="E535">
        <v>1062</v>
      </c>
      <c r="F535">
        <v>1063</v>
      </c>
      <c r="G535" s="93" t="s">
        <v>78</v>
      </c>
      <c r="H535" t="s">
        <v>134</v>
      </c>
      <c r="I535">
        <v>0</v>
      </c>
      <c r="J535">
        <v>119.07551254000001</v>
      </c>
      <c r="K535">
        <f>I535*J535</f>
        <v>0</v>
      </c>
      <c r="L535">
        <v>40</v>
      </c>
      <c r="M535">
        <f>(1-(L535/100))*K535</f>
        <v>0</v>
      </c>
      <c r="N535" s="90">
        <v>535</v>
      </c>
      <c r="O535" s="90" t="s">
        <v>473</v>
      </c>
      <c r="P535" s="118"/>
      <c r="Q535" s="118"/>
    </row>
    <row r="536" spans="1:21" x14ac:dyDescent="0.25">
      <c r="A536" s="90" t="s">
        <v>1925</v>
      </c>
      <c r="B536" s="119">
        <v>5</v>
      </c>
      <c r="C536" s="90" t="s">
        <v>1912</v>
      </c>
      <c r="D536" s="90" t="s">
        <v>99</v>
      </c>
      <c r="E536">
        <v>1064</v>
      </c>
      <c r="F536">
        <v>1065</v>
      </c>
      <c r="G536" s="93" t="s">
        <v>78</v>
      </c>
      <c r="H536" t="s">
        <v>135</v>
      </c>
      <c r="I536">
        <v>0</v>
      </c>
      <c r="J536">
        <v>56.526168339999998</v>
      </c>
      <c r="K536">
        <f>I536*J536</f>
        <v>0</v>
      </c>
      <c r="L536">
        <v>40</v>
      </c>
      <c r="M536">
        <f>(1-(L536/100))*K536</f>
        <v>0</v>
      </c>
      <c r="N536" s="90">
        <v>536</v>
      </c>
      <c r="O536" s="90" t="s">
        <v>474</v>
      </c>
      <c r="P536" s="118"/>
      <c r="Q536" s="118"/>
    </row>
    <row r="537" spans="1:21" x14ac:dyDescent="0.25">
      <c r="A537" s="90" t="s">
        <v>1926</v>
      </c>
      <c r="B537" s="119">
        <v>5</v>
      </c>
      <c r="C537" s="90" t="s">
        <v>1912</v>
      </c>
      <c r="D537" s="90" t="s">
        <v>100</v>
      </c>
      <c r="E537">
        <v>1066</v>
      </c>
      <c r="F537">
        <v>1067</v>
      </c>
      <c r="G537" s="93" t="s">
        <v>78</v>
      </c>
      <c r="H537" t="s">
        <v>129</v>
      </c>
      <c r="I537">
        <v>1</v>
      </c>
      <c r="J537">
        <v>212.88679486000001</v>
      </c>
      <c r="K537">
        <f>I537*J537</f>
        <v>212.88679486000001</v>
      </c>
      <c r="L537">
        <v>40</v>
      </c>
      <c r="M537">
        <f>(1-(L537/100))*K537</f>
        <v>127.732076916</v>
      </c>
      <c r="N537" s="90">
        <v>537</v>
      </c>
      <c r="O537" s="90" t="s">
        <v>475</v>
      </c>
      <c r="P537" s="118"/>
      <c r="Q537" s="118"/>
    </row>
    <row r="538" spans="1:21" x14ac:dyDescent="0.25">
      <c r="A538" s="90" t="s">
        <v>1927</v>
      </c>
      <c r="B538" s="119">
        <v>5</v>
      </c>
      <c r="C538" s="90" t="s">
        <v>1912</v>
      </c>
      <c r="D538" s="90" t="s">
        <v>81</v>
      </c>
      <c r="E538">
        <v>1068</v>
      </c>
      <c r="F538">
        <v>1069</v>
      </c>
      <c r="G538" s="93" t="s">
        <v>78</v>
      </c>
      <c r="H538" t="s">
        <v>130</v>
      </c>
      <c r="I538">
        <v>1</v>
      </c>
      <c r="J538">
        <v>206.87635298999999</v>
      </c>
      <c r="K538">
        <f>I538*J538</f>
        <v>206.87635298999999</v>
      </c>
      <c r="L538">
        <v>40</v>
      </c>
      <c r="M538">
        <f>(1-(L538/100))*K538</f>
        <v>124.12581179399999</v>
      </c>
      <c r="N538" s="90">
        <v>538</v>
      </c>
      <c r="O538" s="90" t="s">
        <v>476</v>
      </c>
      <c r="P538" s="118"/>
      <c r="Q538" s="118"/>
    </row>
    <row r="539" spans="1:21" x14ac:dyDescent="0.25">
      <c r="A539" s="90" t="s">
        <v>1928</v>
      </c>
      <c r="B539" s="119">
        <v>5</v>
      </c>
      <c r="C539" s="90" t="s">
        <v>1912</v>
      </c>
      <c r="D539" s="90" t="s">
        <v>83</v>
      </c>
      <c r="E539">
        <v>1070</v>
      </c>
      <c r="F539">
        <v>1071</v>
      </c>
      <c r="G539" s="93" t="s">
        <v>78</v>
      </c>
      <c r="H539" t="s">
        <v>136</v>
      </c>
      <c r="I539">
        <v>1</v>
      </c>
      <c r="J539">
        <v>1142.63338851</v>
      </c>
      <c r="K539">
        <f>I539*J539</f>
        <v>1142.63338851</v>
      </c>
      <c r="L539">
        <v>40</v>
      </c>
      <c r="M539">
        <f>(1-(L539/100))*K539</f>
        <v>685.58003310599997</v>
      </c>
      <c r="N539" s="90">
        <v>539</v>
      </c>
      <c r="O539" s="90" t="s">
        <v>478</v>
      </c>
      <c r="P539" s="118"/>
      <c r="Q539" s="118"/>
    </row>
    <row r="540" spans="1:21" x14ac:dyDescent="0.25">
      <c r="A540" s="90" t="s">
        <v>1929</v>
      </c>
      <c r="B540" s="119">
        <v>4</v>
      </c>
      <c r="C540" s="90" t="s">
        <v>1888</v>
      </c>
      <c r="D540" s="90" t="s">
        <v>99</v>
      </c>
      <c r="E540">
        <v>1073</v>
      </c>
      <c r="F540">
        <v>1076</v>
      </c>
      <c r="G540" s="93" t="s">
        <v>68</v>
      </c>
      <c r="H540" t="s">
        <v>1714</v>
      </c>
      <c r="I540">
        <v>2</v>
      </c>
      <c r="J540">
        <f>SUM(K541)</f>
        <v>5389.0233031999996</v>
      </c>
      <c r="K540">
        <f>I540*J540</f>
        <v>10778.046606399999</v>
      </c>
      <c r="L540">
        <f>100*(1-(M540/K540))</f>
        <v>40</v>
      </c>
      <c r="M540">
        <f>I540*SUM(M541)</f>
        <v>6466.827963839999</v>
      </c>
      <c r="N540" s="90">
        <v>540</v>
      </c>
      <c r="O540" s="90" t="s">
        <v>479</v>
      </c>
      <c r="P540" s="118"/>
      <c r="Q540" s="118"/>
      <c r="R540" s="90" t="s">
        <v>813</v>
      </c>
      <c r="S540" s="90" t="s">
        <v>884</v>
      </c>
      <c r="T540" s="90" t="s">
        <v>941</v>
      </c>
      <c r="U540" s="90" t="s">
        <v>842</v>
      </c>
    </row>
    <row r="541" spans="1:21" x14ac:dyDescent="0.25">
      <c r="A541" s="90" t="s">
        <v>1930</v>
      </c>
      <c r="B541" s="119">
        <v>5</v>
      </c>
      <c r="C541" s="90" t="s">
        <v>1929</v>
      </c>
      <c r="D541" s="90" t="s">
        <v>78</v>
      </c>
      <c r="E541">
        <v>1074</v>
      </c>
      <c r="F541">
        <v>1075</v>
      </c>
      <c r="G541" s="93" t="s">
        <v>78</v>
      </c>
      <c r="H541" t="s">
        <v>1714</v>
      </c>
      <c r="I541">
        <v>1</v>
      </c>
      <c r="J541">
        <v>5389.0233031999996</v>
      </c>
      <c r="K541">
        <f>I541*J541</f>
        <v>5389.0233031999996</v>
      </c>
      <c r="L541">
        <v>40</v>
      </c>
      <c r="M541">
        <f>(1-(L541/100))*K541</f>
        <v>3233.4139819199995</v>
      </c>
      <c r="N541" s="90">
        <v>541</v>
      </c>
      <c r="O541" s="90" t="s">
        <v>480</v>
      </c>
      <c r="P541" s="118"/>
      <c r="Q541" s="118"/>
    </row>
    <row r="542" spans="1:21" x14ac:dyDescent="0.25">
      <c r="A542" s="90" t="s">
        <v>1931</v>
      </c>
      <c r="B542" s="119">
        <v>4</v>
      </c>
      <c r="C542" s="90" t="s">
        <v>1888</v>
      </c>
      <c r="D542" s="90" t="s">
        <v>100</v>
      </c>
      <c r="E542">
        <v>1077</v>
      </c>
      <c r="F542">
        <v>1080</v>
      </c>
      <c r="G542" s="93" t="s">
        <v>68</v>
      </c>
      <c r="H542" t="s">
        <v>1509</v>
      </c>
      <c r="I542">
        <v>2</v>
      </c>
      <c r="J542">
        <f>SUM(K543)</f>
        <v>3300</v>
      </c>
      <c r="K542">
        <f>I542*J542</f>
        <v>6600</v>
      </c>
      <c r="L542">
        <f>100*(1-(M542/K542))</f>
        <v>40</v>
      </c>
      <c r="M542">
        <f>I542*SUM(M543)</f>
        <v>3960</v>
      </c>
      <c r="N542" s="90">
        <v>542</v>
      </c>
      <c r="O542" s="90" t="s">
        <v>481</v>
      </c>
      <c r="P542" s="118"/>
      <c r="Q542" s="118"/>
      <c r="R542" s="90" t="s">
        <v>975</v>
      </c>
      <c r="S542" s="90" t="s">
        <v>998</v>
      </c>
      <c r="T542" s="90" t="s">
        <v>1025</v>
      </c>
      <c r="U542" s="90" t="s">
        <v>980</v>
      </c>
    </row>
    <row r="543" spans="1:21" x14ac:dyDescent="0.25">
      <c r="A543" s="90" t="s">
        <v>1932</v>
      </c>
      <c r="B543" s="119">
        <v>5</v>
      </c>
      <c r="C543" s="90" t="s">
        <v>1931</v>
      </c>
      <c r="D543" s="90" t="s">
        <v>78</v>
      </c>
      <c r="E543">
        <v>1078</v>
      </c>
      <c r="F543">
        <v>1079</v>
      </c>
      <c r="G543" s="93" t="s">
        <v>78</v>
      </c>
      <c r="H543" t="s">
        <v>1509</v>
      </c>
      <c r="I543">
        <v>1</v>
      </c>
      <c r="J543">
        <v>3300</v>
      </c>
      <c r="K543">
        <f>I543*J543</f>
        <v>3300</v>
      </c>
      <c r="L543">
        <v>40</v>
      </c>
      <c r="M543">
        <f>(1-(L543/100))*K543</f>
        <v>1980</v>
      </c>
      <c r="N543" s="90">
        <v>543</v>
      </c>
      <c r="O543" s="90" t="s">
        <v>482</v>
      </c>
      <c r="P543" s="118"/>
      <c r="Q543" s="118"/>
    </row>
    <row r="544" spans="1:21" x14ac:dyDescent="0.25">
      <c r="A544" s="90" t="s">
        <v>1933</v>
      </c>
      <c r="B544" s="119">
        <v>3</v>
      </c>
      <c r="C544" s="90" t="s">
        <v>1886</v>
      </c>
      <c r="D544" s="90" t="s">
        <v>79</v>
      </c>
      <c r="E544">
        <v>1082</v>
      </c>
      <c r="F544">
        <v>1095</v>
      </c>
      <c r="G544" s="93" t="s">
        <v>68</v>
      </c>
      <c r="H544" t="s">
        <v>1934</v>
      </c>
      <c r="I544">
        <v>1</v>
      </c>
      <c r="J544">
        <f>SUM(K545)</f>
        <v>6588.4757417500005</v>
      </c>
      <c r="K544">
        <f>I544*J544</f>
        <v>6588.4757417500005</v>
      </c>
      <c r="L544">
        <f>100*(1-(M544/K544))</f>
        <v>40</v>
      </c>
      <c r="M544">
        <f>I544*SUM(M545)</f>
        <v>3953.0854450500001</v>
      </c>
      <c r="N544" s="90">
        <v>544</v>
      </c>
      <c r="O544" s="90" t="s">
        <v>1101</v>
      </c>
      <c r="P544" s="118"/>
      <c r="Q544" s="118"/>
      <c r="R544" s="90" t="s">
        <v>6964</v>
      </c>
      <c r="S544" s="90" t="s">
        <v>7060</v>
      </c>
      <c r="T544" s="90" t="s">
        <v>7106</v>
      </c>
      <c r="U544" s="90" t="s">
        <v>7013</v>
      </c>
    </row>
    <row r="545" spans="1:21" x14ac:dyDescent="0.25">
      <c r="A545" s="90" t="s">
        <v>1935</v>
      </c>
      <c r="B545" s="119">
        <v>4</v>
      </c>
      <c r="C545" s="90" t="s">
        <v>1933</v>
      </c>
      <c r="D545" s="90" t="s">
        <v>78</v>
      </c>
      <c r="E545">
        <v>1083</v>
      </c>
      <c r="F545">
        <v>1094</v>
      </c>
      <c r="G545" s="93" t="s">
        <v>68</v>
      </c>
      <c r="H545" t="s">
        <v>1668</v>
      </c>
      <c r="I545">
        <v>1</v>
      </c>
      <c r="J545">
        <f>SUM(K546)</f>
        <v>6588.4757417500005</v>
      </c>
      <c r="K545">
        <f>I545*J545</f>
        <v>6588.4757417500005</v>
      </c>
      <c r="L545">
        <f>100*(1-(M545/K545))</f>
        <v>40</v>
      </c>
      <c r="M545">
        <f>I545*SUM(M546)</f>
        <v>3953.0854450500001</v>
      </c>
      <c r="N545" s="90">
        <v>545</v>
      </c>
      <c r="O545" s="90" t="s">
        <v>483</v>
      </c>
      <c r="P545" s="118"/>
      <c r="Q545" s="118"/>
      <c r="R545" s="90" t="s">
        <v>6468</v>
      </c>
      <c r="S545" s="90" t="s">
        <v>1037</v>
      </c>
      <c r="T545" s="90" t="s">
        <v>1039</v>
      </c>
      <c r="U545" s="90" t="s">
        <v>6620</v>
      </c>
    </row>
    <row r="546" spans="1:21" x14ac:dyDescent="0.25">
      <c r="A546" s="90" t="s">
        <v>1936</v>
      </c>
      <c r="B546" s="119">
        <v>5</v>
      </c>
      <c r="C546" s="90" t="s">
        <v>1935</v>
      </c>
      <c r="D546" s="90" t="s">
        <v>78</v>
      </c>
      <c r="E546">
        <v>1084</v>
      </c>
      <c r="F546">
        <v>1093</v>
      </c>
      <c r="G546" s="93" t="s">
        <v>68</v>
      </c>
      <c r="H546" t="s">
        <v>1397</v>
      </c>
      <c r="I546">
        <v>1</v>
      </c>
      <c r="J546">
        <f>SUM(K547,K548,K549,K550)</f>
        <v>6588.4757417500005</v>
      </c>
      <c r="K546">
        <f>I546*J546</f>
        <v>6588.4757417500005</v>
      </c>
      <c r="L546">
        <f>100*(1-(M546/K546))</f>
        <v>40</v>
      </c>
      <c r="M546">
        <f>I546*SUM(M547,M548,M549,M550)</f>
        <v>3953.0854450500001</v>
      </c>
      <c r="N546" s="90">
        <v>546</v>
      </c>
      <c r="O546" s="90" t="s">
        <v>484</v>
      </c>
      <c r="P546" s="118"/>
      <c r="Q546" s="118"/>
      <c r="R546" s="90" t="s">
        <v>4762</v>
      </c>
      <c r="S546" s="90" t="s">
        <v>999</v>
      </c>
      <c r="T546" s="90" t="s">
        <v>1026</v>
      </c>
      <c r="U546" s="90" t="s">
        <v>5302</v>
      </c>
    </row>
    <row r="547" spans="1:21" x14ac:dyDescent="0.25">
      <c r="A547" s="90" t="s">
        <v>1937</v>
      </c>
      <c r="B547" s="119">
        <v>6</v>
      </c>
      <c r="C547" s="90" t="s">
        <v>1936</v>
      </c>
      <c r="D547" s="90" t="s">
        <v>78</v>
      </c>
      <c r="E547">
        <v>1085</v>
      </c>
      <c r="F547">
        <v>1086</v>
      </c>
      <c r="G547" s="93" t="s">
        <v>78</v>
      </c>
      <c r="H547" t="s">
        <v>120</v>
      </c>
      <c r="I547">
        <v>1</v>
      </c>
      <c r="J547">
        <v>967.93582071000003</v>
      </c>
      <c r="K547">
        <f>I547*J547</f>
        <v>967.93582071000003</v>
      </c>
      <c r="L547">
        <v>40</v>
      </c>
      <c r="M547">
        <f>(1-(L547/100))*K547</f>
        <v>580.76149242600002</v>
      </c>
      <c r="N547" s="90">
        <v>547</v>
      </c>
      <c r="O547" s="90" t="s">
        <v>485</v>
      </c>
      <c r="P547" s="118"/>
      <c r="Q547" s="118"/>
    </row>
    <row r="548" spans="1:21" x14ac:dyDescent="0.25">
      <c r="A548" s="90" t="s">
        <v>1938</v>
      </c>
      <c r="B548" s="119">
        <v>6</v>
      </c>
      <c r="C548" s="90" t="s">
        <v>1936</v>
      </c>
      <c r="D548" s="90" t="s">
        <v>79</v>
      </c>
      <c r="E548">
        <v>1087</v>
      </c>
      <c r="F548">
        <v>1088</v>
      </c>
      <c r="G548" s="93" t="s">
        <v>78</v>
      </c>
      <c r="H548" t="s">
        <v>125</v>
      </c>
      <c r="I548">
        <v>1</v>
      </c>
      <c r="J548">
        <v>967.93582071000003</v>
      </c>
      <c r="K548">
        <f>I548*J548</f>
        <v>967.93582071000003</v>
      </c>
      <c r="L548">
        <v>40</v>
      </c>
      <c r="M548">
        <f>(1-(L548/100))*K548</f>
        <v>580.76149242600002</v>
      </c>
      <c r="N548" s="90">
        <v>548</v>
      </c>
      <c r="O548" s="90" t="s">
        <v>486</v>
      </c>
      <c r="P548" s="118"/>
      <c r="Q548" s="118"/>
    </row>
    <row r="549" spans="1:21" x14ac:dyDescent="0.25">
      <c r="A549" s="90" t="s">
        <v>1939</v>
      </c>
      <c r="B549" s="119">
        <v>6</v>
      </c>
      <c r="C549" s="90" t="s">
        <v>1936</v>
      </c>
      <c r="D549" s="90" t="s">
        <v>80</v>
      </c>
      <c r="E549">
        <v>1089</v>
      </c>
      <c r="F549">
        <v>1090</v>
      </c>
      <c r="G549" s="93" t="s">
        <v>78</v>
      </c>
      <c r="H549" t="s">
        <v>203</v>
      </c>
      <c r="I549">
        <v>1</v>
      </c>
      <c r="J549">
        <v>2064.00101872</v>
      </c>
      <c r="K549">
        <f>I549*J549</f>
        <v>2064.00101872</v>
      </c>
      <c r="L549">
        <v>40</v>
      </c>
      <c r="M549">
        <f>(1-(L549/100))*K549</f>
        <v>1238.4006112320001</v>
      </c>
      <c r="N549" s="90">
        <v>549</v>
      </c>
      <c r="O549" s="90" t="s">
        <v>487</v>
      </c>
      <c r="P549" s="118"/>
      <c r="Q549" s="118"/>
    </row>
    <row r="550" spans="1:21" x14ac:dyDescent="0.25">
      <c r="A550" s="90" t="s">
        <v>1940</v>
      </c>
      <c r="B550" s="119">
        <v>6</v>
      </c>
      <c r="C550" s="90" t="s">
        <v>1936</v>
      </c>
      <c r="D550" s="90" t="s">
        <v>95</v>
      </c>
      <c r="E550">
        <v>1091</v>
      </c>
      <c r="F550">
        <v>1092</v>
      </c>
      <c r="G550" s="93" t="s">
        <v>78</v>
      </c>
      <c r="H550" t="s">
        <v>191</v>
      </c>
      <c r="I550">
        <v>3</v>
      </c>
      <c r="J550">
        <v>862.86769387000004</v>
      </c>
      <c r="K550">
        <f>I550*J550</f>
        <v>2588.6030816100001</v>
      </c>
      <c r="L550">
        <v>40</v>
      </c>
      <c r="M550">
        <f>(1-(L550/100))*K550</f>
        <v>1553.161848966</v>
      </c>
      <c r="N550" s="90">
        <v>550</v>
      </c>
      <c r="O550" s="90" t="s">
        <v>488</v>
      </c>
      <c r="P550" s="118"/>
      <c r="Q550" s="118"/>
    </row>
    <row r="551" spans="1:21" x14ac:dyDescent="0.25">
      <c r="A551" s="90" t="s">
        <v>1941</v>
      </c>
      <c r="B551" s="119">
        <v>3</v>
      </c>
      <c r="C551" s="90" t="s">
        <v>1886</v>
      </c>
      <c r="D551" s="90" t="s">
        <v>80</v>
      </c>
      <c r="E551">
        <v>1096</v>
      </c>
      <c r="F551">
        <v>1115</v>
      </c>
      <c r="G551" s="93" t="s">
        <v>68</v>
      </c>
      <c r="H551" t="s">
        <v>1942</v>
      </c>
      <c r="I551">
        <v>1</v>
      </c>
      <c r="J551">
        <f>SUM(K552,K555,K557,K559)</f>
        <v>12677.74146186</v>
      </c>
      <c r="K551">
        <f>I551*J551</f>
        <v>12677.74146186</v>
      </c>
      <c r="L551">
        <f>100*(1-(M551/K551))</f>
        <v>85.6</v>
      </c>
      <c r="M551">
        <f>I551*SUM(M552,M555,M557,M559)</f>
        <v>1825.5947705078402</v>
      </c>
      <c r="N551" s="90">
        <v>551</v>
      </c>
      <c r="O551" s="90" t="s">
        <v>489</v>
      </c>
      <c r="P551" s="118"/>
      <c r="Q551" s="118"/>
      <c r="R551" s="90" t="s">
        <v>6469</v>
      </c>
      <c r="S551" s="90" t="s">
        <v>885</v>
      </c>
      <c r="T551" s="90" t="s">
        <v>942</v>
      </c>
      <c r="U551" s="90" t="s">
        <v>6621</v>
      </c>
    </row>
    <row r="552" spans="1:21" x14ac:dyDescent="0.25">
      <c r="A552" s="90" t="s">
        <v>1943</v>
      </c>
      <c r="B552" s="119">
        <v>4</v>
      </c>
      <c r="C552" s="90" t="s">
        <v>1941</v>
      </c>
      <c r="D552" s="90" t="s">
        <v>78</v>
      </c>
      <c r="E552">
        <v>1097</v>
      </c>
      <c r="F552">
        <v>1102</v>
      </c>
      <c r="G552" s="93" t="s">
        <v>68</v>
      </c>
      <c r="H552" t="s">
        <v>364</v>
      </c>
      <c r="I552">
        <v>1</v>
      </c>
      <c r="J552">
        <f>SUM(K553,K554)</f>
        <v>2292.1176620400001</v>
      </c>
      <c r="K552">
        <f>I552*J552</f>
        <v>2292.1176620400001</v>
      </c>
      <c r="L552">
        <f>100*(1-(M552/K552))</f>
        <v>85.6</v>
      </c>
      <c r="M552">
        <f>I552*SUM(M553,M554)</f>
        <v>330.06494333376008</v>
      </c>
      <c r="N552" s="90">
        <v>552</v>
      </c>
      <c r="O552" s="90" t="s">
        <v>490</v>
      </c>
      <c r="P552" s="118"/>
      <c r="Q552" s="118"/>
      <c r="R552" s="90" t="s">
        <v>4763</v>
      </c>
      <c r="S552" s="90" t="s">
        <v>5802</v>
      </c>
      <c r="T552" s="90" t="s">
        <v>6300</v>
      </c>
      <c r="U552" s="90" t="s">
        <v>5303</v>
      </c>
    </row>
    <row r="553" spans="1:21" x14ac:dyDescent="0.25">
      <c r="A553" s="90" t="s">
        <v>1944</v>
      </c>
      <c r="B553" s="119">
        <v>5</v>
      </c>
      <c r="C553" s="90" t="s">
        <v>1943</v>
      </c>
      <c r="D553" s="90" t="s">
        <v>78</v>
      </c>
      <c r="E553">
        <v>1098</v>
      </c>
      <c r="F553">
        <v>1099</v>
      </c>
      <c r="G553" s="93" t="s">
        <v>78</v>
      </c>
      <c r="H553" t="s">
        <v>366</v>
      </c>
      <c r="I553">
        <v>1</v>
      </c>
      <c r="J553">
        <v>509.35948044999998</v>
      </c>
      <c r="K553">
        <f>I553*J553</f>
        <v>509.35948044999998</v>
      </c>
      <c r="L553">
        <v>85.6</v>
      </c>
      <c r="M553">
        <f>(1-(L553/100))*K553</f>
        <v>73.347765184800011</v>
      </c>
      <c r="N553" s="90">
        <v>553</v>
      </c>
      <c r="O553" s="90" t="s">
        <v>491</v>
      </c>
      <c r="P553" s="118"/>
      <c r="Q553" s="118"/>
    </row>
    <row r="554" spans="1:21" x14ac:dyDescent="0.25">
      <c r="A554" s="90" t="s">
        <v>1945</v>
      </c>
      <c r="B554" s="119">
        <v>5</v>
      </c>
      <c r="C554" s="90" t="s">
        <v>1943</v>
      </c>
      <c r="D554" s="90" t="s">
        <v>79</v>
      </c>
      <c r="E554">
        <v>1100</v>
      </c>
      <c r="F554">
        <v>1101</v>
      </c>
      <c r="G554" s="93" t="s">
        <v>78</v>
      </c>
      <c r="H554" t="s">
        <v>368</v>
      </c>
      <c r="I554">
        <v>1</v>
      </c>
      <c r="J554">
        <v>1782.75818159</v>
      </c>
      <c r="K554">
        <f>I554*J554</f>
        <v>1782.75818159</v>
      </c>
      <c r="L554">
        <v>85.6</v>
      </c>
      <c r="M554">
        <f>(1-(L554/100))*K554</f>
        <v>256.71717814896004</v>
      </c>
      <c r="N554" s="90">
        <v>554</v>
      </c>
      <c r="O554" s="90" t="s">
        <v>492</v>
      </c>
      <c r="P554" s="118"/>
      <c r="Q554" s="118"/>
    </row>
    <row r="555" spans="1:21" x14ac:dyDescent="0.25">
      <c r="A555" s="90" t="s">
        <v>1946</v>
      </c>
      <c r="B555" s="119">
        <v>4</v>
      </c>
      <c r="C555" s="90" t="s">
        <v>1941</v>
      </c>
      <c r="D555" s="90" t="s">
        <v>79</v>
      </c>
      <c r="E555">
        <v>1103</v>
      </c>
      <c r="F555">
        <v>1106</v>
      </c>
      <c r="G555" s="93" t="s">
        <v>68</v>
      </c>
      <c r="H555" t="s">
        <v>379</v>
      </c>
      <c r="I555">
        <v>1</v>
      </c>
      <c r="J555">
        <f>SUM(K556)</f>
        <v>303.06889087000002</v>
      </c>
      <c r="K555">
        <f>I555*J555</f>
        <v>303.06889087000002</v>
      </c>
      <c r="L555">
        <f>100*(1-(M555/K555))</f>
        <v>85.6</v>
      </c>
      <c r="M555">
        <f>I555*SUM(M556)</f>
        <v>43.641920285280008</v>
      </c>
      <c r="N555" s="90">
        <v>555</v>
      </c>
      <c r="O555" s="90" t="s">
        <v>493</v>
      </c>
      <c r="P555" s="118"/>
      <c r="Q555" s="118"/>
      <c r="R555" s="90" t="s">
        <v>4764</v>
      </c>
      <c r="S555" s="90" t="s">
        <v>5803</v>
      </c>
      <c r="T555" s="90" t="s">
        <v>6301</v>
      </c>
      <c r="U555" s="90" t="s">
        <v>5304</v>
      </c>
    </row>
    <row r="556" spans="1:21" x14ac:dyDescent="0.25">
      <c r="A556" s="90" t="s">
        <v>1947</v>
      </c>
      <c r="B556" s="119">
        <v>5</v>
      </c>
      <c r="C556" s="90" t="s">
        <v>1946</v>
      </c>
      <c r="D556" s="90" t="s">
        <v>78</v>
      </c>
      <c r="E556">
        <v>1104</v>
      </c>
      <c r="F556">
        <v>1105</v>
      </c>
      <c r="G556" s="93" t="s">
        <v>78</v>
      </c>
      <c r="H556" t="s">
        <v>381</v>
      </c>
      <c r="I556">
        <v>1</v>
      </c>
      <c r="J556">
        <v>303.06889087000002</v>
      </c>
      <c r="K556">
        <f>I556*J556</f>
        <v>303.06889087000002</v>
      </c>
      <c r="L556">
        <v>85.6</v>
      </c>
      <c r="M556">
        <f>(1-(L556/100))*K556</f>
        <v>43.641920285280008</v>
      </c>
      <c r="N556" s="90">
        <v>556</v>
      </c>
      <c r="O556" s="90" t="s">
        <v>494</v>
      </c>
      <c r="P556" s="118"/>
      <c r="Q556" s="118"/>
    </row>
    <row r="557" spans="1:21" x14ac:dyDescent="0.25">
      <c r="A557" s="90" t="s">
        <v>1948</v>
      </c>
      <c r="B557" s="119">
        <v>4</v>
      </c>
      <c r="C557" s="90" t="s">
        <v>1941</v>
      </c>
      <c r="D557" s="90" t="s">
        <v>80</v>
      </c>
      <c r="E557">
        <v>1107</v>
      </c>
      <c r="F557">
        <v>1110</v>
      </c>
      <c r="G557" s="93" t="s">
        <v>68</v>
      </c>
      <c r="H557" t="s">
        <v>383</v>
      </c>
      <c r="I557">
        <v>1</v>
      </c>
      <c r="J557">
        <f>SUM(K558)</f>
        <v>1069.6549089499999</v>
      </c>
      <c r="K557">
        <f>I557*J557</f>
        <v>1069.6549089499999</v>
      </c>
      <c r="L557">
        <f>100*(1-(M557/K557))</f>
        <v>85.6</v>
      </c>
      <c r="M557">
        <f>I557*SUM(M558)</f>
        <v>154.0303068888</v>
      </c>
      <c r="N557" s="90">
        <v>557</v>
      </c>
      <c r="O557" s="90" t="s">
        <v>495</v>
      </c>
      <c r="P557" s="118"/>
      <c r="Q557" s="118"/>
      <c r="R557" s="90" t="s">
        <v>4765</v>
      </c>
      <c r="S557" s="90" t="s">
        <v>5804</v>
      </c>
      <c r="T557" s="90" t="s">
        <v>6302</v>
      </c>
      <c r="U557" s="90" t="s">
        <v>5305</v>
      </c>
    </row>
    <row r="558" spans="1:21" x14ac:dyDescent="0.25">
      <c r="A558" s="90" t="s">
        <v>1949</v>
      </c>
      <c r="B558" s="119">
        <v>5</v>
      </c>
      <c r="C558" s="90" t="s">
        <v>1948</v>
      </c>
      <c r="D558" s="90" t="s">
        <v>78</v>
      </c>
      <c r="E558">
        <v>1108</v>
      </c>
      <c r="F558">
        <v>1109</v>
      </c>
      <c r="G558" s="93" t="s">
        <v>78</v>
      </c>
      <c r="H558" t="s">
        <v>385</v>
      </c>
      <c r="I558">
        <v>1</v>
      </c>
      <c r="J558">
        <v>1069.6549089499999</v>
      </c>
      <c r="K558">
        <f>I558*J558</f>
        <v>1069.6549089499999</v>
      </c>
      <c r="L558">
        <v>85.6</v>
      </c>
      <c r="M558">
        <f>(1-(L558/100))*K558</f>
        <v>154.0303068888</v>
      </c>
      <c r="N558" s="90">
        <v>558</v>
      </c>
      <c r="O558" s="90" t="s">
        <v>496</v>
      </c>
      <c r="P558" s="118"/>
      <c r="Q558" s="118"/>
    </row>
    <row r="559" spans="1:21" x14ac:dyDescent="0.25">
      <c r="A559" s="90" t="s">
        <v>1950</v>
      </c>
      <c r="B559" s="119">
        <v>4</v>
      </c>
      <c r="C559" s="90" t="s">
        <v>1941</v>
      </c>
      <c r="D559" s="90" t="s">
        <v>95</v>
      </c>
      <c r="E559">
        <v>1111</v>
      </c>
      <c r="F559">
        <v>1114</v>
      </c>
      <c r="G559" s="93" t="s">
        <v>68</v>
      </c>
      <c r="H559" t="s">
        <v>387</v>
      </c>
      <c r="I559">
        <v>1</v>
      </c>
      <c r="J559">
        <f>SUM(K560)</f>
        <v>9012.9</v>
      </c>
      <c r="K559">
        <f>I559*J559</f>
        <v>9012.9</v>
      </c>
      <c r="L559">
        <f>100*(1-(M559/K559))</f>
        <v>85.6</v>
      </c>
      <c r="M559">
        <f>I559*SUM(M560)</f>
        <v>1297.8576</v>
      </c>
      <c r="N559" s="90">
        <v>559</v>
      </c>
      <c r="O559" s="90" t="s">
        <v>497</v>
      </c>
      <c r="P559" s="118"/>
      <c r="Q559" s="118"/>
      <c r="R559" s="90" t="s">
        <v>4766</v>
      </c>
      <c r="S559" s="90" t="s">
        <v>5805</v>
      </c>
      <c r="T559" s="90" t="s">
        <v>6303</v>
      </c>
      <c r="U559" s="90" t="s">
        <v>5306</v>
      </c>
    </row>
    <row r="560" spans="1:21" x14ac:dyDescent="0.25">
      <c r="A560" s="90" t="s">
        <v>1951</v>
      </c>
      <c r="B560" s="119">
        <v>5</v>
      </c>
      <c r="C560" s="90" t="s">
        <v>1950</v>
      </c>
      <c r="D560" s="90" t="s">
        <v>78</v>
      </c>
      <c r="E560">
        <v>1112</v>
      </c>
      <c r="F560">
        <v>1113</v>
      </c>
      <c r="G560" s="93" t="s">
        <v>78</v>
      </c>
      <c r="H560" t="s">
        <v>389</v>
      </c>
      <c r="I560">
        <v>1</v>
      </c>
      <c r="J560">
        <v>9012.9</v>
      </c>
      <c r="K560">
        <f>I560*J560</f>
        <v>9012.9</v>
      </c>
      <c r="L560">
        <v>85.6</v>
      </c>
      <c r="M560">
        <f>(1-(L560/100))*K560</f>
        <v>1297.8576</v>
      </c>
      <c r="N560" s="90">
        <v>560</v>
      </c>
      <c r="O560" s="90" t="s">
        <v>498</v>
      </c>
      <c r="P560" s="118"/>
      <c r="Q560" s="118"/>
    </row>
    <row r="561" spans="1:21" x14ac:dyDescent="0.25">
      <c r="A561" s="90" t="s">
        <v>1952</v>
      </c>
      <c r="B561" s="119">
        <v>3</v>
      </c>
      <c r="C561" s="90" t="s">
        <v>1886</v>
      </c>
      <c r="D561" s="90" t="s">
        <v>95</v>
      </c>
      <c r="E561">
        <v>1116</v>
      </c>
      <c r="F561">
        <v>1121</v>
      </c>
      <c r="G561" s="93" t="s">
        <v>68</v>
      </c>
      <c r="H561" t="s">
        <v>1953</v>
      </c>
      <c r="I561">
        <v>1</v>
      </c>
      <c r="J561">
        <f>SUM(K562)</f>
        <v>333.63045970000002</v>
      </c>
      <c r="K561">
        <f>I561*J561</f>
        <v>333.63045970000002</v>
      </c>
      <c r="L561">
        <f>100*(1-(M561/K561))</f>
        <v>85.6</v>
      </c>
      <c r="M561">
        <f>I561*SUM(M562)</f>
        <v>48.042786196800009</v>
      </c>
      <c r="N561" s="90">
        <v>561</v>
      </c>
      <c r="O561" s="90" t="s">
        <v>499</v>
      </c>
      <c r="P561" s="118"/>
      <c r="Q561" s="118"/>
      <c r="R561" s="90" t="s">
        <v>6470</v>
      </c>
      <c r="S561" s="90" t="s">
        <v>6769</v>
      </c>
      <c r="T561" s="90" t="s">
        <v>6914</v>
      </c>
      <c r="U561" s="90" t="s">
        <v>6622</v>
      </c>
    </row>
    <row r="562" spans="1:21" x14ac:dyDescent="0.25">
      <c r="A562" s="90" t="s">
        <v>1954</v>
      </c>
      <c r="B562" s="119">
        <v>4</v>
      </c>
      <c r="C562" s="90" t="s">
        <v>1952</v>
      </c>
      <c r="D562" s="90" t="s">
        <v>78</v>
      </c>
      <c r="E562">
        <v>1117</v>
      </c>
      <c r="F562">
        <v>1120</v>
      </c>
      <c r="G562" s="93" t="s">
        <v>68</v>
      </c>
      <c r="H562" t="s">
        <v>399</v>
      </c>
      <c r="I562">
        <v>1</v>
      </c>
      <c r="J562">
        <f>SUM(K563)</f>
        <v>333.63045970000002</v>
      </c>
      <c r="K562">
        <f>I562*J562</f>
        <v>333.63045970000002</v>
      </c>
      <c r="L562">
        <f>100*(1-(M562/K562))</f>
        <v>85.6</v>
      </c>
      <c r="M562">
        <f>I562*SUM(M563)</f>
        <v>48.042786196800009</v>
      </c>
      <c r="N562" s="90">
        <v>562</v>
      </c>
      <c r="O562" s="90" t="s">
        <v>500</v>
      </c>
      <c r="P562" s="118"/>
      <c r="Q562" s="118"/>
      <c r="R562" s="90" t="s">
        <v>814</v>
      </c>
      <c r="S562" s="90" t="s">
        <v>886</v>
      </c>
      <c r="T562" s="90" t="s">
        <v>943</v>
      </c>
      <c r="U562" s="90" t="s">
        <v>843</v>
      </c>
    </row>
    <row r="563" spans="1:21" x14ac:dyDescent="0.25">
      <c r="A563" s="90" t="s">
        <v>1955</v>
      </c>
      <c r="B563" s="119">
        <v>5</v>
      </c>
      <c r="C563" s="90" t="s">
        <v>1954</v>
      </c>
      <c r="D563" s="90" t="s">
        <v>78</v>
      </c>
      <c r="E563">
        <v>1118</v>
      </c>
      <c r="F563">
        <v>1119</v>
      </c>
      <c r="G563" s="93" t="s">
        <v>78</v>
      </c>
      <c r="H563" t="s">
        <v>401</v>
      </c>
      <c r="I563">
        <v>1</v>
      </c>
      <c r="J563">
        <v>333.63045970000002</v>
      </c>
      <c r="K563">
        <f>I563*J563</f>
        <v>333.63045970000002</v>
      </c>
      <c r="L563">
        <v>85.6</v>
      </c>
      <c r="M563">
        <f>(1-(L563/100))*K563</f>
        <v>48.042786196800009</v>
      </c>
      <c r="N563" s="90">
        <v>563</v>
      </c>
      <c r="O563" s="90" t="s">
        <v>501</v>
      </c>
      <c r="P563" s="118"/>
      <c r="Q563" s="118"/>
    </row>
    <row r="564" spans="1:21" x14ac:dyDescent="0.25">
      <c r="A564" s="90" t="s">
        <v>1956</v>
      </c>
      <c r="B564" s="119">
        <v>3</v>
      </c>
      <c r="C564" s="90" t="s">
        <v>1886</v>
      </c>
      <c r="D564" s="90" t="s">
        <v>96</v>
      </c>
      <c r="E564">
        <v>1122</v>
      </c>
      <c r="F564">
        <v>1127</v>
      </c>
      <c r="G564" s="93" t="s">
        <v>68</v>
      </c>
      <c r="H564" t="s">
        <v>1957</v>
      </c>
      <c r="I564">
        <v>1</v>
      </c>
      <c r="J564">
        <f>SUM(K565)</f>
        <v>1324.33464918</v>
      </c>
      <c r="K564">
        <f>I564*J564</f>
        <v>1324.33464918</v>
      </c>
      <c r="L564">
        <f>100*(1-(M564/K564))</f>
        <v>85.6</v>
      </c>
      <c r="M564">
        <f>I564*SUM(M565)</f>
        <v>190.70418948192003</v>
      </c>
      <c r="N564" s="90">
        <v>564</v>
      </c>
      <c r="O564" s="90" t="s">
        <v>502</v>
      </c>
      <c r="P564" s="118"/>
      <c r="Q564" s="118"/>
      <c r="R564" s="90" t="s">
        <v>6471</v>
      </c>
      <c r="S564" s="90" t="s">
        <v>1007</v>
      </c>
      <c r="T564" s="90" t="s">
        <v>1034</v>
      </c>
      <c r="U564" s="90" t="s">
        <v>6623</v>
      </c>
    </row>
    <row r="565" spans="1:21" x14ac:dyDescent="0.25">
      <c r="A565" s="90" t="s">
        <v>1958</v>
      </c>
      <c r="B565" s="119">
        <v>4</v>
      </c>
      <c r="C565" s="90" t="s">
        <v>1956</v>
      </c>
      <c r="D565" s="90" t="s">
        <v>78</v>
      </c>
      <c r="E565">
        <v>1123</v>
      </c>
      <c r="F565">
        <v>1126</v>
      </c>
      <c r="G565" s="93" t="s">
        <v>68</v>
      </c>
      <c r="H565" t="s">
        <v>418</v>
      </c>
      <c r="I565">
        <v>1</v>
      </c>
      <c r="J565">
        <f>SUM(K566)</f>
        <v>1324.33464918</v>
      </c>
      <c r="K565">
        <f>I565*J565</f>
        <v>1324.33464918</v>
      </c>
      <c r="L565">
        <f>100*(1-(M565/K565))</f>
        <v>85.6</v>
      </c>
      <c r="M565">
        <f>I565*SUM(M566)</f>
        <v>190.70418948192003</v>
      </c>
      <c r="N565" s="90">
        <v>565</v>
      </c>
      <c r="O565" s="90" t="s">
        <v>503</v>
      </c>
      <c r="P565" s="118"/>
      <c r="Q565" s="118"/>
      <c r="R565" s="90" t="s">
        <v>821</v>
      </c>
      <c r="S565" s="90" t="s">
        <v>898</v>
      </c>
      <c r="T565" s="90" t="s">
        <v>955</v>
      </c>
      <c r="U565" s="90" t="s">
        <v>850</v>
      </c>
    </row>
    <row r="566" spans="1:21" x14ac:dyDescent="0.25">
      <c r="A566" s="90" t="s">
        <v>1959</v>
      </c>
      <c r="B566" s="119">
        <v>5</v>
      </c>
      <c r="C566" s="90" t="s">
        <v>1958</v>
      </c>
      <c r="D566" s="90" t="s">
        <v>78</v>
      </c>
      <c r="E566">
        <v>1124</v>
      </c>
      <c r="F566">
        <v>1125</v>
      </c>
      <c r="G566" s="93" t="s">
        <v>78</v>
      </c>
      <c r="H566" t="s">
        <v>419</v>
      </c>
      <c r="I566">
        <v>1</v>
      </c>
      <c r="J566">
        <v>1324.33464918</v>
      </c>
      <c r="K566">
        <f>I566*J566</f>
        <v>1324.33464918</v>
      </c>
      <c r="L566">
        <v>85.6</v>
      </c>
      <c r="M566">
        <f>(1-(L566/100))*K566</f>
        <v>190.70418948192003</v>
      </c>
      <c r="N566" s="90">
        <v>566</v>
      </c>
      <c r="O566" s="90" t="s">
        <v>504</v>
      </c>
      <c r="P566" s="118"/>
      <c r="Q566" s="118"/>
    </row>
    <row r="567" spans="1:21" x14ac:dyDescent="0.25">
      <c r="A567" s="90" t="s">
        <v>1960</v>
      </c>
      <c r="B567" s="119">
        <v>2</v>
      </c>
      <c r="C567" s="90" t="s">
        <v>78</v>
      </c>
      <c r="D567" s="90" t="s">
        <v>798</v>
      </c>
      <c r="E567">
        <v>1129</v>
      </c>
      <c r="F567">
        <v>1268</v>
      </c>
      <c r="G567" s="93" t="s">
        <v>68</v>
      </c>
      <c r="H567" t="s">
        <v>1961</v>
      </c>
      <c r="I567">
        <v>1</v>
      </c>
      <c r="J567">
        <f>SUM(K568,K612,K622,K625,K628)</f>
        <v>85891.381458050004</v>
      </c>
      <c r="K567">
        <f>I567*J567</f>
        <v>85891.381458050004</v>
      </c>
      <c r="L567">
        <f>100*(1-(M567/K567))</f>
        <v>47.610870945707397</v>
      </c>
      <c r="M567">
        <f>I567*SUM(M568,M612,M622,M625,M628)</f>
        <v>44997.746678572563</v>
      </c>
      <c r="N567" s="90">
        <v>567</v>
      </c>
      <c r="O567" s="90" t="s">
        <v>1102</v>
      </c>
      <c r="P567" s="118"/>
      <c r="Q567" s="118"/>
      <c r="R567" s="90" t="s">
        <v>6965</v>
      </c>
      <c r="S567" s="90" t="s">
        <v>899</v>
      </c>
      <c r="T567" s="90" t="s">
        <v>956</v>
      </c>
      <c r="U567" s="90" t="s">
        <v>7014</v>
      </c>
    </row>
    <row r="568" spans="1:21" x14ac:dyDescent="0.25">
      <c r="A568" s="90" t="s">
        <v>1962</v>
      </c>
      <c r="B568" s="119">
        <v>3</v>
      </c>
      <c r="C568" s="90" t="s">
        <v>1960</v>
      </c>
      <c r="D568" s="90" t="s">
        <v>78</v>
      </c>
      <c r="E568">
        <v>1130</v>
      </c>
      <c r="F568">
        <v>1217</v>
      </c>
      <c r="G568" s="93" t="s">
        <v>68</v>
      </c>
      <c r="H568" t="s">
        <v>1963</v>
      </c>
      <c r="I568">
        <v>1</v>
      </c>
      <c r="J568">
        <f>SUM(K569,K571,K573,K575,K577,K579,K581,K583,K585,K587,K589,K591,K608,K610)</f>
        <v>64161.494319380006</v>
      </c>
      <c r="K568">
        <f>I568*J568</f>
        <v>64161.494319380006</v>
      </c>
      <c r="L568">
        <f>100*(1-(M568/K568))</f>
        <v>40</v>
      </c>
      <c r="M568">
        <f>I568*SUM(M569,M571,M573,M575,M577,M579,M581,M583,M585,M587,M589,M591,M608,M610)</f>
        <v>38496.896591627999</v>
      </c>
      <c r="N568" s="90">
        <v>568</v>
      </c>
      <c r="O568" s="90" t="s">
        <v>505</v>
      </c>
      <c r="P568" s="118"/>
      <c r="Q568" s="118"/>
      <c r="R568" s="90" t="s">
        <v>6472</v>
      </c>
      <c r="S568" s="90" t="s">
        <v>6770</v>
      </c>
      <c r="T568" s="90" t="s">
        <v>6915</v>
      </c>
      <c r="U568" s="90" t="s">
        <v>6624</v>
      </c>
    </row>
    <row r="569" spans="1:21" x14ac:dyDescent="0.25">
      <c r="A569" s="90" t="s">
        <v>1964</v>
      </c>
      <c r="B569" s="119">
        <v>4</v>
      </c>
      <c r="C569" s="90" t="s">
        <v>1962</v>
      </c>
      <c r="D569" s="90" t="s">
        <v>78</v>
      </c>
      <c r="E569">
        <v>1131</v>
      </c>
      <c r="F569">
        <v>1134</v>
      </c>
      <c r="G569" s="93" t="s">
        <v>68</v>
      </c>
      <c r="H569" t="s">
        <v>1809</v>
      </c>
      <c r="I569">
        <v>1</v>
      </c>
      <c r="J569">
        <f>SUM(K570)</f>
        <v>926.14287533000004</v>
      </c>
      <c r="K569">
        <f>I569*J569</f>
        <v>926.14287533000004</v>
      </c>
      <c r="L569">
        <f>100*(1-(M569/K569))</f>
        <v>40</v>
      </c>
      <c r="M569">
        <f>I569*SUM(M570)</f>
        <v>555.685725198</v>
      </c>
      <c r="N569" s="90">
        <v>569</v>
      </c>
      <c r="O569" s="90" t="s">
        <v>506</v>
      </c>
      <c r="P569" s="118"/>
      <c r="Q569" s="118"/>
      <c r="R569" s="90" t="s">
        <v>4767</v>
      </c>
      <c r="S569" s="90" t="s">
        <v>900</v>
      </c>
      <c r="T569" s="90" t="s">
        <v>957</v>
      </c>
      <c r="U569" s="90" t="s">
        <v>5307</v>
      </c>
    </row>
    <row r="570" spans="1:21" x14ac:dyDescent="0.25">
      <c r="A570" s="90" t="s">
        <v>1965</v>
      </c>
      <c r="B570" s="119">
        <v>5</v>
      </c>
      <c r="C570" s="90" t="s">
        <v>1964</v>
      </c>
      <c r="D570" s="90" t="s">
        <v>78</v>
      </c>
      <c r="E570">
        <v>1132</v>
      </c>
      <c r="F570">
        <v>1133</v>
      </c>
      <c r="G570" s="93" t="s">
        <v>78</v>
      </c>
      <c r="H570" t="s">
        <v>131</v>
      </c>
      <c r="I570">
        <v>1</v>
      </c>
      <c r="J570">
        <v>926.14287533000004</v>
      </c>
      <c r="K570">
        <f>I570*J570</f>
        <v>926.14287533000004</v>
      </c>
      <c r="L570">
        <v>40</v>
      </c>
      <c r="M570">
        <f>(1-(L570/100))*K570</f>
        <v>555.685725198</v>
      </c>
      <c r="N570" s="90">
        <v>570</v>
      </c>
      <c r="O570" s="90" t="s">
        <v>507</v>
      </c>
      <c r="P570" s="118"/>
      <c r="Q570" s="118"/>
    </row>
    <row r="571" spans="1:21" x14ac:dyDescent="0.25">
      <c r="A571" s="90" t="s">
        <v>1966</v>
      </c>
      <c r="B571" s="119">
        <v>4</v>
      </c>
      <c r="C571" s="90" t="s">
        <v>1962</v>
      </c>
      <c r="D571" s="90" t="s">
        <v>79</v>
      </c>
      <c r="E571">
        <v>1135</v>
      </c>
      <c r="F571">
        <v>1138</v>
      </c>
      <c r="G571" s="93" t="s">
        <v>68</v>
      </c>
      <c r="H571" t="s">
        <v>1812</v>
      </c>
      <c r="I571">
        <v>1</v>
      </c>
      <c r="J571">
        <f>SUM(K572)</f>
        <v>1655.4183114699999</v>
      </c>
      <c r="K571">
        <f>I571*J571</f>
        <v>1655.4183114699999</v>
      </c>
      <c r="L571">
        <f>100*(1-(M571/K571))</f>
        <v>40</v>
      </c>
      <c r="M571">
        <f>I571*SUM(M572)</f>
        <v>993.25098688199989</v>
      </c>
      <c r="N571" s="90">
        <v>571</v>
      </c>
      <c r="O571" s="90" t="s">
        <v>508</v>
      </c>
      <c r="P571" s="118"/>
      <c r="Q571" s="118"/>
      <c r="R571" s="90" t="s">
        <v>4773</v>
      </c>
      <c r="S571" s="90" t="s">
        <v>5811</v>
      </c>
      <c r="T571" s="90" t="s">
        <v>6309</v>
      </c>
      <c r="U571" s="90" t="s">
        <v>5313</v>
      </c>
    </row>
    <row r="572" spans="1:21" x14ac:dyDescent="0.25">
      <c r="A572" s="90" t="s">
        <v>1967</v>
      </c>
      <c r="B572" s="119">
        <v>5</v>
      </c>
      <c r="C572" s="90" t="s">
        <v>1966</v>
      </c>
      <c r="D572" s="90" t="s">
        <v>78</v>
      </c>
      <c r="E572">
        <v>1136</v>
      </c>
      <c r="F572">
        <v>1137</v>
      </c>
      <c r="G572" s="93" t="s">
        <v>78</v>
      </c>
      <c r="H572" t="s">
        <v>694</v>
      </c>
      <c r="I572">
        <v>1</v>
      </c>
      <c r="J572">
        <v>1655.4183114699999</v>
      </c>
      <c r="K572">
        <f>I572*J572</f>
        <v>1655.4183114699999</v>
      </c>
      <c r="L572">
        <v>40</v>
      </c>
      <c r="M572">
        <f>(1-(L572/100))*K572</f>
        <v>993.25098688199989</v>
      </c>
      <c r="N572" s="90">
        <v>572</v>
      </c>
      <c r="O572" s="90" t="s">
        <v>509</v>
      </c>
      <c r="P572" s="118"/>
      <c r="Q572" s="118"/>
    </row>
    <row r="573" spans="1:21" x14ac:dyDescent="0.25">
      <c r="A573" s="90" t="s">
        <v>1968</v>
      </c>
      <c r="B573" s="119">
        <v>4</v>
      </c>
      <c r="C573" s="90" t="s">
        <v>1962</v>
      </c>
      <c r="D573" s="90" t="s">
        <v>80</v>
      </c>
      <c r="E573">
        <v>1139</v>
      </c>
      <c r="F573">
        <v>1142</v>
      </c>
      <c r="G573" s="93" t="s">
        <v>68</v>
      </c>
      <c r="H573" t="s">
        <v>1815</v>
      </c>
      <c r="I573">
        <v>3</v>
      </c>
      <c r="J573">
        <f>SUM(K574)</f>
        <v>491.93938622000002</v>
      </c>
      <c r="K573">
        <f>I573*J573</f>
        <v>1475.8181586600001</v>
      </c>
      <c r="L573">
        <f>100*(1-(M573/K573))</f>
        <v>40</v>
      </c>
      <c r="M573">
        <f>I573*SUM(M574)</f>
        <v>885.490895196</v>
      </c>
      <c r="N573" s="90">
        <v>573</v>
      </c>
      <c r="O573" s="90" t="s">
        <v>510</v>
      </c>
      <c r="P573" s="118"/>
      <c r="Q573" s="118"/>
      <c r="R573" s="90" t="s">
        <v>4774</v>
      </c>
      <c r="S573" s="90" t="s">
        <v>5812</v>
      </c>
      <c r="T573" s="90" t="s">
        <v>6310</v>
      </c>
      <c r="U573" s="90" t="s">
        <v>5314</v>
      </c>
    </row>
    <row r="574" spans="1:21" x14ac:dyDescent="0.25">
      <c r="A574" s="90" t="s">
        <v>1969</v>
      </c>
      <c r="B574" s="119">
        <v>5</v>
      </c>
      <c r="C574" s="90" t="s">
        <v>1968</v>
      </c>
      <c r="D574" s="90" t="s">
        <v>78</v>
      </c>
      <c r="E574">
        <v>1140</v>
      </c>
      <c r="F574">
        <v>1141</v>
      </c>
      <c r="G574" s="93" t="s">
        <v>78</v>
      </c>
      <c r="H574" t="s">
        <v>126</v>
      </c>
      <c r="I574">
        <v>1</v>
      </c>
      <c r="J574">
        <v>491.93938622000002</v>
      </c>
      <c r="K574">
        <f>I574*J574</f>
        <v>491.93938622000002</v>
      </c>
      <c r="L574">
        <v>40</v>
      </c>
      <c r="M574">
        <f>(1-(L574/100))*K574</f>
        <v>295.163631732</v>
      </c>
      <c r="N574" s="90">
        <v>574</v>
      </c>
      <c r="O574" s="90" t="s">
        <v>511</v>
      </c>
      <c r="P574" s="118"/>
      <c r="Q574" s="118"/>
    </row>
    <row r="575" spans="1:21" x14ac:dyDescent="0.25">
      <c r="A575" s="90" t="s">
        <v>1970</v>
      </c>
      <c r="B575" s="119">
        <v>4</v>
      </c>
      <c r="C575" s="90" t="s">
        <v>1962</v>
      </c>
      <c r="D575" s="90" t="s">
        <v>95</v>
      </c>
      <c r="E575">
        <v>1143</v>
      </c>
      <c r="F575">
        <v>1146</v>
      </c>
      <c r="G575" s="93" t="s">
        <v>68</v>
      </c>
      <c r="H575" t="s">
        <v>1818</v>
      </c>
      <c r="I575">
        <v>4</v>
      </c>
      <c r="J575">
        <f>SUM(K576)</f>
        <v>313.76543995999998</v>
      </c>
      <c r="K575">
        <f>I575*J575</f>
        <v>1255.0617598399999</v>
      </c>
      <c r="L575">
        <f>100*(1-(M575/K575))</f>
        <v>40</v>
      </c>
      <c r="M575">
        <f>I575*SUM(M576)</f>
        <v>753.03705590399989</v>
      </c>
      <c r="N575" s="90">
        <v>575</v>
      </c>
      <c r="O575" s="90" t="s">
        <v>512</v>
      </c>
      <c r="P575" s="118"/>
      <c r="Q575" s="118"/>
      <c r="R575" s="90" t="s">
        <v>4775</v>
      </c>
      <c r="S575" s="90" t="s">
        <v>5813</v>
      </c>
      <c r="T575" s="90" t="s">
        <v>6311</v>
      </c>
      <c r="U575" s="90" t="s">
        <v>5315</v>
      </c>
    </row>
    <row r="576" spans="1:21" x14ac:dyDescent="0.25">
      <c r="A576" s="90" t="s">
        <v>1971</v>
      </c>
      <c r="B576" s="119">
        <v>5</v>
      </c>
      <c r="C576" s="90" t="s">
        <v>1970</v>
      </c>
      <c r="D576" s="90" t="s">
        <v>78</v>
      </c>
      <c r="E576">
        <v>1144</v>
      </c>
      <c r="F576">
        <v>1145</v>
      </c>
      <c r="G576" s="93" t="s">
        <v>78</v>
      </c>
      <c r="H576" t="s">
        <v>123</v>
      </c>
      <c r="I576">
        <v>1</v>
      </c>
      <c r="J576">
        <v>313.76543995999998</v>
      </c>
      <c r="K576">
        <f>I576*J576</f>
        <v>313.76543995999998</v>
      </c>
      <c r="L576">
        <v>40</v>
      </c>
      <c r="M576">
        <f>(1-(L576/100))*K576</f>
        <v>188.25926397599997</v>
      </c>
      <c r="N576" s="90">
        <v>576</v>
      </c>
      <c r="O576" s="90" t="s">
        <v>513</v>
      </c>
      <c r="P576" s="118"/>
      <c r="Q576" s="118"/>
    </row>
    <row r="577" spans="1:21" x14ac:dyDescent="0.25">
      <c r="A577" s="90" t="s">
        <v>1972</v>
      </c>
      <c r="B577" s="119">
        <v>4</v>
      </c>
      <c r="C577" s="90" t="s">
        <v>1962</v>
      </c>
      <c r="D577" s="90" t="s">
        <v>96</v>
      </c>
      <c r="E577">
        <v>1147</v>
      </c>
      <c r="F577">
        <v>1150</v>
      </c>
      <c r="G577" s="93" t="s">
        <v>68</v>
      </c>
      <c r="H577" t="s">
        <v>1821</v>
      </c>
      <c r="I577">
        <v>1</v>
      </c>
      <c r="J577">
        <f>SUM(K578)</f>
        <v>666.34407233000002</v>
      </c>
      <c r="K577">
        <f>I577*J577</f>
        <v>666.34407233000002</v>
      </c>
      <c r="L577">
        <f>100*(1-(M577/K577))</f>
        <v>40</v>
      </c>
      <c r="M577">
        <f>I577*SUM(M578)</f>
        <v>399.806443398</v>
      </c>
      <c r="N577" s="90">
        <v>577</v>
      </c>
      <c r="O577" s="90" t="s">
        <v>514</v>
      </c>
      <c r="P577" s="118"/>
      <c r="Q577" s="118"/>
      <c r="R577" s="90" t="s">
        <v>4776</v>
      </c>
      <c r="S577" s="90" t="s">
        <v>5814</v>
      </c>
      <c r="T577" s="90" t="s">
        <v>6312</v>
      </c>
      <c r="U577" s="90" t="s">
        <v>5316</v>
      </c>
    </row>
    <row r="578" spans="1:21" x14ac:dyDescent="0.25">
      <c r="A578" s="90" t="s">
        <v>1973</v>
      </c>
      <c r="B578" s="119">
        <v>5</v>
      </c>
      <c r="C578" s="90" t="s">
        <v>1972</v>
      </c>
      <c r="D578" s="90" t="s">
        <v>78</v>
      </c>
      <c r="E578">
        <v>1148</v>
      </c>
      <c r="F578">
        <v>1149</v>
      </c>
      <c r="G578" s="93" t="s">
        <v>78</v>
      </c>
      <c r="H578" t="s">
        <v>698</v>
      </c>
      <c r="I578">
        <v>1</v>
      </c>
      <c r="J578">
        <v>666.34407233000002</v>
      </c>
      <c r="K578">
        <f>I578*J578</f>
        <v>666.34407233000002</v>
      </c>
      <c r="L578">
        <v>40</v>
      </c>
      <c r="M578">
        <f>(1-(L578/100))*K578</f>
        <v>399.806443398</v>
      </c>
      <c r="N578" s="90">
        <v>578</v>
      </c>
      <c r="O578" s="90" t="s">
        <v>515</v>
      </c>
      <c r="P578" s="118"/>
      <c r="Q578" s="118"/>
    </row>
    <row r="579" spans="1:21" x14ac:dyDescent="0.25">
      <c r="A579" s="90" t="s">
        <v>1974</v>
      </c>
      <c r="B579" s="119">
        <v>4</v>
      </c>
      <c r="C579" s="90" t="s">
        <v>1962</v>
      </c>
      <c r="D579" s="90" t="s">
        <v>103</v>
      </c>
      <c r="E579">
        <v>1151</v>
      </c>
      <c r="F579">
        <v>1154</v>
      </c>
      <c r="G579" s="93" t="s">
        <v>68</v>
      </c>
      <c r="H579" t="s">
        <v>1240</v>
      </c>
      <c r="I579">
        <v>1</v>
      </c>
      <c r="J579">
        <f>SUM(K580)</f>
        <v>700.36928562000003</v>
      </c>
      <c r="K579">
        <f>I579*J579</f>
        <v>700.36928562000003</v>
      </c>
      <c r="L579">
        <f>100*(1-(M579/K579))</f>
        <v>40</v>
      </c>
      <c r="M579">
        <f>I579*SUM(M580)</f>
        <v>420.22157137200003</v>
      </c>
      <c r="N579" s="90">
        <v>579</v>
      </c>
      <c r="O579" s="90" t="s">
        <v>516</v>
      </c>
      <c r="P579" s="118"/>
      <c r="Q579" s="118"/>
      <c r="R579" s="90" t="s">
        <v>4777</v>
      </c>
      <c r="S579" s="90" t="s">
        <v>5815</v>
      </c>
      <c r="T579" s="90" t="s">
        <v>6313</v>
      </c>
      <c r="U579" s="90" t="s">
        <v>5317</v>
      </c>
    </row>
    <row r="580" spans="1:21" x14ac:dyDescent="0.25">
      <c r="A580" s="90" t="s">
        <v>1975</v>
      </c>
      <c r="B580" s="119">
        <v>5</v>
      </c>
      <c r="C580" s="90" t="s">
        <v>1974</v>
      </c>
      <c r="D580" s="90" t="s">
        <v>78</v>
      </c>
      <c r="E580">
        <v>1152</v>
      </c>
      <c r="F580">
        <v>1153</v>
      </c>
      <c r="G580" s="93" t="s">
        <v>78</v>
      </c>
      <c r="H580" t="s">
        <v>1243</v>
      </c>
      <c r="I580">
        <v>1</v>
      </c>
      <c r="J580">
        <v>700.36928562000003</v>
      </c>
      <c r="K580">
        <f>I580*J580</f>
        <v>700.36928562000003</v>
      </c>
      <c r="L580">
        <v>40</v>
      </c>
      <c r="M580">
        <f>(1-(L580/100))*K580</f>
        <v>420.22157137200003</v>
      </c>
      <c r="N580" s="90">
        <v>580</v>
      </c>
      <c r="O580" s="90" t="s">
        <v>517</v>
      </c>
      <c r="P580" s="118"/>
      <c r="Q580" s="118"/>
    </row>
    <row r="581" spans="1:21" x14ac:dyDescent="0.25">
      <c r="A581" s="90" t="s">
        <v>1976</v>
      </c>
      <c r="B581" s="119">
        <v>4</v>
      </c>
      <c r="C581" s="90" t="s">
        <v>1962</v>
      </c>
      <c r="D581" s="90" t="s">
        <v>796</v>
      </c>
      <c r="E581">
        <v>1155</v>
      </c>
      <c r="F581">
        <v>1158</v>
      </c>
      <c r="G581" s="93" t="s">
        <v>68</v>
      </c>
      <c r="H581" t="s">
        <v>1246</v>
      </c>
      <c r="I581">
        <v>4</v>
      </c>
      <c r="J581">
        <f>SUM(K582)</f>
        <v>967.93582071000003</v>
      </c>
      <c r="K581">
        <f>I581*J581</f>
        <v>3871.7432828400001</v>
      </c>
      <c r="L581">
        <f>100*(1-(M581/K581))</f>
        <v>40</v>
      </c>
      <c r="M581">
        <f>I581*SUM(M582)</f>
        <v>2323.0459697040001</v>
      </c>
      <c r="N581" s="90">
        <v>581</v>
      </c>
      <c r="O581" s="90" t="s">
        <v>518</v>
      </c>
      <c r="P581" s="118"/>
      <c r="Q581" s="118"/>
      <c r="R581" s="90" t="s">
        <v>4778</v>
      </c>
      <c r="S581" s="90" t="s">
        <v>5816</v>
      </c>
      <c r="T581" s="90" t="s">
        <v>6314</v>
      </c>
      <c r="U581" s="90" t="s">
        <v>5318</v>
      </c>
    </row>
    <row r="582" spans="1:21" x14ac:dyDescent="0.25">
      <c r="A582" s="90" t="s">
        <v>1977</v>
      </c>
      <c r="B582" s="119">
        <v>5</v>
      </c>
      <c r="C582" s="90" t="s">
        <v>1976</v>
      </c>
      <c r="D582" s="90" t="s">
        <v>78</v>
      </c>
      <c r="E582">
        <v>1156</v>
      </c>
      <c r="F582">
        <v>1157</v>
      </c>
      <c r="G582" s="93" t="s">
        <v>78</v>
      </c>
      <c r="H582" t="s">
        <v>120</v>
      </c>
      <c r="I582">
        <v>1</v>
      </c>
      <c r="J582">
        <v>967.93582071000003</v>
      </c>
      <c r="K582">
        <f>I582*J582</f>
        <v>967.93582071000003</v>
      </c>
      <c r="L582">
        <v>40</v>
      </c>
      <c r="M582">
        <f>(1-(L582/100))*K582</f>
        <v>580.76149242600002</v>
      </c>
      <c r="N582" s="90">
        <v>582</v>
      </c>
      <c r="O582" s="90" t="s">
        <v>519</v>
      </c>
      <c r="P582" s="118"/>
      <c r="Q582" s="118"/>
    </row>
    <row r="583" spans="1:21" x14ac:dyDescent="0.25">
      <c r="A583" s="90" t="s">
        <v>1978</v>
      </c>
      <c r="B583" s="119">
        <v>4</v>
      </c>
      <c r="C583" s="90" t="s">
        <v>1962</v>
      </c>
      <c r="D583" s="90" t="s">
        <v>797</v>
      </c>
      <c r="E583">
        <v>1159</v>
      </c>
      <c r="F583">
        <v>1162</v>
      </c>
      <c r="G583" s="93" t="s">
        <v>68</v>
      </c>
      <c r="H583" t="s">
        <v>106</v>
      </c>
      <c r="I583">
        <v>2</v>
      </c>
      <c r="J583">
        <f>SUM(K584)</f>
        <v>5209</v>
      </c>
      <c r="K583">
        <f>I583*J583</f>
        <v>10418</v>
      </c>
      <c r="L583">
        <f>100*(1-(M583/K583))</f>
        <v>40</v>
      </c>
      <c r="M583">
        <f>I583*SUM(M584)</f>
        <v>6250.8</v>
      </c>
      <c r="N583" s="90">
        <v>583</v>
      </c>
      <c r="O583" s="90" t="s">
        <v>520</v>
      </c>
      <c r="P583" s="118"/>
      <c r="Q583" s="118"/>
      <c r="R583" s="90" t="s">
        <v>4779</v>
      </c>
      <c r="S583" s="90" t="s">
        <v>5817</v>
      </c>
      <c r="T583" s="90" t="s">
        <v>6315</v>
      </c>
      <c r="U583" s="90" t="s">
        <v>5319</v>
      </c>
    </row>
    <row r="584" spans="1:21" x14ac:dyDescent="0.25">
      <c r="A584" s="90" t="s">
        <v>1979</v>
      </c>
      <c r="B584" s="119">
        <v>5</v>
      </c>
      <c r="C584" s="90" t="s">
        <v>1978</v>
      </c>
      <c r="D584" s="90" t="s">
        <v>78</v>
      </c>
      <c r="E584">
        <v>1160</v>
      </c>
      <c r="F584">
        <v>1161</v>
      </c>
      <c r="G584" s="93" t="s">
        <v>78</v>
      </c>
      <c r="H584" t="s">
        <v>107</v>
      </c>
      <c r="I584">
        <v>1</v>
      </c>
      <c r="J584">
        <v>5209</v>
      </c>
      <c r="K584">
        <f>I584*J584</f>
        <v>5209</v>
      </c>
      <c r="L584">
        <v>40</v>
      </c>
      <c r="M584">
        <f>(1-(L584/100))*K584</f>
        <v>3125.4</v>
      </c>
      <c r="N584" s="90">
        <v>584</v>
      </c>
      <c r="O584" s="90" t="s">
        <v>521</v>
      </c>
      <c r="P584" s="118"/>
      <c r="Q584" s="118"/>
    </row>
    <row r="585" spans="1:21" x14ac:dyDescent="0.25">
      <c r="A585" s="90" t="s">
        <v>1980</v>
      </c>
      <c r="B585" s="119">
        <v>4</v>
      </c>
      <c r="C585" s="90" t="s">
        <v>1962</v>
      </c>
      <c r="D585" s="90" t="s">
        <v>798</v>
      </c>
      <c r="E585">
        <v>1163</v>
      </c>
      <c r="F585">
        <v>1166</v>
      </c>
      <c r="G585" s="93" t="s">
        <v>68</v>
      </c>
      <c r="H585" t="s">
        <v>1266</v>
      </c>
      <c r="I585">
        <v>1</v>
      </c>
      <c r="J585">
        <f>SUM(K586)</f>
        <v>9312.3647013900008</v>
      </c>
      <c r="K585">
        <f>I585*J585</f>
        <v>9312.3647013900008</v>
      </c>
      <c r="L585">
        <f>100*(1-(M585/K585))</f>
        <v>40</v>
      </c>
      <c r="M585">
        <f>I585*SUM(M586)</f>
        <v>5587.4188208340001</v>
      </c>
      <c r="N585" s="90">
        <v>585</v>
      </c>
      <c r="O585" s="90" t="s">
        <v>522</v>
      </c>
      <c r="P585" s="118"/>
      <c r="Q585" s="118"/>
      <c r="R585" s="90" t="s">
        <v>4780</v>
      </c>
      <c r="S585" s="90" t="s">
        <v>5818</v>
      </c>
      <c r="T585" s="90" t="s">
        <v>6316</v>
      </c>
      <c r="U585" s="90" t="s">
        <v>5320</v>
      </c>
    </row>
    <row r="586" spans="1:21" x14ac:dyDescent="0.25">
      <c r="A586" s="90" t="s">
        <v>1981</v>
      </c>
      <c r="B586" s="119">
        <v>5</v>
      </c>
      <c r="C586" s="90" t="s">
        <v>1980</v>
      </c>
      <c r="D586" s="90" t="s">
        <v>78</v>
      </c>
      <c r="E586">
        <v>1164</v>
      </c>
      <c r="F586">
        <v>1165</v>
      </c>
      <c r="G586" s="93" t="s">
        <v>78</v>
      </c>
      <c r="H586" t="s">
        <v>1269</v>
      </c>
      <c r="I586">
        <v>1</v>
      </c>
      <c r="J586">
        <v>9312.3647013900008</v>
      </c>
      <c r="K586">
        <f>I586*J586</f>
        <v>9312.3647013900008</v>
      </c>
      <c r="L586">
        <v>40</v>
      </c>
      <c r="M586">
        <f>(1-(L586/100))*K586</f>
        <v>5587.4188208340001</v>
      </c>
      <c r="N586" s="90">
        <v>586</v>
      </c>
      <c r="O586" s="90" t="s">
        <v>523</v>
      </c>
      <c r="P586" s="118"/>
      <c r="Q586" s="118"/>
    </row>
    <row r="587" spans="1:21" x14ac:dyDescent="0.25">
      <c r="A587" s="90" t="s">
        <v>1982</v>
      </c>
      <c r="B587" s="119">
        <v>4</v>
      </c>
      <c r="C587" s="90" t="s">
        <v>1962</v>
      </c>
      <c r="D587" s="90" t="s">
        <v>799</v>
      </c>
      <c r="E587">
        <v>1167</v>
      </c>
      <c r="F587">
        <v>1170</v>
      </c>
      <c r="G587" s="93" t="s">
        <v>68</v>
      </c>
      <c r="H587" t="s">
        <v>1638</v>
      </c>
      <c r="I587">
        <v>1</v>
      </c>
      <c r="J587">
        <f>SUM(K588)</f>
        <v>1980.13</v>
      </c>
      <c r="K587">
        <f>I587*J587</f>
        <v>1980.13</v>
      </c>
      <c r="L587">
        <f>100*(1-(M587/K587))</f>
        <v>40</v>
      </c>
      <c r="M587">
        <f>I587*SUM(M588)</f>
        <v>1188.078</v>
      </c>
      <c r="N587" s="90">
        <v>587</v>
      </c>
      <c r="O587" s="90" t="s">
        <v>524</v>
      </c>
      <c r="P587" s="118"/>
      <c r="Q587" s="118"/>
      <c r="R587" s="90" t="s">
        <v>4768</v>
      </c>
      <c r="S587" s="90" t="s">
        <v>5806</v>
      </c>
      <c r="T587" s="90" t="s">
        <v>6304</v>
      </c>
      <c r="U587" s="90" t="s">
        <v>5308</v>
      </c>
    </row>
    <row r="588" spans="1:21" x14ac:dyDescent="0.25">
      <c r="A588" s="90" t="s">
        <v>1983</v>
      </c>
      <c r="B588" s="119">
        <v>5</v>
      </c>
      <c r="C588" s="90" t="s">
        <v>1982</v>
      </c>
      <c r="D588" s="90" t="s">
        <v>78</v>
      </c>
      <c r="E588">
        <v>1168</v>
      </c>
      <c r="F588">
        <v>1169</v>
      </c>
      <c r="G588" s="93" t="s">
        <v>78</v>
      </c>
      <c r="H588" t="s">
        <v>1638</v>
      </c>
      <c r="I588">
        <v>1</v>
      </c>
      <c r="J588">
        <v>1980.13</v>
      </c>
      <c r="K588">
        <f>I588*J588</f>
        <v>1980.13</v>
      </c>
      <c r="L588">
        <v>40</v>
      </c>
      <c r="M588">
        <f>(1-(L588/100))*K588</f>
        <v>1188.078</v>
      </c>
      <c r="N588" s="90">
        <v>588</v>
      </c>
      <c r="O588" s="90" t="s">
        <v>525</v>
      </c>
      <c r="P588" s="118"/>
      <c r="Q588" s="118"/>
    </row>
    <row r="589" spans="1:21" x14ac:dyDescent="0.25">
      <c r="A589" s="90" t="s">
        <v>1984</v>
      </c>
      <c r="B589" s="119">
        <v>4</v>
      </c>
      <c r="C589" s="90" t="s">
        <v>1962</v>
      </c>
      <c r="D589" s="90" t="s">
        <v>97</v>
      </c>
      <c r="E589">
        <v>1171</v>
      </c>
      <c r="F589">
        <v>1174</v>
      </c>
      <c r="G589" s="93" t="s">
        <v>68</v>
      </c>
      <c r="H589" t="s">
        <v>1272</v>
      </c>
      <c r="I589">
        <v>2</v>
      </c>
      <c r="J589">
        <f>SUM(K590)</f>
        <v>1308.5572392700001</v>
      </c>
      <c r="K589">
        <f>I589*J589</f>
        <v>2617.1144785400002</v>
      </c>
      <c r="L589">
        <f>100*(1-(M589/K589))</f>
        <v>40</v>
      </c>
      <c r="M589">
        <f>I589*SUM(M590)</f>
        <v>1570.2686871240001</v>
      </c>
      <c r="N589" s="90">
        <v>589</v>
      </c>
      <c r="O589" s="90" t="s">
        <v>526</v>
      </c>
      <c r="P589" s="118"/>
      <c r="Q589" s="118"/>
      <c r="R589" s="90" t="s">
        <v>4769</v>
      </c>
      <c r="S589" s="90" t="s">
        <v>5807</v>
      </c>
      <c r="T589" s="90" t="s">
        <v>6305</v>
      </c>
      <c r="U589" s="90" t="s">
        <v>5309</v>
      </c>
    </row>
    <row r="590" spans="1:21" x14ac:dyDescent="0.25">
      <c r="A590" s="90" t="s">
        <v>1985</v>
      </c>
      <c r="B590" s="119">
        <v>5</v>
      </c>
      <c r="C590" s="90" t="s">
        <v>1984</v>
      </c>
      <c r="D590" s="90" t="s">
        <v>78</v>
      </c>
      <c r="E590">
        <v>1172</v>
      </c>
      <c r="F590">
        <v>1173</v>
      </c>
      <c r="G590" s="93" t="s">
        <v>78</v>
      </c>
      <c r="H590" t="s">
        <v>1272</v>
      </c>
      <c r="I590">
        <v>1</v>
      </c>
      <c r="J590">
        <v>1308.5572392700001</v>
      </c>
      <c r="K590">
        <f>I590*J590</f>
        <v>1308.5572392700001</v>
      </c>
      <c r="L590">
        <v>40</v>
      </c>
      <c r="M590">
        <f>(1-(L590/100))*K590</f>
        <v>785.13434356200003</v>
      </c>
      <c r="N590" s="90">
        <v>590</v>
      </c>
      <c r="O590" s="90" t="s">
        <v>527</v>
      </c>
      <c r="P590" s="118"/>
      <c r="Q590" s="118"/>
    </row>
    <row r="591" spans="1:21" x14ac:dyDescent="0.25">
      <c r="A591" s="90" t="s">
        <v>1986</v>
      </c>
      <c r="B591" s="119">
        <v>4</v>
      </c>
      <c r="C591" s="90" t="s">
        <v>1962</v>
      </c>
      <c r="D591" s="90" t="s">
        <v>98</v>
      </c>
      <c r="E591">
        <v>1175</v>
      </c>
      <c r="F591">
        <v>1208</v>
      </c>
      <c r="G591" s="93" t="s">
        <v>68</v>
      </c>
      <c r="H591" t="s">
        <v>1836</v>
      </c>
      <c r="I591">
        <v>1</v>
      </c>
      <c r="J591">
        <f>SUM(K592,K593,K594,K595,K596,K597,K598,K599,K600,K601,K602,K603,K604,K605,K606,K607)</f>
        <v>11904.940786960002</v>
      </c>
      <c r="K591">
        <f>I591*J591</f>
        <v>11904.940786960002</v>
      </c>
      <c r="L591">
        <f>100*(1-(M591/K591))</f>
        <v>40.000000000000021</v>
      </c>
      <c r="M591">
        <f>I591*SUM(M592,M593,M594,M595,M596,M597,M598,M599,M600,M601,M602,M603,M604,M605,M606,M607)</f>
        <v>7142.9644721759987</v>
      </c>
      <c r="N591" s="90">
        <v>591</v>
      </c>
      <c r="O591" s="90" t="s">
        <v>1103</v>
      </c>
      <c r="P591" s="118"/>
      <c r="Q591" s="118"/>
      <c r="R591" s="90" t="s">
        <v>4770</v>
      </c>
      <c r="S591" s="90" t="s">
        <v>5808</v>
      </c>
      <c r="T591" s="90" t="s">
        <v>6306</v>
      </c>
      <c r="U591" s="90" t="s">
        <v>5310</v>
      </c>
    </row>
    <row r="592" spans="1:21" x14ac:dyDescent="0.25">
      <c r="A592" s="90" t="s">
        <v>1987</v>
      </c>
      <c r="B592" s="119">
        <v>5</v>
      </c>
      <c r="C592" s="90" t="s">
        <v>1986</v>
      </c>
      <c r="D592" s="90" t="s">
        <v>78</v>
      </c>
      <c r="E592">
        <v>1176</v>
      </c>
      <c r="F592">
        <v>1177</v>
      </c>
      <c r="G592" s="93" t="s">
        <v>78</v>
      </c>
      <c r="H592" t="s">
        <v>126</v>
      </c>
      <c r="I592">
        <v>1</v>
      </c>
      <c r="J592">
        <v>491.93938622000002</v>
      </c>
      <c r="K592">
        <f>I592*J592</f>
        <v>491.93938622000002</v>
      </c>
      <c r="L592">
        <v>40</v>
      </c>
      <c r="M592">
        <f>(1-(L592/100))*K592</f>
        <v>295.163631732</v>
      </c>
      <c r="N592" s="90">
        <v>592</v>
      </c>
      <c r="O592" s="90" t="s">
        <v>528</v>
      </c>
      <c r="P592" s="118"/>
      <c r="Q592" s="118"/>
    </row>
    <row r="593" spans="1:21" x14ac:dyDescent="0.25">
      <c r="A593" s="90" t="s">
        <v>1988</v>
      </c>
      <c r="B593" s="119">
        <v>5</v>
      </c>
      <c r="C593" s="90" t="s">
        <v>1986</v>
      </c>
      <c r="D593" s="90" t="s">
        <v>79</v>
      </c>
      <c r="E593">
        <v>1178</v>
      </c>
      <c r="F593">
        <v>1179</v>
      </c>
      <c r="G593" s="93" t="s">
        <v>78</v>
      </c>
      <c r="H593" t="s">
        <v>131</v>
      </c>
      <c r="I593">
        <v>1</v>
      </c>
      <c r="J593">
        <v>926.14287533000004</v>
      </c>
      <c r="K593">
        <f>I593*J593</f>
        <v>926.14287533000004</v>
      </c>
      <c r="L593">
        <v>40</v>
      </c>
      <c r="M593">
        <f>(1-(L593/100))*K593</f>
        <v>555.685725198</v>
      </c>
      <c r="N593" s="90">
        <v>593</v>
      </c>
      <c r="O593" s="90" t="s">
        <v>529</v>
      </c>
      <c r="P593" s="118"/>
      <c r="Q593" s="118"/>
    </row>
    <row r="594" spans="1:21" x14ac:dyDescent="0.25">
      <c r="A594" s="90" t="s">
        <v>1989</v>
      </c>
      <c r="B594" s="119">
        <v>5</v>
      </c>
      <c r="C594" s="90" t="s">
        <v>1986</v>
      </c>
      <c r="D594" s="90" t="s">
        <v>80</v>
      </c>
      <c r="E594">
        <v>1180</v>
      </c>
      <c r="F594">
        <v>1181</v>
      </c>
      <c r="G594" s="93" t="s">
        <v>78</v>
      </c>
      <c r="H594" t="s">
        <v>123</v>
      </c>
      <c r="I594">
        <v>3</v>
      </c>
      <c r="J594">
        <v>313.76543995999998</v>
      </c>
      <c r="K594">
        <f>I594*J594</f>
        <v>941.29631987999994</v>
      </c>
      <c r="L594">
        <v>40</v>
      </c>
      <c r="M594">
        <f>(1-(L594/100))*K594</f>
        <v>564.77779192799994</v>
      </c>
      <c r="N594" s="90">
        <v>594</v>
      </c>
      <c r="O594" s="90" t="s">
        <v>530</v>
      </c>
      <c r="P594" s="118"/>
      <c r="Q594" s="118"/>
    </row>
    <row r="595" spans="1:21" x14ac:dyDescent="0.25">
      <c r="A595" s="90" t="s">
        <v>1990</v>
      </c>
      <c r="B595" s="119">
        <v>5</v>
      </c>
      <c r="C595" s="90" t="s">
        <v>1986</v>
      </c>
      <c r="D595" s="90" t="s">
        <v>95</v>
      </c>
      <c r="E595">
        <v>1182</v>
      </c>
      <c r="F595">
        <v>1183</v>
      </c>
      <c r="G595" s="93" t="s">
        <v>78</v>
      </c>
      <c r="H595" t="s">
        <v>132</v>
      </c>
      <c r="I595">
        <v>1</v>
      </c>
      <c r="J595">
        <v>5940.1629950300003</v>
      </c>
      <c r="K595">
        <f>I595*J595</f>
        <v>5940.1629950300003</v>
      </c>
      <c r="L595">
        <v>40</v>
      </c>
      <c r="M595">
        <f>(1-(L595/100))*K595</f>
        <v>3564.0977970180002</v>
      </c>
      <c r="N595" s="90">
        <v>595</v>
      </c>
      <c r="O595" s="90" t="s">
        <v>1104</v>
      </c>
      <c r="P595" s="118"/>
      <c r="Q595" s="118"/>
    </row>
    <row r="596" spans="1:21" x14ac:dyDescent="0.25">
      <c r="A596" s="90" t="s">
        <v>1991</v>
      </c>
      <c r="B596" s="119">
        <v>5</v>
      </c>
      <c r="C596" s="90" t="s">
        <v>1986</v>
      </c>
      <c r="D596" s="90" t="s">
        <v>96</v>
      </c>
      <c r="E596">
        <v>1184</v>
      </c>
      <c r="F596">
        <v>1185</v>
      </c>
      <c r="G596" s="93" t="s">
        <v>78</v>
      </c>
      <c r="H596" t="s">
        <v>133</v>
      </c>
      <c r="I596">
        <v>0</v>
      </c>
      <c r="J596">
        <v>1527.53087992</v>
      </c>
      <c r="K596">
        <f>I596*J596</f>
        <v>0</v>
      </c>
      <c r="L596">
        <v>40</v>
      </c>
      <c r="M596">
        <f>(1-(L596/100))*K596</f>
        <v>0</v>
      </c>
      <c r="N596" s="90">
        <v>596</v>
      </c>
      <c r="O596" s="90" t="s">
        <v>531</v>
      </c>
      <c r="P596" s="118"/>
      <c r="Q596" s="118"/>
    </row>
    <row r="597" spans="1:21" x14ac:dyDescent="0.25">
      <c r="A597" s="90" t="s">
        <v>1992</v>
      </c>
      <c r="B597" s="119">
        <v>5</v>
      </c>
      <c r="C597" s="90" t="s">
        <v>1986</v>
      </c>
      <c r="D597" s="90" t="s">
        <v>103</v>
      </c>
      <c r="E597">
        <v>1186</v>
      </c>
      <c r="F597">
        <v>1187</v>
      </c>
      <c r="G597" s="93" t="s">
        <v>78</v>
      </c>
      <c r="H597" t="s">
        <v>119</v>
      </c>
      <c r="I597">
        <v>1</v>
      </c>
      <c r="J597">
        <v>594.85546925000006</v>
      </c>
      <c r="K597">
        <f>I597*J597</f>
        <v>594.85546925000006</v>
      </c>
      <c r="L597">
        <v>40</v>
      </c>
      <c r="M597">
        <f>(1-(L597/100))*K597</f>
        <v>356.91328155000002</v>
      </c>
      <c r="N597" s="90">
        <v>597</v>
      </c>
      <c r="O597" s="90" t="s">
        <v>532</v>
      </c>
      <c r="P597" s="118"/>
      <c r="Q597" s="118"/>
    </row>
    <row r="598" spans="1:21" x14ac:dyDescent="0.25">
      <c r="A598" s="90" t="s">
        <v>1993</v>
      </c>
      <c r="B598" s="119">
        <v>5</v>
      </c>
      <c r="C598" s="90" t="s">
        <v>1986</v>
      </c>
      <c r="D598" s="90" t="s">
        <v>796</v>
      </c>
      <c r="E598">
        <v>1188</v>
      </c>
      <c r="F598">
        <v>1189</v>
      </c>
      <c r="G598" s="93" t="s">
        <v>78</v>
      </c>
      <c r="H598" t="s">
        <v>107</v>
      </c>
      <c r="I598">
        <v>0</v>
      </c>
      <c r="J598">
        <v>5209</v>
      </c>
      <c r="K598">
        <f>I598*J598</f>
        <v>0</v>
      </c>
      <c r="L598">
        <v>40</v>
      </c>
      <c r="M598">
        <f>(1-(L598/100))*K598</f>
        <v>0</v>
      </c>
      <c r="N598" s="90">
        <v>598</v>
      </c>
      <c r="O598" s="90" t="s">
        <v>1105</v>
      </c>
      <c r="P598" s="118"/>
      <c r="Q598" s="118"/>
    </row>
    <row r="599" spans="1:21" x14ac:dyDescent="0.25">
      <c r="A599" s="90" t="s">
        <v>1994</v>
      </c>
      <c r="B599" s="119">
        <v>5</v>
      </c>
      <c r="C599" s="90" t="s">
        <v>1986</v>
      </c>
      <c r="D599" s="90" t="s">
        <v>797</v>
      </c>
      <c r="E599">
        <v>1190</v>
      </c>
      <c r="F599">
        <v>1191</v>
      </c>
      <c r="G599" s="93" t="s">
        <v>78</v>
      </c>
      <c r="H599" t="s">
        <v>127</v>
      </c>
      <c r="I599">
        <v>1</v>
      </c>
      <c r="J599">
        <v>275.43613906000002</v>
      </c>
      <c r="K599">
        <f>I599*J599</f>
        <v>275.43613906000002</v>
      </c>
      <c r="L599">
        <v>40</v>
      </c>
      <c r="M599">
        <f>(1-(L599/100))*K599</f>
        <v>165.261683436</v>
      </c>
      <c r="N599" s="90">
        <v>599</v>
      </c>
      <c r="O599" s="90" t="s">
        <v>533</v>
      </c>
      <c r="P599" s="118"/>
      <c r="Q599" s="118"/>
    </row>
    <row r="600" spans="1:21" x14ac:dyDescent="0.25">
      <c r="A600" s="90" t="s">
        <v>1995</v>
      </c>
      <c r="B600" s="119">
        <v>5</v>
      </c>
      <c r="C600" s="90" t="s">
        <v>1986</v>
      </c>
      <c r="D600" s="90" t="s">
        <v>798</v>
      </c>
      <c r="E600">
        <v>1192</v>
      </c>
      <c r="F600">
        <v>1193</v>
      </c>
      <c r="G600" s="93" t="s">
        <v>78</v>
      </c>
      <c r="H600" t="s">
        <v>121</v>
      </c>
      <c r="I600">
        <v>1</v>
      </c>
      <c r="J600">
        <v>78.186680249999995</v>
      </c>
      <c r="K600">
        <f>I600*J600</f>
        <v>78.186680249999995</v>
      </c>
      <c r="L600">
        <v>40</v>
      </c>
      <c r="M600">
        <f>(1-(L600/100))*K600</f>
        <v>46.912008149999998</v>
      </c>
      <c r="N600" s="90">
        <v>600</v>
      </c>
      <c r="O600" s="90" t="s">
        <v>534</v>
      </c>
      <c r="P600" s="118"/>
      <c r="Q600" s="118"/>
    </row>
    <row r="601" spans="1:21" x14ac:dyDescent="0.25">
      <c r="A601" s="90" t="s">
        <v>1996</v>
      </c>
      <c r="B601" s="119">
        <v>5</v>
      </c>
      <c r="C601" s="90" t="s">
        <v>1986</v>
      </c>
      <c r="D601" s="90" t="s">
        <v>799</v>
      </c>
      <c r="E601">
        <v>1194</v>
      </c>
      <c r="F601">
        <v>1195</v>
      </c>
      <c r="G601" s="93" t="s">
        <v>78</v>
      </c>
      <c r="H601" t="s">
        <v>122</v>
      </c>
      <c r="I601">
        <v>1</v>
      </c>
      <c r="J601">
        <v>823.90169361999995</v>
      </c>
      <c r="K601">
        <f>I601*J601</f>
        <v>823.90169361999995</v>
      </c>
      <c r="L601">
        <v>40</v>
      </c>
      <c r="M601">
        <f>(1-(L601/100))*K601</f>
        <v>494.34101617199997</v>
      </c>
      <c r="N601" s="90">
        <v>601</v>
      </c>
      <c r="O601" s="90" t="s">
        <v>535</v>
      </c>
      <c r="P601" s="118"/>
      <c r="Q601" s="118"/>
    </row>
    <row r="602" spans="1:21" x14ac:dyDescent="0.25">
      <c r="A602" s="90" t="s">
        <v>1997</v>
      </c>
      <c r="B602" s="119">
        <v>5</v>
      </c>
      <c r="C602" s="90" t="s">
        <v>1986</v>
      </c>
      <c r="D602" s="90" t="s">
        <v>97</v>
      </c>
      <c r="E602">
        <v>1196</v>
      </c>
      <c r="F602">
        <v>1197</v>
      </c>
      <c r="G602" s="93" t="s">
        <v>78</v>
      </c>
      <c r="H602" t="s">
        <v>128</v>
      </c>
      <c r="I602">
        <v>1</v>
      </c>
      <c r="J602">
        <v>270.62269196</v>
      </c>
      <c r="K602">
        <f>I602*J602</f>
        <v>270.62269196</v>
      </c>
      <c r="L602">
        <v>40</v>
      </c>
      <c r="M602">
        <f>(1-(L602/100))*K602</f>
        <v>162.37361517599999</v>
      </c>
      <c r="N602" s="90">
        <v>602</v>
      </c>
      <c r="O602" s="90" t="s">
        <v>536</v>
      </c>
      <c r="P602" s="118"/>
      <c r="Q602" s="118"/>
    </row>
    <row r="603" spans="1:21" x14ac:dyDescent="0.25">
      <c r="A603" s="90" t="s">
        <v>1998</v>
      </c>
      <c r="B603" s="119">
        <v>5</v>
      </c>
      <c r="C603" s="90" t="s">
        <v>1986</v>
      </c>
      <c r="D603" s="90" t="s">
        <v>98</v>
      </c>
      <c r="E603">
        <v>1198</v>
      </c>
      <c r="F603">
        <v>1199</v>
      </c>
      <c r="G603" s="93" t="s">
        <v>78</v>
      </c>
      <c r="H603" t="s">
        <v>134</v>
      </c>
      <c r="I603">
        <v>0</v>
      </c>
      <c r="J603">
        <v>119.07551254000001</v>
      </c>
      <c r="K603">
        <f>I603*J603</f>
        <v>0</v>
      </c>
      <c r="L603">
        <v>40</v>
      </c>
      <c r="M603">
        <f>(1-(L603/100))*K603</f>
        <v>0</v>
      </c>
      <c r="N603" s="90">
        <v>603</v>
      </c>
      <c r="O603" s="90" t="s">
        <v>537</v>
      </c>
      <c r="P603" s="118"/>
      <c r="Q603" s="118"/>
    </row>
    <row r="604" spans="1:21" x14ac:dyDescent="0.25">
      <c r="A604" s="90" t="s">
        <v>1999</v>
      </c>
      <c r="B604" s="119">
        <v>5</v>
      </c>
      <c r="C604" s="90" t="s">
        <v>1986</v>
      </c>
      <c r="D604" s="90" t="s">
        <v>99</v>
      </c>
      <c r="E604">
        <v>1200</v>
      </c>
      <c r="F604">
        <v>1201</v>
      </c>
      <c r="G604" s="93" t="s">
        <v>78</v>
      </c>
      <c r="H604" t="s">
        <v>135</v>
      </c>
      <c r="I604">
        <v>0</v>
      </c>
      <c r="J604">
        <v>56.526168339999998</v>
      </c>
      <c r="K604">
        <f>I604*J604</f>
        <v>0</v>
      </c>
      <c r="L604">
        <v>40</v>
      </c>
      <c r="M604">
        <f>(1-(L604/100))*K604</f>
        <v>0</v>
      </c>
      <c r="N604" s="90">
        <v>604</v>
      </c>
      <c r="O604" s="90" t="s">
        <v>538</v>
      </c>
      <c r="P604" s="118"/>
      <c r="Q604" s="118"/>
    </row>
    <row r="605" spans="1:21" x14ac:dyDescent="0.25">
      <c r="A605" s="90" t="s">
        <v>2000</v>
      </c>
      <c r="B605" s="119">
        <v>5</v>
      </c>
      <c r="C605" s="90" t="s">
        <v>1986</v>
      </c>
      <c r="D605" s="90" t="s">
        <v>100</v>
      </c>
      <c r="E605">
        <v>1202</v>
      </c>
      <c r="F605">
        <v>1203</v>
      </c>
      <c r="G605" s="93" t="s">
        <v>78</v>
      </c>
      <c r="H605" t="s">
        <v>129</v>
      </c>
      <c r="I605">
        <v>1</v>
      </c>
      <c r="J605">
        <v>212.88679486000001</v>
      </c>
      <c r="K605">
        <f>I605*J605</f>
        <v>212.88679486000001</v>
      </c>
      <c r="L605">
        <v>40</v>
      </c>
      <c r="M605">
        <f>(1-(L605/100))*K605</f>
        <v>127.732076916</v>
      </c>
      <c r="N605" s="90">
        <v>605</v>
      </c>
      <c r="O605" s="90" t="s">
        <v>539</v>
      </c>
      <c r="P605" s="118"/>
      <c r="Q605" s="118"/>
    </row>
    <row r="606" spans="1:21" x14ac:dyDescent="0.25">
      <c r="A606" s="90" t="s">
        <v>2001</v>
      </c>
      <c r="B606" s="119">
        <v>5</v>
      </c>
      <c r="C606" s="90" t="s">
        <v>1986</v>
      </c>
      <c r="D606" s="90" t="s">
        <v>81</v>
      </c>
      <c r="E606">
        <v>1204</v>
      </c>
      <c r="F606">
        <v>1205</v>
      </c>
      <c r="G606" s="93" t="s">
        <v>78</v>
      </c>
      <c r="H606" t="s">
        <v>130</v>
      </c>
      <c r="I606">
        <v>1</v>
      </c>
      <c r="J606">
        <v>206.87635298999999</v>
      </c>
      <c r="K606">
        <f>I606*J606</f>
        <v>206.87635298999999</v>
      </c>
      <c r="L606">
        <v>40</v>
      </c>
      <c r="M606">
        <f>(1-(L606/100))*K606</f>
        <v>124.12581179399999</v>
      </c>
      <c r="N606" s="90">
        <v>606</v>
      </c>
      <c r="O606" s="90" t="s">
        <v>540</v>
      </c>
      <c r="P606" s="118"/>
      <c r="Q606" s="118"/>
    </row>
    <row r="607" spans="1:21" x14ac:dyDescent="0.25">
      <c r="A607" s="90" t="s">
        <v>2002</v>
      </c>
      <c r="B607" s="119">
        <v>5</v>
      </c>
      <c r="C607" s="90" t="s">
        <v>1986</v>
      </c>
      <c r="D607" s="90" t="s">
        <v>83</v>
      </c>
      <c r="E607">
        <v>1206</v>
      </c>
      <c r="F607">
        <v>1207</v>
      </c>
      <c r="G607" s="93" t="s">
        <v>78</v>
      </c>
      <c r="H607" t="s">
        <v>136</v>
      </c>
      <c r="I607">
        <v>1</v>
      </c>
      <c r="J607">
        <v>1142.63338851</v>
      </c>
      <c r="K607">
        <f>I607*J607</f>
        <v>1142.63338851</v>
      </c>
      <c r="L607">
        <v>40</v>
      </c>
      <c r="M607">
        <f>(1-(L607/100))*K607</f>
        <v>685.58003310599997</v>
      </c>
      <c r="N607" s="90">
        <v>607</v>
      </c>
      <c r="O607" s="90" t="s">
        <v>541</v>
      </c>
      <c r="P607" s="118"/>
      <c r="Q607" s="118"/>
    </row>
    <row r="608" spans="1:21" x14ac:dyDescent="0.25">
      <c r="A608" s="90" t="s">
        <v>2003</v>
      </c>
      <c r="B608" s="119">
        <v>4</v>
      </c>
      <c r="C608" s="90" t="s">
        <v>1962</v>
      </c>
      <c r="D608" s="90" t="s">
        <v>99</v>
      </c>
      <c r="E608">
        <v>1209</v>
      </c>
      <c r="F608">
        <v>1212</v>
      </c>
      <c r="G608" s="93" t="s">
        <v>68</v>
      </c>
      <c r="H608" t="s">
        <v>1714</v>
      </c>
      <c r="I608">
        <v>2</v>
      </c>
      <c r="J608">
        <f>SUM(K609)</f>
        <v>5389.0233031999996</v>
      </c>
      <c r="K608">
        <f>I608*J608</f>
        <v>10778.046606399999</v>
      </c>
      <c r="L608">
        <f>100*(1-(M608/K608))</f>
        <v>40</v>
      </c>
      <c r="M608">
        <f>I608*SUM(M609)</f>
        <v>6466.827963839999</v>
      </c>
      <c r="N608" s="90">
        <v>608</v>
      </c>
      <c r="O608" s="90" t="s">
        <v>542</v>
      </c>
      <c r="P608" s="118"/>
      <c r="Q608" s="118"/>
      <c r="R608" s="90" t="s">
        <v>4771</v>
      </c>
      <c r="S608" s="90" t="s">
        <v>5809</v>
      </c>
      <c r="T608" s="90" t="s">
        <v>6307</v>
      </c>
      <c r="U608" s="90" t="s">
        <v>5311</v>
      </c>
    </row>
    <row r="609" spans="1:21" x14ac:dyDescent="0.25">
      <c r="A609" s="90" t="s">
        <v>2004</v>
      </c>
      <c r="B609" s="119">
        <v>5</v>
      </c>
      <c r="C609" s="90" t="s">
        <v>2003</v>
      </c>
      <c r="D609" s="90" t="s">
        <v>78</v>
      </c>
      <c r="E609">
        <v>1210</v>
      </c>
      <c r="F609">
        <v>1211</v>
      </c>
      <c r="G609" s="93" t="s">
        <v>78</v>
      </c>
      <c r="H609" t="s">
        <v>1714</v>
      </c>
      <c r="I609">
        <v>1</v>
      </c>
      <c r="J609">
        <v>5389.0233031999996</v>
      </c>
      <c r="K609">
        <f>I609*J609</f>
        <v>5389.0233031999996</v>
      </c>
      <c r="L609">
        <v>40</v>
      </c>
      <c r="M609">
        <f>(1-(L609/100))*K609</f>
        <v>3233.4139819199995</v>
      </c>
      <c r="N609" s="90">
        <v>609</v>
      </c>
      <c r="O609" s="90" t="s">
        <v>543</v>
      </c>
      <c r="P609" s="118"/>
      <c r="Q609" s="118"/>
    </row>
    <row r="610" spans="1:21" x14ac:dyDescent="0.25">
      <c r="A610" s="90" t="s">
        <v>2005</v>
      </c>
      <c r="B610" s="119">
        <v>4</v>
      </c>
      <c r="C610" s="90" t="s">
        <v>1962</v>
      </c>
      <c r="D610" s="90" t="s">
        <v>100</v>
      </c>
      <c r="E610">
        <v>1213</v>
      </c>
      <c r="F610">
        <v>1216</v>
      </c>
      <c r="G610" s="93" t="s">
        <v>68</v>
      </c>
      <c r="H610" t="s">
        <v>1509</v>
      </c>
      <c r="I610">
        <v>2</v>
      </c>
      <c r="J610">
        <f>SUM(K611)</f>
        <v>3300</v>
      </c>
      <c r="K610">
        <f>I610*J610</f>
        <v>6600</v>
      </c>
      <c r="L610">
        <f>100*(1-(M610/K610))</f>
        <v>40</v>
      </c>
      <c r="M610">
        <f>I610*SUM(M611)</f>
        <v>3960</v>
      </c>
      <c r="N610" s="90">
        <v>610</v>
      </c>
      <c r="O610" s="90" t="s">
        <v>544</v>
      </c>
      <c r="P610" s="118"/>
      <c r="Q610" s="118"/>
      <c r="R610" s="90" t="s">
        <v>4772</v>
      </c>
      <c r="S610" s="90" t="s">
        <v>5810</v>
      </c>
      <c r="T610" s="90" t="s">
        <v>6308</v>
      </c>
      <c r="U610" s="90" t="s">
        <v>5312</v>
      </c>
    </row>
    <row r="611" spans="1:21" x14ac:dyDescent="0.25">
      <c r="A611" s="90" t="s">
        <v>2006</v>
      </c>
      <c r="B611" s="119">
        <v>5</v>
      </c>
      <c r="C611" s="90" t="s">
        <v>2005</v>
      </c>
      <c r="D611" s="90" t="s">
        <v>78</v>
      </c>
      <c r="E611">
        <v>1214</v>
      </c>
      <c r="F611">
        <v>1215</v>
      </c>
      <c r="G611" s="93" t="s">
        <v>78</v>
      </c>
      <c r="H611" t="s">
        <v>1509</v>
      </c>
      <c r="I611">
        <v>1</v>
      </c>
      <c r="J611">
        <v>3300</v>
      </c>
      <c r="K611">
        <f>I611*J611</f>
        <v>3300</v>
      </c>
      <c r="L611">
        <v>40</v>
      </c>
      <c r="M611">
        <f>(1-(L611/100))*K611</f>
        <v>1980</v>
      </c>
      <c r="N611" s="90">
        <v>611</v>
      </c>
      <c r="O611" s="90" t="s">
        <v>545</v>
      </c>
      <c r="P611" s="118"/>
      <c r="Q611" s="118"/>
    </row>
    <row r="612" spans="1:21" x14ac:dyDescent="0.25">
      <c r="A612" s="90" t="s">
        <v>2007</v>
      </c>
      <c r="B612" s="119">
        <v>3</v>
      </c>
      <c r="C612" s="90" t="s">
        <v>1960</v>
      </c>
      <c r="D612" s="90" t="s">
        <v>79</v>
      </c>
      <c r="E612">
        <v>1218</v>
      </c>
      <c r="F612">
        <v>1237</v>
      </c>
      <c r="G612" s="93" t="s">
        <v>68</v>
      </c>
      <c r="H612" t="s">
        <v>372</v>
      </c>
      <c r="I612">
        <v>1</v>
      </c>
      <c r="J612">
        <f>SUM(K613,K616,K618,K620)</f>
        <v>12677.74146186</v>
      </c>
      <c r="K612">
        <f>I612*J612</f>
        <v>12677.74146186</v>
      </c>
      <c r="L612">
        <f>100*(1-(M612/K612))</f>
        <v>85.6</v>
      </c>
      <c r="M612">
        <f>I612*SUM(M613,M616,M618,M620)</f>
        <v>1825.5947705078402</v>
      </c>
      <c r="N612" s="90">
        <v>612</v>
      </c>
      <c r="O612" s="90" t="s">
        <v>546</v>
      </c>
      <c r="P612" s="118"/>
      <c r="Q612" s="118"/>
      <c r="R612" s="90" t="s">
        <v>6473</v>
      </c>
      <c r="S612" s="90" t="s">
        <v>6771</v>
      </c>
      <c r="T612" s="90" t="s">
        <v>6916</v>
      </c>
      <c r="U612" s="90" t="s">
        <v>6625</v>
      </c>
    </row>
    <row r="613" spans="1:21" x14ac:dyDescent="0.25">
      <c r="A613" s="90" t="s">
        <v>2008</v>
      </c>
      <c r="B613" s="119">
        <v>4</v>
      </c>
      <c r="C613" s="90" t="s">
        <v>2007</v>
      </c>
      <c r="D613" s="90" t="s">
        <v>78</v>
      </c>
      <c r="E613">
        <v>1219</v>
      </c>
      <c r="F613">
        <v>1224</v>
      </c>
      <c r="G613" s="93" t="s">
        <v>68</v>
      </c>
      <c r="H613" t="s">
        <v>364</v>
      </c>
      <c r="I613">
        <v>1</v>
      </c>
      <c r="J613">
        <f>SUM(K614,K615)</f>
        <v>2292.1176620400001</v>
      </c>
      <c r="K613">
        <f>I613*J613</f>
        <v>2292.1176620400001</v>
      </c>
      <c r="L613">
        <f>100*(1-(M613/K613))</f>
        <v>85.6</v>
      </c>
      <c r="M613">
        <f>I613*SUM(M614,M615)</f>
        <v>330.06494333376008</v>
      </c>
      <c r="N613" s="90">
        <v>613</v>
      </c>
      <c r="O613" s="90" t="s">
        <v>547</v>
      </c>
      <c r="P613" s="118"/>
      <c r="Q613" s="118"/>
      <c r="R613" s="90" t="s">
        <v>4781</v>
      </c>
      <c r="S613" s="90" t="s">
        <v>5819</v>
      </c>
      <c r="T613" s="90" t="s">
        <v>6317</v>
      </c>
      <c r="U613" s="90" t="s">
        <v>5321</v>
      </c>
    </row>
    <row r="614" spans="1:21" x14ac:dyDescent="0.25">
      <c r="A614" s="90" t="s">
        <v>2009</v>
      </c>
      <c r="B614" s="119">
        <v>5</v>
      </c>
      <c r="C614" s="90" t="s">
        <v>2008</v>
      </c>
      <c r="D614" s="90" t="s">
        <v>78</v>
      </c>
      <c r="E614">
        <v>1220</v>
      </c>
      <c r="F614">
        <v>1221</v>
      </c>
      <c r="G614" s="93" t="s">
        <v>78</v>
      </c>
      <c r="H614" t="s">
        <v>366</v>
      </c>
      <c r="I614">
        <v>1</v>
      </c>
      <c r="J614">
        <v>509.35948044999998</v>
      </c>
      <c r="K614">
        <f>I614*J614</f>
        <v>509.35948044999998</v>
      </c>
      <c r="L614">
        <v>85.6</v>
      </c>
      <c r="M614">
        <f>(1-(L614/100))*K614</f>
        <v>73.347765184800011</v>
      </c>
      <c r="N614" s="90">
        <v>614</v>
      </c>
      <c r="O614" s="90" t="s">
        <v>548</v>
      </c>
      <c r="P614" s="118"/>
      <c r="Q614" s="118"/>
    </row>
    <row r="615" spans="1:21" x14ac:dyDescent="0.25">
      <c r="A615" s="90" t="s">
        <v>2010</v>
      </c>
      <c r="B615" s="119">
        <v>5</v>
      </c>
      <c r="C615" s="90" t="s">
        <v>2008</v>
      </c>
      <c r="D615" s="90" t="s">
        <v>79</v>
      </c>
      <c r="E615">
        <v>1222</v>
      </c>
      <c r="F615">
        <v>1223</v>
      </c>
      <c r="G615" s="93" t="s">
        <v>78</v>
      </c>
      <c r="H615" t="s">
        <v>368</v>
      </c>
      <c r="I615">
        <v>1</v>
      </c>
      <c r="J615">
        <v>1782.75818159</v>
      </c>
      <c r="K615">
        <f>I615*J615</f>
        <v>1782.75818159</v>
      </c>
      <c r="L615">
        <v>85.6</v>
      </c>
      <c r="M615">
        <f>(1-(L615/100))*K615</f>
        <v>256.71717814896004</v>
      </c>
      <c r="N615" s="90">
        <v>615</v>
      </c>
      <c r="O615" s="90" t="s">
        <v>549</v>
      </c>
      <c r="P615" s="118"/>
      <c r="Q615" s="118"/>
    </row>
    <row r="616" spans="1:21" x14ac:dyDescent="0.25">
      <c r="A616" s="90" t="s">
        <v>2011</v>
      </c>
      <c r="B616" s="119">
        <v>4</v>
      </c>
      <c r="C616" s="90" t="s">
        <v>2007</v>
      </c>
      <c r="D616" s="90" t="s">
        <v>79</v>
      </c>
      <c r="E616">
        <v>1225</v>
      </c>
      <c r="F616">
        <v>1228</v>
      </c>
      <c r="G616" s="93" t="s">
        <v>68</v>
      </c>
      <c r="H616" t="s">
        <v>379</v>
      </c>
      <c r="I616">
        <v>1</v>
      </c>
      <c r="J616">
        <f>SUM(K617)</f>
        <v>303.06889087000002</v>
      </c>
      <c r="K616">
        <f>I616*J616</f>
        <v>303.06889087000002</v>
      </c>
      <c r="L616">
        <f>100*(1-(M616/K616))</f>
        <v>85.6</v>
      </c>
      <c r="M616">
        <f>I616*SUM(M617)</f>
        <v>43.641920285280008</v>
      </c>
      <c r="N616" s="90">
        <v>616</v>
      </c>
      <c r="O616" s="90" t="s">
        <v>550</v>
      </c>
      <c r="P616" s="118"/>
      <c r="Q616" s="118"/>
      <c r="R616" s="90" t="s">
        <v>4782</v>
      </c>
      <c r="S616" s="90" t="s">
        <v>5820</v>
      </c>
      <c r="T616" s="90" t="s">
        <v>6318</v>
      </c>
      <c r="U616" s="90" t="s">
        <v>5322</v>
      </c>
    </row>
    <row r="617" spans="1:21" x14ac:dyDescent="0.25">
      <c r="A617" s="90" t="s">
        <v>2012</v>
      </c>
      <c r="B617" s="119">
        <v>5</v>
      </c>
      <c r="C617" s="90" t="s">
        <v>2011</v>
      </c>
      <c r="D617" s="90" t="s">
        <v>78</v>
      </c>
      <c r="E617">
        <v>1226</v>
      </c>
      <c r="F617">
        <v>1227</v>
      </c>
      <c r="G617" s="93" t="s">
        <v>78</v>
      </c>
      <c r="H617" t="s">
        <v>381</v>
      </c>
      <c r="I617">
        <v>1</v>
      </c>
      <c r="J617">
        <v>303.06889087000002</v>
      </c>
      <c r="K617">
        <f>I617*J617</f>
        <v>303.06889087000002</v>
      </c>
      <c r="L617">
        <v>85.6</v>
      </c>
      <c r="M617">
        <f>(1-(L617/100))*K617</f>
        <v>43.641920285280008</v>
      </c>
      <c r="N617" s="90">
        <v>617</v>
      </c>
      <c r="O617" s="90" t="s">
        <v>551</v>
      </c>
      <c r="P617" s="118"/>
      <c r="Q617" s="118"/>
    </row>
    <row r="618" spans="1:21" x14ac:dyDescent="0.25">
      <c r="A618" s="90" t="s">
        <v>2013</v>
      </c>
      <c r="B618" s="119">
        <v>4</v>
      </c>
      <c r="C618" s="90" t="s">
        <v>2007</v>
      </c>
      <c r="D618" s="90" t="s">
        <v>80</v>
      </c>
      <c r="E618">
        <v>1229</v>
      </c>
      <c r="F618">
        <v>1232</v>
      </c>
      <c r="G618" s="93" t="s">
        <v>68</v>
      </c>
      <c r="H618" t="s">
        <v>383</v>
      </c>
      <c r="I618">
        <v>1</v>
      </c>
      <c r="J618">
        <f>SUM(K619)</f>
        <v>1069.6549089499999</v>
      </c>
      <c r="K618">
        <f>I618*J618</f>
        <v>1069.6549089499999</v>
      </c>
      <c r="L618">
        <f>100*(1-(M618/K618))</f>
        <v>85.6</v>
      </c>
      <c r="M618">
        <f>I618*SUM(M619)</f>
        <v>154.0303068888</v>
      </c>
      <c r="N618" s="90">
        <v>618</v>
      </c>
      <c r="O618" s="90" t="s">
        <v>552</v>
      </c>
      <c r="P618" s="118"/>
      <c r="Q618" s="118"/>
      <c r="R618" s="90" t="s">
        <v>4783</v>
      </c>
      <c r="S618" s="90" t="s">
        <v>5821</v>
      </c>
      <c r="T618" s="90" t="s">
        <v>6319</v>
      </c>
      <c r="U618" s="90" t="s">
        <v>5323</v>
      </c>
    </row>
    <row r="619" spans="1:21" x14ac:dyDescent="0.25">
      <c r="A619" s="90" t="s">
        <v>2014</v>
      </c>
      <c r="B619" s="119">
        <v>5</v>
      </c>
      <c r="C619" s="90" t="s">
        <v>2013</v>
      </c>
      <c r="D619" s="90" t="s">
        <v>78</v>
      </c>
      <c r="E619">
        <v>1230</v>
      </c>
      <c r="F619">
        <v>1231</v>
      </c>
      <c r="G619" s="93" t="s">
        <v>78</v>
      </c>
      <c r="H619" t="s">
        <v>385</v>
      </c>
      <c r="I619">
        <v>1</v>
      </c>
      <c r="J619">
        <v>1069.6549089499999</v>
      </c>
      <c r="K619">
        <f>I619*J619</f>
        <v>1069.6549089499999</v>
      </c>
      <c r="L619">
        <v>85.6</v>
      </c>
      <c r="M619">
        <f>(1-(L619/100))*K619</f>
        <v>154.0303068888</v>
      </c>
      <c r="N619" s="90">
        <v>619</v>
      </c>
      <c r="O619" s="90" t="s">
        <v>553</v>
      </c>
      <c r="P619" s="118"/>
      <c r="Q619" s="118"/>
    </row>
    <row r="620" spans="1:21" x14ac:dyDescent="0.25">
      <c r="A620" s="90" t="s">
        <v>2015</v>
      </c>
      <c r="B620" s="119">
        <v>4</v>
      </c>
      <c r="C620" s="90" t="s">
        <v>2007</v>
      </c>
      <c r="D620" s="90" t="s">
        <v>95</v>
      </c>
      <c r="E620">
        <v>1233</v>
      </c>
      <c r="F620">
        <v>1236</v>
      </c>
      <c r="G620" s="93" t="s">
        <v>68</v>
      </c>
      <c r="H620" t="s">
        <v>387</v>
      </c>
      <c r="I620">
        <v>1</v>
      </c>
      <c r="J620">
        <f>SUM(K621)</f>
        <v>9012.9</v>
      </c>
      <c r="K620">
        <f>I620*J620</f>
        <v>9012.9</v>
      </c>
      <c r="L620">
        <f>100*(1-(M620/K620))</f>
        <v>85.6</v>
      </c>
      <c r="M620">
        <f>I620*SUM(M621)</f>
        <v>1297.8576</v>
      </c>
      <c r="N620" s="90">
        <v>620</v>
      </c>
      <c r="O620" s="90" t="s">
        <v>1106</v>
      </c>
      <c r="P620" s="118"/>
      <c r="Q620" s="118"/>
      <c r="R620" s="90" t="s">
        <v>4784</v>
      </c>
      <c r="S620" s="90" t="s">
        <v>5822</v>
      </c>
      <c r="T620" s="90" t="s">
        <v>6320</v>
      </c>
      <c r="U620" s="90" t="s">
        <v>5324</v>
      </c>
    </row>
    <row r="621" spans="1:21" x14ac:dyDescent="0.25">
      <c r="A621" s="90" t="s">
        <v>2016</v>
      </c>
      <c r="B621" s="119">
        <v>5</v>
      </c>
      <c r="C621" s="90" t="s">
        <v>2015</v>
      </c>
      <c r="D621" s="90" t="s">
        <v>78</v>
      </c>
      <c r="E621">
        <v>1234</v>
      </c>
      <c r="F621">
        <v>1235</v>
      </c>
      <c r="G621" s="93" t="s">
        <v>78</v>
      </c>
      <c r="H621" t="s">
        <v>389</v>
      </c>
      <c r="I621">
        <v>1</v>
      </c>
      <c r="J621">
        <v>9012.9</v>
      </c>
      <c r="K621">
        <f>I621*J621</f>
        <v>9012.9</v>
      </c>
      <c r="L621">
        <v>85.6</v>
      </c>
      <c r="M621">
        <f>(1-(L621/100))*K621</f>
        <v>1297.8576</v>
      </c>
      <c r="N621" s="90">
        <v>621</v>
      </c>
      <c r="O621" s="90" t="s">
        <v>554</v>
      </c>
      <c r="P621" s="118"/>
      <c r="Q621" s="118"/>
    </row>
    <row r="622" spans="1:21" x14ac:dyDescent="0.25">
      <c r="A622" s="90" t="s">
        <v>2017</v>
      </c>
      <c r="B622" s="119">
        <v>3</v>
      </c>
      <c r="C622" s="90" t="s">
        <v>1960</v>
      </c>
      <c r="D622" s="90" t="s">
        <v>80</v>
      </c>
      <c r="E622">
        <v>1238</v>
      </c>
      <c r="F622">
        <v>1243</v>
      </c>
      <c r="G622" s="93" t="s">
        <v>68</v>
      </c>
      <c r="H622" t="s">
        <v>412</v>
      </c>
      <c r="I622">
        <v>1</v>
      </c>
      <c r="J622">
        <f>SUM(K623)</f>
        <v>333.63045970000002</v>
      </c>
      <c r="K622">
        <f>I622*J622</f>
        <v>333.63045970000002</v>
      </c>
      <c r="L622">
        <f>100*(1-(M622/K622))</f>
        <v>85.6</v>
      </c>
      <c r="M622">
        <f>I622*SUM(M623)</f>
        <v>48.042786196800009</v>
      </c>
      <c r="N622" s="90">
        <v>622</v>
      </c>
      <c r="O622" s="90" t="s">
        <v>555</v>
      </c>
      <c r="P622" s="118"/>
      <c r="Q622" s="118"/>
      <c r="R622" s="90" t="s">
        <v>6474</v>
      </c>
      <c r="S622" s="90" t="s">
        <v>6772</v>
      </c>
      <c r="T622" s="90" t="s">
        <v>6917</v>
      </c>
      <c r="U622" s="90" t="s">
        <v>6626</v>
      </c>
    </row>
    <row r="623" spans="1:21" x14ac:dyDescent="0.25">
      <c r="A623" s="90" t="s">
        <v>2018</v>
      </c>
      <c r="B623" s="119">
        <v>4</v>
      </c>
      <c r="C623" s="90" t="s">
        <v>2017</v>
      </c>
      <c r="D623" s="90" t="s">
        <v>78</v>
      </c>
      <c r="E623">
        <v>1239</v>
      </c>
      <c r="F623">
        <v>1242</v>
      </c>
      <c r="G623" s="93" t="s">
        <v>68</v>
      </c>
      <c r="H623" t="s">
        <v>399</v>
      </c>
      <c r="I623">
        <v>1</v>
      </c>
      <c r="J623">
        <f>SUM(K624)</f>
        <v>333.63045970000002</v>
      </c>
      <c r="K623">
        <f>I623*J623</f>
        <v>333.63045970000002</v>
      </c>
      <c r="L623">
        <f>100*(1-(M623/K623))</f>
        <v>85.6</v>
      </c>
      <c r="M623">
        <f>I623*SUM(M624)</f>
        <v>48.042786196800009</v>
      </c>
      <c r="N623" s="90">
        <v>623</v>
      </c>
      <c r="O623" s="90" t="s">
        <v>1107</v>
      </c>
      <c r="P623" s="118"/>
      <c r="Q623" s="118"/>
      <c r="R623" s="90" t="s">
        <v>4785</v>
      </c>
      <c r="S623" s="90" t="s">
        <v>5823</v>
      </c>
      <c r="T623" s="90" t="s">
        <v>6321</v>
      </c>
      <c r="U623" s="90" t="s">
        <v>5325</v>
      </c>
    </row>
    <row r="624" spans="1:21" x14ac:dyDescent="0.25">
      <c r="A624" s="90" t="s">
        <v>2019</v>
      </c>
      <c r="B624" s="119">
        <v>5</v>
      </c>
      <c r="C624" s="90" t="s">
        <v>2018</v>
      </c>
      <c r="D624" s="90" t="s">
        <v>78</v>
      </c>
      <c r="E624">
        <v>1240</v>
      </c>
      <c r="F624">
        <v>1241</v>
      </c>
      <c r="G624" s="93" t="s">
        <v>78</v>
      </c>
      <c r="H624" t="s">
        <v>401</v>
      </c>
      <c r="I624">
        <v>1</v>
      </c>
      <c r="J624">
        <v>333.63045970000002</v>
      </c>
      <c r="K624">
        <f>I624*J624</f>
        <v>333.63045970000002</v>
      </c>
      <c r="L624">
        <v>85.6</v>
      </c>
      <c r="M624">
        <f>(1-(L624/100))*K624</f>
        <v>48.042786196800009</v>
      </c>
      <c r="N624" s="90">
        <v>624</v>
      </c>
      <c r="O624" s="90" t="s">
        <v>556</v>
      </c>
      <c r="P624" s="118"/>
      <c r="Q624" s="118"/>
    </row>
    <row r="625" spans="1:21" x14ac:dyDescent="0.25">
      <c r="A625" s="90" t="s">
        <v>2020</v>
      </c>
      <c r="B625" s="119">
        <v>3</v>
      </c>
      <c r="C625" s="90" t="s">
        <v>1960</v>
      </c>
      <c r="D625" s="90" t="s">
        <v>95</v>
      </c>
      <c r="E625">
        <v>1244</v>
      </c>
      <c r="F625">
        <v>1249</v>
      </c>
      <c r="G625" s="93" t="s">
        <v>68</v>
      </c>
      <c r="H625" t="s">
        <v>416</v>
      </c>
      <c r="I625">
        <v>1</v>
      </c>
      <c r="J625">
        <f>SUM(K626)</f>
        <v>1324.33464918</v>
      </c>
      <c r="K625">
        <f>I625*J625</f>
        <v>1324.33464918</v>
      </c>
      <c r="L625">
        <f>100*(1-(M625/K625))</f>
        <v>85.6</v>
      </c>
      <c r="M625">
        <f>I625*SUM(M626)</f>
        <v>190.70418948192003</v>
      </c>
      <c r="N625" s="90">
        <v>625</v>
      </c>
      <c r="O625" s="90" t="s">
        <v>1108</v>
      </c>
      <c r="P625" s="118"/>
      <c r="Q625" s="118"/>
      <c r="R625" s="90" t="s">
        <v>822</v>
      </c>
      <c r="S625" s="90" t="s">
        <v>901</v>
      </c>
      <c r="T625" s="90" t="s">
        <v>958</v>
      </c>
      <c r="U625" s="90" t="s">
        <v>851</v>
      </c>
    </row>
    <row r="626" spans="1:21" x14ac:dyDescent="0.25">
      <c r="A626" s="90" t="s">
        <v>2021</v>
      </c>
      <c r="B626" s="119">
        <v>4</v>
      </c>
      <c r="C626" s="90" t="s">
        <v>2020</v>
      </c>
      <c r="D626" s="90" t="s">
        <v>78</v>
      </c>
      <c r="E626">
        <v>1245</v>
      </c>
      <c r="F626">
        <v>1248</v>
      </c>
      <c r="G626" s="93" t="s">
        <v>68</v>
      </c>
      <c r="H626" t="s">
        <v>418</v>
      </c>
      <c r="I626">
        <v>1</v>
      </c>
      <c r="J626">
        <f>SUM(K627)</f>
        <v>1324.33464918</v>
      </c>
      <c r="K626">
        <f>I626*J626</f>
        <v>1324.33464918</v>
      </c>
      <c r="L626">
        <f>100*(1-(M626/K626))</f>
        <v>85.6</v>
      </c>
      <c r="M626">
        <f>I626*SUM(M627)</f>
        <v>190.70418948192003</v>
      </c>
      <c r="N626" s="90">
        <v>626</v>
      </c>
      <c r="O626" s="90" t="s">
        <v>557</v>
      </c>
      <c r="P626" s="118"/>
      <c r="Q626" s="118"/>
      <c r="R626" s="90" t="s">
        <v>4786</v>
      </c>
      <c r="S626" s="90" t="s">
        <v>5824</v>
      </c>
      <c r="T626" s="90" t="s">
        <v>6322</v>
      </c>
      <c r="U626" s="90" t="s">
        <v>5326</v>
      </c>
    </row>
    <row r="627" spans="1:21" x14ac:dyDescent="0.25">
      <c r="A627" s="90" t="s">
        <v>2022</v>
      </c>
      <c r="B627" s="119">
        <v>5</v>
      </c>
      <c r="C627" s="90" t="s">
        <v>2021</v>
      </c>
      <c r="D627" s="90" t="s">
        <v>78</v>
      </c>
      <c r="E627">
        <v>1246</v>
      </c>
      <c r="F627">
        <v>1247</v>
      </c>
      <c r="G627" s="93" t="s">
        <v>78</v>
      </c>
      <c r="H627" t="s">
        <v>419</v>
      </c>
      <c r="I627">
        <v>1</v>
      </c>
      <c r="J627">
        <v>1324.33464918</v>
      </c>
      <c r="K627">
        <f>I627*J627</f>
        <v>1324.33464918</v>
      </c>
      <c r="L627">
        <v>85.6</v>
      </c>
      <c r="M627">
        <f>(1-(L627/100))*K627</f>
        <v>190.70418948192003</v>
      </c>
      <c r="N627" s="90">
        <v>627</v>
      </c>
      <c r="O627" s="90" t="s">
        <v>558</v>
      </c>
      <c r="P627" s="118"/>
      <c r="Q627" s="118"/>
    </row>
    <row r="628" spans="1:21" x14ac:dyDescent="0.25">
      <c r="A628" s="90" t="s">
        <v>2023</v>
      </c>
      <c r="B628" s="119">
        <v>3</v>
      </c>
      <c r="C628" s="90" t="s">
        <v>1960</v>
      </c>
      <c r="D628" s="90" t="s">
        <v>96</v>
      </c>
      <c r="E628">
        <v>1250</v>
      </c>
      <c r="F628">
        <v>1267</v>
      </c>
      <c r="G628" s="93" t="s">
        <v>68</v>
      </c>
      <c r="H628" t="s">
        <v>2024</v>
      </c>
      <c r="I628">
        <v>1</v>
      </c>
      <c r="J628">
        <f>SUM(K629)</f>
        <v>7394.1805679300005</v>
      </c>
      <c r="K628">
        <f>I628*J628</f>
        <v>7394.1805679300005</v>
      </c>
      <c r="L628">
        <f>100*(1-(M628/K628))</f>
        <v>40</v>
      </c>
      <c r="M628">
        <f>I628*SUM(M629)</f>
        <v>4436.5083407580005</v>
      </c>
      <c r="N628" s="90">
        <v>628</v>
      </c>
      <c r="O628" s="90" t="s">
        <v>559</v>
      </c>
      <c r="P628" s="118"/>
      <c r="Q628" s="118"/>
      <c r="R628" s="90" t="s">
        <v>6966</v>
      </c>
      <c r="S628" s="90" t="s">
        <v>7061</v>
      </c>
      <c r="T628" s="90" t="s">
        <v>7107</v>
      </c>
      <c r="U628" s="90" t="s">
        <v>7015</v>
      </c>
    </row>
    <row r="629" spans="1:21" x14ac:dyDescent="0.25">
      <c r="A629" s="90" t="s">
        <v>2025</v>
      </c>
      <c r="B629" s="119">
        <v>4</v>
      </c>
      <c r="C629" s="90" t="s">
        <v>2023</v>
      </c>
      <c r="D629" s="90" t="s">
        <v>78</v>
      </c>
      <c r="E629">
        <v>1251</v>
      </c>
      <c r="F629">
        <v>1266</v>
      </c>
      <c r="G629" s="93" t="s">
        <v>68</v>
      </c>
      <c r="H629" t="s">
        <v>1586</v>
      </c>
      <c r="I629">
        <v>1</v>
      </c>
      <c r="J629">
        <f>SUM(K630)</f>
        <v>7394.1805679300005</v>
      </c>
      <c r="K629">
        <f>I629*J629</f>
        <v>7394.1805679300005</v>
      </c>
      <c r="L629">
        <f>100*(1-(M629/K629))</f>
        <v>40</v>
      </c>
      <c r="M629">
        <f>I629*SUM(M630)</f>
        <v>4436.5083407580005</v>
      </c>
      <c r="N629" s="90">
        <v>629</v>
      </c>
      <c r="O629" s="90" t="s">
        <v>560</v>
      </c>
      <c r="P629" s="118"/>
      <c r="Q629" s="118"/>
      <c r="R629" s="90" t="s">
        <v>6475</v>
      </c>
      <c r="S629" s="90" t="s">
        <v>902</v>
      </c>
      <c r="T629" s="90" t="s">
        <v>959</v>
      </c>
      <c r="U629" s="90" t="s">
        <v>6627</v>
      </c>
    </row>
    <row r="630" spans="1:21" x14ac:dyDescent="0.25">
      <c r="A630" s="90" t="s">
        <v>2026</v>
      </c>
      <c r="B630" s="119">
        <v>5</v>
      </c>
      <c r="C630" s="90" t="s">
        <v>2025</v>
      </c>
      <c r="D630" s="90" t="s">
        <v>78</v>
      </c>
      <c r="E630">
        <v>1252</v>
      </c>
      <c r="F630">
        <v>1265</v>
      </c>
      <c r="G630" s="93" t="s">
        <v>68</v>
      </c>
      <c r="H630" t="s">
        <v>1397</v>
      </c>
      <c r="I630">
        <v>1</v>
      </c>
      <c r="J630">
        <f>SUM(K631,K632,K633,K634,K635,K636)</f>
        <v>7394.1805679300005</v>
      </c>
      <c r="K630">
        <f>I630*J630</f>
        <v>7394.1805679300005</v>
      </c>
      <c r="L630">
        <f>100*(1-(M630/K630))</f>
        <v>40</v>
      </c>
      <c r="M630">
        <f>I630*SUM(M631,M632,M633,M634,M635,M636)</f>
        <v>4436.5083407580005</v>
      </c>
      <c r="N630" s="90">
        <v>630</v>
      </c>
      <c r="O630" s="90" t="s">
        <v>561</v>
      </c>
      <c r="P630" s="118"/>
      <c r="Q630" s="118"/>
      <c r="R630" s="90" t="s">
        <v>4787</v>
      </c>
      <c r="S630" s="90" t="s">
        <v>5825</v>
      </c>
      <c r="T630" s="90" t="s">
        <v>6323</v>
      </c>
      <c r="U630" s="90" t="s">
        <v>5327</v>
      </c>
    </row>
    <row r="631" spans="1:21" x14ac:dyDescent="0.25">
      <c r="A631" s="90" t="s">
        <v>2027</v>
      </c>
      <c r="B631" s="119">
        <v>6</v>
      </c>
      <c r="C631" s="90" t="s">
        <v>2026</v>
      </c>
      <c r="D631" s="90" t="s">
        <v>78</v>
      </c>
      <c r="E631">
        <v>1253</v>
      </c>
      <c r="F631">
        <v>1254</v>
      </c>
      <c r="G631" s="93" t="s">
        <v>78</v>
      </c>
      <c r="H631" t="s">
        <v>126</v>
      </c>
      <c r="I631">
        <v>1</v>
      </c>
      <c r="J631">
        <v>491.93938622000002</v>
      </c>
      <c r="K631">
        <f>I631*J631</f>
        <v>491.93938622000002</v>
      </c>
      <c r="L631">
        <v>40</v>
      </c>
      <c r="M631">
        <f>(1-(L631/100))*K631</f>
        <v>295.163631732</v>
      </c>
      <c r="N631" s="90">
        <v>631</v>
      </c>
      <c r="O631" s="90" t="s">
        <v>562</v>
      </c>
      <c r="P631" s="118"/>
      <c r="Q631" s="118"/>
    </row>
    <row r="632" spans="1:21" x14ac:dyDescent="0.25">
      <c r="A632" s="90" t="s">
        <v>2028</v>
      </c>
      <c r="B632" s="119">
        <v>6</v>
      </c>
      <c r="C632" s="90" t="s">
        <v>2026</v>
      </c>
      <c r="D632" s="90" t="s">
        <v>79</v>
      </c>
      <c r="E632">
        <v>1255</v>
      </c>
      <c r="F632">
        <v>1256</v>
      </c>
      <c r="G632" s="93" t="s">
        <v>78</v>
      </c>
      <c r="H632" t="s">
        <v>120</v>
      </c>
      <c r="I632">
        <v>1</v>
      </c>
      <c r="J632">
        <v>967.93582071000003</v>
      </c>
      <c r="K632">
        <f>I632*J632</f>
        <v>967.93582071000003</v>
      </c>
      <c r="L632">
        <v>40</v>
      </c>
      <c r="M632">
        <f>(1-(L632/100))*K632</f>
        <v>580.76149242600002</v>
      </c>
      <c r="N632" s="90">
        <v>632</v>
      </c>
      <c r="O632" s="90" t="s">
        <v>563</v>
      </c>
      <c r="P632" s="118"/>
      <c r="Q632" s="118"/>
    </row>
    <row r="633" spans="1:21" x14ac:dyDescent="0.25">
      <c r="A633" s="90" t="s">
        <v>2029</v>
      </c>
      <c r="B633" s="119">
        <v>6</v>
      </c>
      <c r="C633" s="90" t="s">
        <v>2026</v>
      </c>
      <c r="D633" s="90" t="s">
        <v>80</v>
      </c>
      <c r="E633">
        <v>1257</v>
      </c>
      <c r="F633">
        <v>1258</v>
      </c>
      <c r="G633" s="93" t="s">
        <v>78</v>
      </c>
      <c r="H633" t="s">
        <v>125</v>
      </c>
      <c r="I633">
        <v>1</v>
      </c>
      <c r="J633">
        <v>967.93582071000003</v>
      </c>
      <c r="K633">
        <f>I633*J633</f>
        <v>967.93582071000003</v>
      </c>
      <c r="L633">
        <v>40</v>
      </c>
      <c r="M633">
        <f>(1-(L633/100))*K633</f>
        <v>580.76149242600002</v>
      </c>
      <c r="N633" s="90">
        <v>633</v>
      </c>
      <c r="O633" s="90" t="s">
        <v>564</v>
      </c>
      <c r="P633" s="118"/>
      <c r="Q633" s="118"/>
    </row>
    <row r="634" spans="1:21" x14ac:dyDescent="0.25">
      <c r="A634" s="90" t="s">
        <v>2030</v>
      </c>
      <c r="B634" s="119">
        <v>6</v>
      </c>
      <c r="C634" s="90" t="s">
        <v>2026</v>
      </c>
      <c r="D634" s="90" t="s">
        <v>95</v>
      </c>
      <c r="E634">
        <v>1259</v>
      </c>
      <c r="F634">
        <v>1260</v>
      </c>
      <c r="G634" s="93" t="s">
        <v>78</v>
      </c>
      <c r="H634" t="s">
        <v>123</v>
      </c>
      <c r="I634">
        <v>1</v>
      </c>
      <c r="J634">
        <v>313.76543995999998</v>
      </c>
      <c r="K634">
        <f>I634*J634</f>
        <v>313.76543995999998</v>
      </c>
      <c r="L634">
        <v>40</v>
      </c>
      <c r="M634">
        <f>(1-(L634/100))*K634</f>
        <v>188.25926397599997</v>
      </c>
      <c r="N634" s="90">
        <v>634</v>
      </c>
      <c r="O634" s="90" t="s">
        <v>565</v>
      </c>
      <c r="P634" s="118"/>
      <c r="Q634" s="118"/>
    </row>
    <row r="635" spans="1:21" x14ac:dyDescent="0.25">
      <c r="A635" s="90" t="s">
        <v>2031</v>
      </c>
      <c r="B635" s="119">
        <v>6</v>
      </c>
      <c r="C635" s="90" t="s">
        <v>2026</v>
      </c>
      <c r="D635" s="90" t="s">
        <v>96</v>
      </c>
      <c r="E635">
        <v>1261</v>
      </c>
      <c r="F635">
        <v>1262</v>
      </c>
      <c r="G635" s="93" t="s">
        <v>78</v>
      </c>
      <c r="H635" t="s">
        <v>203</v>
      </c>
      <c r="I635">
        <v>1</v>
      </c>
      <c r="J635">
        <v>2064.00101872</v>
      </c>
      <c r="K635">
        <f>I635*J635</f>
        <v>2064.00101872</v>
      </c>
      <c r="L635">
        <v>40</v>
      </c>
      <c r="M635">
        <f>(1-(L635/100))*K635</f>
        <v>1238.4006112320001</v>
      </c>
      <c r="N635" s="90">
        <v>635</v>
      </c>
      <c r="O635" s="90" t="s">
        <v>566</v>
      </c>
      <c r="P635" s="118"/>
      <c r="Q635" s="118"/>
    </row>
    <row r="636" spans="1:21" x14ac:dyDescent="0.25">
      <c r="A636" s="90" t="s">
        <v>2032</v>
      </c>
      <c r="B636" s="119">
        <v>6</v>
      </c>
      <c r="C636" s="90" t="s">
        <v>2026</v>
      </c>
      <c r="D636" s="90" t="s">
        <v>103</v>
      </c>
      <c r="E636">
        <v>1263</v>
      </c>
      <c r="F636">
        <v>1264</v>
      </c>
      <c r="G636" s="93" t="s">
        <v>78</v>
      </c>
      <c r="H636" t="s">
        <v>191</v>
      </c>
      <c r="I636">
        <v>3</v>
      </c>
      <c r="J636">
        <v>862.86769387000004</v>
      </c>
      <c r="K636">
        <f>I636*J636</f>
        <v>2588.6030816100001</v>
      </c>
      <c r="L636">
        <v>40</v>
      </c>
      <c r="M636">
        <f>(1-(L636/100))*K636</f>
        <v>1553.161848966</v>
      </c>
      <c r="N636" s="90">
        <v>636</v>
      </c>
      <c r="O636" s="90" t="s">
        <v>567</v>
      </c>
      <c r="P636" s="118"/>
      <c r="Q636" s="118"/>
    </row>
    <row r="637" spans="1:21" x14ac:dyDescent="0.25">
      <c r="A637" s="90" t="s">
        <v>2033</v>
      </c>
      <c r="B637" s="119">
        <v>2</v>
      </c>
      <c r="C637" s="90" t="s">
        <v>78</v>
      </c>
      <c r="D637" s="90" t="s">
        <v>799</v>
      </c>
      <c r="E637">
        <v>1269</v>
      </c>
      <c r="F637">
        <v>1406</v>
      </c>
      <c r="G637" s="93" t="s">
        <v>68</v>
      </c>
      <c r="H637" t="s">
        <v>2034</v>
      </c>
      <c r="I637">
        <v>1</v>
      </c>
      <c r="J637">
        <f>SUM(K638,K682,K690,K700,K703)</f>
        <v>85577.616018090004</v>
      </c>
      <c r="K637">
        <f>I637*J637</f>
        <v>85577.616018090004</v>
      </c>
      <c r="L637">
        <f>100*(1-(M637/K637))</f>
        <v>47.638775769210007</v>
      </c>
      <c r="M637">
        <f>I637*SUM(M638,M682,M690,M700,M703)</f>
        <v>44809.487414596559</v>
      </c>
      <c r="N637" s="90">
        <v>637</v>
      </c>
      <c r="O637" s="90" t="s">
        <v>568</v>
      </c>
      <c r="P637" s="118"/>
      <c r="Q637" s="118"/>
      <c r="R637" s="90" t="s">
        <v>6919</v>
      </c>
      <c r="S637" s="90" t="s">
        <v>7017</v>
      </c>
      <c r="T637" s="90" t="s">
        <v>7063</v>
      </c>
      <c r="U637" s="90" t="s">
        <v>6968</v>
      </c>
    </row>
    <row r="638" spans="1:21" x14ac:dyDescent="0.25">
      <c r="A638" s="90" t="s">
        <v>2035</v>
      </c>
      <c r="B638" s="119">
        <v>3</v>
      </c>
      <c r="C638" s="90" t="s">
        <v>2033</v>
      </c>
      <c r="D638" s="90" t="s">
        <v>78</v>
      </c>
      <c r="E638">
        <v>1270</v>
      </c>
      <c r="F638">
        <v>1357</v>
      </c>
      <c r="G638" s="93" t="s">
        <v>68</v>
      </c>
      <c r="H638" t="s">
        <v>2036</v>
      </c>
      <c r="I638">
        <v>1</v>
      </c>
      <c r="J638">
        <f>SUM(K639,K641,K643,K645,K647,K649,K651,K653,K655,K657,K659,K661,K678,K680)</f>
        <v>64161.494319380006</v>
      </c>
      <c r="K638">
        <f>I638*J638</f>
        <v>64161.494319380006</v>
      </c>
      <c r="L638">
        <f>100*(1-(M638/K638))</f>
        <v>40</v>
      </c>
      <c r="M638">
        <f>I638*SUM(M639,M641,M643,M645,M647,M649,M651,M653,M655,M657,M659,M661,M678,M680)</f>
        <v>38496.896591627999</v>
      </c>
      <c r="N638" s="90">
        <v>638</v>
      </c>
      <c r="O638" s="90" t="s">
        <v>569</v>
      </c>
      <c r="P638" s="118"/>
      <c r="Q638" s="118"/>
      <c r="R638" s="90" t="s">
        <v>6332</v>
      </c>
      <c r="S638" s="90" t="s">
        <v>6636</v>
      </c>
      <c r="T638" s="90" t="s">
        <v>6781</v>
      </c>
      <c r="U638" s="90" t="s">
        <v>6484</v>
      </c>
    </row>
    <row r="639" spans="1:21" x14ac:dyDescent="0.25">
      <c r="A639" s="90" t="s">
        <v>2037</v>
      </c>
      <c r="B639" s="119">
        <v>4</v>
      </c>
      <c r="C639" s="90" t="s">
        <v>2035</v>
      </c>
      <c r="D639" s="90" t="s">
        <v>78</v>
      </c>
      <c r="E639">
        <v>1271</v>
      </c>
      <c r="F639">
        <v>1274</v>
      </c>
      <c r="G639" s="93" t="s">
        <v>68</v>
      </c>
      <c r="H639" t="s">
        <v>1809</v>
      </c>
      <c r="I639">
        <v>1</v>
      </c>
      <c r="J639">
        <f>SUM(K640)</f>
        <v>926.14287533000004</v>
      </c>
      <c r="K639">
        <f>I639*J639</f>
        <v>926.14287533000004</v>
      </c>
      <c r="L639">
        <f>100*(1-(M639/K639))</f>
        <v>40</v>
      </c>
      <c r="M639">
        <f>I639*SUM(M640)</f>
        <v>555.685725198</v>
      </c>
      <c r="N639" s="90">
        <v>639</v>
      </c>
      <c r="O639" s="90" t="s">
        <v>570</v>
      </c>
      <c r="P639" s="118"/>
      <c r="Q639" s="118"/>
      <c r="R639" s="90" t="s">
        <v>4262</v>
      </c>
      <c r="S639" s="90" t="s">
        <v>5342</v>
      </c>
      <c r="T639" s="90" t="s">
        <v>5840</v>
      </c>
      <c r="U639" s="90" t="s">
        <v>4802</v>
      </c>
    </row>
    <row r="640" spans="1:21" x14ac:dyDescent="0.25">
      <c r="A640" s="90" t="s">
        <v>2038</v>
      </c>
      <c r="B640" s="119">
        <v>5</v>
      </c>
      <c r="C640" s="90" t="s">
        <v>2037</v>
      </c>
      <c r="D640" s="90" t="s">
        <v>78</v>
      </c>
      <c r="E640">
        <v>1272</v>
      </c>
      <c r="F640">
        <v>1273</v>
      </c>
      <c r="G640" s="93" t="s">
        <v>78</v>
      </c>
      <c r="H640" t="s">
        <v>131</v>
      </c>
      <c r="I640">
        <v>1</v>
      </c>
      <c r="J640">
        <v>926.14287533000004</v>
      </c>
      <c r="K640">
        <f>I640*J640</f>
        <v>926.14287533000004</v>
      </c>
      <c r="L640">
        <v>40</v>
      </c>
      <c r="M640">
        <f>(1-(L640/100))*K640</f>
        <v>555.685725198</v>
      </c>
      <c r="N640" s="90">
        <v>640</v>
      </c>
      <c r="O640" s="90" t="s">
        <v>571</v>
      </c>
      <c r="P640" s="118"/>
      <c r="Q640" s="118"/>
    </row>
    <row r="641" spans="1:21" x14ac:dyDescent="0.25">
      <c r="A641" s="90" t="s">
        <v>2039</v>
      </c>
      <c r="B641" s="119">
        <v>4</v>
      </c>
      <c r="C641" s="90" t="s">
        <v>2035</v>
      </c>
      <c r="D641" s="90" t="s">
        <v>79</v>
      </c>
      <c r="E641">
        <v>1275</v>
      </c>
      <c r="F641">
        <v>1278</v>
      </c>
      <c r="G641" s="93" t="s">
        <v>68</v>
      </c>
      <c r="H641" t="s">
        <v>1812</v>
      </c>
      <c r="I641">
        <v>1</v>
      </c>
      <c r="J641">
        <f>SUM(K642)</f>
        <v>1655.4183114699999</v>
      </c>
      <c r="K641">
        <f>I641*J641</f>
        <v>1655.4183114699999</v>
      </c>
      <c r="L641">
        <f>100*(1-(M641/K641))</f>
        <v>40</v>
      </c>
      <c r="M641">
        <f>I641*SUM(M642)</f>
        <v>993.25098688199989</v>
      </c>
      <c r="N641" s="90">
        <v>641</v>
      </c>
      <c r="O641" s="90" t="s">
        <v>572</v>
      </c>
      <c r="P641" s="118"/>
      <c r="Q641" s="118"/>
      <c r="R641" s="90" t="s">
        <v>4266</v>
      </c>
      <c r="S641" s="90" t="s">
        <v>5345</v>
      </c>
      <c r="T641" s="90" t="s">
        <v>5843</v>
      </c>
      <c r="U641" s="90" t="s">
        <v>4806</v>
      </c>
    </row>
    <row r="642" spans="1:21" x14ac:dyDescent="0.25">
      <c r="A642" s="90" t="s">
        <v>2040</v>
      </c>
      <c r="B642" s="119">
        <v>5</v>
      </c>
      <c r="C642" s="90" t="s">
        <v>2039</v>
      </c>
      <c r="D642" s="90" t="s">
        <v>78</v>
      </c>
      <c r="E642">
        <v>1276</v>
      </c>
      <c r="F642">
        <v>1277</v>
      </c>
      <c r="G642" s="93" t="s">
        <v>78</v>
      </c>
      <c r="H642" t="s">
        <v>694</v>
      </c>
      <c r="I642">
        <v>1</v>
      </c>
      <c r="J642">
        <v>1655.4183114699999</v>
      </c>
      <c r="K642">
        <f>I642*J642</f>
        <v>1655.4183114699999</v>
      </c>
      <c r="L642">
        <v>40</v>
      </c>
      <c r="M642">
        <f>(1-(L642/100))*K642</f>
        <v>993.25098688199989</v>
      </c>
      <c r="N642" s="90">
        <v>642</v>
      </c>
      <c r="O642" s="90" t="s">
        <v>573</v>
      </c>
      <c r="P642" s="118"/>
      <c r="Q642" s="118"/>
    </row>
    <row r="643" spans="1:21" x14ac:dyDescent="0.25">
      <c r="A643" s="90" t="s">
        <v>2041</v>
      </c>
      <c r="B643" s="119">
        <v>4</v>
      </c>
      <c r="C643" s="90" t="s">
        <v>2035</v>
      </c>
      <c r="D643" s="90" t="s">
        <v>80</v>
      </c>
      <c r="E643">
        <v>1279</v>
      </c>
      <c r="F643">
        <v>1282</v>
      </c>
      <c r="G643" s="93" t="s">
        <v>68</v>
      </c>
      <c r="H643" t="s">
        <v>1815</v>
      </c>
      <c r="I643">
        <v>3</v>
      </c>
      <c r="J643">
        <f>SUM(K644)</f>
        <v>491.93938622000002</v>
      </c>
      <c r="K643">
        <f>I643*J643</f>
        <v>1475.8181586600001</v>
      </c>
      <c r="L643">
        <f>100*(1-(M643/K643))</f>
        <v>40</v>
      </c>
      <c r="M643">
        <f>I643*SUM(M644)</f>
        <v>885.490895196</v>
      </c>
      <c r="N643" s="90">
        <v>643</v>
      </c>
      <c r="O643" s="90" t="s">
        <v>1109</v>
      </c>
      <c r="P643" s="118"/>
      <c r="Q643" s="118"/>
      <c r="R643" s="90" t="s">
        <v>4267</v>
      </c>
      <c r="S643" s="90" t="s">
        <v>5346</v>
      </c>
      <c r="T643" s="90" t="s">
        <v>5844</v>
      </c>
      <c r="U643" s="90" t="s">
        <v>4807</v>
      </c>
    </row>
    <row r="644" spans="1:21" x14ac:dyDescent="0.25">
      <c r="A644" s="90" t="s">
        <v>2042</v>
      </c>
      <c r="B644" s="119">
        <v>5</v>
      </c>
      <c r="C644" s="90" t="s">
        <v>2041</v>
      </c>
      <c r="D644" s="90" t="s">
        <v>78</v>
      </c>
      <c r="E644">
        <v>1280</v>
      </c>
      <c r="F644">
        <v>1281</v>
      </c>
      <c r="G644" s="93" t="s">
        <v>78</v>
      </c>
      <c r="H644" t="s">
        <v>126</v>
      </c>
      <c r="I644">
        <v>1</v>
      </c>
      <c r="J644">
        <v>491.93938622000002</v>
      </c>
      <c r="K644">
        <f>I644*J644</f>
        <v>491.93938622000002</v>
      </c>
      <c r="L644">
        <v>40</v>
      </c>
      <c r="M644">
        <f>(1-(L644/100))*K644</f>
        <v>295.163631732</v>
      </c>
      <c r="N644" s="90">
        <v>644</v>
      </c>
      <c r="O644" s="90" t="s">
        <v>574</v>
      </c>
      <c r="P644" s="118"/>
      <c r="Q644" s="118"/>
    </row>
    <row r="645" spans="1:21" x14ac:dyDescent="0.25">
      <c r="A645" s="90" t="s">
        <v>2043</v>
      </c>
      <c r="B645" s="119">
        <v>4</v>
      </c>
      <c r="C645" s="90" t="s">
        <v>2035</v>
      </c>
      <c r="D645" s="90" t="s">
        <v>95</v>
      </c>
      <c r="E645">
        <v>1283</v>
      </c>
      <c r="F645">
        <v>1286</v>
      </c>
      <c r="G645" s="93" t="s">
        <v>68</v>
      </c>
      <c r="H645" t="s">
        <v>1818</v>
      </c>
      <c r="I645">
        <v>4</v>
      </c>
      <c r="J645">
        <f>SUM(K646)</f>
        <v>313.76543995999998</v>
      </c>
      <c r="K645">
        <f>I645*J645</f>
        <v>1255.0617598399999</v>
      </c>
      <c r="L645">
        <f>100*(1-(M645/K645))</f>
        <v>40</v>
      </c>
      <c r="M645">
        <f>I645*SUM(M646)</f>
        <v>753.03705590399989</v>
      </c>
      <c r="N645" s="90">
        <v>645</v>
      </c>
      <c r="O645" s="90" t="s">
        <v>1110</v>
      </c>
      <c r="P645" s="118"/>
      <c r="Q645" s="118"/>
      <c r="R645" s="90" t="s">
        <v>4268</v>
      </c>
      <c r="S645" s="90" t="s">
        <v>5347</v>
      </c>
      <c r="T645" s="90" t="s">
        <v>5845</v>
      </c>
      <c r="U645" s="90" t="s">
        <v>4808</v>
      </c>
    </row>
    <row r="646" spans="1:21" x14ac:dyDescent="0.25">
      <c r="A646" s="90" t="s">
        <v>2044</v>
      </c>
      <c r="B646" s="119">
        <v>5</v>
      </c>
      <c r="C646" s="90" t="s">
        <v>2043</v>
      </c>
      <c r="D646" s="90" t="s">
        <v>78</v>
      </c>
      <c r="E646">
        <v>1284</v>
      </c>
      <c r="F646">
        <v>1285</v>
      </c>
      <c r="G646" s="93" t="s">
        <v>78</v>
      </c>
      <c r="H646" t="s">
        <v>123</v>
      </c>
      <c r="I646">
        <v>1</v>
      </c>
      <c r="J646">
        <v>313.76543995999998</v>
      </c>
      <c r="K646">
        <f>I646*J646</f>
        <v>313.76543995999998</v>
      </c>
      <c r="L646">
        <v>40</v>
      </c>
      <c r="M646">
        <f>(1-(L646/100))*K646</f>
        <v>188.25926397599997</v>
      </c>
      <c r="N646" s="90">
        <v>646</v>
      </c>
      <c r="O646" s="90" t="s">
        <v>575</v>
      </c>
      <c r="P646" s="118"/>
      <c r="Q646" s="118"/>
    </row>
    <row r="647" spans="1:21" x14ac:dyDescent="0.25">
      <c r="A647" s="90" t="s">
        <v>2045</v>
      </c>
      <c r="B647" s="119">
        <v>4</v>
      </c>
      <c r="C647" s="90" t="s">
        <v>2035</v>
      </c>
      <c r="D647" s="90" t="s">
        <v>96</v>
      </c>
      <c r="E647">
        <v>1287</v>
      </c>
      <c r="F647">
        <v>1290</v>
      </c>
      <c r="G647" s="93" t="s">
        <v>68</v>
      </c>
      <c r="H647" t="s">
        <v>1821</v>
      </c>
      <c r="I647">
        <v>1</v>
      </c>
      <c r="J647">
        <f>SUM(K648)</f>
        <v>666.34407233000002</v>
      </c>
      <c r="K647">
        <f>I647*J647</f>
        <v>666.34407233000002</v>
      </c>
      <c r="L647">
        <f>100*(1-(M647/K647))</f>
        <v>40</v>
      </c>
      <c r="M647">
        <f>I647*SUM(M648)</f>
        <v>399.806443398</v>
      </c>
      <c r="N647" s="90">
        <v>647</v>
      </c>
      <c r="O647" s="90" t="s">
        <v>576</v>
      </c>
      <c r="P647" s="118"/>
      <c r="Q647" s="118"/>
      <c r="R647" s="90" t="s">
        <v>4269</v>
      </c>
      <c r="S647" s="90" t="s">
        <v>5348</v>
      </c>
      <c r="T647" s="90" t="s">
        <v>5846</v>
      </c>
      <c r="U647" s="90" t="s">
        <v>4809</v>
      </c>
    </row>
    <row r="648" spans="1:21" x14ac:dyDescent="0.25">
      <c r="A648" s="90" t="s">
        <v>2046</v>
      </c>
      <c r="B648" s="119">
        <v>5</v>
      </c>
      <c r="C648" s="90" t="s">
        <v>2045</v>
      </c>
      <c r="D648" s="90" t="s">
        <v>78</v>
      </c>
      <c r="E648">
        <v>1288</v>
      </c>
      <c r="F648">
        <v>1289</v>
      </c>
      <c r="G648" s="93" t="s">
        <v>78</v>
      </c>
      <c r="H648" t="s">
        <v>698</v>
      </c>
      <c r="I648">
        <v>1</v>
      </c>
      <c r="J648">
        <v>666.34407233000002</v>
      </c>
      <c r="K648">
        <f>I648*J648</f>
        <v>666.34407233000002</v>
      </c>
      <c r="L648">
        <v>40</v>
      </c>
      <c r="M648">
        <f>(1-(L648/100))*K648</f>
        <v>399.806443398</v>
      </c>
      <c r="N648" s="90">
        <v>648</v>
      </c>
      <c r="O648" s="90" t="s">
        <v>577</v>
      </c>
      <c r="P648" s="118"/>
      <c r="Q648" s="118"/>
    </row>
    <row r="649" spans="1:21" x14ac:dyDescent="0.25">
      <c r="A649" s="90" t="s">
        <v>2047</v>
      </c>
      <c r="B649" s="119">
        <v>4</v>
      </c>
      <c r="C649" s="90" t="s">
        <v>2035</v>
      </c>
      <c r="D649" s="90" t="s">
        <v>103</v>
      </c>
      <c r="E649">
        <v>1291</v>
      </c>
      <c r="F649">
        <v>1294</v>
      </c>
      <c r="G649" s="93" t="s">
        <v>68</v>
      </c>
      <c r="H649" t="s">
        <v>1240</v>
      </c>
      <c r="I649">
        <v>1</v>
      </c>
      <c r="J649">
        <f>SUM(K650)</f>
        <v>700.36928562000003</v>
      </c>
      <c r="K649">
        <f>I649*J649</f>
        <v>700.36928562000003</v>
      </c>
      <c r="L649">
        <f>100*(1-(M649/K649))</f>
        <v>40</v>
      </c>
      <c r="M649">
        <f>I649*SUM(M650)</f>
        <v>420.22157137200003</v>
      </c>
      <c r="N649" s="90">
        <v>649</v>
      </c>
      <c r="O649" s="90" t="s">
        <v>578</v>
      </c>
      <c r="P649" s="118"/>
      <c r="Q649" s="118"/>
      <c r="R649" s="90" t="s">
        <v>4270</v>
      </c>
      <c r="S649" s="90" t="s">
        <v>5349</v>
      </c>
      <c r="T649" s="90" t="s">
        <v>5847</v>
      </c>
      <c r="U649" s="90" t="s">
        <v>4810</v>
      </c>
    </row>
    <row r="650" spans="1:21" x14ac:dyDescent="0.25">
      <c r="A650" s="90" t="s">
        <v>2048</v>
      </c>
      <c r="B650" s="119">
        <v>5</v>
      </c>
      <c r="C650" s="90" t="s">
        <v>2047</v>
      </c>
      <c r="D650" s="90" t="s">
        <v>78</v>
      </c>
      <c r="E650">
        <v>1292</v>
      </c>
      <c r="F650">
        <v>1293</v>
      </c>
      <c r="G650" s="93" t="s">
        <v>78</v>
      </c>
      <c r="H650" t="s">
        <v>1243</v>
      </c>
      <c r="I650">
        <v>1</v>
      </c>
      <c r="J650">
        <v>700.36928562000003</v>
      </c>
      <c r="K650">
        <f>I650*J650</f>
        <v>700.36928562000003</v>
      </c>
      <c r="L650">
        <v>40</v>
      </c>
      <c r="M650">
        <f>(1-(L650/100))*K650</f>
        <v>420.22157137200003</v>
      </c>
      <c r="N650" s="90">
        <v>650</v>
      </c>
      <c r="O650" s="90" t="s">
        <v>579</v>
      </c>
      <c r="P650" s="118"/>
      <c r="Q650" s="118"/>
    </row>
    <row r="651" spans="1:21" x14ac:dyDescent="0.25">
      <c r="A651" s="90" t="s">
        <v>2049</v>
      </c>
      <c r="B651" s="119">
        <v>4</v>
      </c>
      <c r="C651" s="90" t="s">
        <v>2035</v>
      </c>
      <c r="D651" s="90" t="s">
        <v>796</v>
      </c>
      <c r="E651">
        <v>1295</v>
      </c>
      <c r="F651">
        <v>1298</v>
      </c>
      <c r="G651" s="93" t="s">
        <v>68</v>
      </c>
      <c r="H651" t="s">
        <v>1246</v>
      </c>
      <c r="I651">
        <v>4</v>
      </c>
      <c r="J651">
        <f>SUM(K652)</f>
        <v>967.93582071000003</v>
      </c>
      <c r="K651">
        <f>I651*J651</f>
        <v>3871.7432828400001</v>
      </c>
      <c r="L651">
        <f>100*(1-(M651/K651))</f>
        <v>40</v>
      </c>
      <c r="M651">
        <f>I651*SUM(M652)</f>
        <v>2323.0459697040001</v>
      </c>
      <c r="N651" s="90">
        <v>651</v>
      </c>
      <c r="O651" s="90" t="s">
        <v>580</v>
      </c>
      <c r="P651" s="118"/>
      <c r="Q651" s="118"/>
      <c r="R651" s="90" t="s">
        <v>4271</v>
      </c>
      <c r="S651" s="90" t="s">
        <v>5350</v>
      </c>
      <c r="T651" s="90" t="s">
        <v>5848</v>
      </c>
      <c r="U651" s="90" t="s">
        <v>4811</v>
      </c>
    </row>
    <row r="652" spans="1:21" x14ac:dyDescent="0.25">
      <c r="A652" s="90" t="s">
        <v>2050</v>
      </c>
      <c r="B652" s="119">
        <v>5</v>
      </c>
      <c r="C652" s="90" t="s">
        <v>2049</v>
      </c>
      <c r="D652" s="90" t="s">
        <v>78</v>
      </c>
      <c r="E652">
        <v>1296</v>
      </c>
      <c r="F652">
        <v>1297</v>
      </c>
      <c r="G652" s="93" t="s">
        <v>78</v>
      </c>
      <c r="H652" t="s">
        <v>120</v>
      </c>
      <c r="I652">
        <v>1</v>
      </c>
      <c r="J652">
        <v>967.93582071000003</v>
      </c>
      <c r="K652">
        <f>I652*J652</f>
        <v>967.93582071000003</v>
      </c>
      <c r="L652">
        <v>40</v>
      </c>
      <c r="M652">
        <f>(1-(L652/100))*K652</f>
        <v>580.76149242600002</v>
      </c>
      <c r="N652" s="90">
        <v>652</v>
      </c>
      <c r="O652" s="90" t="s">
        <v>581</v>
      </c>
      <c r="P652" s="118"/>
      <c r="Q652" s="118"/>
    </row>
    <row r="653" spans="1:21" x14ac:dyDescent="0.25">
      <c r="A653" s="90" t="s">
        <v>2051</v>
      </c>
      <c r="B653" s="119">
        <v>4</v>
      </c>
      <c r="C653" s="90" t="s">
        <v>2035</v>
      </c>
      <c r="D653" s="90" t="s">
        <v>797</v>
      </c>
      <c r="E653">
        <v>1299</v>
      </c>
      <c r="F653">
        <v>1302</v>
      </c>
      <c r="G653" s="93" t="s">
        <v>68</v>
      </c>
      <c r="H653" t="s">
        <v>106</v>
      </c>
      <c r="I653">
        <v>2</v>
      </c>
      <c r="J653">
        <f>SUM(K654)</f>
        <v>5209</v>
      </c>
      <c r="K653">
        <f>I653*J653</f>
        <v>10418</v>
      </c>
      <c r="L653">
        <f>100*(1-(M653/K653))</f>
        <v>40</v>
      </c>
      <c r="M653">
        <f>I653*SUM(M654)</f>
        <v>6250.8</v>
      </c>
      <c r="N653" s="90">
        <v>653</v>
      </c>
      <c r="O653" s="90" t="s">
        <v>582</v>
      </c>
      <c r="P653" s="118"/>
      <c r="Q653" s="118"/>
      <c r="R653" s="90" t="s">
        <v>4272</v>
      </c>
      <c r="S653" s="90" t="s">
        <v>5351</v>
      </c>
      <c r="T653" s="90" t="s">
        <v>5849</v>
      </c>
      <c r="U653" s="90" t="s">
        <v>4812</v>
      </c>
    </row>
    <row r="654" spans="1:21" x14ac:dyDescent="0.25">
      <c r="A654" s="90" t="s">
        <v>2052</v>
      </c>
      <c r="B654" s="119">
        <v>5</v>
      </c>
      <c r="C654" s="90" t="s">
        <v>2051</v>
      </c>
      <c r="D654" s="90" t="s">
        <v>78</v>
      </c>
      <c r="E654">
        <v>1300</v>
      </c>
      <c r="F654">
        <v>1301</v>
      </c>
      <c r="G654" s="93" t="s">
        <v>78</v>
      </c>
      <c r="H654" t="s">
        <v>107</v>
      </c>
      <c r="I654">
        <v>1</v>
      </c>
      <c r="J654">
        <v>5209</v>
      </c>
      <c r="K654">
        <f>I654*J654</f>
        <v>5209</v>
      </c>
      <c r="L654">
        <v>40</v>
      </c>
      <c r="M654">
        <f>(1-(L654/100))*K654</f>
        <v>3125.4</v>
      </c>
      <c r="N654" s="90">
        <v>654</v>
      </c>
      <c r="O654" s="90" t="s">
        <v>583</v>
      </c>
      <c r="P654" s="118"/>
      <c r="Q654" s="118"/>
    </row>
    <row r="655" spans="1:21" x14ac:dyDescent="0.25">
      <c r="A655" s="90" t="s">
        <v>2053</v>
      </c>
      <c r="B655" s="119">
        <v>4</v>
      </c>
      <c r="C655" s="90" t="s">
        <v>2035</v>
      </c>
      <c r="D655" s="90" t="s">
        <v>798</v>
      </c>
      <c r="E655">
        <v>1303</v>
      </c>
      <c r="F655">
        <v>1306</v>
      </c>
      <c r="G655" s="93" t="s">
        <v>68</v>
      </c>
      <c r="H655" t="s">
        <v>1266</v>
      </c>
      <c r="I655">
        <v>1</v>
      </c>
      <c r="J655">
        <f>SUM(K656)</f>
        <v>9312.3647013900008</v>
      </c>
      <c r="K655">
        <f>I655*J655</f>
        <v>9312.3647013900008</v>
      </c>
      <c r="L655">
        <f>100*(1-(M655/K655))</f>
        <v>40</v>
      </c>
      <c r="M655">
        <f>I655*SUM(M656)</f>
        <v>5587.4188208340001</v>
      </c>
      <c r="N655" s="90">
        <v>655</v>
      </c>
      <c r="O655" s="90" t="s">
        <v>584</v>
      </c>
      <c r="P655" s="118"/>
      <c r="Q655" s="118"/>
      <c r="R655" s="90" t="s">
        <v>4273</v>
      </c>
      <c r="S655" s="90" t="s">
        <v>5352</v>
      </c>
      <c r="T655" s="90" t="s">
        <v>5850</v>
      </c>
      <c r="U655" s="90" t="s">
        <v>4813</v>
      </c>
    </row>
    <row r="656" spans="1:21" x14ac:dyDescent="0.25">
      <c r="A656" s="90" t="s">
        <v>2054</v>
      </c>
      <c r="B656" s="119">
        <v>5</v>
      </c>
      <c r="C656" s="90" t="s">
        <v>2053</v>
      </c>
      <c r="D656" s="90" t="s">
        <v>78</v>
      </c>
      <c r="E656">
        <v>1304</v>
      </c>
      <c r="F656">
        <v>1305</v>
      </c>
      <c r="G656" s="93" t="s">
        <v>78</v>
      </c>
      <c r="H656" t="s">
        <v>1269</v>
      </c>
      <c r="I656">
        <v>1</v>
      </c>
      <c r="J656">
        <v>9312.3647013900008</v>
      </c>
      <c r="K656">
        <f>I656*J656</f>
        <v>9312.3647013900008</v>
      </c>
      <c r="L656">
        <v>40</v>
      </c>
      <c r="M656">
        <f>(1-(L656/100))*K656</f>
        <v>5587.4188208340001</v>
      </c>
      <c r="N656" s="90">
        <v>656</v>
      </c>
      <c r="O656" s="90" t="s">
        <v>585</v>
      </c>
      <c r="P656" s="118"/>
      <c r="Q656" s="118"/>
    </row>
    <row r="657" spans="1:21" x14ac:dyDescent="0.25">
      <c r="A657" s="90" t="s">
        <v>2055</v>
      </c>
      <c r="B657" s="119">
        <v>4</v>
      </c>
      <c r="C657" s="90" t="s">
        <v>2035</v>
      </c>
      <c r="D657" s="90" t="s">
        <v>799</v>
      </c>
      <c r="E657">
        <v>1307</v>
      </c>
      <c r="F657">
        <v>1310</v>
      </c>
      <c r="G657" s="93" t="s">
        <v>68</v>
      </c>
      <c r="H657" t="s">
        <v>1638</v>
      </c>
      <c r="I657">
        <v>1</v>
      </c>
      <c r="J657">
        <f>SUM(K658)</f>
        <v>1980.13</v>
      </c>
      <c r="K657">
        <f>I657*J657</f>
        <v>1980.13</v>
      </c>
      <c r="L657">
        <f>100*(1-(M657/K657))</f>
        <v>40</v>
      </c>
      <c r="M657">
        <f>I657*SUM(M658)</f>
        <v>1188.078</v>
      </c>
      <c r="N657" s="90">
        <v>657</v>
      </c>
      <c r="O657" s="90" t="s">
        <v>1111</v>
      </c>
      <c r="P657" s="118"/>
      <c r="Q657" s="118"/>
      <c r="R657" s="90" t="s">
        <v>823</v>
      </c>
      <c r="S657" s="90" t="s">
        <v>903</v>
      </c>
      <c r="T657" s="90" t="s">
        <v>960</v>
      </c>
      <c r="U657" s="90" t="s">
        <v>852</v>
      </c>
    </row>
    <row r="658" spans="1:21" x14ac:dyDescent="0.25">
      <c r="A658" s="90" t="s">
        <v>2056</v>
      </c>
      <c r="B658" s="119">
        <v>5</v>
      </c>
      <c r="C658" s="90" t="s">
        <v>2055</v>
      </c>
      <c r="D658" s="90" t="s">
        <v>78</v>
      </c>
      <c r="E658">
        <v>1308</v>
      </c>
      <c r="F658">
        <v>1309</v>
      </c>
      <c r="G658" s="93" t="s">
        <v>78</v>
      </c>
      <c r="H658" t="s">
        <v>1638</v>
      </c>
      <c r="I658">
        <v>1</v>
      </c>
      <c r="J658">
        <v>1980.13</v>
      </c>
      <c r="K658">
        <f>I658*J658</f>
        <v>1980.13</v>
      </c>
      <c r="L658">
        <v>40</v>
      </c>
      <c r="M658">
        <f>(1-(L658/100))*K658</f>
        <v>1188.078</v>
      </c>
      <c r="N658" s="90">
        <v>658</v>
      </c>
      <c r="O658" s="90" t="s">
        <v>586</v>
      </c>
      <c r="P658" s="118"/>
      <c r="Q658" s="118"/>
    </row>
    <row r="659" spans="1:21" x14ac:dyDescent="0.25">
      <c r="A659" s="90" t="s">
        <v>2057</v>
      </c>
      <c r="B659" s="119">
        <v>4</v>
      </c>
      <c r="C659" s="90" t="s">
        <v>2035</v>
      </c>
      <c r="D659" s="90" t="s">
        <v>97</v>
      </c>
      <c r="E659">
        <v>1311</v>
      </c>
      <c r="F659">
        <v>1314</v>
      </c>
      <c r="G659" s="93" t="s">
        <v>68</v>
      </c>
      <c r="H659" t="s">
        <v>1272</v>
      </c>
      <c r="I659">
        <v>2</v>
      </c>
      <c r="J659">
        <f>SUM(K660)</f>
        <v>1308.5572392700001</v>
      </c>
      <c r="K659">
        <f>I659*J659</f>
        <v>2617.1144785400002</v>
      </c>
      <c r="L659">
        <f>100*(1-(M659/K659))</f>
        <v>40</v>
      </c>
      <c r="M659">
        <f>I659*SUM(M660)</f>
        <v>1570.2686871240001</v>
      </c>
      <c r="N659" s="90">
        <v>659</v>
      </c>
      <c r="O659" s="90" t="s">
        <v>587</v>
      </c>
      <c r="P659" s="118"/>
      <c r="Q659" s="118"/>
      <c r="R659" s="90" t="s">
        <v>824</v>
      </c>
      <c r="S659" s="90" t="s">
        <v>904</v>
      </c>
      <c r="T659" s="90" t="s">
        <v>961</v>
      </c>
      <c r="U659" s="90" t="s">
        <v>853</v>
      </c>
    </row>
    <row r="660" spans="1:21" x14ac:dyDescent="0.25">
      <c r="A660" s="90" t="s">
        <v>2058</v>
      </c>
      <c r="B660" s="119">
        <v>5</v>
      </c>
      <c r="C660" s="90" t="s">
        <v>2057</v>
      </c>
      <c r="D660" s="90" t="s">
        <v>78</v>
      </c>
      <c r="E660">
        <v>1312</v>
      </c>
      <c r="F660">
        <v>1313</v>
      </c>
      <c r="G660" s="93" t="s">
        <v>78</v>
      </c>
      <c r="H660" t="s">
        <v>1272</v>
      </c>
      <c r="I660">
        <v>1</v>
      </c>
      <c r="J660">
        <v>1308.5572392700001</v>
      </c>
      <c r="K660">
        <f>I660*J660</f>
        <v>1308.5572392700001</v>
      </c>
      <c r="L660">
        <v>40</v>
      </c>
      <c r="M660">
        <f>(1-(L660/100))*K660</f>
        <v>785.13434356200003</v>
      </c>
      <c r="N660" s="90">
        <v>660</v>
      </c>
      <c r="O660" s="90" t="s">
        <v>1112</v>
      </c>
      <c r="P660" s="118"/>
      <c r="Q660" s="118"/>
    </row>
    <row r="661" spans="1:21" x14ac:dyDescent="0.25">
      <c r="A661" s="90" t="s">
        <v>2059</v>
      </c>
      <c r="B661" s="119">
        <v>4</v>
      </c>
      <c r="C661" s="90" t="s">
        <v>2035</v>
      </c>
      <c r="D661" s="90" t="s">
        <v>98</v>
      </c>
      <c r="E661">
        <v>1315</v>
      </c>
      <c r="F661">
        <v>1348</v>
      </c>
      <c r="G661" s="93" t="s">
        <v>68</v>
      </c>
      <c r="H661" t="s">
        <v>1836</v>
      </c>
      <c r="I661">
        <v>1</v>
      </c>
      <c r="J661">
        <f>SUM(K662,K663,K664,K665,K666,K667,K668,K669,K670,K671,K672,K673,K674,K675,K676,K677)</f>
        <v>11904.940786960002</v>
      </c>
      <c r="K661">
        <f>I661*J661</f>
        <v>11904.940786960002</v>
      </c>
      <c r="L661">
        <f>100*(1-(M661/K661))</f>
        <v>40.000000000000021</v>
      </c>
      <c r="M661">
        <f>I661*SUM(M662,M663,M664,M665,M666,M667,M668,M669,M670,M671,M672,M673,M674,M675,M676,M677)</f>
        <v>7142.9644721759987</v>
      </c>
      <c r="N661" s="90">
        <v>661</v>
      </c>
      <c r="O661" s="90" t="s">
        <v>588</v>
      </c>
      <c r="P661" s="118"/>
      <c r="Q661" s="118"/>
      <c r="R661" s="90" t="s">
        <v>4263</v>
      </c>
      <c r="S661" s="90" t="s">
        <v>905</v>
      </c>
      <c r="T661" s="90" t="s">
        <v>962</v>
      </c>
      <c r="U661" s="90" t="s">
        <v>4803</v>
      </c>
    </row>
    <row r="662" spans="1:21" x14ac:dyDescent="0.25">
      <c r="A662" s="90" t="s">
        <v>2060</v>
      </c>
      <c r="B662" s="119">
        <v>5</v>
      </c>
      <c r="C662" s="90" t="s">
        <v>2059</v>
      </c>
      <c r="D662" s="90" t="s">
        <v>78</v>
      </c>
      <c r="E662">
        <v>1316</v>
      </c>
      <c r="F662">
        <v>1317</v>
      </c>
      <c r="G662" s="93" t="s">
        <v>78</v>
      </c>
      <c r="H662" t="s">
        <v>126</v>
      </c>
      <c r="I662">
        <v>1</v>
      </c>
      <c r="J662">
        <v>491.93938622000002</v>
      </c>
      <c r="K662">
        <f>I662*J662</f>
        <v>491.93938622000002</v>
      </c>
      <c r="L662">
        <v>40</v>
      </c>
      <c r="M662">
        <f>(1-(L662/100))*K662</f>
        <v>295.163631732</v>
      </c>
      <c r="N662" s="90">
        <v>662</v>
      </c>
      <c r="O662" s="90" t="s">
        <v>1113</v>
      </c>
      <c r="P662" s="118"/>
      <c r="Q662" s="118"/>
    </row>
    <row r="663" spans="1:21" x14ac:dyDescent="0.25">
      <c r="A663" s="90" t="s">
        <v>2061</v>
      </c>
      <c r="B663" s="119">
        <v>5</v>
      </c>
      <c r="C663" s="90" t="s">
        <v>2059</v>
      </c>
      <c r="D663" s="90" t="s">
        <v>79</v>
      </c>
      <c r="E663">
        <v>1318</v>
      </c>
      <c r="F663">
        <v>1319</v>
      </c>
      <c r="G663" s="93" t="s">
        <v>78</v>
      </c>
      <c r="H663" t="s">
        <v>131</v>
      </c>
      <c r="I663">
        <v>1</v>
      </c>
      <c r="J663">
        <v>926.14287533000004</v>
      </c>
      <c r="K663">
        <f>I663*J663</f>
        <v>926.14287533000004</v>
      </c>
      <c r="L663">
        <v>40</v>
      </c>
      <c r="M663">
        <f>(1-(L663/100))*K663</f>
        <v>555.685725198</v>
      </c>
      <c r="N663" s="90">
        <v>663</v>
      </c>
      <c r="O663" s="90" t="s">
        <v>589</v>
      </c>
      <c r="P663" s="118"/>
      <c r="Q663" s="118"/>
    </row>
    <row r="664" spans="1:21" x14ac:dyDescent="0.25">
      <c r="A664" s="90" t="s">
        <v>2062</v>
      </c>
      <c r="B664" s="119">
        <v>5</v>
      </c>
      <c r="C664" s="90" t="s">
        <v>2059</v>
      </c>
      <c r="D664" s="90" t="s">
        <v>80</v>
      </c>
      <c r="E664">
        <v>1320</v>
      </c>
      <c r="F664">
        <v>1321</v>
      </c>
      <c r="G664" s="93" t="s">
        <v>78</v>
      </c>
      <c r="H664" t="s">
        <v>123</v>
      </c>
      <c r="I664">
        <v>3</v>
      </c>
      <c r="J664">
        <v>313.76543995999998</v>
      </c>
      <c r="K664">
        <f>I664*J664</f>
        <v>941.29631987999994</v>
      </c>
      <c r="L664">
        <v>40</v>
      </c>
      <c r="M664">
        <f>(1-(L664/100))*K664</f>
        <v>564.77779192799994</v>
      </c>
      <c r="N664" s="90">
        <v>664</v>
      </c>
      <c r="O664" s="90" t="s">
        <v>590</v>
      </c>
      <c r="P664" s="118"/>
      <c r="Q664" s="118"/>
    </row>
    <row r="665" spans="1:21" x14ac:dyDescent="0.25">
      <c r="A665" s="90" t="s">
        <v>2063</v>
      </c>
      <c r="B665" s="119">
        <v>5</v>
      </c>
      <c r="C665" s="90" t="s">
        <v>2059</v>
      </c>
      <c r="D665" s="90" t="s">
        <v>95</v>
      </c>
      <c r="E665">
        <v>1322</v>
      </c>
      <c r="F665">
        <v>1323</v>
      </c>
      <c r="G665" s="93" t="s">
        <v>78</v>
      </c>
      <c r="H665" t="s">
        <v>132</v>
      </c>
      <c r="I665">
        <v>1</v>
      </c>
      <c r="J665">
        <v>5940.1629950300003</v>
      </c>
      <c r="K665">
        <f>I665*J665</f>
        <v>5940.1629950300003</v>
      </c>
      <c r="L665">
        <v>40</v>
      </c>
      <c r="M665">
        <f>(1-(L665/100))*K665</f>
        <v>3564.0977970180002</v>
      </c>
      <c r="N665" s="90">
        <v>665</v>
      </c>
      <c r="O665" s="90" t="s">
        <v>591</v>
      </c>
      <c r="P665" s="118"/>
      <c r="Q665" s="118"/>
    </row>
    <row r="666" spans="1:21" x14ac:dyDescent="0.25">
      <c r="A666" s="90" t="s">
        <v>2064</v>
      </c>
      <c r="B666" s="119">
        <v>5</v>
      </c>
      <c r="C666" s="90" t="s">
        <v>2059</v>
      </c>
      <c r="D666" s="90" t="s">
        <v>96</v>
      </c>
      <c r="E666">
        <v>1324</v>
      </c>
      <c r="F666">
        <v>1325</v>
      </c>
      <c r="G666" s="93" t="s">
        <v>78</v>
      </c>
      <c r="H666" t="s">
        <v>133</v>
      </c>
      <c r="I666">
        <v>0</v>
      </c>
      <c r="J666">
        <v>1527.53087992</v>
      </c>
      <c r="K666">
        <f>I666*J666</f>
        <v>0</v>
      </c>
      <c r="L666">
        <v>40</v>
      </c>
      <c r="M666">
        <f>(1-(L666/100))*K666</f>
        <v>0</v>
      </c>
      <c r="N666" s="90">
        <v>666</v>
      </c>
      <c r="O666" s="90" t="s">
        <v>592</v>
      </c>
      <c r="P666" s="118"/>
      <c r="Q666" s="118"/>
    </row>
    <row r="667" spans="1:21" x14ac:dyDescent="0.25">
      <c r="A667" s="90" t="s">
        <v>2065</v>
      </c>
      <c r="B667" s="119">
        <v>5</v>
      </c>
      <c r="C667" s="90" t="s">
        <v>2059</v>
      </c>
      <c r="D667" s="90" t="s">
        <v>103</v>
      </c>
      <c r="E667">
        <v>1326</v>
      </c>
      <c r="F667">
        <v>1327</v>
      </c>
      <c r="G667" s="93" t="s">
        <v>78</v>
      </c>
      <c r="H667" t="s">
        <v>119</v>
      </c>
      <c r="I667">
        <v>1</v>
      </c>
      <c r="J667">
        <v>594.85546925000006</v>
      </c>
      <c r="K667">
        <f>I667*J667</f>
        <v>594.85546925000006</v>
      </c>
      <c r="L667">
        <v>40</v>
      </c>
      <c r="M667">
        <f>(1-(L667/100))*K667</f>
        <v>356.91328155000002</v>
      </c>
      <c r="N667" s="90">
        <v>667</v>
      </c>
      <c r="O667" s="90" t="s">
        <v>593</v>
      </c>
      <c r="P667" s="118"/>
      <c r="Q667" s="118"/>
    </row>
    <row r="668" spans="1:21" x14ac:dyDescent="0.25">
      <c r="A668" s="90" t="s">
        <v>2066</v>
      </c>
      <c r="B668" s="119">
        <v>5</v>
      </c>
      <c r="C668" s="90" t="s">
        <v>2059</v>
      </c>
      <c r="D668" s="90" t="s">
        <v>796</v>
      </c>
      <c r="E668">
        <v>1328</v>
      </c>
      <c r="F668">
        <v>1329</v>
      </c>
      <c r="G668" s="93" t="s">
        <v>78</v>
      </c>
      <c r="H668" t="s">
        <v>107</v>
      </c>
      <c r="I668">
        <v>0</v>
      </c>
      <c r="J668">
        <v>5209</v>
      </c>
      <c r="K668">
        <f>I668*J668</f>
        <v>0</v>
      </c>
      <c r="L668">
        <v>40</v>
      </c>
      <c r="M668">
        <f>(1-(L668/100))*K668</f>
        <v>0</v>
      </c>
      <c r="N668" s="90">
        <v>668</v>
      </c>
      <c r="O668" s="90" t="s">
        <v>594</v>
      </c>
      <c r="P668" s="118"/>
      <c r="Q668" s="118"/>
    </row>
    <row r="669" spans="1:21" x14ac:dyDescent="0.25">
      <c r="A669" s="90" t="s">
        <v>2067</v>
      </c>
      <c r="B669" s="119">
        <v>5</v>
      </c>
      <c r="C669" s="90" t="s">
        <v>2059</v>
      </c>
      <c r="D669" s="90" t="s">
        <v>797</v>
      </c>
      <c r="E669">
        <v>1330</v>
      </c>
      <c r="F669">
        <v>1331</v>
      </c>
      <c r="G669" s="93" t="s">
        <v>78</v>
      </c>
      <c r="H669" t="s">
        <v>127</v>
      </c>
      <c r="I669">
        <v>1</v>
      </c>
      <c r="J669">
        <v>275.43613906000002</v>
      </c>
      <c r="K669">
        <f>I669*J669</f>
        <v>275.43613906000002</v>
      </c>
      <c r="L669">
        <v>40</v>
      </c>
      <c r="M669">
        <f>(1-(L669/100))*K669</f>
        <v>165.261683436</v>
      </c>
      <c r="N669" s="90">
        <v>669</v>
      </c>
      <c r="O669" s="90" t="s">
        <v>595</v>
      </c>
      <c r="P669" s="118"/>
      <c r="Q669" s="118"/>
    </row>
    <row r="670" spans="1:21" x14ac:dyDescent="0.25">
      <c r="A670" s="90" t="s">
        <v>2068</v>
      </c>
      <c r="B670" s="119">
        <v>5</v>
      </c>
      <c r="C670" s="90" t="s">
        <v>2059</v>
      </c>
      <c r="D670" s="90" t="s">
        <v>798</v>
      </c>
      <c r="E670">
        <v>1332</v>
      </c>
      <c r="F670">
        <v>1333</v>
      </c>
      <c r="G670" s="93" t="s">
        <v>78</v>
      </c>
      <c r="H670" t="s">
        <v>121</v>
      </c>
      <c r="I670">
        <v>1</v>
      </c>
      <c r="J670">
        <v>78.186680249999995</v>
      </c>
      <c r="K670">
        <f>I670*J670</f>
        <v>78.186680249999995</v>
      </c>
      <c r="L670">
        <v>40</v>
      </c>
      <c r="M670">
        <f>(1-(L670/100))*K670</f>
        <v>46.912008149999998</v>
      </c>
      <c r="N670" s="90">
        <v>670</v>
      </c>
      <c r="O670" s="90" t="s">
        <v>596</v>
      </c>
      <c r="P670" s="118"/>
      <c r="Q670" s="118"/>
    </row>
    <row r="671" spans="1:21" x14ac:dyDescent="0.25">
      <c r="A671" s="90" t="s">
        <v>2069</v>
      </c>
      <c r="B671" s="119">
        <v>5</v>
      </c>
      <c r="C671" s="90" t="s">
        <v>2059</v>
      </c>
      <c r="D671" s="90" t="s">
        <v>799</v>
      </c>
      <c r="E671">
        <v>1334</v>
      </c>
      <c r="F671">
        <v>1335</v>
      </c>
      <c r="G671" s="93" t="s">
        <v>78</v>
      </c>
      <c r="H671" t="s">
        <v>122</v>
      </c>
      <c r="I671">
        <v>1</v>
      </c>
      <c r="J671">
        <v>823.90169361999995</v>
      </c>
      <c r="K671">
        <f>I671*J671</f>
        <v>823.90169361999995</v>
      </c>
      <c r="L671">
        <v>40</v>
      </c>
      <c r="M671">
        <f>(1-(L671/100))*K671</f>
        <v>494.34101617199997</v>
      </c>
      <c r="N671" s="90">
        <v>671</v>
      </c>
      <c r="O671" s="90" t="s">
        <v>597</v>
      </c>
      <c r="P671" s="118"/>
      <c r="Q671" s="118"/>
    </row>
    <row r="672" spans="1:21" x14ac:dyDescent="0.25">
      <c r="A672" s="90" t="s">
        <v>2070</v>
      </c>
      <c r="B672" s="119">
        <v>5</v>
      </c>
      <c r="C672" s="90" t="s">
        <v>2059</v>
      </c>
      <c r="D672" s="90" t="s">
        <v>97</v>
      </c>
      <c r="E672">
        <v>1336</v>
      </c>
      <c r="F672">
        <v>1337</v>
      </c>
      <c r="G672" s="93" t="s">
        <v>78</v>
      </c>
      <c r="H672" t="s">
        <v>128</v>
      </c>
      <c r="I672">
        <v>1</v>
      </c>
      <c r="J672">
        <v>270.62269196</v>
      </c>
      <c r="K672">
        <f>I672*J672</f>
        <v>270.62269196</v>
      </c>
      <c r="L672">
        <v>40</v>
      </c>
      <c r="M672">
        <f>(1-(L672/100))*K672</f>
        <v>162.37361517599999</v>
      </c>
      <c r="N672" s="90">
        <v>672</v>
      </c>
      <c r="O672" s="90" t="s">
        <v>598</v>
      </c>
      <c r="P672" s="118"/>
      <c r="Q672" s="118"/>
    </row>
    <row r="673" spans="1:21" x14ac:dyDescent="0.25">
      <c r="A673" s="90" t="s">
        <v>2071</v>
      </c>
      <c r="B673" s="119">
        <v>5</v>
      </c>
      <c r="C673" s="90" t="s">
        <v>2059</v>
      </c>
      <c r="D673" s="90" t="s">
        <v>98</v>
      </c>
      <c r="E673">
        <v>1338</v>
      </c>
      <c r="F673">
        <v>1339</v>
      </c>
      <c r="G673" s="93" t="s">
        <v>78</v>
      </c>
      <c r="H673" t="s">
        <v>134</v>
      </c>
      <c r="I673">
        <v>0</v>
      </c>
      <c r="J673">
        <v>119.07551254000001</v>
      </c>
      <c r="K673">
        <f>I673*J673</f>
        <v>0</v>
      </c>
      <c r="L673">
        <v>40</v>
      </c>
      <c r="M673">
        <f>(1-(L673/100))*K673</f>
        <v>0</v>
      </c>
      <c r="N673" s="90">
        <v>673</v>
      </c>
      <c r="O673" s="90" t="s">
        <v>599</v>
      </c>
      <c r="P673" s="118"/>
      <c r="Q673" s="118"/>
    </row>
    <row r="674" spans="1:21" x14ac:dyDescent="0.25">
      <c r="A674" s="90" t="s">
        <v>2072</v>
      </c>
      <c r="B674" s="119">
        <v>5</v>
      </c>
      <c r="C674" s="90" t="s">
        <v>2059</v>
      </c>
      <c r="D674" s="90" t="s">
        <v>99</v>
      </c>
      <c r="E674">
        <v>1340</v>
      </c>
      <c r="F674">
        <v>1341</v>
      </c>
      <c r="G674" s="93" t="s">
        <v>78</v>
      </c>
      <c r="H674" t="s">
        <v>135</v>
      </c>
      <c r="I674">
        <v>0</v>
      </c>
      <c r="J674">
        <v>56.526168339999998</v>
      </c>
      <c r="K674">
        <f>I674*J674</f>
        <v>0</v>
      </c>
      <c r="L674">
        <v>40</v>
      </c>
      <c r="M674">
        <f>(1-(L674/100))*K674</f>
        <v>0</v>
      </c>
      <c r="N674" s="90">
        <v>674</v>
      </c>
      <c r="O674" s="90" t="s">
        <v>600</v>
      </c>
      <c r="P674" s="118"/>
      <c r="Q674" s="118"/>
    </row>
    <row r="675" spans="1:21" x14ac:dyDescent="0.25">
      <c r="A675" s="90" t="s">
        <v>2073</v>
      </c>
      <c r="B675" s="119">
        <v>5</v>
      </c>
      <c r="C675" s="90" t="s">
        <v>2059</v>
      </c>
      <c r="D675" s="90" t="s">
        <v>100</v>
      </c>
      <c r="E675">
        <v>1342</v>
      </c>
      <c r="F675">
        <v>1343</v>
      </c>
      <c r="G675" s="93" t="s">
        <v>78</v>
      </c>
      <c r="H675" t="s">
        <v>129</v>
      </c>
      <c r="I675">
        <v>1</v>
      </c>
      <c r="J675">
        <v>212.88679486000001</v>
      </c>
      <c r="K675">
        <f>I675*J675</f>
        <v>212.88679486000001</v>
      </c>
      <c r="L675">
        <v>40</v>
      </c>
      <c r="M675">
        <f>(1-(L675/100))*K675</f>
        <v>127.732076916</v>
      </c>
      <c r="N675" s="90">
        <v>675</v>
      </c>
      <c r="O675" s="90" t="s">
        <v>601</v>
      </c>
      <c r="P675" s="118"/>
      <c r="Q675" s="118"/>
    </row>
    <row r="676" spans="1:21" x14ac:dyDescent="0.25">
      <c r="A676" s="90" t="s">
        <v>2074</v>
      </c>
      <c r="B676" s="119">
        <v>5</v>
      </c>
      <c r="C676" s="90" t="s">
        <v>2059</v>
      </c>
      <c r="D676" s="90" t="s">
        <v>81</v>
      </c>
      <c r="E676">
        <v>1344</v>
      </c>
      <c r="F676">
        <v>1345</v>
      </c>
      <c r="G676" s="93" t="s">
        <v>78</v>
      </c>
      <c r="H676" t="s">
        <v>130</v>
      </c>
      <c r="I676">
        <v>1</v>
      </c>
      <c r="J676">
        <v>206.87635298999999</v>
      </c>
      <c r="K676">
        <f>I676*J676</f>
        <v>206.87635298999999</v>
      </c>
      <c r="L676">
        <v>40</v>
      </c>
      <c r="M676">
        <f>(1-(L676/100))*K676</f>
        <v>124.12581179399999</v>
      </c>
      <c r="N676" s="90">
        <v>676</v>
      </c>
      <c r="O676" s="90" t="s">
        <v>602</v>
      </c>
      <c r="P676" s="118"/>
      <c r="Q676" s="118"/>
    </row>
    <row r="677" spans="1:21" x14ac:dyDescent="0.25">
      <c r="A677" s="90" t="s">
        <v>2075</v>
      </c>
      <c r="B677" s="119">
        <v>5</v>
      </c>
      <c r="C677" s="90" t="s">
        <v>2059</v>
      </c>
      <c r="D677" s="90" t="s">
        <v>83</v>
      </c>
      <c r="E677">
        <v>1346</v>
      </c>
      <c r="F677">
        <v>1347</v>
      </c>
      <c r="G677" s="93" t="s">
        <v>78</v>
      </c>
      <c r="H677" t="s">
        <v>136</v>
      </c>
      <c r="I677">
        <v>1</v>
      </c>
      <c r="J677">
        <v>1142.63338851</v>
      </c>
      <c r="K677">
        <f>I677*J677</f>
        <v>1142.63338851</v>
      </c>
      <c r="L677">
        <v>40</v>
      </c>
      <c r="M677">
        <f>(1-(L677/100))*K677</f>
        <v>685.58003310599997</v>
      </c>
      <c r="N677" s="90">
        <v>677</v>
      </c>
      <c r="O677" s="90" t="s">
        <v>603</v>
      </c>
      <c r="P677" s="118"/>
      <c r="Q677" s="118"/>
    </row>
    <row r="678" spans="1:21" x14ac:dyDescent="0.25">
      <c r="A678" s="90" t="s">
        <v>2076</v>
      </c>
      <c r="B678" s="119">
        <v>4</v>
      </c>
      <c r="C678" s="90" t="s">
        <v>2035</v>
      </c>
      <c r="D678" s="90" t="s">
        <v>99</v>
      </c>
      <c r="E678">
        <v>1349</v>
      </c>
      <c r="F678">
        <v>1352</v>
      </c>
      <c r="G678" s="93" t="s">
        <v>68</v>
      </c>
      <c r="H678" t="s">
        <v>1714</v>
      </c>
      <c r="I678">
        <v>2</v>
      </c>
      <c r="J678">
        <f>SUM(K679)</f>
        <v>5389.0233031999996</v>
      </c>
      <c r="K678">
        <f>I678*J678</f>
        <v>10778.046606399999</v>
      </c>
      <c r="L678">
        <f>100*(1-(M678/K678))</f>
        <v>40</v>
      </c>
      <c r="M678">
        <f>I678*SUM(M679)</f>
        <v>6466.827963839999</v>
      </c>
      <c r="N678" s="90">
        <v>678</v>
      </c>
      <c r="O678" s="90" t="s">
        <v>604</v>
      </c>
      <c r="P678" s="118"/>
      <c r="Q678" s="118"/>
      <c r="R678" s="90" t="s">
        <v>4264</v>
      </c>
      <c r="S678" s="90" t="s">
        <v>5343</v>
      </c>
      <c r="T678" s="90" t="s">
        <v>5841</v>
      </c>
      <c r="U678" s="90" t="s">
        <v>4804</v>
      </c>
    </row>
    <row r="679" spans="1:21" x14ac:dyDescent="0.25">
      <c r="A679" s="90" t="s">
        <v>2077</v>
      </c>
      <c r="B679" s="119">
        <v>5</v>
      </c>
      <c r="C679" s="90" t="s">
        <v>2076</v>
      </c>
      <c r="D679" s="90" t="s">
        <v>78</v>
      </c>
      <c r="E679">
        <v>1350</v>
      </c>
      <c r="F679">
        <v>1351</v>
      </c>
      <c r="G679" s="93" t="s">
        <v>78</v>
      </c>
      <c r="H679" t="s">
        <v>1714</v>
      </c>
      <c r="I679">
        <v>1</v>
      </c>
      <c r="J679">
        <v>5389.0233031999996</v>
      </c>
      <c r="K679">
        <f>I679*J679</f>
        <v>5389.0233031999996</v>
      </c>
      <c r="L679">
        <v>40</v>
      </c>
      <c r="M679">
        <f>(1-(L679/100))*K679</f>
        <v>3233.4139819199995</v>
      </c>
      <c r="N679" s="90">
        <v>679</v>
      </c>
      <c r="O679" s="90" t="s">
        <v>1114</v>
      </c>
      <c r="P679" s="118"/>
      <c r="Q679" s="118"/>
    </row>
    <row r="680" spans="1:21" x14ac:dyDescent="0.25">
      <c r="A680" s="90" t="s">
        <v>2078</v>
      </c>
      <c r="B680" s="119">
        <v>4</v>
      </c>
      <c r="C680" s="90" t="s">
        <v>2035</v>
      </c>
      <c r="D680" s="90" t="s">
        <v>100</v>
      </c>
      <c r="E680">
        <v>1353</v>
      </c>
      <c r="F680">
        <v>1356</v>
      </c>
      <c r="G680" s="93" t="s">
        <v>68</v>
      </c>
      <c r="H680" t="s">
        <v>1509</v>
      </c>
      <c r="I680">
        <v>2</v>
      </c>
      <c r="J680">
        <f>SUM(K681)</f>
        <v>3300</v>
      </c>
      <c r="K680">
        <f>I680*J680</f>
        <v>6600</v>
      </c>
      <c r="L680">
        <f>100*(1-(M680/K680))</f>
        <v>40</v>
      </c>
      <c r="M680">
        <f>I680*SUM(M681)</f>
        <v>3960</v>
      </c>
      <c r="N680" s="90">
        <v>680</v>
      </c>
      <c r="O680" s="90" t="s">
        <v>606</v>
      </c>
      <c r="P680" s="118"/>
      <c r="Q680" s="118"/>
      <c r="R680" s="90" t="s">
        <v>4265</v>
      </c>
      <c r="S680" s="90" t="s">
        <v>5344</v>
      </c>
      <c r="T680" s="90" t="s">
        <v>5842</v>
      </c>
      <c r="U680" s="90" t="s">
        <v>4805</v>
      </c>
    </row>
    <row r="681" spans="1:21" x14ac:dyDescent="0.25">
      <c r="A681" s="90" t="s">
        <v>2079</v>
      </c>
      <c r="B681" s="119">
        <v>5</v>
      </c>
      <c r="C681" s="90" t="s">
        <v>2078</v>
      </c>
      <c r="D681" s="90" t="s">
        <v>78</v>
      </c>
      <c r="E681">
        <v>1354</v>
      </c>
      <c r="F681">
        <v>1355</v>
      </c>
      <c r="G681" s="93" t="s">
        <v>78</v>
      </c>
      <c r="H681" t="s">
        <v>1509</v>
      </c>
      <c r="I681">
        <v>1</v>
      </c>
      <c r="J681">
        <v>3300</v>
      </c>
      <c r="K681">
        <f>I681*J681</f>
        <v>3300</v>
      </c>
      <c r="L681">
        <v>40</v>
      </c>
      <c r="M681">
        <f>(1-(L681/100))*K681</f>
        <v>1980</v>
      </c>
      <c r="N681" s="90">
        <v>681</v>
      </c>
      <c r="O681" s="90" t="s">
        <v>607</v>
      </c>
      <c r="P681" s="118"/>
      <c r="Q681" s="118"/>
    </row>
    <row r="682" spans="1:21" x14ac:dyDescent="0.25">
      <c r="A682" s="90" t="s">
        <v>2080</v>
      </c>
      <c r="B682" s="119">
        <v>3</v>
      </c>
      <c r="C682" s="90" t="s">
        <v>2033</v>
      </c>
      <c r="D682" s="90" t="s">
        <v>79</v>
      </c>
      <c r="E682">
        <v>1358</v>
      </c>
      <c r="F682">
        <v>1373</v>
      </c>
      <c r="G682" s="93" t="s">
        <v>68</v>
      </c>
      <c r="H682" t="s">
        <v>2081</v>
      </c>
      <c r="I682">
        <v>1</v>
      </c>
      <c r="J682">
        <f>SUM(K683)</f>
        <v>7080.4151279700009</v>
      </c>
      <c r="K682">
        <f>I682*J682</f>
        <v>7080.4151279700009</v>
      </c>
      <c r="L682">
        <f>100*(1-(M682/K682))</f>
        <v>40</v>
      </c>
      <c r="M682">
        <f>I682*SUM(M683)</f>
        <v>4248.249076782</v>
      </c>
      <c r="N682" s="90">
        <v>682</v>
      </c>
      <c r="O682" s="90" t="s">
        <v>608</v>
      </c>
      <c r="P682" s="118"/>
      <c r="Q682" s="118"/>
      <c r="R682" s="90" t="s">
        <v>6920</v>
      </c>
      <c r="S682" s="90" t="s">
        <v>7018</v>
      </c>
      <c r="T682" s="90" t="s">
        <v>7064</v>
      </c>
      <c r="U682" s="90" t="s">
        <v>6969</v>
      </c>
    </row>
    <row r="683" spans="1:21" x14ac:dyDescent="0.25">
      <c r="A683" s="90" t="s">
        <v>2082</v>
      </c>
      <c r="B683" s="119">
        <v>4</v>
      </c>
      <c r="C683" s="90" t="s">
        <v>2080</v>
      </c>
      <c r="D683" s="90" t="s">
        <v>78</v>
      </c>
      <c r="E683">
        <v>1359</v>
      </c>
      <c r="F683">
        <v>1372</v>
      </c>
      <c r="G683" s="93" t="s">
        <v>68</v>
      </c>
      <c r="H683" t="s">
        <v>2083</v>
      </c>
      <c r="I683">
        <v>1</v>
      </c>
      <c r="J683">
        <f>SUM(K684)</f>
        <v>7080.4151279700009</v>
      </c>
      <c r="K683">
        <f>I683*J683</f>
        <v>7080.4151279700009</v>
      </c>
      <c r="L683">
        <f>100*(1-(M683/K683))</f>
        <v>40</v>
      </c>
      <c r="M683">
        <f>I683*SUM(M684)</f>
        <v>4248.249076782</v>
      </c>
      <c r="N683" s="90">
        <v>683</v>
      </c>
      <c r="O683" s="90" t="s">
        <v>609</v>
      </c>
      <c r="P683" s="118"/>
      <c r="Q683" s="118"/>
      <c r="R683" s="90" t="s">
        <v>6333</v>
      </c>
      <c r="S683" s="90" t="s">
        <v>6637</v>
      </c>
      <c r="T683" s="90" t="s">
        <v>6782</v>
      </c>
      <c r="U683" s="90" t="s">
        <v>6485</v>
      </c>
    </row>
    <row r="684" spans="1:21" x14ac:dyDescent="0.25">
      <c r="A684" s="90" t="s">
        <v>2084</v>
      </c>
      <c r="B684" s="119">
        <v>5</v>
      </c>
      <c r="C684" s="90" t="s">
        <v>2082</v>
      </c>
      <c r="D684" s="90" t="s">
        <v>78</v>
      </c>
      <c r="E684">
        <v>1360</v>
      </c>
      <c r="F684">
        <v>1371</v>
      </c>
      <c r="G684" s="93" t="s">
        <v>68</v>
      </c>
      <c r="H684" t="s">
        <v>1397</v>
      </c>
      <c r="I684">
        <v>1</v>
      </c>
      <c r="J684">
        <f>SUM(K685,K686,K687,K688,K689)</f>
        <v>7080.4151279700009</v>
      </c>
      <c r="K684">
        <f>I684*J684</f>
        <v>7080.4151279700009</v>
      </c>
      <c r="L684">
        <f>100*(1-(M684/K684))</f>
        <v>40</v>
      </c>
      <c r="M684">
        <f>I684*SUM(M685,M686,M687,M688,M689)</f>
        <v>4248.249076782</v>
      </c>
      <c r="N684" s="90">
        <v>684</v>
      </c>
      <c r="O684" s="90" t="s">
        <v>1115</v>
      </c>
      <c r="P684" s="118"/>
      <c r="Q684" s="118"/>
      <c r="R684" s="90" t="s">
        <v>4274</v>
      </c>
      <c r="S684" s="90" t="s">
        <v>5353</v>
      </c>
      <c r="T684" s="90" t="s">
        <v>5851</v>
      </c>
      <c r="U684" s="90" t="s">
        <v>4814</v>
      </c>
    </row>
    <row r="685" spans="1:21" x14ac:dyDescent="0.25">
      <c r="A685" s="90" t="s">
        <v>2085</v>
      </c>
      <c r="B685" s="119">
        <v>6</v>
      </c>
      <c r="C685" s="90" t="s">
        <v>2084</v>
      </c>
      <c r="D685" s="90" t="s">
        <v>78</v>
      </c>
      <c r="E685">
        <v>1361</v>
      </c>
      <c r="F685">
        <v>1362</v>
      </c>
      <c r="G685" s="93" t="s">
        <v>78</v>
      </c>
      <c r="H685" t="s">
        <v>126</v>
      </c>
      <c r="I685">
        <v>1</v>
      </c>
      <c r="J685">
        <v>491.93938622000002</v>
      </c>
      <c r="K685">
        <f>I685*J685</f>
        <v>491.93938622000002</v>
      </c>
      <c r="L685">
        <v>40</v>
      </c>
      <c r="M685">
        <f>(1-(L685/100))*K685</f>
        <v>295.163631732</v>
      </c>
      <c r="N685" s="90">
        <v>685</v>
      </c>
      <c r="O685" s="90" t="s">
        <v>611</v>
      </c>
      <c r="P685" s="118"/>
      <c r="Q685" s="118"/>
    </row>
    <row r="686" spans="1:21" x14ac:dyDescent="0.25">
      <c r="A686" s="90" t="s">
        <v>2086</v>
      </c>
      <c r="B686" s="119">
        <v>6</v>
      </c>
      <c r="C686" s="90" t="s">
        <v>2084</v>
      </c>
      <c r="D686" s="90" t="s">
        <v>79</v>
      </c>
      <c r="E686">
        <v>1363</v>
      </c>
      <c r="F686">
        <v>1364</v>
      </c>
      <c r="G686" s="93" t="s">
        <v>78</v>
      </c>
      <c r="H686" t="s">
        <v>120</v>
      </c>
      <c r="I686">
        <v>1</v>
      </c>
      <c r="J686">
        <v>967.93582071000003</v>
      </c>
      <c r="K686">
        <f>I686*J686</f>
        <v>967.93582071000003</v>
      </c>
      <c r="L686">
        <v>40</v>
      </c>
      <c r="M686">
        <f>(1-(L686/100))*K686</f>
        <v>580.76149242600002</v>
      </c>
      <c r="N686" s="90">
        <v>686</v>
      </c>
      <c r="O686" s="90" t="s">
        <v>612</v>
      </c>
      <c r="P686" s="118"/>
      <c r="Q686" s="118"/>
    </row>
    <row r="687" spans="1:21" x14ac:dyDescent="0.25">
      <c r="A687" s="90" t="s">
        <v>2087</v>
      </c>
      <c r="B687" s="119">
        <v>6</v>
      </c>
      <c r="C687" s="90" t="s">
        <v>2084</v>
      </c>
      <c r="D687" s="90" t="s">
        <v>80</v>
      </c>
      <c r="E687">
        <v>1365</v>
      </c>
      <c r="F687">
        <v>1366</v>
      </c>
      <c r="G687" s="93" t="s">
        <v>78</v>
      </c>
      <c r="H687" t="s">
        <v>125</v>
      </c>
      <c r="I687">
        <v>1</v>
      </c>
      <c r="J687">
        <v>967.93582071000003</v>
      </c>
      <c r="K687">
        <f>I687*J687</f>
        <v>967.93582071000003</v>
      </c>
      <c r="L687">
        <v>40</v>
      </c>
      <c r="M687">
        <f>(1-(L687/100))*K687</f>
        <v>580.76149242600002</v>
      </c>
      <c r="N687" s="90">
        <v>687</v>
      </c>
      <c r="O687" s="90" t="s">
        <v>613</v>
      </c>
      <c r="P687" s="118"/>
      <c r="Q687" s="118"/>
    </row>
    <row r="688" spans="1:21" x14ac:dyDescent="0.25">
      <c r="A688" s="90" t="s">
        <v>2088</v>
      </c>
      <c r="B688" s="119">
        <v>6</v>
      </c>
      <c r="C688" s="90" t="s">
        <v>2084</v>
      </c>
      <c r="D688" s="90" t="s">
        <v>95</v>
      </c>
      <c r="E688">
        <v>1367</v>
      </c>
      <c r="F688">
        <v>1368</v>
      </c>
      <c r="G688" s="93" t="s">
        <v>78</v>
      </c>
      <c r="H688" t="s">
        <v>203</v>
      </c>
      <c r="I688">
        <v>1</v>
      </c>
      <c r="J688">
        <v>2064.00101872</v>
      </c>
      <c r="K688">
        <f>I688*J688</f>
        <v>2064.00101872</v>
      </c>
      <c r="L688">
        <v>40</v>
      </c>
      <c r="M688">
        <f>(1-(L688/100))*K688</f>
        <v>1238.4006112320001</v>
      </c>
      <c r="N688" s="90">
        <v>688</v>
      </c>
      <c r="O688" s="90" t="s">
        <v>614</v>
      </c>
      <c r="P688" s="118"/>
      <c r="Q688" s="118"/>
    </row>
    <row r="689" spans="1:21" x14ac:dyDescent="0.25">
      <c r="A689" s="90" t="s">
        <v>2089</v>
      </c>
      <c r="B689" s="119">
        <v>6</v>
      </c>
      <c r="C689" s="90" t="s">
        <v>2084</v>
      </c>
      <c r="D689" s="90" t="s">
        <v>96</v>
      </c>
      <c r="E689">
        <v>1369</v>
      </c>
      <c r="F689">
        <v>1370</v>
      </c>
      <c r="G689" s="93" t="s">
        <v>78</v>
      </c>
      <c r="H689" t="s">
        <v>191</v>
      </c>
      <c r="I689">
        <v>3</v>
      </c>
      <c r="J689">
        <v>862.86769387000004</v>
      </c>
      <c r="K689">
        <f>I689*J689</f>
        <v>2588.6030816100001</v>
      </c>
      <c r="L689">
        <v>40</v>
      </c>
      <c r="M689">
        <f>(1-(L689/100))*K689</f>
        <v>1553.161848966</v>
      </c>
      <c r="N689" s="90">
        <v>689</v>
      </c>
      <c r="O689" s="90" t="s">
        <v>615</v>
      </c>
      <c r="P689" s="118"/>
      <c r="Q689" s="118"/>
    </row>
    <row r="690" spans="1:21" x14ac:dyDescent="0.25">
      <c r="A690" s="90" t="s">
        <v>2090</v>
      </c>
      <c r="B690" s="119">
        <v>3</v>
      </c>
      <c r="C690" s="90" t="s">
        <v>2033</v>
      </c>
      <c r="D690" s="90" t="s">
        <v>80</v>
      </c>
      <c r="E690">
        <v>1374</v>
      </c>
      <c r="F690">
        <v>1393</v>
      </c>
      <c r="G690" s="93" t="s">
        <v>68</v>
      </c>
      <c r="H690" t="s">
        <v>2091</v>
      </c>
      <c r="I690">
        <v>1</v>
      </c>
      <c r="J690">
        <f>SUM(K691,K694,K696,K698)</f>
        <v>12677.74146186</v>
      </c>
      <c r="K690">
        <f>I690*J690</f>
        <v>12677.74146186</v>
      </c>
      <c r="L690">
        <f>100*(1-(M690/K690))</f>
        <v>85.6</v>
      </c>
      <c r="M690">
        <f>I690*SUM(M691,M694,M696,M698)</f>
        <v>1825.5947705078402</v>
      </c>
      <c r="N690" s="90">
        <v>690</v>
      </c>
      <c r="O690" s="90" t="s">
        <v>616</v>
      </c>
      <c r="P690" s="118"/>
      <c r="Q690" s="118"/>
      <c r="R690" s="90" t="s">
        <v>6334</v>
      </c>
      <c r="S690" s="90" t="s">
        <v>6638</v>
      </c>
      <c r="T690" s="90" t="s">
        <v>6783</v>
      </c>
      <c r="U690" s="90" t="s">
        <v>6486</v>
      </c>
    </row>
    <row r="691" spans="1:21" x14ac:dyDescent="0.25">
      <c r="A691" s="90" t="s">
        <v>2092</v>
      </c>
      <c r="B691" s="119">
        <v>4</v>
      </c>
      <c r="C691" s="90" t="s">
        <v>2090</v>
      </c>
      <c r="D691" s="90" t="s">
        <v>78</v>
      </c>
      <c r="E691">
        <v>1375</v>
      </c>
      <c r="F691">
        <v>1380</v>
      </c>
      <c r="G691" s="93" t="s">
        <v>68</v>
      </c>
      <c r="H691" t="s">
        <v>364</v>
      </c>
      <c r="I691">
        <v>1</v>
      </c>
      <c r="J691">
        <f>SUM(K692,K693)</f>
        <v>2292.1176620400001</v>
      </c>
      <c r="K691">
        <f>I691*J691</f>
        <v>2292.1176620400001</v>
      </c>
      <c r="L691">
        <f>100*(1-(M691/K691))</f>
        <v>85.6</v>
      </c>
      <c r="M691">
        <f>I691*SUM(M692,M693)</f>
        <v>330.06494333376008</v>
      </c>
      <c r="N691" s="90">
        <v>691</v>
      </c>
      <c r="O691" s="90" t="s">
        <v>617</v>
      </c>
      <c r="P691" s="118"/>
      <c r="Q691" s="118"/>
      <c r="R691" s="90" t="s">
        <v>4275</v>
      </c>
      <c r="S691" s="90" t="s">
        <v>906</v>
      </c>
      <c r="T691" s="90" t="s">
        <v>963</v>
      </c>
      <c r="U691" s="90" t="s">
        <v>4815</v>
      </c>
    </row>
    <row r="692" spans="1:21" x14ac:dyDescent="0.25">
      <c r="A692" s="90" t="s">
        <v>2093</v>
      </c>
      <c r="B692" s="119">
        <v>5</v>
      </c>
      <c r="C692" s="90" t="s">
        <v>2092</v>
      </c>
      <c r="D692" s="90" t="s">
        <v>78</v>
      </c>
      <c r="E692">
        <v>1376</v>
      </c>
      <c r="F692">
        <v>1377</v>
      </c>
      <c r="G692" s="93" t="s">
        <v>78</v>
      </c>
      <c r="H692" t="s">
        <v>366</v>
      </c>
      <c r="I692">
        <v>1</v>
      </c>
      <c r="J692">
        <v>509.35948044999998</v>
      </c>
      <c r="K692">
        <f>I692*J692</f>
        <v>509.35948044999998</v>
      </c>
      <c r="L692">
        <v>85.6</v>
      </c>
      <c r="M692">
        <f>(1-(L692/100))*K692</f>
        <v>73.347765184800011</v>
      </c>
      <c r="N692" s="90">
        <v>692</v>
      </c>
      <c r="O692" s="90" t="s">
        <v>618</v>
      </c>
      <c r="P692" s="118"/>
      <c r="Q692" s="118"/>
    </row>
    <row r="693" spans="1:21" x14ac:dyDescent="0.25">
      <c r="A693" s="90" t="s">
        <v>2094</v>
      </c>
      <c r="B693" s="119">
        <v>5</v>
      </c>
      <c r="C693" s="90" t="s">
        <v>2092</v>
      </c>
      <c r="D693" s="90" t="s">
        <v>79</v>
      </c>
      <c r="E693">
        <v>1378</v>
      </c>
      <c r="F693">
        <v>1379</v>
      </c>
      <c r="G693" s="93" t="s">
        <v>78</v>
      </c>
      <c r="H693" t="s">
        <v>368</v>
      </c>
      <c r="I693">
        <v>1</v>
      </c>
      <c r="J693">
        <v>1782.75818159</v>
      </c>
      <c r="K693">
        <f>I693*J693</f>
        <v>1782.75818159</v>
      </c>
      <c r="L693">
        <v>85.6</v>
      </c>
      <c r="M693">
        <f>(1-(L693/100))*K693</f>
        <v>256.71717814896004</v>
      </c>
      <c r="N693" s="90">
        <v>693</v>
      </c>
      <c r="O693" s="90" t="s">
        <v>1116</v>
      </c>
      <c r="P693" s="118"/>
      <c r="Q693" s="118"/>
    </row>
    <row r="694" spans="1:21" x14ac:dyDescent="0.25">
      <c r="A694" s="90" t="s">
        <v>2095</v>
      </c>
      <c r="B694" s="119">
        <v>4</v>
      </c>
      <c r="C694" s="90" t="s">
        <v>2090</v>
      </c>
      <c r="D694" s="90" t="s">
        <v>79</v>
      </c>
      <c r="E694">
        <v>1381</v>
      </c>
      <c r="F694">
        <v>1384</v>
      </c>
      <c r="G694" s="93" t="s">
        <v>68</v>
      </c>
      <c r="H694" t="s">
        <v>379</v>
      </c>
      <c r="I694">
        <v>1</v>
      </c>
      <c r="J694">
        <f>SUM(K695)</f>
        <v>303.06889087000002</v>
      </c>
      <c r="K694">
        <f>I694*J694</f>
        <v>303.06889087000002</v>
      </c>
      <c r="L694">
        <f>100*(1-(M694/K694))</f>
        <v>85.6</v>
      </c>
      <c r="M694">
        <f>I694*SUM(M695)</f>
        <v>43.641920285280008</v>
      </c>
      <c r="N694" s="90">
        <v>694</v>
      </c>
      <c r="O694" s="90" t="s">
        <v>619</v>
      </c>
      <c r="P694" s="118"/>
      <c r="Q694" s="118"/>
      <c r="R694" s="90" t="s">
        <v>4276</v>
      </c>
      <c r="S694" s="90" t="s">
        <v>5354</v>
      </c>
      <c r="T694" s="90" t="s">
        <v>5852</v>
      </c>
      <c r="U694" s="90" t="s">
        <v>4816</v>
      </c>
    </row>
    <row r="695" spans="1:21" x14ac:dyDescent="0.25">
      <c r="A695" s="90" t="s">
        <v>2096</v>
      </c>
      <c r="B695" s="119">
        <v>5</v>
      </c>
      <c r="C695" s="90" t="s">
        <v>2095</v>
      </c>
      <c r="D695" s="90" t="s">
        <v>78</v>
      </c>
      <c r="E695">
        <v>1382</v>
      </c>
      <c r="F695">
        <v>1383</v>
      </c>
      <c r="G695" s="93" t="s">
        <v>78</v>
      </c>
      <c r="H695" t="s">
        <v>381</v>
      </c>
      <c r="I695">
        <v>1</v>
      </c>
      <c r="J695">
        <v>303.06889087000002</v>
      </c>
      <c r="K695">
        <f>I695*J695</f>
        <v>303.06889087000002</v>
      </c>
      <c r="L695">
        <v>85.6</v>
      </c>
      <c r="M695">
        <f>(1-(L695/100))*K695</f>
        <v>43.641920285280008</v>
      </c>
      <c r="N695" s="90">
        <v>695</v>
      </c>
      <c r="O695" s="90" t="s">
        <v>1117</v>
      </c>
      <c r="P695" s="118"/>
      <c r="Q695" s="118"/>
    </row>
    <row r="696" spans="1:21" x14ac:dyDescent="0.25">
      <c r="A696" s="90" t="s">
        <v>2097</v>
      </c>
      <c r="B696" s="119">
        <v>4</v>
      </c>
      <c r="C696" s="90" t="s">
        <v>2090</v>
      </c>
      <c r="D696" s="90" t="s">
        <v>80</v>
      </c>
      <c r="E696">
        <v>1385</v>
      </c>
      <c r="F696">
        <v>1388</v>
      </c>
      <c r="G696" s="93" t="s">
        <v>68</v>
      </c>
      <c r="H696" t="s">
        <v>383</v>
      </c>
      <c r="I696">
        <v>1</v>
      </c>
      <c r="J696">
        <f>SUM(K697)</f>
        <v>1069.6549089499999</v>
      </c>
      <c r="K696">
        <f>I696*J696</f>
        <v>1069.6549089499999</v>
      </c>
      <c r="L696">
        <f>100*(1-(M696/K696))</f>
        <v>85.6</v>
      </c>
      <c r="M696">
        <f>I696*SUM(M697)</f>
        <v>154.0303068888</v>
      </c>
      <c r="N696" s="90">
        <v>696</v>
      </c>
      <c r="O696" s="90" t="s">
        <v>620</v>
      </c>
      <c r="P696" s="118"/>
      <c r="Q696" s="118"/>
      <c r="R696" s="90" t="s">
        <v>4277</v>
      </c>
      <c r="S696" s="90" t="s">
        <v>5355</v>
      </c>
      <c r="T696" s="90" t="s">
        <v>5853</v>
      </c>
      <c r="U696" s="90" t="s">
        <v>4817</v>
      </c>
    </row>
    <row r="697" spans="1:21" x14ac:dyDescent="0.25">
      <c r="A697" s="90" t="s">
        <v>2098</v>
      </c>
      <c r="B697" s="119">
        <v>5</v>
      </c>
      <c r="C697" s="90" t="s">
        <v>2097</v>
      </c>
      <c r="D697" s="90" t="s">
        <v>78</v>
      </c>
      <c r="E697">
        <v>1386</v>
      </c>
      <c r="F697">
        <v>1387</v>
      </c>
      <c r="G697" s="93" t="s">
        <v>78</v>
      </c>
      <c r="H697" t="s">
        <v>385</v>
      </c>
      <c r="I697">
        <v>1</v>
      </c>
      <c r="J697">
        <v>1069.6549089499999</v>
      </c>
      <c r="K697">
        <f>I697*J697</f>
        <v>1069.6549089499999</v>
      </c>
      <c r="L697">
        <v>85.6</v>
      </c>
      <c r="M697">
        <f>(1-(L697/100))*K697</f>
        <v>154.0303068888</v>
      </c>
      <c r="N697" s="90">
        <v>697</v>
      </c>
      <c r="O697" s="90" t="s">
        <v>621</v>
      </c>
      <c r="P697" s="118"/>
      <c r="Q697" s="118"/>
    </row>
    <row r="698" spans="1:21" x14ac:dyDescent="0.25">
      <c r="A698" s="90" t="s">
        <v>2099</v>
      </c>
      <c r="B698" s="119">
        <v>4</v>
      </c>
      <c r="C698" s="90" t="s">
        <v>2090</v>
      </c>
      <c r="D698" s="90" t="s">
        <v>95</v>
      </c>
      <c r="E698">
        <v>1389</v>
      </c>
      <c r="F698">
        <v>1392</v>
      </c>
      <c r="G698" s="93" t="s">
        <v>68</v>
      </c>
      <c r="H698" t="s">
        <v>387</v>
      </c>
      <c r="I698">
        <v>1</v>
      </c>
      <c r="J698">
        <f>SUM(K699)</f>
        <v>9012.9</v>
      </c>
      <c r="K698">
        <f>I698*J698</f>
        <v>9012.9</v>
      </c>
      <c r="L698">
        <f>100*(1-(M698/K698))</f>
        <v>85.6</v>
      </c>
      <c r="M698">
        <f>I698*SUM(M699)</f>
        <v>1297.8576</v>
      </c>
      <c r="N698" s="90">
        <v>698</v>
      </c>
      <c r="O698" s="90" t="s">
        <v>622</v>
      </c>
      <c r="P698" s="118"/>
      <c r="Q698" s="118"/>
      <c r="R698" s="90" t="s">
        <v>4278</v>
      </c>
      <c r="S698" s="90" t="s">
        <v>5356</v>
      </c>
      <c r="T698" s="90" t="s">
        <v>5854</v>
      </c>
      <c r="U698" s="90" t="s">
        <v>4818</v>
      </c>
    </row>
    <row r="699" spans="1:21" x14ac:dyDescent="0.25">
      <c r="A699" s="90" t="s">
        <v>2100</v>
      </c>
      <c r="B699" s="119">
        <v>5</v>
      </c>
      <c r="C699" s="90" t="s">
        <v>2099</v>
      </c>
      <c r="D699" s="90" t="s">
        <v>78</v>
      </c>
      <c r="E699">
        <v>1390</v>
      </c>
      <c r="F699">
        <v>1391</v>
      </c>
      <c r="G699" s="93" t="s">
        <v>78</v>
      </c>
      <c r="H699" t="s">
        <v>389</v>
      </c>
      <c r="I699">
        <v>1</v>
      </c>
      <c r="J699">
        <v>9012.9</v>
      </c>
      <c r="K699">
        <f>I699*J699</f>
        <v>9012.9</v>
      </c>
      <c r="L699">
        <v>85.6</v>
      </c>
      <c r="M699">
        <f>(1-(L699/100))*K699</f>
        <v>1297.8576</v>
      </c>
      <c r="N699" s="90">
        <v>699</v>
      </c>
      <c r="O699" s="90" t="s">
        <v>623</v>
      </c>
      <c r="P699" s="118"/>
      <c r="Q699" s="118"/>
    </row>
    <row r="700" spans="1:21" x14ac:dyDescent="0.25">
      <c r="A700" s="90" t="s">
        <v>2101</v>
      </c>
      <c r="B700" s="119">
        <v>3</v>
      </c>
      <c r="C700" s="90" t="s">
        <v>2033</v>
      </c>
      <c r="D700" s="90" t="s">
        <v>95</v>
      </c>
      <c r="E700">
        <v>1394</v>
      </c>
      <c r="F700">
        <v>1399</v>
      </c>
      <c r="G700" s="93" t="s">
        <v>68</v>
      </c>
      <c r="H700" t="s">
        <v>2102</v>
      </c>
      <c r="I700">
        <v>1</v>
      </c>
      <c r="J700">
        <f>SUM(K701)</f>
        <v>333.63045970000002</v>
      </c>
      <c r="K700">
        <f>I700*J700</f>
        <v>333.63045970000002</v>
      </c>
      <c r="L700">
        <f>100*(1-(M700/K700))</f>
        <v>85.6</v>
      </c>
      <c r="M700">
        <f>I700*SUM(M701)</f>
        <v>48.042786196800009</v>
      </c>
      <c r="N700" s="90">
        <v>700</v>
      </c>
      <c r="O700" s="90" t="s">
        <v>624</v>
      </c>
      <c r="P700" s="118"/>
      <c r="Q700" s="118"/>
      <c r="R700" s="90" t="s">
        <v>6335</v>
      </c>
      <c r="S700" s="90" t="s">
        <v>6639</v>
      </c>
      <c r="T700" s="90" t="s">
        <v>6784</v>
      </c>
      <c r="U700" s="90" t="s">
        <v>6487</v>
      </c>
    </row>
    <row r="701" spans="1:21" x14ac:dyDescent="0.25">
      <c r="A701" s="90" t="s">
        <v>2103</v>
      </c>
      <c r="B701" s="119">
        <v>4</v>
      </c>
      <c r="C701" s="90" t="s">
        <v>2101</v>
      </c>
      <c r="D701" s="90" t="s">
        <v>78</v>
      </c>
      <c r="E701">
        <v>1395</v>
      </c>
      <c r="F701">
        <v>1398</v>
      </c>
      <c r="G701" s="93" t="s">
        <v>68</v>
      </c>
      <c r="H701" t="s">
        <v>399</v>
      </c>
      <c r="I701">
        <v>1</v>
      </c>
      <c r="J701">
        <f>SUM(K702)</f>
        <v>333.63045970000002</v>
      </c>
      <c r="K701">
        <f>I701*J701</f>
        <v>333.63045970000002</v>
      </c>
      <c r="L701">
        <f>100*(1-(M701/K701))</f>
        <v>85.6</v>
      </c>
      <c r="M701">
        <f>I701*SUM(M702)</f>
        <v>48.042786196800009</v>
      </c>
      <c r="N701" s="90">
        <v>701</v>
      </c>
      <c r="O701" s="90" t="s">
        <v>625</v>
      </c>
      <c r="P701" s="118"/>
      <c r="Q701" s="118"/>
      <c r="R701" s="90" t="s">
        <v>4279</v>
      </c>
      <c r="S701" s="90" t="s">
        <v>5357</v>
      </c>
      <c r="T701" s="90" t="s">
        <v>5855</v>
      </c>
      <c r="U701" s="90" t="s">
        <v>4819</v>
      </c>
    </row>
    <row r="702" spans="1:21" x14ac:dyDescent="0.25">
      <c r="A702" s="90" t="s">
        <v>2104</v>
      </c>
      <c r="B702" s="119">
        <v>5</v>
      </c>
      <c r="C702" s="90" t="s">
        <v>2103</v>
      </c>
      <c r="D702" s="90" t="s">
        <v>78</v>
      </c>
      <c r="E702">
        <v>1396</v>
      </c>
      <c r="F702">
        <v>1397</v>
      </c>
      <c r="G702" s="93" t="s">
        <v>78</v>
      </c>
      <c r="H702" t="s">
        <v>401</v>
      </c>
      <c r="I702">
        <v>1</v>
      </c>
      <c r="J702">
        <v>333.63045970000002</v>
      </c>
      <c r="K702">
        <f>I702*J702</f>
        <v>333.63045970000002</v>
      </c>
      <c r="L702">
        <v>85.6</v>
      </c>
      <c r="M702">
        <f>(1-(L702/100))*K702</f>
        <v>48.042786196800009</v>
      </c>
      <c r="N702" s="90">
        <v>702</v>
      </c>
      <c r="O702" s="90" t="s">
        <v>626</v>
      </c>
      <c r="P702" s="118"/>
      <c r="Q702" s="118"/>
    </row>
    <row r="703" spans="1:21" x14ac:dyDescent="0.25">
      <c r="A703" s="90" t="s">
        <v>2105</v>
      </c>
      <c r="B703" s="119">
        <v>3</v>
      </c>
      <c r="C703" s="90" t="s">
        <v>2033</v>
      </c>
      <c r="D703" s="90" t="s">
        <v>96</v>
      </c>
      <c r="E703">
        <v>1400</v>
      </c>
      <c r="F703">
        <v>1405</v>
      </c>
      <c r="G703" s="93" t="s">
        <v>68</v>
      </c>
      <c r="H703" t="s">
        <v>2106</v>
      </c>
      <c r="I703">
        <v>1</v>
      </c>
      <c r="J703">
        <f>SUM(K704)</f>
        <v>1324.33464918</v>
      </c>
      <c r="K703">
        <f>I703*J703</f>
        <v>1324.33464918</v>
      </c>
      <c r="L703">
        <f>100*(1-(M703/K703))</f>
        <v>85.6</v>
      </c>
      <c r="M703">
        <f>I703*SUM(M704)</f>
        <v>190.70418948192003</v>
      </c>
      <c r="N703" s="90">
        <v>703</v>
      </c>
      <c r="O703" s="90" t="s">
        <v>628</v>
      </c>
      <c r="P703" s="118"/>
      <c r="Q703" s="118"/>
      <c r="R703" s="90" t="s">
        <v>6336</v>
      </c>
      <c r="S703" s="90" t="s">
        <v>6640</v>
      </c>
      <c r="T703" s="90" t="s">
        <v>6785</v>
      </c>
      <c r="U703" s="90" t="s">
        <v>6488</v>
      </c>
    </row>
    <row r="704" spans="1:21" x14ac:dyDescent="0.25">
      <c r="A704" s="90" t="s">
        <v>2107</v>
      </c>
      <c r="B704" s="119">
        <v>4</v>
      </c>
      <c r="C704" s="90" t="s">
        <v>2105</v>
      </c>
      <c r="D704" s="90" t="s">
        <v>78</v>
      </c>
      <c r="E704">
        <v>1401</v>
      </c>
      <c r="F704">
        <v>1404</v>
      </c>
      <c r="G704" s="93" t="s">
        <v>68</v>
      </c>
      <c r="H704" t="s">
        <v>418</v>
      </c>
      <c r="I704">
        <v>1</v>
      </c>
      <c r="J704">
        <f>SUM(K705)</f>
        <v>1324.33464918</v>
      </c>
      <c r="K704">
        <f>I704*J704</f>
        <v>1324.33464918</v>
      </c>
      <c r="L704">
        <f>100*(1-(M704/K704))</f>
        <v>85.6</v>
      </c>
      <c r="M704">
        <f>I704*SUM(M705)</f>
        <v>190.70418948192003</v>
      </c>
      <c r="N704" s="90">
        <v>704</v>
      </c>
      <c r="O704" s="90" t="s">
        <v>629</v>
      </c>
      <c r="P704" s="118"/>
      <c r="Q704" s="118"/>
      <c r="R704" s="90" t="s">
        <v>4280</v>
      </c>
      <c r="S704" s="90" t="s">
        <v>5358</v>
      </c>
      <c r="T704" s="90" t="s">
        <v>5856</v>
      </c>
      <c r="U704" s="90" t="s">
        <v>4820</v>
      </c>
    </row>
    <row r="705" spans="1:21" x14ac:dyDescent="0.25">
      <c r="A705" s="90" t="s">
        <v>2108</v>
      </c>
      <c r="B705" s="119">
        <v>5</v>
      </c>
      <c r="C705" s="90" t="s">
        <v>2107</v>
      </c>
      <c r="D705" s="90" t="s">
        <v>78</v>
      </c>
      <c r="E705">
        <v>1402</v>
      </c>
      <c r="F705">
        <v>1403</v>
      </c>
      <c r="G705" s="93" t="s">
        <v>78</v>
      </c>
      <c r="H705" t="s">
        <v>419</v>
      </c>
      <c r="I705">
        <v>1</v>
      </c>
      <c r="J705">
        <v>1324.33464918</v>
      </c>
      <c r="K705">
        <f>I705*J705</f>
        <v>1324.33464918</v>
      </c>
      <c r="L705">
        <v>85.6</v>
      </c>
      <c r="M705">
        <f>(1-(L705/100))*K705</f>
        <v>190.70418948192003</v>
      </c>
      <c r="N705" s="90">
        <v>705</v>
      </c>
      <c r="O705" s="90" t="s">
        <v>630</v>
      </c>
      <c r="P705" s="118"/>
      <c r="Q705" s="118"/>
    </row>
    <row r="706" spans="1:21" x14ac:dyDescent="0.25">
      <c r="A706" s="90" t="s">
        <v>2109</v>
      </c>
      <c r="B706" s="119">
        <v>2</v>
      </c>
      <c r="C706" s="90" t="s">
        <v>78</v>
      </c>
      <c r="D706" s="90" t="s">
        <v>97</v>
      </c>
      <c r="E706">
        <v>1407</v>
      </c>
      <c r="F706">
        <v>1520</v>
      </c>
      <c r="G706" s="93" t="s">
        <v>68</v>
      </c>
      <c r="H706" t="s">
        <v>2110</v>
      </c>
      <c r="I706">
        <v>1</v>
      </c>
      <c r="J706">
        <f>SUM(K707,K740,K747,K757,K760)</f>
        <v>66268.869219429995</v>
      </c>
      <c r="K706">
        <f>I706*J706</f>
        <v>66268.869219429995</v>
      </c>
      <c r="L706">
        <f>100*(1-(M706/K706))</f>
        <v>49.86448429444571</v>
      </c>
      <c r="M706">
        <f>I706*SUM(M707,M740,M747,M757,M760)</f>
        <v>33224.239335400554</v>
      </c>
      <c r="N706" s="90">
        <v>706</v>
      </c>
      <c r="O706" s="90" t="s">
        <v>631</v>
      </c>
      <c r="P706" s="118"/>
      <c r="Q706" s="118"/>
      <c r="R706" s="90" t="s">
        <v>6921</v>
      </c>
      <c r="S706" s="90" t="s">
        <v>7019</v>
      </c>
      <c r="T706" s="90" t="s">
        <v>7065</v>
      </c>
      <c r="U706" s="90" t="s">
        <v>6970</v>
      </c>
    </row>
    <row r="707" spans="1:21" x14ac:dyDescent="0.25">
      <c r="A707" s="90" t="s">
        <v>2111</v>
      </c>
      <c r="B707" s="119">
        <v>3</v>
      </c>
      <c r="C707" s="90" t="s">
        <v>2109</v>
      </c>
      <c r="D707" s="90" t="s">
        <v>78</v>
      </c>
      <c r="E707">
        <v>1408</v>
      </c>
      <c r="F707">
        <v>1473</v>
      </c>
      <c r="G707" s="93" t="s">
        <v>68</v>
      </c>
      <c r="H707" t="s">
        <v>2112</v>
      </c>
      <c r="I707">
        <v>1</v>
      </c>
      <c r="J707">
        <f>SUM(K708,K710,K712,K714,K716,K718,K720,K723,K725,K727,K729,K736,K738)</f>
        <v>45344.686906939998</v>
      </c>
      <c r="K707">
        <f>I707*J707</f>
        <v>45344.686906939998</v>
      </c>
      <c r="L707">
        <f>100*(1-(M707/K707))</f>
        <v>40</v>
      </c>
      <c r="M707">
        <f>I707*SUM(M708,M710,M712,M714,M716,M718,M720,M723,M725,M727,M729,M736,M738)</f>
        <v>27206.812144163996</v>
      </c>
      <c r="N707" s="90">
        <v>707</v>
      </c>
      <c r="O707" s="90" t="s">
        <v>632</v>
      </c>
      <c r="P707" s="118"/>
      <c r="Q707" s="118"/>
      <c r="R707" s="90" t="s">
        <v>6337</v>
      </c>
      <c r="S707" s="90" t="s">
        <v>6641</v>
      </c>
      <c r="T707" s="90" t="s">
        <v>6786</v>
      </c>
      <c r="U707" s="90" t="s">
        <v>6489</v>
      </c>
    </row>
    <row r="708" spans="1:21" x14ac:dyDescent="0.25">
      <c r="A708" s="90" t="s">
        <v>2113</v>
      </c>
      <c r="B708" s="119">
        <v>4</v>
      </c>
      <c r="C708" s="90" t="s">
        <v>2111</v>
      </c>
      <c r="D708" s="90" t="s">
        <v>78</v>
      </c>
      <c r="E708">
        <v>1409</v>
      </c>
      <c r="F708">
        <v>1412</v>
      </c>
      <c r="G708" s="93" t="s">
        <v>68</v>
      </c>
      <c r="H708" t="s">
        <v>1815</v>
      </c>
      <c r="I708">
        <v>2</v>
      </c>
      <c r="J708">
        <f>SUM(K709)</f>
        <v>491.93938622000002</v>
      </c>
      <c r="K708">
        <f>I708*J708</f>
        <v>983.87877244000003</v>
      </c>
      <c r="L708">
        <f>100*(1-(M708/K708))</f>
        <v>40</v>
      </c>
      <c r="M708">
        <f>I708*SUM(M709)</f>
        <v>590.327263464</v>
      </c>
      <c r="N708" s="90">
        <v>708</v>
      </c>
      <c r="O708" s="90" t="s">
        <v>1118</v>
      </c>
      <c r="P708" s="118"/>
      <c r="Q708" s="118"/>
      <c r="R708" s="90" t="s">
        <v>4281</v>
      </c>
      <c r="S708" s="90" t="s">
        <v>5359</v>
      </c>
      <c r="T708" s="90" t="s">
        <v>5857</v>
      </c>
      <c r="U708" s="90" t="s">
        <v>4821</v>
      </c>
    </row>
    <row r="709" spans="1:21" x14ac:dyDescent="0.25">
      <c r="A709" s="90" t="s">
        <v>2114</v>
      </c>
      <c r="B709" s="119">
        <v>5</v>
      </c>
      <c r="C709" s="90" t="s">
        <v>2113</v>
      </c>
      <c r="D709" s="90" t="s">
        <v>78</v>
      </c>
      <c r="E709">
        <v>1410</v>
      </c>
      <c r="F709">
        <v>1411</v>
      </c>
      <c r="G709" s="93" t="s">
        <v>78</v>
      </c>
      <c r="H709" t="s">
        <v>126</v>
      </c>
      <c r="I709">
        <v>1</v>
      </c>
      <c r="J709">
        <v>491.93938622000002</v>
      </c>
      <c r="K709">
        <f>I709*J709</f>
        <v>491.93938622000002</v>
      </c>
      <c r="L709">
        <v>40</v>
      </c>
      <c r="M709">
        <f>(1-(L709/100))*K709</f>
        <v>295.163631732</v>
      </c>
      <c r="N709" s="90">
        <v>709</v>
      </c>
      <c r="O709" s="90" t="s">
        <v>634</v>
      </c>
      <c r="P709" s="118"/>
      <c r="Q709" s="118"/>
    </row>
    <row r="710" spans="1:21" x14ac:dyDescent="0.25">
      <c r="A710" s="90" t="s">
        <v>2115</v>
      </c>
      <c r="B710" s="119">
        <v>4</v>
      </c>
      <c r="C710" s="90" t="s">
        <v>2111</v>
      </c>
      <c r="D710" s="90" t="s">
        <v>79</v>
      </c>
      <c r="E710">
        <v>1413</v>
      </c>
      <c r="F710">
        <v>1416</v>
      </c>
      <c r="G710" s="93" t="s">
        <v>68</v>
      </c>
      <c r="H710" t="s">
        <v>1818</v>
      </c>
      <c r="I710">
        <v>4</v>
      </c>
      <c r="J710">
        <f>SUM(K711)</f>
        <v>313.76543995999998</v>
      </c>
      <c r="K710">
        <f>I710*J710</f>
        <v>1255.0617598399999</v>
      </c>
      <c r="L710">
        <f>100*(1-(M710/K710))</f>
        <v>40</v>
      </c>
      <c r="M710">
        <f>I710*SUM(M711)</f>
        <v>753.03705590399989</v>
      </c>
      <c r="N710" s="90">
        <v>710</v>
      </c>
      <c r="O710" s="90" t="s">
        <v>635</v>
      </c>
      <c r="P710" s="118"/>
      <c r="Q710" s="118"/>
      <c r="R710" s="90" t="s">
        <v>4285</v>
      </c>
      <c r="S710" s="90" t="s">
        <v>5362</v>
      </c>
      <c r="T710" s="90" t="s">
        <v>5860</v>
      </c>
      <c r="U710" s="90" t="s">
        <v>4825</v>
      </c>
    </row>
    <row r="711" spans="1:21" x14ac:dyDescent="0.25">
      <c r="A711" s="90" t="s">
        <v>2116</v>
      </c>
      <c r="B711" s="119">
        <v>5</v>
      </c>
      <c r="C711" s="90" t="s">
        <v>2115</v>
      </c>
      <c r="D711" s="90" t="s">
        <v>78</v>
      </c>
      <c r="E711">
        <v>1414</v>
      </c>
      <c r="F711">
        <v>1415</v>
      </c>
      <c r="G711" s="93" t="s">
        <v>78</v>
      </c>
      <c r="H711" t="s">
        <v>123</v>
      </c>
      <c r="I711">
        <v>1</v>
      </c>
      <c r="J711">
        <v>313.76543995999998</v>
      </c>
      <c r="K711">
        <f>I711*J711</f>
        <v>313.76543995999998</v>
      </c>
      <c r="L711">
        <v>40</v>
      </c>
      <c r="M711">
        <f>(1-(L711/100))*K711</f>
        <v>188.25926397599997</v>
      </c>
      <c r="N711" s="90">
        <v>711</v>
      </c>
      <c r="O711" s="90" t="s">
        <v>636</v>
      </c>
      <c r="P711" s="118"/>
      <c r="Q711" s="118"/>
    </row>
    <row r="712" spans="1:21" x14ac:dyDescent="0.25">
      <c r="A712" s="90" t="s">
        <v>2117</v>
      </c>
      <c r="B712" s="119">
        <v>4</v>
      </c>
      <c r="C712" s="90" t="s">
        <v>2111</v>
      </c>
      <c r="D712" s="90" t="s">
        <v>80</v>
      </c>
      <c r="E712">
        <v>1417</v>
      </c>
      <c r="F712">
        <v>1420</v>
      </c>
      <c r="G712" s="93" t="s">
        <v>68</v>
      </c>
      <c r="H712" t="s">
        <v>1821</v>
      </c>
      <c r="I712">
        <v>1</v>
      </c>
      <c r="J712">
        <f>SUM(K713)</f>
        <v>666.34407233000002</v>
      </c>
      <c r="K712">
        <f>I712*J712</f>
        <v>666.34407233000002</v>
      </c>
      <c r="L712">
        <f>100*(1-(M712/K712))</f>
        <v>40</v>
      </c>
      <c r="M712">
        <f>I712*SUM(M713)</f>
        <v>399.806443398</v>
      </c>
      <c r="N712" s="90">
        <v>712</v>
      </c>
      <c r="O712" s="90" t="s">
        <v>637</v>
      </c>
      <c r="P712" s="118"/>
      <c r="Q712" s="118"/>
      <c r="R712" s="90" t="s">
        <v>825</v>
      </c>
      <c r="S712" s="90" t="s">
        <v>907</v>
      </c>
      <c r="T712" s="90" t="s">
        <v>964</v>
      </c>
      <c r="U712" s="90" t="s">
        <v>854</v>
      </c>
    </row>
    <row r="713" spans="1:21" x14ac:dyDescent="0.25">
      <c r="A713" s="90" t="s">
        <v>2118</v>
      </c>
      <c r="B713" s="119">
        <v>5</v>
      </c>
      <c r="C713" s="90" t="s">
        <v>2117</v>
      </c>
      <c r="D713" s="90" t="s">
        <v>78</v>
      </c>
      <c r="E713">
        <v>1418</v>
      </c>
      <c r="F713">
        <v>1419</v>
      </c>
      <c r="G713" s="93" t="s">
        <v>78</v>
      </c>
      <c r="H713" t="s">
        <v>698</v>
      </c>
      <c r="I713">
        <v>1</v>
      </c>
      <c r="J713">
        <v>666.34407233000002</v>
      </c>
      <c r="K713">
        <f>I713*J713</f>
        <v>666.34407233000002</v>
      </c>
      <c r="L713">
        <v>40</v>
      </c>
      <c r="M713">
        <f>(1-(L713/100))*K713</f>
        <v>399.806443398</v>
      </c>
      <c r="N713" s="90">
        <v>713</v>
      </c>
      <c r="O713" s="90" t="s">
        <v>638</v>
      </c>
      <c r="P713" s="118"/>
      <c r="Q713" s="118"/>
    </row>
    <row r="714" spans="1:21" x14ac:dyDescent="0.25">
      <c r="A714" s="90" t="s">
        <v>2119</v>
      </c>
      <c r="B714" s="119">
        <v>4</v>
      </c>
      <c r="C714" s="90" t="s">
        <v>2111</v>
      </c>
      <c r="D714" s="90" t="s">
        <v>95</v>
      </c>
      <c r="E714">
        <v>1421</v>
      </c>
      <c r="F714">
        <v>1424</v>
      </c>
      <c r="G714" s="93" t="s">
        <v>68</v>
      </c>
      <c r="H714" t="s">
        <v>1240</v>
      </c>
      <c r="I714">
        <v>1</v>
      </c>
      <c r="J714">
        <f>SUM(K715)</f>
        <v>700.36928562000003</v>
      </c>
      <c r="K714">
        <f>I714*J714</f>
        <v>700.36928562000003</v>
      </c>
      <c r="L714">
        <f>100*(1-(M714/K714))</f>
        <v>40</v>
      </c>
      <c r="M714">
        <f>I714*SUM(M715)</f>
        <v>420.22157137200003</v>
      </c>
      <c r="N714" s="90">
        <v>714</v>
      </c>
      <c r="O714" s="90" t="s">
        <v>639</v>
      </c>
      <c r="P714" s="118"/>
      <c r="Q714" s="118"/>
      <c r="R714" s="90" t="s">
        <v>826</v>
      </c>
      <c r="S714" s="90" t="s">
        <v>908</v>
      </c>
      <c r="T714" s="90" t="s">
        <v>965</v>
      </c>
      <c r="U714" s="90" t="s">
        <v>855</v>
      </c>
    </row>
    <row r="715" spans="1:21" x14ac:dyDescent="0.25">
      <c r="A715" s="90" t="s">
        <v>2120</v>
      </c>
      <c r="B715" s="119">
        <v>5</v>
      </c>
      <c r="C715" s="90" t="s">
        <v>2119</v>
      </c>
      <c r="D715" s="90" t="s">
        <v>78</v>
      </c>
      <c r="E715">
        <v>1422</v>
      </c>
      <c r="F715">
        <v>1423</v>
      </c>
      <c r="G715" s="93" t="s">
        <v>78</v>
      </c>
      <c r="H715" t="s">
        <v>1243</v>
      </c>
      <c r="I715">
        <v>1</v>
      </c>
      <c r="J715">
        <v>700.36928562000003</v>
      </c>
      <c r="K715">
        <f>I715*J715</f>
        <v>700.36928562000003</v>
      </c>
      <c r="L715">
        <v>40</v>
      </c>
      <c r="M715">
        <f>(1-(L715/100))*K715</f>
        <v>420.22157137200003</v>
      </c>
      <c r="N715" s="90">
        <v>715</v>
      </c>
      <c r="O715" s="90" t="s">
        <v>1119</v>
      </c>
      <c r="P715" s="118"/>
      <c r="Q715" s="118"/>
    </row>
    <row r="716" spans="1:21" x14ac:dyDescent="0.25">
      <c r="A716" s="90" t="s">
        <v>2121</v>
      </c>
      <c r="B716" s="119">
        <v>4</v>
      </c>
      <c r="C716" s="90" t="s">
        <v>2111</v>
      </c>
      <c r="D716" s="90" t="s">
        <v>96</v>
      </c>
      <c r="E716">
        <v>1425</v>
      </c>
      <c r="F716">
        <v>1428</v>
      </c>
      <c r="G716" s="93" t="s">
        <v>68</v>
      </c>
      <c r="H716" t="s">
        <v>1246</v>
      </c>
      <c r="I716">
        <v>4</v>
      </c>
      <c r="J716">
        <f>SUM(K717)</f>
        <v>967.93582071000003</v>
      </c>
      <c r="K716">
        <f>I716*J716</f>
        <v>3871.7432828400001</v>
      </c>
      <c r="L716">
        <f>100*(1-(M716/K716))</f>
        <v>40</v>
      </c>
      <c r="M716">
        <f>I716*SUM(M717)</f>
        <v>2323.0459697040001</v>
      </c>
      <c r="N716" s="90">
        <v>716</v>
      </c>
      <c r="O716" s="90" t="s">
        <v>640</v>
      </c>
      <c r="P716" s="118"/>
      <c r="Q716" s="118"/>
      <c r="R716" s="90" t="s">
        <v>4286</v>
      </c>
      <c r="S716" s="90" t="s">
        <v>909</v>
      </c>
      <c r="T716" s="90" t="s">
        <v>966</v>
      </c>
      <c r="U716" s="90" t="s">
        <v>4826</v>
      </c>
    </row>
    <row r="717" spans="1:21" x14ac:dyDescent="0.25">
      <c r="A717" s="90" t="s">
        <v>2122</v>
      </c>
      <c r="B717" s="119">
        <v>5</v>
      </c>
      <c r="C717" s="90" t="s">
        <v>2121</v>
      </c>
      <c r="D717" s="90" t="s">
        <v>78</v>
      </c>
      <c r="E717">
        <v>1426</v>
      </c>
      <c r="F717">
        <v>1427</v>
      </c>
      <c r="G717" s="93" t="s">
        <v>78</v>
      </c>
      <c r="H717" t="s">
        <v>120</v>
      </c>
      <c r="I717">
        <v>1</v>
      </c>
      <c r="J717">
        <v>967.93582071000003</v>
      </c>
      <c r="K717">
        <f>I717*J717</f>
        <v>967.93582071000003</v>
      </c>
      <c r="L717">
        <v>40</v>
      </c>
      <c r="M717">
        <f>(1-(L717/100))*K717</f>
        <v>580.76149242600002</v>
      </c>
      <c r="N717" s="90">
        <v>717</v>
      </c>
      <c r="O717" s="90" t="s">
        <v>1120</v>
      </c>
      <c r="P717" s="118"/>
      <c r="Q717" s="118"/>
    </row>
    <row r="718" spans="1:21" x14ac:dyDescent="0.25">
      <c r="A718" s="90" t="s">
        <v>2123</v>
      </c>
      <c r="B718" s="119">
        <v>4</v>
      </c>
      <c r="C718" s="90" t="s">
        <v>2111</v>
      </c>
      <c r="D718" s="90" t="s">
        <v>103</v>
      </c>
      <c r="E718">
        <v>1429</v>
      </c>
      <c r="F718">
        <v>1432</v>
      </c>
      <c r="G718" s="93" t="s">
        <v>68</v>
      </c>
      <c r="H718" t="s">
        <v>104</v>
      </c>
      <c r="I718">
        <v>1</v>
      </c>
      <c r="J718">
        <f>SUM(K719)</f>
        <v>1419</v>
      </c>
      <c r="K718">
        <f>I718*J718</f>
        <v>1419</v>
      </c>
      <c r="L718">
        <f>100*(1-(M718/K718))</f>
        <v>40</v>
      </c>
      <c r="M718">
        <f>I718*SUM(M719)</f>
        <v>851.4</v>
      </c>
      <c r="N718" s="90">
        <v>718</v>
      </c>
      <c r="O718" s="90" t="s">
        <v>641</v>
      </c>
      <c r="P718" s="118"/>
      <c r="Q718" s="118"/>
      <c r="R718" s="90" t="s">
        <v>4287</v>
      </c>
      <c r="S718" s="90" t="s">
        <v>5363</v>
      </c>
      <c r="T718" s="90" t="s">
        <v>5861</v>
      </c>
      <c r="U718" s="90" t="s">
        <v>4827</v>
      </c>
    </row>
    <row r="719" spans="1:21" x14ac:dyDescent="0.25">
      <c r="A719" s="90" t="s">
        <v>2124</v>
      </c>
      <c r="B719" s="119">
        <v>5</v>
      </c>
      <c r="C719" s="90" t="s">
        <v>2123</v>
      </c>
      <c r="D719" s="90" t="s">
        <v>78</v>
      </c>
      <c r="E719">
        <v>1430</v>
      </c>
      <c r="F719">
        <v>1431</v>
      </c>
      <c r="G719" s="93" t="s">
        <v>78</v>
      </c>
      <c r="H719" t="s">
        <v>105</v>
      </c>
      <c r="I719">
        <v>1</v>
      </c>
      <c r="J719">
        <v>1419</v>
      </c>
      <c r="K719">
        <f>I719*J719</f>
        <v>1419</v>
      </c>
      <c r="L719">
        <v>40</v>
      </c>
      <c r="M719">
        <f>(1-(L719/100))*K719</f>
        <v>851.4</v>
      </c>
      <c r="N719" s="90">
        <v>719</v>
      </c>
      <c r="O719" s="90" t="s">
        <v>642</v>
      </c>
      <c r="P719" s="118"/>
      <c r="Q719" s="118"/>
    </row>
    <row r="720" spans="1:21" x14ac:dyDescent="0.25">
      <c r="A720" s="90" t="s">
        <v>2125</v>
      </c>
      <c r="B720" s="119">
        <v>4</v>
      </c>
      <c r="C720" s="90" t="s">
        <v>2111</v>
      </c>
      <c r="D720" s="90" t="s">
        <v>796</v>
      </c>
      <c r="E720">
        <v>1433</v>
      </c>
      <c r="F720">
        <v>1438</v>
      </c>
      <c r="G720" s="93" t="s">
        <v>68</v>
      </c>
      <c r="H720" t="s">
        <v>2126</v>
      </c>
      <c r="I720">
        <v>1</v>
      </c>
      <c r="J720">
        <f>SUM(K721,K722)</f>
        <v>587.63</v>
      </c>
      <c r="K720">
        <f>I720*J720</f>
        <v>587.63</v>
      </c>
      <c r="L720">
        <f>100*(1-(M720/K720))</f>
        <v>40</v>
      </c>
      <c r="M720">
        <f>I720*SUM(M721,M722)</f>
        <v>352.57799999999997</v>
      </c>
      <c r="N720" s="90">
        <v>720</v>
      </c>
      <c r="O720" s="90" t="s">
        <v>643</v>
      </c>
      <c r="P720" s="118"/>
      <c r="Q720" s="118"/>
      <c r="R720" s="90" t="s">
        <v>4288</v>
      </c>
      <c r="S720" s="90" t="s">
        <v>5364</v>
      </c>
      <c r="T720" s="90" t="s">
        <v>5862</v>
      </c>
      <c r="U720" s="90" t="s">
        <v>4828</v>
      </c>
    </row>
    <row r="721" spans="1:21" x14ac:dyDescent="0.25">
      <c r="A721" s="90" t="s">
        <v>2127</v>
      </c>
      <c r="B721" s="119">
        <v>5</v>
      </c>
      <c r="C721" s="90" t="s">
        <v>2125</v>
      </c>
      <c r="D721" s="90" t="s">
        <v>78</v>
      </c>
      <c r="E721">
        <v>1434</v>
      </c>
      <c r="F721">
        <v>1435</v>
      </c>
      <c r="G721" s="93" t="s">
        <v>78</v>
      </c>
      <c r="H721" t="s">
        <v>109</v>
      </c>
      <c r="I721">
        <v>1</v>
      </c>
      <c r="J721">
        <v>290.63</v>
      </c>
      <c r="K721">
        <f>I721*J721</f>
        <v>290.63</v>
      </c>
      <c r="L721">
        <v>40</v>
      </c>
      <c r="M721">
        <f>(1-(L721/100))*K721</f>
        <v>174.37799999999999</v>
      </c>
      <c r="N721" s="90">
        <v>721</v>
      </c>
      <c r="O721" s="90" t="s">
        <v>644</v>
      </c>
      <c r="P721" s="118"/>
      <c r="Q721" s="118"/>
    </row>
    <row r="722" spans="1:21" x14ac:dyDescent="0.25">
      <c r="A722" s="90" t="s">
        <v>2128</v>
      </c>
      <c r="B722" s="119">
        <v>5</v>
      </c>
      <c r="C722" s="90" t="s">
        <v>2125</v>
      </c>
      <c r="D722" s="90" t="s">
        <v>79</v>
      </c>
      <c r="E722">
        <v>1436</v>
      </c>
      <c r="F722">
        <v>1437</v>
      </c>
      <c r="G722" s="93" t="s">
        <v>78</v>
      </c>
      <c r="H722" t="s">
        <v>110</v>
      </c>
      <c r="I722">
        <v>1</v>
      </c>
      <c r="J722">
        <v>297</v>
      </c>
      <c r="K722">
        <f>I722*J722</f>
        <v>297</v>
      </c>
      <c r="L722">
        <v>40</v>
      </c>
      <c r="M722">
        <f>(1-(L722/100))*K722</f>
        <v>178.2</v>
      </c>
      <c r="N722" s="90">
        <v>722</v>
      </c>
      <c r="O722" s="90" t="s">
        <v>645</v>
      </c>
      <c r="P722" s="118"/>
      <c r="Q722" s="118"/>
    </row>
    <row r="723" spans="1:21" x14ac:dyDescent="0.25">
      <c r="A723" s="90" t="s">
        <v>2129</v>
      </c>
      <c r="B723" s="119">
        <v>4</v>
      </c>
      <c r="C723" s="90" t="s">
        <v>2111</v>
      </c>
      <c r="D723" s="90" t="s">
        <v>797</v>
      </c>
      <c r="E723">
        <v>1439</v>
      </c>
      <c r="F723">
        <v>1442</v>
      </c>
      <c r="G723" s="93" t="s">
        <v>68</v>
      </c>
      <c r="H723" t="s">
        <v>1266</v>
      </c>
      <c r="I723">
        <v>1</v>
      </c>
      <c r="J723">
        <f>SUM(K724)</f>
        <v>9312.3647013900008</v>
      </c>
      <c r="K723">
        <f>I723*J723</f>
        <v>9312.3647013900008</v>
      </c>
      <c r="L723">
        <f>100*(1-(M723/K723))</f>
        <v>40</v>
      </c>
      <c r="M723">
        <f>I723*SUM(M724)</f>
        <v>5587.4188208340001</v>
      </c>
      <c r="N723" s="90">
        <v>723</v>
      </c>
      <c r="O723" s="90" t="s">
        <v>646</v>
      </c>
      <c r="P723" s="118"/>
      <c r="Q723" s="118"/>
      <c r="R723" s="90" t="s">
        <v>4289</v>
      </c>
      <c r="S723" s="90" t="s">
        <v>5365</v>
      </c>
      <c r="T723" s="90" t="s">
        <v>5863</v>
      </c>
      <c r="U723" s="90" t="s">
        <v>4829</v>
      </c>
    </row>
    <row r="724" spans="1:21" x14ac:dyDescent="0.25">
      <c r="A724" s="90" t="s">
        <v>2130</v>
      </c>
      <c r="B724" s="119">
        <v>5</v>
      </c>
      <c r="C724" s="90" t="s">
        <v>2129</v>
      </c>
      <c r="D724" s="90" t="s">
        <v>78</v>
      </c>
      <c r="E724">
        <v>1440</v>
      </c>
      <c r="F724">
        <v>1441</v>
      </c>
      <c r="G724" s="93" t="s">
        <v>78</v>
      </c>
      <c r="H724" t="s">
        <v>1269</v>
      </c>
      <c r="I724">
        <v>1</v>
      </c>
      <c r="J724">
        <v>9312.3647013900008</v>
      </c>
      <c r="K724">
        <f>I724*J724</f>
        <v>9312.3647013900008</v>
      </c>
      <c r="L724">
        <v>40</v>
      </c>
      <c r="M724">
        <f>(1-(L724/100))*K724</f>
        <v>5587.4188208340001</v>
      </c>
      <c r="N724" s="90">
        <v>724</v>
      </c>
      <c r="O724" s="90" t="s">
        <v>647</v>
      </c>
      <c r="P724" s="118"/>
      <c r="Q724" s="118"/>
    </row>
    <row r="725" spans="1:21" x14ac:dyDescent="0.25">
      <c r="A725" s="90" t="s">
        <v>2131</v>
      </c>
      <c r="B725" s="119">
        <v>4</v>
      </c>
      <c r="C725" s="90" t="s">
        <v>2111</v>
      </c>
      <c r="D725" s="90" t="s">
        <v>798</v>
      </c>
      <c r="E725">
        <v>1443</v>
      </c>
      <c r="F725">
        <v>1446</v>
      </c>
      <c r="G725" s="93" t="s">
        <v>68</v>
      </c>
      <c r="H725" t="s">
        <v>1638</v>
      </c>
      <c r="I725">
        <v>1</v>
      </c>
      <c r="J725">
        <f>SUM(K726)</f>
        <v>1980.13</v>
      </c>
      <c r="K725">
        <f>I725*J725</f>
        <v>1980.13</v>
      </c>
      <c r="L725">
        <f>100*(1-(M725/K725))</f>
        <v>40</v>
      </c>
      <c r="M725">
        <f>I725*SUM(M726)</f>
        <v>1188.078</v>
      </c>
      <c r="N725" s="90">
        <v>725</v>
      </c>
      <c r="O725" s="90" t="s">
        <v>648</v>
      </c>
      <c r="P725" s="118"/>
      <c r="Q725" s="118"/>
      <c r="R725" s="90" t="s">
        <v>4290</v>
      </c>
      <c r="S725" s="90" t="s">
        <v>5366</v>
      </c>
      <c r="T725" s="90" t="s">
        <v>5864</v>
      </c>
      <c r="U725" s="90" t="s">
        <v>4830</v>
      </c>
    </row>
    <row r="726" spans="1:21" x14ac:dyDescent="0.25">
      <c r="A726" s="90" t="s">
        <v>2132</v>
      </c>
      <c r="B726" s="119">
        <v>5</v>
      </c>
      <c r="C726" s="90" t="s">
        <v>2131</v>
      </c>
      <c r="D726" s="90" t="s">
        <v>78</v>
      </c>
      <c r="E726">
        <v>1444</v>
      </c>
      <c r="F726">
        <v>1445</v>
      </c>
      <c r="G726" s="93" t="s">
        <v>78</v>
      </c>
      <c r="H726" t="s">
        <v>1638</v>
      </c>
      <c r="I726">
        <v>1</v>
      </c>
      <c r="J726">
        <v>1980.13</v>
      </c>
      <c r="K726">
        <f>I726*J726</f>
        <v>1980.13</v>
      </c>
      <c r="L726">
        <v>40</v>
      </c>
      <c r="M726">
        <f>(1-(L726/100))*K726</f>
        <v>1188.078</v>
      </c>
      <c r="N726" s="90">
        <v>726</v>
      </c>
      <c r="O726" s="90" t="s">
        <v>649</v>
      </c>
      <c r="P726" s="118"/>
      <c r="Q726" s="118"/>
    </row>
    <row r="727" spans="1:21" x14ac:dyDescent="0.25">
      <c r="A727" s="90" t="s">
        <v>2133</v>
      </c>
      <c r="B727" s="119">
        <v>4</v>
      </c>
      <c r="C727" s="90" t="s">
        <v>2111</v>
      </c>
      <c r="D727" s="90" t="s">
        <v>799</v>
      </c>
      <c r="E727">
        <v>1447</v>
      </c>
      <c r="F727">
        <v>1450</v>
      </c>
      <c r="G727" s="93" t="s">
        <v>68</v>
      </c>
      <c r="H727" t="s">
        <v>1272</v>
      </c>
      <c r="I727">
        <v>2</v>
      </c>
      <c r="J727">
        <f>SUM(K728)</f>
        <v>1308.5572392700001</v>
      </c>
      <c r="K727">
        <f>I727*J727</f>
        <v>2617.1144785400002</v>
      </c>
      <c r="L727">
        <f>100*(1-(M727/K727))</f>
        <v>40</v>
      </c>
      <c r="M727">
        <f>I727*SUM(M728)</f>
        <v>1570.2686871240001</v>
      </c>
      <c r="N727" s="90">
        <v>727</v>
      </c>
      <c r="O727" s="90" t="s">
        <v>1121</v>
      </c>
      <c r="P727" s="118"/>
      <c r="Q727" s="118"/>
      <c r="R727" s="90" t="s">
        <v>4282</v>
      </c>
      <c r="S727" s="90" t="s">
        <v>5360</v>
      </c>
      <c r="T727" s="90" t="s">
        <v>5858</v>
      </c>
      <c r="U727" s="90" t="s">
        <v>4822</v>
      </c>
    </row>
    <row r="728" spans="1:21" x14ac:dyDescent="0.25">
      <c r="A728" s="90" t="s">
        <v>2134</v>
      </c>
      <c r="B728" s="119">
        <v>5</v>
      </c>
      <c r="C728" s="90" t="s">
        <v>2133</v>
      </c>
      <c r="D728" s="90" t="s">
        <v>78</v>
      </c>
      <c r="E728">
        <v>1448</v>
      </c>
      <c r="F728">
        <v>1449</v>
      </c>
      <c r="G728" s="93" t="s">
        <v>78</v>
      </c>
      <c r="H728" t="s">
        <v>1272</v>
      </c>
      <c r="I728">
        <v>1</v>
      </c>
      <c r="J728">
        <v>1308.5572392700001</v>
      </c>
      <c r="K728">
        <f>I728*J728</f>
        <v>1308.5572392700001</v>
      </c>
      <c r="L728">
        <v>40</v>
      </c>
      <c r="M728">
        <f>(1-(L728/100))*K728</f>
        <v>785.13434356200003</v>
      </c>
      <c r="N728" s="90">
        <v>728</v>
      </c>
      <c r="O728" s="90" t="s">
        <v>650</v>
      </c>
      <c r="P728" s="118"/>
      <c r="Q728" s="118"/>
    </row>
    <row r="729" spans="1:21" x14ac:dyDescent="0.25">
      <c r="A729" s="90" t="s">
        <v>2135</v>
      </c>
      <c r="B729" s="119">
        <v>4</v>
      </c>
      <c r="C729" s="90" t="s">
        <v>2111</v>
      </c>
      <c r="D729" s="90" t="s">
        <v>97</v>
      </c>
      <c r="E729">
        <v>1451</v>
      </c>
      <c r="F729">
        <v>1464</v>
      </c>
      <c r="G729" s="93" t="s">
        <v>68</v>
      </c>
      <c r="H729" t="s">
        <v>2136</v>
      </c>
      <c r="I729">
        <v>1</v>
      </c>
      <c r="J729">
        <f>SUM(K730,K731,K732,K733,K734,K735)</f>
        <v>4573.0039475400008</v>
      </c>
      <c r="K729">
        <f>I729*J729</f>
        <v>4573.0039475400008</v>
      </c>
      <c r="L729">
        <f>100*(1-(M729/K729))</f>
        <v>40</v>
      </c>
      <c r="M729">
        <f>I729*SUM(M730,M731,M732,M733,M734,M735)</f>
        <v>2743.8023685240005</v>
      </c>
      <c r="N729" s="90">
        <v>729</v>
      </c>
      <c r="O729" s="90" t="s">
        <v>1122</v>
      </c>
      <c r="P729" s="118"/>
      <c r="Q729" s="118"/>
      <c r="R729" s="90" t="s">
        <v>4283</v>
      </c>
      <c r="S729" s="90" t="s">
        <v>5361</v>
      </c>
      <c r="T729" s="90" t="s">
        <v>5859</v>
      </c>
      <c r="U729" s="90" t="s">
        <v>4823</v>
      </c>
    </row>
    <row r="730" spans="1:21" x14ac:dyDescent="0.25">
      <c r="A730" s="90" t="s">
        <v>2137</v>
      </c>
      <c r="B730" s="119">
        <v>5</v>
      </c>
      <c r="C730" s="90" t="s">
        <v>2135</v>
      </c>
      <c r="D730" s="90" t="s">
        <v>78</v>
      </c>
      <c r="E730">
        <v>1452</v>
      </c>
      <c r="F730">
        <v>1453</v>
      </c>
      <c r="G730" s="93" t="s">
        <v>78</v>
      </c>
      <c r="H730" t="s">
        <v>139</v>
      </c>
      <c r="I730">
        <v>1</v>
      </c>
      <c r="J730">
        <v>2631.3510760200002</v>
      </c>
      <c r="K730">
        <f>I730*J730</f>
        <v>2631.3510760200002</v>
      </c>
      <c r="L730">
        <v>40</v>
      </c>
      <c r="M730">
        <f>(1-(L730/100))*K730</f>
        <v>1578.8106456120001</v>
      </c>
      <c r="N730" s="90">
        <v>730</v>
      </c>
      <c r="O730" s="90" t="s">
        <v>651</v>
      </c>
      <c r="P730" s="118"/>
      <c r="Q730" s="118"/>
    </row>
    <row r="731" spans="1:21" x14ac:dyDescent="0.25">
      <c r="A731" s="90" t="s">
        <v>2138</v>
      </c>
      <c r="B731" s="119">
        <v>5</v>
      </c>
      <c r="C731" s="90" t="s">
        <v>2135</v>
      </c>
      <c r="D731" s="90" t="s">
        <v>79</v>
      </c>
      <c r="E731">
        <v>1454</v>
      </c>
      <c r="F731">
        <v>1455</v>
      </c>
      <c r="G731" s="93" t="s">
        <v>78</v>
      </c>
      <c r="H731" t="s">
        <v>126</v>
      </c>
      <c r="I731">
        <v>1</v>
      </c>
      <c r="J731">
        <v>491.93938622000002</v>
      </c>
      <c r="K731">
        <f>I731*J731</f>
        <v>491.93938622000002</v>
      </c>
      <c r="L731">
        <v>40</v>
      </c>
      <c r="M731">
        <f>(1-(L731/100))*K731</f>
        <v>295.163631732</v>
      </c>
      <c r="N731" s="90">
        <v>731</v>
      </c>
      <c r="O731" s="90" t="s">
        <v>652</v>
      </c>
      <c r="P731" s="118"/>
      <c r="Q731" s="118"/>
    </row>
    <row r="732" spans="1:21" x14ac:dyDescent="0.25">
      <c r="A732" s="90" t="s">
        <v>2139</v>
      </c>
      <c r="B732" s="119">
        <v>5</v>
      </c>
      <c r="C732" s="90" t="s">
        <v>2135</v>
      </c>
      <c r="D732" s="90" t="s">
        <v>80</v>
      </c>
      <c r="E732">
        <v>1456</v>
      </c>
      <c r="F732">
        <v>1457</v>
      </c>
      <c r="G732" s="93" t="s">
        <v>78</v>
      </c>
      <c r="H732" t="s">
        <v>137</v>
      </c>
      <c r="I732">
        <v>0</v>
      </c>
      <c r="J732">
        <v>36.08811919</v>
      </c>
      <c r="K732">
        <f>I732*J732</f>
        <v>0</v>
      </c>
      <c r="L732">
        <v>40</v>
      </c>
      <c r="M732">
        <f>(1-(L732/100))*K732</f>
        <v>0</v>
      </c>
      <c r="N732" s="90">
        <v>732</v>
      </c>
      <c r="O732" s="90" t="s">
        <v>653</v>
      </c>
      <c r="P732" s="118"/>
      <c r="Q732" s="118"/>
    </row>
    <row r="733" spans="1:21" x14ac:dyDescent="0.25">
      <c r="A733" s="90" t="s">
        <v>2140</v>
      </c>
      <c r="B733" s="119">
        <v>5</v>
      </c>
      <c r="C733" s="90" t="s">
        <v>2135</v>
      </c>
      <c r="D733" s="90" t="s">
        <v>95</v>
      </c>
      <c r="E733">
        <v>1458</v>
      </c>
      <c r="F733">
        <v>1459</v>
      </c>
      <c r="G733" s="93" t="s">
        <v>78</v>
      </c>
      <c r="H733" t="s">
        <v>123</v>
      </c>
      <c r="I733">
        <v>2</v>
      </c>
      <c r="J733">
        <v>313.76543995999998</v>
      </c>
      <c r="K733">
        <f>I733*J733</f>
        <v>627.53087991999996</v>
      </c>
      <c r="L733">
        <v>40</v>
      </c>
      <c r="M733">
        <f>(1-(L733/100))*K733</f>
        <v>376.51852795199994</v>
      </c>
      <c r="N733" s="90">
        <v>733</v>
      </c>
      <c r="O733" s="90" t="s">
        <v>654</v>
      </c>
      <c r="P733" s="118"/>
      <c r="Q733" s="118"/>
    </row>
    <row r="734" spans="1:21" x14ac:dyDescent="0.25">
      <c r="A734" s="90" t="s">
        <v>2141</v>
      </c>
      <c r="B734" s="119">
        <v>5</v>
      </c>
      <c r="C734" s="90" t="s">
        <v>2135</v>
      </c>
      <c r="D734" s="90" t="s">
        <v>96</v>
      </c>
      <c r="E734">
        <v>1460</v>
      </c>
      <c r="F734">
        <v>1461</v>
      </c>
      <c r="G734" s="93" t="s">
        <v>78</v>
      </c>
      <c r="H734" t="s">
        <v>119</v>
      </c>
      <c r="I734">
        <v>1</v>
      </c>
      <c r="J734">
        <v>594.85546925000006</v>
      </c>
      <c r="K734">
        <f>I734*J734</f>
        <v>594.85546925000006</v>
      </c>
      <c r="L734">
        <v>40</v>
      </c>
      <c r="M734">
        <f>(1-(L734/100))*K734</f>
        <v>356.91328155000002</v>
      </c>
      <c r="N734" s="90">
        <v>734</v>
      </c>
      <c r="O734" s="90" t="s">
        <v>655</v>
      </c>
      <c r="P734" s="118"/>
      <c r="Q734" s="118"/>
    </row>
    <row r="735" spans="1:21" x14ac:dyDescent="0.25">
      <c r="A735" s="90" t="s">
        <v>2142</v>
      </c>
      <c r="B735" s="119">
        <v>5</v>
      </c>
      <c r="C735" s="90" t="s">
        <v>2135</v>
      </c>
      <c r="D735" s="90" t="s">
        <v>103</v>
      </c>
      <c r="E735">
        <v>1462</v>
      </c>
      <c r="F735">
        <v>1463</v>
      </c>
      <c r="G735" s="93" t="s">
        <v>78</v>
      </c>
      <c r="H735" t="s">
        <v>138</v>
      </c>
      <c r="I735">
        <v>1</v>
      </c>
      <c r="J735">
        <v>227.32713613000001</v>
      </c>
      <c r="K735">
        <f>I735*J735</f>
        <v>227.32713613000001</v>
      </c>
      <c r="L735">
        <v>40</v>
      </c>
      <c r="M735">
        <f>(1-(L735/100))*K735</f>
        <v>136.39628167800001</v>
      </c>
      <c r="N735" s="90">
        <v>735</v>
      </c>
      <c r="O735" s="90" t="s">
        <v>656</v>
      </c>
      <c r="P735" s="118"/>
      <c r="Q735" s="118"/>
    </row>
    <row r="736" spans="1:21" x14ac:dyDescent="0.25">
      <c r="A736" s="90" t="s">
        <v>2143</v>
      </c>
      <c r="B736" s="119">
        <v>4</v>
      </c>
      <c r="C736" s="90" t="s">
        <v>2111</v>
      </c>
      <c r="D736" s="90" t="s">
        <v>98</v>
      </c>
      <c r="E736">
        <v>1465</v>
      </c>
      <c r="F736">
        <v>1468</v>
      </c>
      <c r="G736" s="93" t="s">
        <v>68</v>
      </c>
      <c r="H736" t="s">
        <v>1714</v>
      </c>
      <c r="I736">
        <v>2</v>
      </c>
      <c r="J736">
        <f>SUM(K737)</f>
        <v>5389.0233031999996</v>
      </c>
      <c r="K736">
        <f>I736*J736</f>
        <v>10778.046606399999</v>
      </c>
      <c r="L736">
        <f>100*(1-(M736/K736))</f>
        <v>40</v>
      </c>
      <c r="M736">
        <f>I736*SUM(M737)</f>
        <v>6466.827963839999</v>
      </c>
      <c r="N736" s="90">
        <v>736</v>
      </c>
      <c r="O736" s="90" t="s">
        <v>657</v>
      </c>
      <c r="P736" s="118"/>
      <c r="Q736" s="118"/>
      <c r="R736" s="90" t="s">
        <v>827</v>
      </c>
      <c r="S736" s="90" t="s">
        <v>910</v>
      </c>
      <c r="T736" s="90" t="s">
        <v>967</v>
      </c>
      <c r="U736" s="90" t="s">
        <v>856</v>
      </c>
    </row>
    <row r="737" spans="1:21" x14ac:dyDescent="0.25">
      <c r="A737" s="90" t="s">
        <v>2144</v>
      </c>
      <c r="B737" s="119">
        <v>5</v>
      </c>
      <c r="C737" s="90" t="s">
        <v>2143</v>
      </c>
      <c r="D737" s="90" t="s">
        <v>78</v>
      </c>
      <c r="E737">
        <v>1466</v>
      </c>
      <c r="F737">
        <v>1467</v>
      </c>
      <c r="G737" s="93" t="s">
        <v>78</v>
      </c>
      <c r="H737" t="s">
        <v>1714</v>
      </c>
      <c r="I737">
        <v>1</v>
      </c>
      <c r="J737">
        <v>5389.0233031999996</v>
      </c>
      <c r="K737">
        <f>I737*J737</f>
        <v>5389.0233031999996</v>
      </c>
      <c r="L737">
        <v>40</v>
      </c>
      <c r="M737">
        <f>(1-(L737/100))*K737</f>
        <v>3233.4139819199995</v>
      </c>
      <c r="N737" s="90">
        <v>737</v>
      </c>
      <c r="O737" s="90" t="s">
        <v>658</v>
      </c>
      <c r="P737" s="118"/>
      <c r="Q737" s="118"/>
    </row>
    <row r="738" spans="1:21" x14ac:dyDescent="0.25">
      <c r="A738" s="90" t="s">
        <v>2145</v>
      </c>
      <c r="B738" s="119">
        <v>4</v>
      </c>
      <c r="C738" s="90" t="s">
        <v>2111</v>
      </c>
      <c r="D738" s="90" t="s">
        <v>99</v>
      </c>
      <c r="E738">
        <v>1469</v>
      </c>
      <c r="F738">
        <v>1472</v>
      </c>
      <c r="G738" s="93" t="s">
        <v>68</v>
      </c>
      <c r="H738" t="s">
        <v>1509</v>
      </c>
      <c r="I738">
        <v>2</v>
      </c>
      <c r="J738">
        <f>SUM(K739)</f>
        <v>3300</v>
      </c>
      <c r="K738">
        <f>I738*J738</f>
        <v>6600</v>
      </c>
      <c r="L738">
        <f>100*(1-(M738/K738))</f>
        <v>40</v>
      </c>
      <c r="M738">
        <f>I738*SUM(M739)</f>
        <v>3960</v>
      </c>
      <c r="N738" s="90">
        <v>738</v>
      </c>
      <c r="O738" s="90" t="s">
        <v>659</v>
      </c>
      <c r="P738" s="118"/>
      <c r="Q738" s="118"/>
      <c r="R738" s="90" t="s">
        <v>4284</v>
      </c>
      <c r="S738" s="90" t="s">
        <v>911</v>
      </c>
      <c r="T738" s="90" t="s">
        <v>968</v>
      </c>
      <c r="U738" s="90" t="s">
        <v>4824</v>
      </c>
    </row>
    <row r="739" spans="1:21" x14ac:dyDescent="0.25">
      <c r="A739" s="90" t="s">
        <v>2146</v>
      </c>
      <c r="B739" s="119">
        <v>5</v>
      </c>
      <c r="C739" s="90" t="s">
        <v>2145</v>
      </c>
      <c r="D739" s="90" t="s">
        <v>78</v>
      </c>
      <c r="E739">
        <v>1470</v>
      </c>
      <c r="F739">
        <v>1471</v>
      </c>
      <c r="G739" s="93" t="s">
        <v>78</v>
      </c>
      <c r="H739" t="s">
        <v>1509</v>
      </c>
      <c r="I739">
        <v>1</v>
      </c>
      <c r="J739">
        <v>3300</v>
      </c>
      <c r="K739">
        <f>I739*J739</f>
        <v>3300</v>
      </c>
      <c r="L739">
        <v>40</v>
      </c>
      <c r="M739">
        <f>(1-(L739/100))*K739</f>
        <v>1980</v>
      </c>
      <c r="N739" s="90">
        <v>739</v>
      </c>
      <c r="O739" s="90" t="s">
        <v>660</v>
      </c>
      <c r="P739" s="118"/>
      <c r="Q739" s="118"/>
    </row>
    <row r="740" spans="1:21" x14ac:dyDescent="0.25">
      <c r="A740" s="90" t="s">
        <v>2147</v>
      </c>
      <c r="B740" s="119">
        <v>3</v>
      </c>
      <c r="C740" s="90" t="s">
        <v>2109</v>
      </c>
      <c r="D740" s="90" t="s">
        <v>79</v>
      </c>
      <c r="E740">
        <v>1474</v>
      </c>
      <c r="F740">
        <v>1487</v>
      </c>
      <c r="G740" s="93" t="s">
        <v>68</v>
      </c>
      <c r="H740" t="s">
        <v>2148</v>
      </c>
      <c r="I740">
        <v>1</v>
      </c>
      <c r="J740">
        <f>SUM(K741)</f>
        <v>6588.4757417500005</v>
      </c>
      <c r="K740">
        <f>I740*J740</f>
        <v>6588.4757417500005</v>
      </c>
      <c r="L740">
        <f>100*(1-(M740/K740))</f>
        <v>40</v>
      </c>
      <c r="M740">
        <f>I740*SUM(M741)</f>
        <v>3953.0854450500001</v>
      </c>
      <c r="N740" s="90">
        <v>740</v>
      </c>
      <c r="O740" s="90" t="s">
        <v>661</v>
      </c>
      <c r="P740" s="118"/>
      <c r="Q740" s="118"/>
      <c r="R740" s="90" t="s">
        <v>6922</v>
      </c>
      <c r="S740" s="90" t="s">
        <v>7020</v>
      </c>
      <c r="T740" s="90" t="s">
        <v>7066</v>
      </c>
      <c r="U740" s="90" t="s">
        <v>6971</v>
      </c>
    </row>
    <row r="741" spans="1:21" x14ac:dyDescent="0.25">
      <c r="A741" s="90" t="s">
        <v>2149</v>
      </c>
      <c r="B741" s="119">
        <v>4</v>
      </c>
      <c r="C741" s="90" t="s">
        <v>2147</v>
      </c>
      <c r="D741" s="90" t="s">
        <v>78</v>
      </c>
      <c r="E741">
        <v>1475</v>
      </c>
      <c r="F741">
        <v>1486</v>
      </c>
      <c r="G741" s="93" t="s">
        <v>68</v>
      </c>
      <c r="H741" t="s">
        <v>2150</v>
      </c>
      <c r="I741">
        <v>1</v>
      </c>
      <c r="J741">
        <f>SUM(K742)</f>
        <v>6588.4757417500005</v>
      </c>
      <c r="K741">
        <f>I741*J741</f>
        <v>6588.4757417500005</v>
      </c>
      <c r="L741">
        <f>100*(1-(M741/K741))</f>
        <v>40</v>
      </c>
      <c r="M741">
        <f>I741*SUM(M742)</f>
        <v>3953.0854450500001</v>
      </c>
      <c r="N741" s="90">
        <v>741</v>
      </c>
      <c r="O741" s="90" t="s">
        <v>662</v>
      </c>
      <c r="P741" s="118"/>
      <c r="Q741" s="118"/>
      <c r="R741" s="90" t="s">
        <v>6338</v>
      </c>
      <c r="S741" s="90" t="s">
        <v>6642</v>
      </c>
      <c r="T741" s="90" t="s">
        <v>6787</v>
      </c>
      <c r="U741" s="90" t="s">
        <v>6490</v>
      </c>
    </row>
    <row r="742" spans="1:21" x14ac:dyDescent="0.25">
      <c r="A742" s="90" t="s">
        <v>2151</v>
      </c>
      <c r="B742" s="119">
        <v>5</v>
      </c>
      <c r="C742" s="90" t="s">
        <v>2149</v>
      </c>
      <c r="D742" s="90" t="s">
        <v>78</v>
      </c>
      <c r="E742">
        <v>1476</v>
      </c>
      <c r="F742">
        <v>1485</v>
      </c>
      <c r="G742" s="93" t="s">
        <v>68</v>
      </c>
      <c r="H742" t="s">
        <v>1397</v>
      </c>
      <c r="I742">
        <v>1</v>
      </c>
      <c r="J742">
        <f>SUM(K743,K744,K745,K746)</f>
        <v>6588.4757417500005</v>
      </c>
      <c r="K742">
        <f>I742*J742</f>
        <v>6588.4757417500005</v>
      </c>
      <c r="L742">
        <f>100*(1-(M742/K742))</f>
        <v>40</v>
      </c>
      <c r="M742">
        <f>I742*SUM(M743,M744,M745,M746)</f>
        <v>3953.0854450500001</v>
      </c>
      <c r="N742" s="90">
        <v>742</v>
      </c>
      <c r="O742" s="90" t="s">
        <v>663</v>
      </c>
      <c r="P742" s="118"/>
      <c r="Q742" s="118"/>
      <c r="R742" s="90" t="s">
        <v>4291</v>
      </c>
      <c r="S742" s="90" t="s">
        <v>5367</v>
      </c>
      <c r="T742" s="90" t="s">
        <v>5865</v>
      </c>
      <c r="U742" s="90" t="s">
        <v>4831</v>
      </c>
    </row>
    <row r="743" spans="1:21" x14ac:dyDescent="0.25">
      <c r="A743" s="90" t="s">
        <v>2152</v>
      </c>
      <c r="B743" s="119">
        <v>6</v>
      </c>
      <c r="C743" s="90" t="s">
        <v>2151</v>
      </c>
      <c r="D743" s="90" t="s">
        <v>78</v>
      </c>
      <c r="E743">
        <v>1477</v>
      </c>
      <c r="F743">
        <v>1478</v>
      </c>
      <c r="G743" s="93" t="s">
        <v>78</v>
      </c>
      <c r="H743" t="s">
        <v>120</v>
      </c>
      <c r="I743">
        <v>1</v>
      </c>
      <c r="J743">
        <v>967.93582071000003</v>
      </c>
      <c r="K743">
        <f>I743*J743</f>
        <v>967.93582071000003</v>
      </c>
      <c r="L743">
        <v>40</v>
      </c>
      <c r="M743">
        <f>(1-(L743/100))*K743</f>
        <v>580.76149242600002</v>
      </c>
      <c r="N743" s="90">
        <v>743</v>
      </c>
      <c r="O743" s="90" t="s">
        <v>664</v>
      </c>
      <c r="P743" s="118"/>
      <c r="Q743" s="118"/>
    </row>
    <row r="744" spans="1:21" x14ac:dyDescent="0.25">
      <c r="A744" s="90" t="s">
        <v>2153</v>
      </c>
      <c r="B744" s="119">
        <v>6</v>
      </c>
      <c r="C744" s="90" t="s">
        <v>2151</v>
      </c>
      <c r="D744" s="90" t="s">
        <v>79</v>
      </c>
      <c r="E744">
        <v>1479</v>
      </c>
      <c r="F744">
        <v>1480</v>
      </c>
      <c r="G744" s="93" t="s">
        <v>78</v>
      </c>
      <c r="H744" t="s">
        <v>125</v>
      </c>
      <c r="I744">
        <v>1</v>
      </c>
      <c r="J744">
        <v>967.93582071000003</v>
      </c>
      <c r="K744">
        <f>I744*J744</f>
        <v>967.93582071000003</v>
      </c>
      <c r="L744">
        <v>40</v>
      </c>
      <c r="M744">
        <f>(1-(L744/100))*K744</f>
        <v>580.76149242600002</v>
      </c>
      <c r="N744" s="90">
        <v>744</v>
      </c>
      <c r="O744" s="90" t="s">
        <v>665</v>
      </c>
      <c r="P744" s="118"/>
      <c r="Q744" s="118"/>
    </row>
    <row r="745" spans="1:21" x14ac:dyDescent="0.25">
      <c r="A745" s="90" t="s">
        <v>2154</v>
      </c>
      <c r="B745" s="119">
        <v>6</v>
      </c>
      <c r="C745" s="90" t="s">
        <v>2151</v>
      </c>
      <c r="D745" s="90" t="s">
        <v>80</v>
      </c>
      <c r="E745">
        <v>1481</v>
      </c>
      <c r="F745">
        <v>1482</v>
      </c>
      <c r="G745" s="93" t="s">
        <v>78</v>
      </c>
      <c r="H745" t="s">
        <v>203</v>
      </c>
      <c r="I745">
        <v>1</v>
      </c>
      <c r="J745">
        <v>2064.00101872</v>
      </c>
      <c r="K745">
        <f>I745*J745</f>
        <v>2064.00101872</v>
      </c>
      <c r="L745">
        <v>40</v>
      </c>
      <c r="M745">
        <f>(1-(L745/100))*K745</f>
        <v>1238.4006112320001</v>
      </c>
      <c r="N745" s="90">
        <v>745</v>
      </c>
      <c r="O745" s="90" t="s">
        <v>666</v>
      </c>
      <c r="P745" s="118"/>
      <c r="Q745" s="118"/>
    </row>
    <row r="746" spans="1:21" x14ac:dyDescent="0.25">
      <c r="A746" s="90" t="s">
        <v>2155</v>
      </c>
      <c r="B746" s="119">
        <v>6</v>
      </c>
      <c r="C746" s="90" t="s">
        <v>2151</v>
      </c>
      <c r="D746" s="90" t="s">
        <v>95</v>
      </c>
      <c r="E746">
        <v>1483</v>
      </c>
      <c r="F746">
        <v>1484</v>
      </c>
      <c r="G746" s="93" t="s">
        <v>78</v>
      </c>
      <c r="H746" t="s">
        <v>191</v>
      </c>
      <c r="I746">
        <v>3</v>
      </c>
      <c r="J746">
        <v>862.86769387000004</v>
      </c>
      <c r="K746">
        <f>I746*J746</f>
        <v>2588.6030816100001</v>
      </c>
      <c r="L746">
        <v>40</v>
      </c>
      <c r="M746">
        <f>(1-(L746/100))*K746</f>
        <v>1553.161848966</v>
      </c>
      <c r="N746" s="90">
        <v>746</v>
      </c>
      <c r="O746" s="90" t="s">
        <v>667</v>
      </c>
      <c r="P746" s="118"/>
      <c r="Q746" s="118"/>
    </row>
    <row r="747" spans="1:21" x14ac:dyDescent="0.25">
      <c r="A747" s="90" t="s">
        <v>2156</v>
      </c>
      <c r="B747" s="119">
        <v>3</v>
      </c>
      <c r="C747" s="90" t="s">
        <v>2109</v>
      </c>
      <c r="D747" s="90" t="s">
        <v>80</v>
      </c>
      <c r="E747">
        <v>1488</v>
      </c>
      <c r="F747">
        <v>1507</v>
      </c>
      <c r="G747" s="93" t="s">
        <v>68</v>
      </c>
      <c r="H747" t="s">
        <v>2157</v>
      </c>
      <c r="I747">
        <v>1</v>
      </c>
      <c r="J747">
        <f>SUM(K748,K751,K753,K755)</f>
        <v>12677.74146186</v>
      </c>
      <c r="K747">
        <f>I747*J747</f>
        <v>12677.74146186</v>
      </c>
      <c r="L747">
        <f>100*(1-(M747/K747))</f>
        <v>85.6</v>
      </c>
      <c r="M747">
        <f>I747*SUM(M748,M751,M753,M755)</f>
        <v>1825.5947705078402</v>
      </c>
      <c r="N747" s="90">
        <v>747</v>
      </c>
      <c r="O747" s="90" t="s">
        <v>668</v>
      </c>
      <c r="P747" s="118"/>
      <c r="Q747" s="118"/>
      <c r="R747" s="90" t="s">
        <v>6339</v>
      </c>
      <c r="S747" s="90" t="s">
        <v>6643</v>
      </c>
      <c r="T747" s="90" t="s">
        <v>6788</v>
      </c>
      <c r="U747" s="90" t="s">
        <v>6491</v>
      </c>
    </row>
    <row r="748" spans="1:21" x14ac:dyDescent="0.25">
      <c r="A748" s="90" t="s">
        <v>2158</v>
      </c>
      <c r="B748" s="119">
        <v>4</v>
      </c>
      <c r="C748" s="90" t="s">
        <v>2156</v>
      </c>
      <c r="D748" s="90" t="s">
        <v>78</v>
      </c>
      <c r="E748">
        <v>1489</v>
      </c>
      <c r="F748">
        <v>1494</v>
      </c>
      <c r="G748" s="93" t="s">
        <v>68</v>
      </c>
      <c r="H748" t="s">
        <v>364</v>
      </c>
      <c r="I748">
        <v>1</v>
      </c>
      <c r="J748">
        <f>SUM(K749,K750)</f>
        <v>2292.1176620400001</v>
      </c>
      <c r="K748">
        <f>I748*J748</f>
        <v>2292.1176620400001</v>
      </c>
      <c r="L748">
        <f>100*(1-(M748/K748))</f>
        <v>85.6</v>
      </c>
      <c r="M748">
        <f>I748*SUM(M749,M750)</f>
        <v>330.06494333376008</v>
      </c>
      <c r="N748" s="90">
        <v>748</v>
      </c>
      <c r="O748" s="90" t="s">
        <v>1123</v>
      </c>
      <c r="P748" s="118"/>
      <c r="Q748" s="118"/>
      <c r="R748" s="90" t="s">
        <v>4292</v>
      </c>
      <c r="S748" s="90" t="s">
        <v>5368</v>
      </c>
      <c r="T748" s="90" t="s">
        <v>5866</v>
      </c>
      <c r="U748" s="90" t="s">
        <v>4832</v>
      </c>
    </row>
    <row r="749" spans="1:21" x14ac:dyDescent="0.25">
      <c r="A749" s="90" t="s">
        <v>2159</v>
      </c>
      <c r="B749" s="119">
        <v>5</v>
      </c>
      <c r="C749" s="90" t="s">
        <v>2158</v>
      </c>
      <c r="D749" s="90" t="s">
        <v>78</v>
      </c>
      <c r="E749">
        <v>1490</v>
      </c>
      <c r="F749">
        <v>1491</v>
      </c>
      <c r="G749" s="93" t="s">
        <v>78</v>
      </c>
      <c r="H749" t="s">
        <v>366</v>
      </c>
      <c r="I749">
        <v>1</v>
      </c>
      <c r="J749">
        <v>509.35948044999998</v>
      </c>
      <c r="K749">
        <f>I749*J749</f>
        <v>509.35948044999998</v>
      </c>
      <c r="L749">
        <v>85.6</v>
      </c>
      <c r="M749">
        <f>(1-(L749/100))*K749</f>
        <v>73.347765184800011</v>
      </c>
      <c r="N749" s="90">
        <v>749</v>
      </c>
      <c r="O749" s="90" t="s">
        <v>669</v>
      </c>
      <c r="P749" s="118"/>
      <c r="Q749" s="118"/>
    </row>
    <row r="750" spans="1:21" x14ac:dyDescent="0.25">
      <c r="A750" s="90" t="s">
        <v>2160</v>
      </c>
      <c r="B750" s="119">
        <v>5</v>
      </c>
      <c r="C750" s="90" t="s">
        <v>2158</v>
      </c>
      <c r="D750" s="90" t="s">
        <v>79</v>
      </c>
      <c r="E750">
        <v>1492</v>
      </c>
      <c r="F750">
        <v>1493</v>
      </c>
      <c r="G750" s="93" t="s">
        <v>78</v>
      </c>
      <c r="H750" t="s">
        <v>368</v>
      </c>
      <c r="I750">
        <v>1</v>
      </c>
      <c r="J750">
        <v>1782.75818159</v>
      </c>
      <c r="K750">
        <f>I750*J750</f>
        <v>1782.75818159</v>
      </c>
      <c r="L750">
        <v>85.6</v>
      </c>
      <c r="M750">
        <f>(1-(L750/100))*K750</f>
        <v>256.71717814896004</v>
      </c>
      <c r="N750" s="90">
        <v>750</v>
      </c>
      <c r="O750" s="90" t="s">
        <v>670</v>
      </c>
      <c r="P750" s="118"/>
      <c r="Q750" s="118"/>
    </row>
    <row r="751" spans="1:21" x14ac:dyDescent="0.25">
      <c r="A751" s="90" t="s">
        <v>2161</v>
      </c>
      <c r="B751" s="119">
        <v>4</v>
      </c>
      <c r="C751" s="90" t="s">
        <v>2156</v>
      </c>
      <c r="D751" s="90" t="s">
        <v>79</v>
      </c>
      <c r="E751">
        <v>1495</v>
      </c>
      <c r="F751">
        <v>1498</v>
      </c>
      <c r="G751" s="93" t="s">
        <v>68</v>
      </c>
      <c r="H751" t="s">
        <v>379</v>
      </c>
      <c r="I751">
        <v>1</v>
      </c>
      <c r="J751">
        <f>SUM(K752)</f>
        <v>303.06889087000002</v>
      </c>
      <c r="K751">
        <f>I751*J751</f>
        <v>303.06889087000002</v>
      </c>
      <c r="L751">
        <f>100*(1-(M751/K751))</f>
        <v>85.6</v>
      </c>
      <c r="M751">
        <f>I751*SUM(M752)</f>
        <v>43.641920285280008</v>
      </c>
      <c r="N751" s="90">
        <v>751</v>
      </c>
      <c r="O751" s="90" t="s">
        <v>1124</v>
      </c>
      <c r="P751" s="118"/>
      <c r="Q751" s="118"/>
      <c r="R751" s="90" t="s">
        <v>4293</v>
      </c>
      <c r="S751" s="90" t="s">
        <v>5369</v>
      </c>
      <c r="T751" s="90" t="s">
        <v>5867</v>
      </c>
      <c r="U751" s="90" t="s">
        <v>4833</v>
      </c>
    </row>
    <row r="752" spans="1:21" x14ac:dyDescent="0.25">
      <c r="A752" s="90" t="s">
        <v>2162</v>
      </c>
      <c r="B752" s="119">
        <v>5</v>
      </c>
      <c r="C752" s="90" t="s">
        <v>2161</v>
      </c>
      <c r="D752" s="90" t="s">
        <v>78</v>
      </c>
      <c r="E752">
        <v>1496</v>
      </c>
      <c r="F752">
        <v>1497</v>
      </c>
      <c r="G752" s="93" t="s">
        <v>78</v>
      </c>
      <c r="H752" t="s">
        <v>381</v>
      </c>
      <c r="I752">
        <v>1</v>
      </c>
      <c r="J752">
        <v>303.06889087000002</v>
      </c>
      <c r="K752">
        <f>I752*J752</f>
        <v>303.06889087000002</v>
      </c>
      <c r="L752">
        <v>85.6</v>
      </c>
      <c r="M752">
        <f>(1-(L752/100))*K752</f>
        <v>43.641920285280008</v>
      </c>
      <c r="N752" s="90">
        <v>752</v>
      </c>
      <c r="O752" s="90" t="s">
        <v>671</v>
      </c>
      <c r="P752" s="118"/>
      <c r="Q752" s="118"/>
    </row>
    <row r="753" spans="1:21" x14ac:dyDescent="0.25">
      <c r="A753" s="90" t="s">
        <v>2163</v>
      </c>
      <c r="B753" s="119">
        <v>4</v>
      </c>
      <c r="C753" s="90" t="s">
        <v>2156</v>
      </c>
      <c r="D753" s="90" t="s">
        <v>80</v>
      </c>
      <c r="E753">
        <v>1499</v>
      </c>
      <c r="F753">
        <v>1502</v>
      </c>
      <c r="G753" s="93" t="s">
        <v>68</v>
      </c>
      <c r="H753" t="s">
        <v>383</v>
      </c>
      <c r="I753">
        <v>1</v>
      </c>
      <c r="J753">
        <f>SUM(K754)</f>
        <v>1069.6549089499999</v>
      </c>
      <c r="K753">
        <f>I753*J753</f>
        <v>1069.6549089499999</v>
      </c>
      <c r="L753">
        <f>100*(1-(M753/K753))</f>
        <v>85.6</v>
      </c>
      <c r="M753">
        <f>I753*SUM(M754)</f>
        <v>154.0303068888</v>
      </c>
      <c r="N753" s="90">
        <v>753</v>
      </c>
      <c r="O753" s="90" t="s">
        <v>1125</v>
      </c>
      <c r="P753" s="118"/>
      <c r="Q753" s="118"/>
      <c r="R753" s="90" t="s">
        <v>4294</v>
      </c>
      <c r="S753" s="90" t="s">
        <v>5370</v>
      </c>
      <c r="T753" s="90" t="s">
        <v>5868</v>
      </c>
      <c r="U753" s="90" t="s">
        <v>4834</v>
      </c>
    </row>
    <row r="754" spans="1:21" x14ac:dyDescent="0.25">
      <c r="A754" s="90" t="s">
        <v>2164</v>
      </c>
      <c r="B754" s="119">
        <v>5</v>
      </c>
      <c r="C754" s="90" t="s">
        <v>2163</v>
      </c>
      <c r="D754" s="90" t="s">
        <v>78</v>
      </c>
      <c r="E754">
        <v>1500</v>
      </c>
      <c r="F754">
        <v>1501</v>
      </c>
      <c r="G754" s="93" t="s">
        <v>78</v>
      </c>
      <c r="H754" t="s">
        <v>385</v>
      </c>
      <c r="I754">
        <v>1</v>
      </c>
      <c r="J754">
        <v>1069.6549089499999</v>
      </c>
      <c r="K754">
        <f>I754*J754</f>
        <v>1069.6549089499999</v>
      </c>
      <c r="L754">
        <v>85.6</v>
      </c>
      <c r="M754">
        <f>(1-(L754/100))*K754</f>
        <v>154.0303068888</v>
      </c>
      <c r="N754" s="90">
        <v>754</v>
      </c>
      <c r="O754" s="90" t="s">
        <v>672</v>
      </c>
      <c r="P754" s="118"/>
      <c r="Q754" s="118"/>
    </row>
    <row r="755" spans="1:21" x14ac:dyDescent="0.25">
      <c r="A755" s="90" t="s">
        <v>2165</v>
      </c>
      <c r="B755" s="119">
        <v>4</v>
      </c>
      <c r="C755" s="90" t="s">
        <v>2156</v>
      </c>
      <c r="D755" s="90" t="s">
        <v>95</v>
      </c>
      <c r="E755">
        <v>1503</v>
      </c>
      <c r="F755">
        <v>1506</v>
      </c>
      <c r="G755" s="93" t="s">
        <v>68</v>
      </c>
      <c r="H755" t="s">
        <v>387</v>
      </c>
      <c r="I755">
        <v>1</v>
      </c>
      <c r="J755">
        <f>SUM(K756)</f>
        <v>9012.9</v>
      </c>
      <c r="K755">
        <f>I755*J755</f>
        <v>9012.9</v>
      </c>
      <c r="L755">
        <f>100*(1-(M755/K755))</f>
        <v>85.6</v>
      </c>
      <c r="M755">
        <f>I755*SUM(M756)</f>
        <v>1297.8576</v>
      </c>
      <c r="N755" s="90">
        <v>755</v>
      </c>
      <c r="O755" s="90" t="s">
        <v>673</v>
      </c>
      <c r="P755" s="118"/>
      <c r="Q755" s="118"/>
      <c r="R755" s="90" t="s">
        <v>4295</v>
      </c>
      <c r="S755" s="90" t="s">
        <v>1008</v>
      </c>
      <c r="T755" s="90" t="s">
        <v>1035</v>
      </c>
      <c r="U755" s="90" t="s">
        <v>4835</v>
      </c>
    </row>
    <row r="756" spans="1:21" x14ac:dyDescent="0.25">
      <c r="A756" s="90" t="s">
        <v>2166</v>
      </c>
      <c r="B756" s="119">
        <v>5</v>
      </c>
      <c r="C756" s="90" t="s">
        <v>2165</v>
      </c>
      <c r="D756" s="90" t="s">
        <v>78</v>
      </c>
      <c r="E756">
        <v>1504</v>
      </c>
      <c r="F756">
        <v>1505</v>
      </c>
      <c r="G756" s="93" t="s">
        <v>78</v>
      </c>
      <c r="H756" t="s">
        <v>389</v>
      </c>
      <c r="I756">
        <v>1</v>
      </c>
      <c r="J756">
        <v>9012.9</v>
      </c>
      <c r="K756">
        <f>I756*J756</f>
        <v>9012.9</v>
      </c>
      <c r="L756">
        <v>85.6</v>
      </c>
      <c r="M756">
        <f>(1-(L756/100))*K756</f>
        <v>1297.8576</v>
      </c>
      <c r="N756" s="90">
        <v>756</v>
      </c>
      <c r="O756" s="90" t="s">
        <v>674</v>
      </c>
      <c r="P756" s="118"/>
      <c r="Q756" s="118"/>
    </row>
    <row r="757" spans="1:21" x14ac:dyDescent="0.25">
      <c r="A757" s="90" t="s">
        <v>2167</v>
      </c>
      <c r="B757" s="119">
        <v>3</v>
      </c>
      <c r="C757" s="90" t="s">
        <v>2109</v>
      </c>
      <c r="D757" s="90" t="s">
        <v>95</v>
      </c>
      <c r="E757">
        <v>1508</v>
      </c>
      <c r="F757">
        <v>1513</v>
      </c>
      <c r="G757" s="93" t="s">
        <v>68</v>
      </c>
      <c r="H757" t="s">
        <v>2168</v>
      </c>
      <c r="I757">
        <v>1</v>
      </c>
      <c r="J757">
        <f>SUM(K758)</f>
        <v>333.63045970000002</v>
      </c>
      <c r="K757">
        <f>I757*J757</f>
        <v>333.63045970000002</v>
      </c>
      <c r="L757">
        <f>100*(1-(M757/K757))</f>
        <v>85.6</v>
      </c>
      <c r="M757">
        <f>I757*SUM(M758)</f>
        <v>48.042786196800009</v>
      </c>
      <c r="N757" s="90">
        <v>757</v>
      </c>
      <c r="O757" s="90" t="s">
        <v>675</v>
      </c>
      <c r="P757" s="118"/>
      <c r="Q757" s="118"/>
      <c r="R757" s="90" t="s">
        <v>6340</v>
      </c>
      <c r="S757" s="90" t="s">
        <v>6644</v>
      </c>
      <c r="T757" s="90" t="s">
        <v>6789</v>
      </c>
      <c r="U757" s="90" t="s">
        <v>6492</v>
      </c>
    </row>
    <row r="758" spans="1:21" x14ac:dyDescent="0.25">
      <c r="A758" s="90" t="s">
        <v>2169</v>
      </c>
      <c r="B758" s="119">
        <v>4</v>
      </c>
      <c r="C758" s="90" t="s">
        <v>2167</v>
      </c>
      <c r="D758" s="90" t="s">
        <v>78</v>
      </c>
      <c r="E758">
        <v>1509</v>
      </c>
      <c r="F758">
        <v>1512</v>
      </c>
      <c r="G758" s="93" t="s">
        <v>68</v>
      </c>
      <c r="H758" t="s">
        <v>399</v>
      </c>
      <c r="I758">
        <v>1</v>
      </c>
      <c r="J758">
        <f>SUM(K759)</f>
        <v>333.63045970000002</v>
      </c>
      <c r="K758">
        <f>I758*J758</f>
        <v>333.63045970000002</v>
      </c>
      <c r="L758">
        <f>100*(1-(M758/K758))</f>
        <v>85.6</v>
      </c>
      <c r="M758">
        <f>I758*SUM(M759)</f>
        <v>48.042786196800009</v>
      </c>
      <c r="N758" s="90">
        <v>758</v>
      </c>
      <c r="O758" s="90" t="s">
        <v>676</v>
      </c>
      <c r="P758" s="118"/>
      <c r="Q758" s="118"/>
      <c r="R758" s="90" t="s">
        <v>828</v>
      </c>
      <c r="S758" s="90" t="s">
        <v>912</v>
      </c>
      <c r="T758" s="90" t="s">
        <v>969</v>
      </c>
      <c r="U758" s="90" t="s">
        <v>857</v>
      </c>
    </row>
    <row r="759" spans="1:21" x14ac:dyDescent="0.25">
      <c r="A759" s="90" t="s">
        <v>2170</v>
      </c>
      <c r="B759" s="119">
        <v>5</v>
      </c>
      <c r="C759" s="90" t="s">
        <v>2169</v>
      </c>
      <c r="D759" s="90" t="s">
        <v>78</v>
      </c>
      <c r="E759">
        <v>1510</v>
      </c>
      <c r="F759">
        <v>1511</v>
      </c>
      <c r="G759" s="93" t="s">
        <v>78</v>
      </c>
      <c r="H759" t="s">
        <v>401</v>
      </c>
      <c r="I759">
        <v>1</v>
      </c>
      <c r="J759">
        <v>333.63045970000002</v>
      </c>
      <c r="K759">
        <f>I759*J759</f>
        <v>333.63045970000002</v>
      </c>
      <c r="L759">
        <v>85.6</v>
      </c>
      <c r="M759">
        <f>(1-(L759/100))*K759</f>
        <v>48.042786196800009</v>
      </c>
      <c r="N759" s="90">
        <v>759</v>
      </c>
      <c r="O759" s="90" t="s">
        <v>677</v>
      </c>
      <c r="P759" s="118"/>
      <c r="Q759" s="118"/>
    </row>
    <row r="760" spans="1:21" x14ac:dyDescent="0.25">
      <c r="A760" s="90" t="s">
        <v>2171</v>
      </c>
      <c r="B760" s="119">
        <v>3</v>
      </c>
      <c r="C760" s="90" t="s">
        <v>2109</v>
      </c>
      <c r="D760" s="90" t="s">
        <v>96</v>
      </c>
      <c r="E760">
        <v>1514</v>
      </c>
      <c r="F760">
        <v>1519</v>
      </c>
      <c r="G760" s="93" t="s">
        <v>68</v>
      </c>
      <c r="H760" t="s">
        <v>2172</v>
      </c>
      <c r="I760">
        <v>1</v>
      </c>
      <c r="J760">
        <f>SUM(K761)</f>
        <v>1324.33464918</v>
      </c>
      <c r="K760">
        <f>I760*J760</f>
        <v>1324.33464918</v>
      </c>
      <c r="L760">
        <f>100*(1-(M760/K760))</f>
        <v>85.6</v>
      </c>
      <c r="M760">
        <f>I760*SUM(M761)</f>
        <v>190.70418948192003</v>
      </c>
      <c r="N760" s="90">
        <v>760</v>
      </c>
      <c r="O760" s="90" t="s">
        <v>678</v>
      </c>
      <c r="P760" s="118"/>
      <c r="Q760" s="118"/>
      <c r="R760" s="90" t="s">
        <v>6341</v>
      </c>
      <c r="S760" s="90" t="s">
        <v>913</v>
      </c>
      <c r="T760" s="90" t="s">
        <v>970</v>
      </c>
      <c r="U760" s="90" t="s">
        <v>6493</v>
      </c>
    </row>
    <row r="761" spans="1:21" x14ac:dyDescent="0.25">
      <c r="A761" s="90" t="s">
        <v>2173</v>
      </c>
      <c r="B761" s="119">
        <v>4</v>
      </c>
      <c r="C761" s="90" t="s">
        <v>2171</v>
      </c>
      <c r="D761" s="90" t="s">
        <v>78</v>
      </c>
      <c r="E761">
        <v>1515</v>
      </c>
      <c r="F761">
        <v>1518</v>
      </c>
      <c r="G761" s="93" t="s">
        <v>68</v>
      </c>
      <c r="H761" t="s">
        <v>418</v>
      </c>
      <c r="I761">
        <v>1</v>
      </c>
      <c r="J761">
        <f>SUM(K762)</f>
        <v>1324.33464918</v>
      </c>
      <c r="K761">
        <f>I761*J761</f>
        <v>1324.33464918</v>
      </c>
      <c r="L761">
        <f>100*(1-(M761/K761))</f>
        <v>85.6</v>
      </c>
      <c r="M761">
        <f>I761*SUM(M762)</f>
        <v>190.70418948192003</v>
      </c>
      <c r="N761" s="90">
        <v>761</v>
      </c>
      <c r="O761" s="90" t="s">
        <v>679</v>
      </c>
      <c r="P761" s="118"/>
      <c r="Q761" s="118"/>
      <c r="R761" s="90" t="s">
        <v>4296</v>
      </c>
      <c r="S761" s="90" t="s">
        <v>5371</v>
      </c>
      <c r="T761" s="90" t="s">
        <v>5869</v>
      </c>
      <c r="U761" s="90" t="s">
        <v>4836</v>
      </c>
    </row>
    <row r="762" spans="1:21" x14ac:dyDescent="0.25">
      <c r="A762" s="90" t="s">
        <v>2174</v>
      </c>
      <c r="B762" s="119">
        <v>5</v>
      </c>
      <c r="C762" s="90" t="s">
        <v>2173</v>
      </c>
      <c r="D762" s="90" t="s">
        <v>78</v>
      </c>
      <c r="E762">
        <v>1516</v>
      </c>
      <c r="F762">
        <v>1517</v>
      </c>
      <c r="G762" s="93" t="s">
        <v>78</v>
      </c>
      <c r="H762" t="s">
        <v>419</v>
      </c>
      <c r="I762">
        <v>1</v>
      </c>
      <c r="J762">
        <v>1324.33464918</v>
      </c>
      <c r="K762">
        <f>I762*J762</f>
        <v>1324.33464918</v>
      </c>
      <c r="L762">
        <v>85.6</v>
      </c>
      <c r="M762">
        <f>(1-(L762/100))*K762</f>
        <v>190.70418948192003</v>
      </c>
      <c r="N762" s="90">
        <v>762</v>
      </c>
      <c r="O762" s="90" t="s">
        <v>680</v>
      </c>
      <c r="P762" s="118"/>
      <c r="Q762" s="118"/>
    </row>
    <row r="763" spans="1:21" x14ac:dyDescent="0.25">
      <c r="A763" s="90" t="s">
        <v>2175</v>
      </c>
      <c r="B763" s="119">
        <v>2</v>
      </c>
      <c r="C763" s="90" t="s">
        <v>78</v>
      </c>
      <c r="D763" s="90" t="s">
        <v>98</v>
      </c>
      <c r="E763">
        <v>1521</v>
      </c>
      <c r="F763">
        <v>1634</v>
      </c>
      <c r="G763" s="93" t="s">
        <v>68</v>
      </c>
      <c r="H763" t="s">
        <v>2176</v>
      </c>
      <c r="I763">
        <v>1</v>
      </c>
      <c r="J763">
        <f>SUM(K764,K797,K804,K814,K817)</f>
        <v>66268.869219429995</v>
      </c>
      <c r="K763">
        <f>I763*J763</f>
        <v>66268.869219429995</v>
      </c>
      <c r="L763">
        <f>100*(1-(M763/K763))</f>
        <v>49.86448429444571</v>
      </c>
      <c r="M763">
        <f>I763*SUM(M764,M797,M804,M814,M817)</f>
        <v>33224.239335400554</v>
      </c>
      <c r="N763" s="90">
        <v>763</v>
      </c>
      <c r="O763" s="90" t="s">
        <v>681</v>
      </c>
      <c r="P763" s="118"/>
      <c r="Q763" s="118"/>
      <c r="R763" s="90" t="s">
        <v>6923</v>
      </c>
      <c r="S763" s="90" t="s">
        <v>7021</v>
      </c>
      <c r="T763" s="90" t="s">
        <v>7067</v>
      </c>
      <c r="U763" s="90" t="s">
        <v>6972</v>
      </c>
    </row>
    <row r="764" spans="1:21" x14ac:dyDescent="0.25">
      <c r="A764" s="90" t="s">
        <v>2177</v>
      </c>
      <c r="B764" s="119">
        <v>3</v>
      </c>
      <c r="C764" s="90" t="s">
        <v>2175</v>
      </c>
      <c r="D764" s="90" t="s">
        <v>78</v>
      </c>
      <c r="E764">
        <v>1522</v>
      </c>
      <c r="F764">
        <v>1587</v>
      </c>
      <c r="G764" s="93" t="s">
        <v>68</v>
      </c>
      <c r="H764" t="s">
        <v>2178</v>
      </c>
      <c r="I764">
        <v>1</v>
      </c>
      <c r="J764">
        <f>SUM(K765,K767,K769,K771,K773,K775,K777,K780,K782,K784,K786,K793,K795)</f>
        <v>45344.686906939998</v>
      </c>
      <c r="K764">
        <f>I764*J764</f>
        <v>45344.686906939998</v>
      </c>
      <c r="L764">
        <f>100*(1-(M764/K764))</f>
        <v>40</v>
      </c>
      <c r="M764">
        <f>I764*SUM(M765,M767,M769,M771,M773,M775,M777,M780,M782,M784,M786,M793,M795)</f>
        <v>27206.812144163996</v>
      </c>
      <c r="N764" s="90">
        <v>764</v>
      </c>
      <c r="O764" s="90" t="s">
        <v>682</v>
      </c>
      <c r="P764" s="118"/>
      <c r="Q764" s="118"/>
      <c r="R764" s="90" t="s">
        <v>6342</v>
      </c>
      <c r="S764" s="90" t="s">
        <v>6645</v>
      </c>
      <c r="T764" s="90" t="s">
        <v>6790</v>
      </c>
      <c r="U764" s="90" t="s">
        <v>6494</v>
      </c>
    </row>
    <row r="765" spans="1:21" x14ac:dyDescent="0.25">
      <c r="A765" s="90" t="s">
        <v>2179</v>
      </c>
      <c r="B765" s="119">
        <v>4</v>
      </c>
      <c r="C765" s="90" t="s">
        <v>2177</v>
      </c>
      <c r="D765" s="90" t="s">
        <v>78</v>
      </c>
      <c r="E765">
        <v>1523</v>
      </c>
      <c r="F765">
        <v>1526</v>
      </c>
      <c r="G765" s="93" t="s">
        <v>68</v>
      </c>
      <c r="H765" t="s">
        <v>1815</v>
      </c>
      <c r="I765">
        <v>2</v>
      </c>
      <c r="J765">
        <f>SUM(K766)</f>
        <v>491.93938622000002</v>
      </c>
      <c r="K765">
        <f>I765*J765</f>
        <v>983.87877244000003</v>
      </c>
      <c r="L765">
        <f>100*(1-(M765/K765))</f>
        <v>40</v>
      </c>
      <c r="M765">
        <f>I765*SUM(M766)</f>
        <v>590.327263464</v>
      </c>
      <c r="N765" s="90">
        <v>765</v>
      </c>
      <c r="O765" s="90" t="s">
        <v>683</v>
      </c>
      <c r="P765" s="118"/>
      <c r="Q765" s="118"/>
      <c r="R765" s="90" t="s">
        <v>4297</v>
      </c>
      <c r="S765" s="90" t="s">
        <v>5372</v>
      </c>
      <c r="T765" s="90" t="s">
        <v>5870</v>
      </c>
      <c r="U765" s="90" t="s">
        <v>4837</v>
      </c>
    </row>
    <row r="766" spans="1:21" x14ac:dyDescent="0.25">
      <c r="A766" s="90" t="s">
        <v>2180</v>
      </c>
      <c r="B766" s="119">
        <v>5</v>
      </c>
      <c r="C766" s="90" t="s">
        <v>2179</v>
      </c>
      <c r="D766" s="90" t="s">
        <v>78</v>
      </c>
      <c r="E766">
        <v>1524</v>
      </c>
      <c r="F766">
        <v>1525</v>
      </c>
      <c r="G766" s="93" t="s">
        <v>78</v>
      </c>
      <c r="H766" t="s">
        <v>126</v>
      </c>
      <c r="I766">
        <v>1</v>
      </c>
      <c r="J766">
        <v>491.93938622000002</v>
      </c>
      <c r="K766">
        <f>I766*J766</f>
        <v>491.93938622000002</v>
      </c>
      <c r="L766">
        <v>40</v>
      </c>
      <c r="M766">
        <f>(1-(L766/100))*K766</f>
        <v>295.163631732</v>
      </c>
      <c r="N766" s="90">
        <v>766</v>
      </c>
      <c r="O766" s="90" t="s">
        <v>684</v>
      </c>
      <c r="P766" s="118"/>
      <c r="Q766" s="118"/>
    </row>
    <row r="767" spans="1:21" x14ac:dyDescent="0.25">
      <c r="A767" s="90" t="s">
        <v>2181</v>
      </c>
      <c r="B767" s="119">
        <v>4</v>
      </c>
      <c r="C767" s="90" t="s">
        <v>2177</v>
      </c>
      <c r="D767" s="90" t="s">
        <v>79</v>
      </c>
      <c r="E767">
        <v>1527</v>
      </c>
      <c r="F767">
        <v>1530</v>
      </c>
      <c r="G767" s="93" t="s">
        <v>68</v>
      </c>
      <c r="H767" t="s">
        <v>1818</v>
      </c>
      <c r="I767">
        <v>4</v>
      </c>
      <c r="J767">
        <f>SUM(K768)</f>
        <v>313.76543995999998</v>
      </c>
      <c r="K767">
        <f>I767*J767</f>
        <v>1255.0617598399999</v>
      </c>
      <c r="L767">
        <f>100*(1-(M767/K767))</f>
        <v>40</v>
      </c>
      <c r="M767">
        <f>I767*SUM(M768)</f>
        <v>753.03705590399989</v>
      </c>
      <c r="N767" s="90">
        <v>767</v>
      </c>
      <c r="O767" s="90" t="s">
        <v>685</v>
      </c>
      <c r="P767" s="118"/>
      <c r="Q767" s="118"/>
      <c r="R767" s="90" t="s">
        <v>4302</v>
      </c>
      <c r="S767" s="90" t="s">
        <v>5377</v>
      </c>
      <c r="T767" s="90" t="s">
        <v>5875</v>
      </c>
      <c r="U767" s="90" t="s">
        <v>4842</v>
      </c>
    </row>
    <row r="768" spans="1:21" x14ac:dyDescent="0.25">
      <c r="A768" s="90" t="s">
        <v>2182</v>
      </c>
      <c r="B768" s="119">
        <v>5</v>
      </c>
      <c r="C768" s="90" t="s">
        <v>2181</v>
      </c>
      <c r="D768" s="90" t="s">
        <v>78</v>
      </c>
      <c r="E768">
        <v>1528</v>
      </c>
      <c r="F768">
        <v>1529</v>
      </c>
      <c r="G768" s="93" t="s">
        <v>78</v>
      </c>
      <c r="H768" t="s">
        <v>123</v>
      </c>
      <c r="I768">
        <v>1</v>
      </c>
      <c r="J768">
        <v>313.76543995999998</v>
      </c>
      <c r="K768">
        <f>I768*J768</f>
        <v>313.76543995999998</v>
      </c>
      <c r="L768">
        <v>40</v>
      </c>
      <c r="M768">
        <f>(1-(L768/100))*K768</f>
        <v>188.25926397599997</v>
      </c>
      <c r="N768" s="90">
        <v>768</v>
      </c>
      <c r="O768" s="90" t="s">
        <v>686</v>
      </c>
      <c r="P768" s="118"/>
      <c r="Q768" s="118"/>
    </row>
    <row r="769" spans="1:21" x14ac:dyDescent="0.25">
      <c r="A769" s="90" t="s">
        <v>2183</v>
      </c>
      <c r="B769" s="119">
        <v>4</v>
      </c>
      <c r="C769" s="90" t="s">
        <v>2177</v>
      </c>
      <c r="D769" s="90" t="s">
        <v>80</v>
      </c>
      <c r="E769">
        <v>1531</v>
      </c>
      <c r="F769">
        <v>1534</v>
      </c>
      <c r="G769" s="93" t="s">
        <v>68</v>
      </c>
      <c r="H769" t="s">
        <v>1821</v>
      </c>
      <c r="I769">
        <v>1</v>
      </c>
      <c r="J769">
        <f>SUM(K770)</f>
        <v>666.34407233000002</v>
      </c>
      <c r="K769">
        <f>I769*J769</f>
        <v>666.34407233000002</v>
      </c>
      <c r="L769">
        <f>100*(1-(M769/K769))</f>
        <v>40</v>
      </c>
      <c r="M769">
        <f>I769*SUM(M770)</f>
        <v>399.806443398</v>
      </c>
      <c r="N769" s="90">
        <v>769</v>
      </c>
      <c r="O769" s="90" t="s">
        <v>687</v>
      </c>
      <c r="P769" s="118"/>
      <c r="Q769" s="118"/>
      <c r="R769" s="90" t="s">
        <v>4303</v>
      </c>
      <c r="S769" s="90" t="s">
        <v>5378</v>
      </c>
      <c r="T769" s="90" t="s">
        <v>5876</v>
      </c>
      <c r="U769" s="90" t="s">
        <v>4843</v>
      </c>
    </row>
    <row r="770" spans="1:21" x14ac:dyDescent="0.25">
      <c r="A770" s="90" t="s">
        <v>2184</v>
      </c>
      <c r="B770" s="119">
        <v>5</v>
      </c>
      <c r="C770" s="90" t="s">
        <v>2183</v>
      </c>
      <c r="D770" s="90" t="s">
        <v>78</v>
      </c>
      <c r="E770">
        <v>1532</v>
      </c>
      <c r="F770">
        <v>1533</v>
      </c>
      <c r="G770" s="93" t="s">
        <v>78</v>
      </c>
      <c r="H770" t="s">
        <v>698</v>
      </c>
      <c r="I770">
        <v>1</v>
      </c>
      <c r="J770">
        <v>666.34407233000002</v>
      </c>
      <c r="K770">
        <f>I770*J770</f>
        <v>666.34407233000002</v>
      </c>
      <c r="L770">
        <v>40</v>
      </c>
      <c r="M770">
        <f>(1-(L770/100))*K770</f>
        <v>399.806443398</v>
      </c>
      <c r="N770" s="90">
        <v>770</v>
      </c>
      <c r="O770" s="90" t="s">
        <v>688</v>
      </c>
      <c r="P770" s="118"/>
      <c r="Q770" s="118"/>
    </row>
    <row r="771" spans="1:21" x14ac:dyDescent="0.25">
      <c r="A771" s="90" t="s">
        <v>2185</v>
      </c>
      <c r="B771" s="119">
        <v>4</v>
      </c>
      <c r="C771" s="90" t="s">
        <v>2177</v>
      </c>
      <c r="D771" s="90" t="s">
        <v>95</v>
      </c>
      <c r="E771">
        <v>1535</v>
      </c>
      <c r="F771">
        <v>1538</v>
      </c>
      <c r="G771" s="93" t="s">
        <v>68</v>
      </c>
      <c r="H771" t="s">
        <v>1240</v>
      </c>
      <c r="I771">
        <v>1</v>
      </c>
      <c r="J771">
        <f>SUM(K772)</f>
        <v>700.36928562000003</v>
      </c>
      <c r="K771">
        <f>I771*J771</f>
        <v>700.36928562000003</v>
      </c>
      <c r="L771">
        <f>100*(1-(M771/K771))</f>
        <v>40</v>
      </c>
      <c r="M771">
        <f>I771*SUM(M772)</f>
        <v>420.22157137200003</v>
      </c>
      <c r="N771" s="90">
        <v>771</v>
      </c>
      <c r="O771" s="90" t="s">
        <v>689</v>
      </c>
      <c r="P771" s="118"/>
      <c r="Q771" s="118"/>
      <c r="R771" s="90" t="s">
        <v>4304</v>
      </c>
      <c r="S771" s="90" t="s">
        <v>914</v>
      </c>
      <c r="T771" s="90" t="s">
        <v>971</v>
      </c>
      <c r="U771" s="90" t="s">
        <v>4844</v>
      </c>
    </row>
    <row r="772" spans="1:21" x14ac:dyDescent="0.25">
      <c r="A772" s="90" t="s">
        <v>2186</v>
      </c>
      <c r="B772" s="119">
        <v>5</v>
      </c>
      <c r="C772" s="90" t="s">
        <v>2185</v>
      </c>
      <c r="D772" s="90" t="s">
        <v>78</v>
      </c>
      <c r="E772">
        <v>1536</v>
      </c>
      <c r="F772">
        <v>1537</v>
      </c>
      <c r="G772" s="93" t="s">
        <v>78</v>
      </c>
      <c r="H772" t="s">
        <v>1243</v>
      </c>
      <c r="I772">
        <v>1</v>
      </c>
      <c r="J772">
        <v>700.36928562000003</v>
      </c>
      <c r="K772">
        <f>I772*J772</f>
        <v>700.36928562000003</v>
      </c>
      <c r="L772">
        <v>40</v>
      </c>
      <c r="M772">
        <f>(1-(L772/100))*K772</f>
        <v>420.22157137200003</v>
      </c>
      <c r="N772" s="90">
        <v>772</v>
      </c>
      <c r="O772" s="90" t="s">
        <v>690</v>
      </c>
      <c r="P772" s="118"/>
      <c r="Q772" s="118"/>
    </row>
    <row r="773" spans="1:21" x14ac:dyDescent="0.25">
      <c r="A773" s="90" t="s">
        <v>2187</v>
      </c>
      <c r="B773" s="119">
        <v>4</v>
      </c>
      <c r="C773" s="90" t="s">
        <v>2177</v>
      </c>
      <c r="D773" s="90" t="s">
        <v>96</v>
      </c>
      <c r="E773">
        <v>1539</v>
      </c>
      <c r="F773">
        <v>1542</v>
      </c>
      <c r="G773" s="93" t="s">
        <v>68</v>
      </c>
      <c r="H773" t="s">
        <v>1246</v>
      </c>
      <c r="I773">
        <v>4</v>
      </c>
      <c r="J773">
        <f>SUM(K774)</f>
        <v>967.93582071000003</v>
      </c>
      <c r="K773">
        <f>I773*J773</f>
        <v>3871.7432828400001</v>
      </c>
      <c r="L773">
        <f>100*(1-(M773/K773))</f>
        <v>40</v>
      </c>
      <c r="M773">
        <f>I773*SUM(M774)</f>
        <v>2323.0459697040001</v>
      </c>
      <c r="N773" s="90">
        <v>773</v>
      </c>
      <c r="O773" s="90" t="s">
        <v>2188</v>
      </c>
      <c r="P773" s="118"/>
      <c r="Q773" s="118"/>
      <c r="R773" s="90" t="s">
        <v>4305</v>
      </c>
      <c r="S773" s="90" t="s">
        <v>5379</v>
      </c>
      <c r="T773" s="90" t="s">
        <v>5877</v>
      </c>
      <c r="U773" s="90" t="s">
        <v>4845</v>
      </c>
    </row>
    <row r="774" spans="1:21" x14ac:dyDescent="0.25">
      <c r="A774" s="90" t="s">
        <v>2189</v>
      </c>
      <c r="B774" s="119">
        <v>5</v>
      </c>
      <c r="C774" s="90" t="s">
        <v>2187</v>
      </c>
      <c r="D774" s="90" t="s">
        <v>78</v>
      </c>
      <c r="E774">
        <v>1540</v>
      </c>
      <c r="F774">
        <v>1541</v>
      </c>
      <c r="G774" s="93" t="s">
        <v>78</v>
      </c>
      <c r="H774" t="s">
        <v>120</v>
      </c>
      <c r="I774">
        <v>1</v>
      </c>
      <c r="J774">
        <v>967.93582071000003</v>
      </c>
      <c r="K774">
        <f>I774*J774</f>
        <v>967.93582071000003</v>
      </c>
      <c r="L774">
        <v>40</v>
      </c>
      <c r="M774">
        <f>(1-(L774/100))*K774</f>
        <v>580.76149242600002</v>
      </c>
      <c r="N774" s="90">
        <v>774</v>
      </c>
      <c r="O774" s="90" t="s">
        <v>691</v>
      </c>
      <c r="P774" s="118"/>
      <c r="Q774" s="118"/>
    </row>
    <row r="775" spans="1:21" x14ac:dyDescent="0.25">
      <c r="A775" s="90" t="s">
        <v>2190</v>
      </c>
      <c r="B775" s="119">
        <v>4</v>
      </c>
      <c r="C775" s="90" t="s">
        <v>2177</v>
      </c>
      <c r="D775" s="90" t="s">
        <v>103</v>
      </c>
      <c r="E775">
        <v>1543</v>
      </c>
      <c r="F775">
        <v>1546</v>
      </c>
      <c r="G775" s="93" t="s">
        <v>68</v>
      </c>
      <c r="H775" t="s">
        <v>104</v>
      </c>
      <c r="I775">
        <v>1</v>
      </c>
      <c r="J775">
        <f>SUM(K776)</f>
        <v>1419</v>
      </c>
      <c r="K775">
        <f>I775*J775</f>
        <v>1419</v>
      </c>
      <c r="L775">
        <f>100*(1-(M775/K775))</f>
        <v>40</v>
      </c>
      <c r="M775">
        <f>I775*SUM(M776)</f>
        <v>851.4</v>
      </c>
      <c r="N775" s="90">
        <v>775</v>
      </c>
      <c r="O775" s="90" t="s">
        <v>2191</v>
      </c>
      <c r="P775" s="118"/>
      <c r="Q775" s="118"/>
      <c r="R775" s="90" t="s">
        <v>4306</v>
      </c>
      <c r="S775" s="90" t="s">
        <v>5380</v>
      </c>
      <c r="T775" s="90" t="s">
        <v>5878</v>
      </c>
      <c r="U775" s="90" t="s">
        <v>4846</v>
      </c>
    </row>
    <row r="776" spans="1:21" x14ac:dyDescent="0.25">
      <c r="A776" s="90" t="s">
        <v>2192</v>
      </c>
      <c r="B776" s="119">
        <v>5</v>
      </c>
      <c r="C776" s="90" t="s">
        <v>2190</v>
      </c>
      <c r="D776" s="90" t="s">
        <v>78</v>
      </c>
      <c r="E776">
        <v>1544</v>
      </c>
      <c r="F776">
        <v>1545</v>
      </c>
      <c r="G776" s="93" t="s">
        <v>78</v>
      </c>
      <c r="H776" t="s">
        <v>105</v>
      </c>
      <c r="I776">
        <v>1</v>
      </c>
      <c r="J776">
        <v>1419</v>
      </c>
      <c r="K776">
        <f>I776*J776</f>
        <v>1419</v>
      </c>
      <c r="L776">
        <v>40</v>
      </c>
      <c r="M776">
        <f>(1-(L776/100))*K776</f>
        <v>851.4</v>
      </c>
      <c r="N776" s="90">
        <v>776</v>
      </c>
      <c r="O776" s="90" t="s">
        <v>692</v>
      </c>
      <c r="P776" s="118"/>
      <c r="Q776" s="118"/>
    </row>
    <row r="777" spans="1:21" x14ac:dyDescent="0.25">
      <c r="A777" s="90" t="s">
        <v>2193</v>
      </c>
      <c r="B777" s="119">
        <v>4</v>
      </c>
      <c r="C777" s="90" t="s">
        <v>2177</v>
      </c>
      <c r="D777" s="90" t="s">
        <v>796</v>
      </c>
      <c r="E777">
        <v>1547</v>
      </c>
      <c r="F777">
        <v>1552</v>
      </c>
      <c r="G777" s="93" t="s">
        <v>68</v>
      </c>
      <c r="H777" t="s">
        <v>2126</v>
      </c>
      <c r="I777">
        <v>1</v>
      </c>
      <c r="J777">
        <f>SUM(K778,K779)</f>
        <v>587.63</v>
      </c>
      <c r="K777">
        <f>I777*J777</f>
        <v>587.63</v>
      </c>
      <c r="L777">
        <f>100*(1-(M777/K777))</f>
        <v>40</v>
      </c>
      <c r="M777">
        <f>I777*SUM(M778,M779)</f>
        <v>352.57799999999997</v>
      </c>
      <c r="N777" s="90">
        <v>777</v>
      </c>
      <c r="O777" s="90" t="s">
        <v>693</v>
      </c>
      <c r="P777" s="118"/>
      <c r="Q777" s="118"/>
      <c r="R777" s="90" t="s">
        <v>4307</v>
      </c>
      <c r="S777" s="90" t="s">
        <v>5381</v>
      </c>
      <c r="T777" s="90" t="s">
        <v>5879</v>
      </c>
      <c r="U777" s="90" t="s">
        <v>4847</v>
      </c>
    </row>
    <row r="778" spans="1:21" x14ac:dyDescent="0.25">
      <c r="A778" s="90" t="s">
        <v>2194</v>
      </c>
      <c r="B778" s="119">
        <v>5</v>
      </c>
      <c r="C778" s="90" t="s">
        <v>2193</v>
      </c>
      <c r="D778" s="90" t="s">
        <v>78</v>
      </c>
      <c r="E778">
        <v>1548</v>
      </c>
      <c r="F778">
        <v>1549</v>
      </c>
      <c r="G778" s="93" t="s">
        <v>78</v>
      </c>
      <c r="H778" t="s">
        <v>109</v>
      </c>
      <c r="I778">
        <v>1</v>
      </c>
      <c r="J778">
        <v>290.63</v>
      </c>
      <c r="K778">
        <f>I778*J778</f>
        <v>290.63</v>
      </c>
      <c r="L778">
        <v>40</v>
      </c>
      <c r="M778">
        <f>(1-(L778/100))*K778</f>
        <v>174.37799999999999</v>
      </c>
      <c r="N778" s="90">
        <v>778</v>
      </c>
      <c r="O778" s="90" t="s">
        <v>695</v>
      </c>
      <c r="P778" s="118"/>
      <c r="Q778" s="118"/>
    </row>
    <row r="779" spans="1:21" x14ac:dyDescent="0.25">
      <c r="A779" s="90" t="s">
        <v>2195</v>
      </c>
      <c r="B779" s="119">
        <v>5</v>
      </c>
      <c r="C779" s="90" t="s">
        <v>2193</v>
      </c>
      <c r="D779" s="90" t="s">
        <v>79</v>
      </c>
      <c r="E779">
        <v>1550</v>
      </c>
      <c r="F779">
        <v>1551</v>
      </c>
      <c r="G779" s="93" t="s">
        <v>78</v>
      </c>
      <c r="H779" t="s">
        <v>110</v>
      </c>
      <c r="I779">
        <v>1</v>
      </c>
      <c r="J779">
        <v>297</v>
      </c>
      <c r="K779">
        <f>I779*J779</f>
        <v>297</v>
      </c>
      <c r="L779">
        <v>40</v>
      </c>
      <c r="M779">
        <f>(1-(L779/100))*K779</f>
        <v>178.2</v>
      </c>
      <c r="N779" s="90">
        <v>779</v>
      </c>
      <c r="O779" s="90" t="s">
        <v>696</v>
      </c>
      <c r="P779" s="118"/>
      <c r="Q779" s="118"/>
    </row>
    <row r="780" spans="1:21" x14ac:dyDescent="0.25">
      <c r="A780" s="90" t="s">
        <v>2196</v>
      </c>
      <c r="B780" s="119">
        <v>4</v>
      </c>
      <c r="C780" s="90" t="s">
        <v>2177</v>
      </c>
      <c r="D780" s="90" t="s">
        <v>797</v>
      </c>
      <c r="E780">
        <v>1553</v>
      </c>
      <c r="F780">
        <v>1556</v>
      </c>
      <c r="G780" s="93" t="s">
        <v>68</v>
      </c>
      <c r="H780" t="s">
        <v>1266</v>
      </c>
      <c r="I780">
        <v>1</v>
      </c>
      <c r="J780">
        <f>SUM(K781)</f>
        <v>9312.3647013900008</v>
      </c>
      <c r="K780">
        <f>I780*J780</f>
        <v>9312.3647013900008</v>
      </c>
      <c r="L780">
        <f>100*(1-(M780/K780))</f>
        <v>40</v>
      </c>
      <c r="M780">
        <f>I780*SUM(M781)</f>
        <v>5587.4188208340001</v>
      </c>
      <c r="N780" s="90">
        <v>780</v>
      </c>
      <c r="O780" s="90" t="s">
        <v>697</v>
      </c>
      <c r="P780" s="118"/>
      <c r="Q780" s="118"/>
      <c r="R780" s="90" t="s">
        <v>4308</v>
      </c>
      <c r="S780" s="90" t="s">
        <v>5382</v>
      </c>
      <c r="T780" s="90" t="s">
        <v>5880</v>
      </c>
      <c r="U780" s="90" t="s">
        <v>4848</v>
      </c>
    </row>
    <row r="781" spans="1:21" x14ac:dyDescent="0.25">
      <c r="A781" s="90" t="s">
        <v>2197</v>
      </c>
      <c r="B781" s="119">
        <v>5</v>
      </c>
      <c r="C781" s="90" t="s">
        <v>2196</v>
      </c>
      <c r="D781" s="90" t="s">
        <v>78</v>
      </c>
      <c r="E781">
        <v>1554</v>
      </c>
      <c r="F781">
        <v>1555</v>
      </c>
      <c r="G781" s="93" t="s">
        <v>78</v>
      </c>
      <c r="H781" t="s">
        <v>1269</v>
      </c>
      <c r="I781">
        <v>1</v>
      </c>
      <c r="J781">
        <v>9312.3647013900008</v>
      </c>
      <c r="K781">
        <f>I781*J781</f>
        <v>9312.3647013900008</v>
      </c>
      <c r="L781">
        <v>40</v>
      </c>
      <c r="M781">
        <f>(1-(L781/100))*K781</f>
        <v>5587.4188208340001</v>
      </c>
      <c r="N781" s="90">
        <v>781</v>
      </c>
      <c r="O781" s="90" t="s">
        <v>699</v>
      </c>
      <c r="P781" s="118"/>
      <c r="Q781" s="118"/>
    </row>
    <row r="782" spans="1:21" x14ac:dyDescent="0.25">
      <c r="A782" s="90" t="s">
        <v>2198</v>
      </c>
      <c r="B782" s="119">
        <v>4</v>
      </c>
      <c r="C782" s="90" t="s">
        <v>2177</v>
      </c>
      <c r="D782" s="90" t="s">
        <v>798</v>
      </c>
      <c r="E782">
        <v>1557</v>
      </c>
      <c r="F782">
        <v>1560</v>
      </c>
      <c r="G782" s="93" t="s">
        <v>68</v>
      </c>
      <c r="H782" t="s">
        <v>1638</v>
      </c>
      <c r="I782">
        <v>1</v>
      </c>
      <c r="J782">
        <f>SUM(K783)</f>
        <v>1980.13</v>
      </c>
      <c r="K782">
        <f>I782*J782</f>
        <v>1980.13</v>
      </c>
      <c r="L782">
        <f>100*(1-(M782/K782))</f>
        <v>40</v>
      </c>
      <c r="M782">
        <f>I782*SUM(M783)</f>
        <v>1188.078</v>
      </c>
      <c r="N782" s="90">
        <v>782</v>
      </c>
      <c r="O782" s="90" t="s">
        <v>700</v>
      </c>
      <c r="P782" s="118"/>
      <c r="Q782" s="118"/>
      <c r="R782" s="90" t="s">
        <v>4309</v>
      </c>
      <c r="S782" s="90" t="s">
        <v>1000</v>
      </c>
      <c r="T782" s="90" t="s">
        <v>1027</v>
      </c>
      <c r="U782" s="90" t="s">
        <v>4849</v>
      </c>
    </row>
    <row r="783" spans="1:21" x14ac:dyDescent="0.25">
      <c r="A783" s="90" t="s">
        <v>2199</v>
      </c>
      <c r="B783" s="119">
        <v>5</v>
      </c>
      <c r="C783" s="90" t="s">
        <v>2198</v>
      </c>
      <c r="D783" s="90" t="s">
        <v>78</v>
      </c>
      <c r="E783">
        <v>1558</v>
      </c>
      <c r="F783">
        <v>1559</v>
      </c>
      <c r="G783" s="93" t="s">
        <v>78</v>
      </c>
      <c r="H783" t="s">
        <v>1638</v>
      </c>
      <c r="I783">
        <v>1</v>
      </c>
      <c r="J783">
        <v>1980.13</v>
      </c>
      <c r="K783">
        <f>I783*J783</f>
        <v>1980.13</v>
      </c>
      <c r="L783">
        <v>40</v>
      </c>
      <c r="M783">
        <f>(1-(L783/100))*K783</f>
        <v>1188.078</v>
      </c>
      <c r="N783" s="90">
        <v>783</v>
      </c>
      <c r="O783" s="90" t="s">
        <v>701</v>
      </c>
      <c r="P783" s="118"/>
      <c r="Q783" s="118"/>
    </row>
    <row r="784" spans="1:21" x14ac:dyDescent="0.25">
      <c r="A784" s="90" t="s">
        <v>2200</v>
      </c>
      <c r="B784" s="119">
        <v>4</v>
      </c>
      <c r="C784" s="90" t="s">
        <v>2177</v>
      </c>
      <c r="D784" s="90" t="s">
        <v>799</v>
      </c>
      <c r="E784">
        <v>1561</v>
      </c>
      <c r="F784">
        <v>1564</v>
      </c>
      <c r="G784" s="93" t="s">
        <v>68</v>
      </c>
      <c r="H784" t="s">
        <v>1272</v>
      </c>
      <c r="I784">
        <v>2</v>
      </c>
      <c r="J784">
        <f>SUM(K785)</f>
        <v>1308.5572392700001</v>
      </c>
      <c r="K784">
        <f>I784*J784</f>
        <v>2617.1144785400002</v>
      </c>
      <c r="L784">
        <f>100*(1-(M784/K784))</f>
        <v>40</v>
      </c>
      <c r="M784">
        <f>I784*SUM(M785)</f>
        <v>1570.2686871240001</v>
      </c>
      <c r="N784" s="90">
        <v>784</v>
      </c>
      <c r="O784" s="90" t="s">
        <v>702</v>
      </c>
      <c r="P784" s="118"/>
      <c r="Q784" s="118"/>
      <c r="R784" s="90" t="s">
        <v>4298</v>
      </c>
      <c r="S784" s="90" t="s">
        <v>5373</v>
      </c>
      <c r="T784" s="90" t="s">
        <v>5871</v>
      </c>
      <c r="U784" s="90" t="s">
        <v>4838</v>
      </c>
    </row>
    <row r="785" spans="1:21" x14ac:dyDescent="0.25">
      <c r="A785" s="90" t="s">
        <v>2201</v>
      </c>
      <c r="B785" s="119">
        <v>5</v>
      </c>
      <c r="C785" s="90" t="s">
        <v>2200</v>
      </c>
      <c r="D785" s="90" t="s">
        <v>78</v>
      </c>
      <c r="E785">
        <v>1562</v>
      </c>
      <c r="F785">
        <v>1563</v>
      </c>
      <c r="G785" s="93" t="s">
        <v>78</v>
      </c>
      <c r="H785" t="s">
        <v>1272</v>
      </c>
      <c r="I785">
        <v>1</v>
      </c>
      <c r="J785">
        <v>1308.5572392700001</v>
      </c>
      <c r="K785">
        <f>I785*J785</f>
        <v>1308.5572392700001</v>
      </c>
      <c r="L785">
        <v>40</v>
      </c>
      <c r="M785">
        <f>(1-(L785/100))*K785</f>
        <v>785.13434356200003</v>
      </c>
      <c r="N785" s="90">
        <v>785</v>
      </c>
      <c r="O785" s="90" t="s">
        <v>703</v>
      </c>
      <c r="P785" s="118"/>
      <c r="Q785" s="118"/>
    </row>
    <row r="786" spans="1:21" x14ac:dyDescent="0.25">
      <c r="A786" s="90" t="s">
        <v>2202</v>
      </c>
      <c r="B786" s="119">
        <v>4</v>
      </c>
      <c r="C786" s="90" t="s">
        <v>2177</v>
      </c>
      <c r="D786" s="90" t="s">
        <v>97</v>
      </c>
      <c r="E786">
        <v>1565</v>
      </c>
      <c r="F786">
        <v>1578</v>
      </c>
      <c r="G786" s="93" t="s">
        <v>68</v>
      </c>
      <c r="H786" t="s">
        <v>2136</v>
      </c>
      <c r="I786">
        <v>1</v>
      </c>
      <c r="J786">
        <f>SUM(K787,K788,K789,K790,K791,K792)</f>
        <v>4573.0039475400008</v>
      </c>
      <c r="K786">
        <f>I786*J786</f>
        <v>4573.0039475400008</v>
      </c>
      <c r="L786">
        <f>100*(1-(M786/K786))</f>
        <v>40</v>
      </c>
      <c r="M786">
        <f>I786*SUM(M787,M788,M789,M790,M791,M792)</f>
        <v>2743.8023685240005</v>
      </c>
      <c r="N786" s="90">
        <v>786</v>
      </c>
      <c r="O786" s="90" t="s">
        <v>704</v>
      </c>
      <c r="P786" s="118"/>
      <c r="Q786" s="118"/>
      <c r="R786" s="90" t="s">
        <v>4299</v>
      </c>
      <c r="S786" s="90" t="s">
        <v>5374</v>
      </c>
      <c r="T786" s="90" t="s">
        <v>5872</v>
      </c>
      <c r="U786" s="90" t="s">
        <v>4839</v>
      </c>
    </row>
    <row r="787" spans="1:21" x14ac:dyDescent="0.25">
      <c r="A787" s="90" t="s">
        <v>2203</v>
      </c>
      <c r="B787" s="119">
        <v>5</v>
      </c>
      <c r="C787" s="90" t="s">
        <v>2202</v>
      </c>
      <c r="D787" s="90" t="s">
        <v>78</v>
      </c>
      <c r="E787">
        <v>1566</v>
      </c>
      <c r="F787">
        <v>1567</v>
      </c>
      <c r="G787" s="93" t="s">
        <v>78</v>
      </c>
      <c r="H787" t="s">
        <v>139</v>
      </c>
      <c r="I787">
        <v>1</v>
      </c>
      <c r="J787">
        <v>2631.3510760200002</v>
      </c>
      <c r="K787">
        <f>I787*J787</f>
        <v>2631.3510760200002</v>
      </c>
      <c r="L787">
        <v>40</v>
      </c>
      <c r="M787">
        <f>(1-(L787/100))*K787</f>
        <v>1578.8106456120001</v>
      </c>
      <c r="N787" s="90">
        <v>787</v>
      </c>
      <c r="O787" s="90" t="s">
        <v>705</v>
      </c>
      <c r="P787" s="118"/>
      <c r="Q787" s="118"/>
    </row>
    <row r="788" spans="1:21" x14ac:dyDescent="0.25">
      <c r="A788" s="90" t="s">
        <v>2204</v>
      </c>
      <c r="B788" s="119">
        <v>5</v>
      </c>
      <c r="C788" s="90" t="s">
        <v>2202</v>
      </c>
      <c r="D788" s="90" t="s">
        <v>79</v>
      </c>
      <c r="E788">
        <v>1568</v>
      </c>
      <c r="F788">
        <v>1569</v>
      </c>
      <c r="G788" s="93" t="s">
        <v>78</v>
      </c>
      <c r="H788" t="s">
        <v>126</v>
      </c>
      <c r="I788">
        <v>1</v>
      </c>
      <c r="J788">
        <v>491.93938622000002</v>
      </c>
      <c r="K788">
        <f>I788*J788</f>
        <v>491.93938622000002</v>
      </c>
      <c r="L788">
        <v>40</v>
      </c>
      <c r="M788">
        <f>(1-(L788/100))*K788</f>
        <v>295.163631732</v>
      </c>
      <c r="N788" s="90">
        <v>788</v>
      </c>
      <c r="O788" s="90" t="s">
        <v>706</v>
      </c>
      <c r="P788" s="118"/>
      <c r="Q788" s="118"/>
    </row>
    <row r="789" spans="1:21" x14ac:dyDescent="0.25">
      <c r="A789" s="90" t="s">
        <v>2205</v>
      </c>
      <c r="B789" s="119">
        <v>5</v>
      </c>
      <c r="C789" s="90" t="s">
        <v>2202</v>
      </c>
      <c r="D789" s="90" t="s">
        <v>80</v>
      </c>
      <c r="E789">
        <v>1570</v>
      </c>
      <c r="F789">
        <v>1571</v>
      </c>
      <c r="G789" s="93" t="s">
        <v>78</v>
      </c>
      <c r="H789" t="s">
        <v>137</v>
      </c>
      <c r="I789">
        <v>0</v>
      </c>
      <c r="J789">
        <v>36.08811919</v>
      </c>
      <c r="K789">
        <f>I789*J789</f>
        <v>0</v>
      </c>
      <c r="L789">
        <v>40</v>
      </c>
      <c r="M789">
        <f>(1-(L789/100))*K789</f>
        <v>0</v>
      </c>
      <c r="N789" s="90">
        <v>789</v>
      </c>
      <c r="O789" s="90" t="s">
        <v>707</v>
      </c>
      <c r="P789" s="118"/>
      <c r="Q789" s="118"/>
    </row>
    <row r="790" spans="1:21" x14ac:dyDescent="0.25">
      <c r="A790" s="90" t="s">
        <v>2206</v>
      </c>
      <c r="B790" s="119">
        <v>5</v>
      </c>
      <c r="C790" s="90" t="s">
        <v>2202</v>
      </c>
      <c r="D790" s="90" t="s">
        <v>95</v>
      </c>
      <c r="E790">
        <v>1572</v>
      </c>
      <c r="F790">
        <v>1573</v>
      </c>
      <c r="G790" s="93" t="s">
        <v>78</v>
      </c>
      <c r="H790" t="s">
        <v>123</v>
      </c>
      <c r="I790">
        <v>2</v>
      </c>
      <c r="J790">
        <v>313.76543995999998</v>
      </c>
      <c r="K790">
        <f>I790*J790</f>
        <v>627.53087991999996</v>
      </c>
      <c r="L790">
        <v>40</v>
      </c>
      <c r="M790">
        <f>(1-(L790/100))*K790</f>
        <v>376.51852795199994</v>
      </c>
      <c r="N790" s="90">
        <v>790</v>
      </c>
      <c r="O790" s="90" t="s">
        <v>708</v>
      </c>
      <c r="P790" s="118"/>
      <c r="Q790" s="118"/>
    </row>
    <row r="791" spans="1:21" x14ac:dyDescent="0.25">
      <c r="A791" s="90" t="s">
        <v>2207</v>
      </c>
      <c r="B791" s="119">
        <v>5</v>
      </c>
      <c r="C791" s="90" t="s">
        <v>2202</v>
      </c>
      <c r="D791" s="90" t="s">
        <v>96</v>
      </c>
      <c r="E791">
        <v>1574</v>
      </c>
      <c r="F791">
        <v>1575</v>
      </c>
      <c r="G791" s="93" t="s">
        <v>78</v>
      </c>
      <c r="H791" t="s">
        <v>119</v>
      </c>
      <c r="I791">
        <v>1</v>
      </c>
      <c r="J791">
        <v>594.85546925000006</v>
      </c>
      <c r="K791">
        <f>I791*J791</f>
        <v>594.85546925000006</v>
      </c>
      <c r="L791">
        <v>40</v>
      </c>
      <c r="M791">
        <f>(1-(L791/100))*K791</f>
        <v>356.91328155000002</v>
      </c>
      <c r="N791" s="90">
        <v>791</v>
      </c>
      <c r="O791" s="90" t="s">
        <v>709</v>
      </c>
      <c r="P791" s="118"/>
      <c r="Q791" s="118"/>
    </row>
    <row r="792" spans="1:21" x14ac:dyDescent="0.25">
      <c r="A792" s="90" t="s">
        <v>2208</v>
      </c>
      <c r="B792" s="119">
        <v>5</v>
      </c>
      <c r="C792" s="90" t="s">
        <v>2202</v>
      </c>
      <c r="D792" s="90" t="s">
        <v>103</v>
      </c>
      <c r="E792">
        <v>1576</v>
      </c>
      <c r="F792">
        <v>1577</v>
      </c>
      <c r="G792" s="93" t="s">
        <v>78</v>
      </c>
      <c r="H792" t="s">
        <v>138</v>
      </c>
      <c r="I792">
        <v>1</v>
      </c>
      <c r="J792">
        <v>227.32713613000001</v>
      </c>
      <c r="K792">
        <f>I792*J792</f>
        <v>227.32713613000001</v>
      </c>
      <c r="L792">
        <v>40</v>
      </c>
      <c r="M792">
        <f>(1-(L792/100))*K792</f>
        <v>136.39628167800001</v>
      </c>
      <c r="N792" s="90">
        <v>792</v>
      </c>
      <c r="O792" s="90" t="s">
        <v>710</v>
      </c>
      <c r="P792" s="118"/>
      <c r="Q792" s="118"/>
    </row>
    <row r="793" spans="1:21" x14ac:dyDescent="0.25">
      <c r="A793" s="90" t="s">
        <v>2209</v>
      </c>
      <c r="B793" s="119">
        <v>4</v>
      </c>
      <c r="C793" s="90" t="s">
        <v>2177</v>
      </c>
      <c r="D793" s="90" t="s">
        <v>98</v>
      </c>
      <c r="E793">
        <v>1579</v>
      </c>
      <c r="F793">
        <v>1582</v>
      </c>
      <c r="G793" s="93" t="s">
        <v>68</v>
      </c>
      <c r="H793" t="s">
        <v>1714</v>
      </c>
      <c r="I793">
        <v>2</v>
      </c>
      <c r="J793">
        <f>SUM(K794)</f>
        <v>5389.0233031999996</v>
      </c>
      <c r="K793">
        <f>I793*J793</f>
        <v>10778.046606399999</v>
      </c>
      <c r="L793">
        <f>100*(1-(M793/K793))</f>
        <v>40</v>
      </c>
      <c r="M793">
        <f>I793*SUM(M794)</f>
        <v>6466.827963839999</v>
      </c>
      <c r="N793" s="90">
        <v>793</v>
      </c>
      <c r="O793" s="90" t="s">
        <v>711</v>
      </c>
      <c r="P793" s="118"/>
      <c r="Q793" s="118"/>
      <c r="R793" s="90" t="s">
        <v>4300</v>
      </c>
      <c r="S793" s="90" t="s">
        <v>5375</v>
      </c>
      <c r="T793" s="90" t="s">
        <v>5873</v>
      </c>
      <c r="U793" s="90" t="s">
        <v>4840</v>
      </c>
    </row>
    <row r="794" spans="1:21" x14ac:dyDescent="0.25">
      <c r="A794" s="90" t="s">
        <v>2210</v>
      </c>
      <c r="B794" s="119">
        <v>5</v>
      </c>
      <c r="C794" s="90" t="s">
        <v>2209</v>
      </c>
      <c r="D794" s="90" t="s">
        <v>78</v>
      </c>
      <c r="E794">
        <v>1580</v>
      </c>
      <c r="F794">
        <v>1581</v>
      </c>
      <c r="G794" s="93" t="s">
        <v>78</v>
      </c>
      <c r="H794" t="s">
        <v>1714</v>
      </c>
      <c r="I794">
        <v>1</v>
      </c>
      <c r="J794">
        <v>5389.0233031999996</v>
      </c>
      <c r="K794">
        <f>I794*J794</f>
        <v>5389.0233031999996</v>
      </c>
      <c r="L794">
        <v>40</v>
      </c>
      <c r="M794">
        <f>(1-(L794/100))*K794</f>
        <v>3233.4139819199995</v>
      </c>
      <c r="N794" s="90">
        <v>794</v>
      </c>
      <c r="O794" s="90" t="s">
        <v>712</v>
      </c>
      <c r="P794" s="118"/>
      <c r="Q794" s="118"/>
    </row>
    <row r="795" spans="1:21" x14ac:dyDescent="0.25">
      <c r="A795" s="90" t="s">
        <v>2211</v>
      </c>
      <c r="B795" s="119">
        <v>4</v>
      </c>
      <c r="C795" s="90" t="s">
        <v>2177</v>
      </c>
      <c r="D795" s="90" t="s">
        <v>99</v>
      </c>
      <c r="E795">
        <v>1583</v>
      </c>
      <c r="F795">
        <v>1586</v>
      </c>
      <c r="G795" s="93" t="s">
        <v>68</v>
      </c>
      <c r="H795" t="s">
        <v>1509</v>
      </c>
      <c r="I795">
        <v>2</v>
      </c>
      <c r="J795">
        <f>SUM(K796)</f>
        <v>3300</v>
      </c>
      <c r="K795">
        <f>I795*J795</f>
        <v>6600</v>
      </c>
      <c r="L795">
        <f>100*(1-(M795/K795))</f>
        <v>40</v>
      </c>
      <c r="M795">
        <f>I795*SUM(M796)</f>
        <v>3960</v>
      </c>
      <c r="N795" s="90">
        <v>795</v>
      </c>
      <c r="O795" s="90" t="s">
        <v>713</v>
      </c>
      <c r="P795" s="118"/>
      <c r="Q795" s="118"/>
      <c r="R795" s="90" t="s">
        <v>4301</v>
      </c>
      <c r="S795" s="90" t="s">
        <v>5376</v>
      </c>
      <c r="T795" s="90" t="s">
        <v>5874</v>
      </c>
      <c r="U795" s="90" t="s">
        <v>4841</v>
      </c>
    </row>
    <row r="796" spans="1:21" x14ac:dyDescent="0.25">
      <c r="A796" s="90" t="s">
        <v>2212</v>
      </c>
      <c r="B796" s="119">
        <v>5</v>
      </c>
      <c r="C796" s="90" t="s">
        <v>2211</v>
      </c>
      <c r="D796" s="90" t="s">
        <v>78</v>
      </c>
      <c r="E796">
        <v>1584</v>
      </c>
      <c r="F796">
        <v>1585</v>
      </c>
      <c r="G796" s="93" t="s">
        <v>78</v>
      </c>
      <c r="H796" t="s">
        <v>1509</v>
      </c>
      <c r="I796">
        <v>1</v>
      </c>
      <c r="J796">
        <v>3300</v>
      </c>
      <c r="K796">
        <f>I796*J796</f>
        <v>3300</v>
      </c>
      <c r="L796">
        <v>40</v>
      </c>
      <c r="M796">
        <f>(1-(L796/100))*K796</f>
        <v>1980</v>
      </c>
      <c r="N796" s="90">
        <v>796</v>
      </c>
      <c r="O796" s="90" t="s">
        <v>714</v>
      </c>
      <c r="P796" s="118"/>
      <c r="Q796" s="118"/>
    </row>
    <row r="797" spans="1:21" x14ac:dyDescent="0.25">
      <c r="A797" s="90" t="s">
        <v>2213</v>
      </c>
      <c r="B797" s="119">
        <v>3</v>
      </c>
      <c r="C797" s="90" t="s">
        <v>2175</v>
      </c>
      <c r="D797" s="90" t="s">
        <v>79</v>
      </c>
      <c r="E797">
        <v>1588</v>
      </c>
      <c r="F797">
        <v>1601</v>
      </c>
      <c r="G797" s="93" t="s">
        <v>68</v>
      </c>
      <c r="H797" t="s">
        <v>2214</v>
      </c>
      <c r="I797">
        <v>1</v>
      </c>
      <c r="J797">
        <f>SUM(K798)</f>
        <v>6588.4757417500005</v>
      </c>
      <c r="K797">
        <f>I797*J797</f>
        <v>6588.4757417500005</v>
      </c>
      <c r="L797">
        <f>100*(1-(M797/K797))</f>
        <v>40</v>
      </c>
      <c r="M797">
        <f>I797*SUM(M798)</f>
        <v>3953.0854450500001</v>
      </c>
      <c r="N797" s="90">
        <v>797</v>
      </c>
      <c r="O797" s="90" t="s">
        <v>2215</v>
      </c>
      <c r="P797" s="118"/>
      <c r="Q797" s="118"/>
      <c r="R797" s="90" t="s">
        <v>6924</v>
      </c>
      <c r="S797" s="90" t="s">
        <v>887</v>
      </c>
      <c r="T797" s="90" t="s">
        <v>944</v>
      </c>
      <c r="U797" s="90" t="s">
        <v>6973</v>
      </c>
    </row>
    <row r="798" spans="1:21" x14ac:dyDescent="0.25">
      <c r="A798" s="90" t="s">
        <v>2216</v>
      </c>
      <c r="B798" s="119">
        <v>4</v>
      </c>
      <c r="C798" s="90" t="s">
        <v>2213</v>
      </c>
      <c r="D798" s="90" t="s">
        <v>78</v>
      </c>
      <c r="E798">
        <v>1589</v>
      </c>
      <c r="F798">
        <v>1600</v>
      </c>
      <c r="G798" s="93" t="s">
        <v>68</v>
      </c>
      <c r="H798" t="s">
        <v>2150</v>
      </c>
      <c r="I798">
        <v>1</v>
      </c>
      <c r="J798">
        <f>SUM(K799)</f>
        <v>6588.4757417500005</v>
      </c>
      <c r="K798">
        <f>I798*J798</f>
        <v>6588.4757417500005</v>
      </c>
      <c r="L798">
        <f>100*(1-(M798/K798))</f>
        <v>40</v>
      </c>
      <c r="M798">
        <f>I798*SUM(M799)</f>
        <v>3953.0854450500001</v>
      </c>
      <c r="N798" s="90">
        <v>798</v>
      </c>
      <c r="O798" s="90" t="s">
        <v>716</v>
      </c>
      <c r="P798" s="118"/>
      <c r="Q798" s="118"/>
      <c r="R798" s="90" t="s">
        <v>6343</v>
      </c>
      <c r="S798" s="90" t="s">
        <v>6646</v>
      </c>
      <c r="T798" s="90" t="s">
        <v>6791</v>
      </c>
      <c r="U798" s="90" t="s">
        <v>6495</v>
      </c>
    </row>
    <row r="799" spans="1:21" x14ac:dyDescent="0.25">
      <c r="A799" s="90" t="s">
        <v>2217</v>
      </c>
      <c r="B799" s="119">
        <v>5</v>
      </c>
      <c r="C799" s="90" t="s">
        <v>2216</v>
      </c>
      <c r="D799" s="90" t="s">
        <v>78</v>
      </c>
      <c r="E799">
        <v>1590</v>
      </c>
      <c r="F799">
        <v>1599</v>
      </c>
      <c r="G799" s="93" t="s">
        <v>68</v>
      </c>
      <c r="H799" t="s">
        <v>1397</v>
      </c>
      <c r="I799">
        <v>1</v>
      </c>
      <c r="J799">
        <f>SUM(K800,K801,K802,K803)</f>
        <v>6588.4757417500005</v>
      </c>
      <c r="K799">
        <f>I799*J799</f>
        <v>6588.4757417500005</v>
      </c>
      <c r="L799">
        <f>100*(1-(M799/K799))</f>
        <v>40</v>
      </c>
      <c r="M799">
        <f>I799*SUM(M800,M801,M802,M803)</f>
        <v>3953.0854450500001</v>
      </c>
      <c r="N799" s="90">
        <v>799</v>
      </c>
      <c r="O799" s="90" t="s">
        <v>717</v>
      </c>
      <c r="P799" s="118"/>
      <c r="Q799" s="118"/>
      <c r="R799" s="90" t="s">
        <v>4310</v>
      </c>
      <c r="S799" s="90" t="s">
        <v>5383</v>
      </c>
      <c r="T799" s="90" t="s">
        <v>5881</v>
      </c>
      <c r="U799" s="90" t="s">
        <v>4850</v>
      </c>
    </row>
    <row r="800" spans="1:21" x14ac:dyDescent="0.25">
      <c r="A800" s="90" t="s">
        <v>2218</v>
      </c>
      <c r="B800" s="119">
        <v>6</v>
      </c>
      <c r="C800" s="90" t="s">
        <v>2217</v>
      </c>
      <c r="D800" s="90" t="s">
        <v>78</v>
      </c>
      <c r="E800">
        <v>1591</v>
      </c>
      <c r="F800">
        <v>1592</v>
      </c>
      <c r="G800" s="93" t="s">
        <v>78</v>
      </c>
      <c r="H800" t="s">
        <v>120</v>
      </c>
      <c r="I800">
        <v>1</v>
      </c>
      <c r="J800">
        <v>967.93582071000003</v>
      </c>
      <c r="K800">
        <f>I800*J800</f>
        <v>967.93582071000003</v>
      </c>
      <c r="L800">
        <v>40</v>
      </c>
      <c r="M800">
        <f>(1-(L800/100))*K800</f>
        <v>580.76149242600002</v>
      </c>
      <c r="N800" s="90">
        <v>800</v>
      </c>
      <c r="O800" s="90" t="s">
        <v>2219</v>
      </c>
      <c r="P800" s="118"/>
      <c r="Q800" s="118"/>
    </row>
    <row r="801" spans="1:21" x14ac:dyDescent="0.25">
      <c r="A801" s="90" t="s">
        <v>2220</v>
      </c>
      <c r="B801" s="119">
        <v>6</v>
      </c>
      <c r="C801" s="90" t="s">
        <v>2217</v>
      </c>
      <c r="D801" s="90" t="s">
        <v>79</v>
      </c>
      <c r="E801">
        <v>1593</v>
      </c>
      <c r="F801">
        <v>1594</v>
      </c>
      <c r="G801" s="93" t="s">
        <v>78</v>
      </c>
      <c r="H801" t="s">
        <v>125</v>
      </c>
      <c r="I801">
        <v>1</v>
      </c>
      <c r="J801">
        <v>967.93582071000003</v>
      </c>
      <c r="K801">
        <f>I801*J801</f>
        <v>967.93582071000003</v>
      </c>
      <c r="L801">
        <v>40</v>
      </c>
      <c r="M801">
        <f>(1-(L801/100))*K801</f>
        <v>580.76149242600002</v>
      </c>
      <c r="N801" s="90">
        <v>801</v>
      </c>
      <c r="O801" s="90" t="s">
        <v>718</v>
      </c>
      <c r="P801" s="118"/>
      <c r="Q801" s="118"/>
    </row>
    <row r="802" spans="1:21" x14ac:dyDescent="0.25">
      <c r="A802" s="90" t="s">
        <v>2221</v>
      </c>
      <c r="B802" s="119">
        <v>6</v>
      </c>
      <c r="C802" s="90" t="s">
        <v>2217</v>
      </c>
      <c r="D802" s="90" t="s">
        <v>80</v>
      </c>
      <c r="E802">
        <v>1595</v>
      </c>
      <c r="F802">
        <v>1596</v>
      </c>
      <c r="G802" s="93" t="s">
        <v>78</v>
      </c>
      <c r="H802" t="s">
        <v>203</v>
      </c>
      <c r="I802">
        <v>1</v>
      </c>
      <c r="J802">
        <v>2064.00101872</v>
      </c>
      <c r="K802">
        <f>I802*J802</f>
        <v>2064.00101872</v>
      </c>
      <c r="L802">
        <v>40</v>
      </c>
      <c r="M802">
        <f>(1-(L802/100))*K802</f>
        <v>1238.4006112320001</v>
      </c>
      <c r="N802" s="90">
        <v>802</v>
      </c>
      <c r="O802" s="90" t="s">
        <v>719</v>
      </c>
      <c r="P802" s="118"/>
      <c r="Q802" s="118"/>
    </row>
    <row r="803" spans="1:21" x14ac:dyDescent="0.25">
      <c r="A803" s="90" t="s">
        <v>2222</v>
      </c>
      <c r="B803" s="119">
        <v>6</v>
      </c>
      <c r="C803" s="90" t="s">
        <v>2217</v>
      </c>
      <c r="D803" s="90" t="s">
        <v>95</v>
      </c>
      <c r="E803">
        <v>1597</v>
      </c>
      <c r="F803">
        <v>1598</v>
      </c>
      <c r="G803" s="93" t="s">
        <v>78</v>
      </c>
      <c r="H803" t="s">
        <v>191</v>
      </c>
      <c r="I803">
        <v>3</v>
      </c>
      <c r="J803">
        <v>862.86769387000004</v>
      </c>
      <c r="K803">
        <f>I803*J803</f>
        <v>2588.6030816100001</v>
      </c>
      <c r="L803">
        <v>40</v>
      </c>
      <c r="M803">
        <f>(1-(L803/100))*K803</f>
        <v>1553.161848966</v>
      </c>
      <c r="N803" s="90">
        <v>803</v>
      </c>
      <c r="O803" s="90" t="s">
        <v>2223</v>
      </c>
      <c r="P803" s="118"/>
      <c r="Q803" s="118"/>
    </row>
    <row r="804" spans="1:21" x14ac:dyDescent="0.25">
      <c r="A804" s="90" t="s">
        <v>2224</v>
      </c>
      <c r="B804" s="119">
        <v>3</v>
      </c>
      <c r="C804" s="90" t="s">
        <v>2175</v>
      </c>
      <c r="D804" s="90" t="s">
        <v>80</v>
      </c>
      <c r="E804">
        <v>1602</v>
      </c>
      <c r="F804">
        <v>1621</v>
      </c>
      <c r="G804" s="93" t="s">
        <v>68</v>
      </c>
      <c r="H804" t="s">
        <v>2225</v>
      </c>
      <c r="I804">
        <v>1</v>
      </c>
      <c r="J804">
        <f>SUM(K805,K808,K810,K812)</f>
        <v>12677.74146186</v>
      </c>
      <c r="K804">
        <f>I804*J804</f>
        <v>12677.74146186</v>
      </c>
      <c r="L804">
        <f>100*(1-(M804/K804))</f>
        <v>85.6</v>
      </c>
      <c r="M804">
        <f>I804*SUM(M805,M808,M810,M812)</f>
        <v>1825.5947705078402</v>
      </c>
      <c r="N804" s="90">
        <v>804</v>
      </c>
      <c r="O804" s="90" t="s">
        <v>721</v>
      </c>
      <c r="P804" s="118"/>
      <c r="Q804" s="118"/>
      <c r="R804" s="90" t="s">
        <v>6344</v>
      </c>
      <c r="S804" s="90" t="s">
        <v>6647</v>
      </c>
      <c r="T804" s="90" t="s">
        <v>6792</v>
      </c>
      <c r="U804" s="90" t="s">
        <v>6496</v>
      </c>
    </row>
    <row r="805" spans="1:21" x14ac:dyDescent="0.25">
      <c r="A805" s="90" t="s">
        <v>2226</v>
      </c>
      <c r="B805" s="119">
        <v>4</v>
      </c>
      <c r="C805" s="90" t="s">
        <v>2224</v>
      </c>
      <c r="D805" s="90" t="s">
        <v>78</v>
      </c>
      <c r="E805">
        <v>1603</v>
      </c>
      <c r="F805">
        <v>1608</v>
      </c>
      <c r="G805" s="93" t="s">
        <v>68</v>
      </c>
      <c r="H805" t="s">
        <v>364</v>
      </c>
      <c r="I805">
        <v>1</v>
      </c>
      <c r="J805">
        <f>SUM(K806,K807)</f>
        <v>2292.1176620400001</v>
      </c>
      <c r="K805">
        <f>I805*J805</f>
        <v>2292.1176620400001</v>
      </c>
      <c r="L805">
        <f>100*(1-(M805/K805))</f>
        <v>85.6</v>
      </c>
      <c r="M805">
        <f>I805*SUM(M806,M807)</f>
        <v>330.06494333376008</v>
      </c>
      <c r="N805" s="90">
        <v>805</v>
      </c>
      <c r="O805" s="90" t="s">
        <v>722</v>
      </c>
      <c r="P805" s="118"/>
      <c r="Q805" s="118"/>
      <c r="R805" s="90" t="s">
        <v>4311</v>
      </c>
      <c r="S805" s="90" t="s">
        <v>5384</v>
      </c>
      <c r="T805" s="90" t="s">
        <v>5882</v>
      </c>
      <c r="U805" s="90" t="s">
        <v>4851</v>
      </c>
    </row>
    <row r="806" spans="1:21" x14ac:dyDescent="0.25">
      <c r="A806" s="90" t="s">
        <v>2227</v>
      </c>
      <c r="B806" s="119">
        <v>5</v>
      </c>
      <c r="C806" s="90" t="s">
        <v>2226</v>
      </c>
      <c r="D806" s="90" t="s">
        <v>78</v>
      </c>
      <c r="E806">
        <v>1604</v>
      </c>
      <c r="F806">
        <v>1605</v>
      </c>
      <c r="G806" s="93" t="s">
        <v>78</v>
      </c>
      <c r="H806" t="s">
        <v>366</v>
      </c>
      <c r="I806">
        <v>1</v>
      </c>
      <c r="J806">
        <v>509.35948044999998</v>
      </c>
      <c r="K806">
        <f>I806*J806</f>
        <v>509.35948044999998</v>
      </c>
      <c r="L806">
        <v>85.6</v>
      </c>
      <c r="M806">
        <f>(1-(L806/100))*K806</f>
        <v>73.347765184800011</v>
      </c>
      <c r="N806" s="90">
        <v>806</v>
      </c>
      <c r="O806" s="90" t="s">
        <v>723</v>
      </c>
      <c r="P806" s="118"/>
      <c r="Q806" s="118"/>
    </row>
    <row r="807" spans="1:21" x14ac:dyDescent="0.25">
      <c r="A807" s="90" t="s">
        <v>2228</v>
      </c>
      <c r="B807" s="119">
        <v>5</v>
      </c>
      <c r="C807" s="90" t="s">
        <v>2226</v>
      </c>
      <c r="D807" s="90" t="s">
        <v>79</v>
      </c>
      <c r="E807">
        <v>1606</v>
      </c>
      <c r="F807">
        <v>1607</v>
      </c>
      <c r="G807" s="93" t="s">
        <v>78</v>
      </c>
      <c r="H807" t="s">
        <v>368</v>
      </c>
      <c r="I807">
        <v>1</v>
      </c>
      <c r="J807">
        <v>1782.75818159</v>
      </c>
      <c r="K807">
        <f>I807*J807</f>
        <v>1782.75818159</v>
      </c>
      <c r="L807">
        <v>85.6</v>
      </c>
      <c r="M807">
        <f>(1-(L807/100))*K807</f>
        <v>256.71717814896004</v>
      </c>
      <c r="N807" s="90">
        <v>807</v>
      </c>
      <c r="O807" s="90" t="s">
        <v>724</v>
      </c>
      <c r="P807" s="118"/>
      <c r="Q807" s="118"/>
    </row>
    <row r="808" spans="1:21" x14ac:dyDescent="0.25">
      <c r="A808" s="90" t="s">
        <v>2229</v>
      </c>
      <c r="B808" s="119">
        <v>4</v>
      </c>
      <c r="C808" s="90" t="s">
        <v>2224</v>
      </c>
      <c r="D808" s="90" t="s">
        <v>79</v>
      </c>
      <c r="E808">
        <v>1609</v>
      </c>
      <c r="F808">
        <v>1612</v>
      </c>
      <c r="G808" s="93" t="s">
        <v>68</v>
      </c>
      <c r="H808" t="s">
        <v>379</v>
      </c>
      <c r="I808">
        <v>1</v>
      </c>
      <c r="J808">
        <f>SUM(K809)</f>
        <v>303.06889087000002</v>
      </c>
      <c r="K808">
        <f>I808*J808</f>
        <v>303.06889087000002</v>
      </c>
      <c r="L808">
        <f>100*(1-(M808/K808))</f>
        <v>85.6</v>
      </c>
      <c r="M808">
        <f>I808*SUM(M809)</f>
        <v>43.641920285280008</v>
      </c>
      <c r="N808" s="90">
        <v>808</v>
      </c>
      <c r="O808" s="90" t="s">
        <v>725</v>
      </c>
      <c r="P808" s="118"/>
      <c r="Q808" s="118"/>
      <c r="R808" s="90" t="s">
        <v>4312</v>
      </c>
      <c r="S808" s="90" t="s">
        <v>1001</v>
      </c>
      <c r="T808" s="90" t="s">
        <v>1028</v>
      </c>
      <c r="U808" s="90" t="s">
        <v>4852</v>
      </c>
    </row>
    <row r="809" spans="1:21" x14ac:dyDescent="0.25">
      <c r="A809" s="90" t="s">
        <v>2230</v>
      </c>
      <c r="B809" s="119">
        <v>5</v>
      </c>
      <c r="C809" s="90" t="s">
        <v>2229</v>
      </c>
      <c r="D809" s="90" t="s">
        <v>78</v>
      </c>
      <c r="E809">
        <v>1610</v>
      </c>
      <c r="F809">
        <v>1611</v>
      </c>
      <c r="G809" s="93" t="s">
        <v>78</v>
      </c>
      <c r="H809" t="s">
        <v>381</v>
      </c>
      <c r="I809">
        <v>1</v>
      </c>
      <c r="J809">
        <v>303.06889087000002</v>
      </c>
      <c r="K809">
        <f>I809*J809</f>
        <v>303.06889087000002</v>
      </c>
      <c r="L809">
        <v>85.6</v>
      </c>
      <c r="M809">
        <f>(1-(L809/100))*K809</f>
        <v>43.641920285280008</v>
      </c>
      <c r="N809" s="90">
        <v>809</v>
      </c>
      <c r="O809" s="90" t="s">
        <v>726</v>
      </c>
      <c r="P809" s="118"/>
      <c r="Q809" s="118"/>
    </row>
    <row r="810" spans="1:21" x14ac:dyDescent="0.25">
      <c r="A810" s="90" t="s">
        <v>2231</v>
      </c>
      <c r="B810" s="119">
        <v>4</v>
      </c>
      <c r="C810" s="90" t="s">
        <v>2224</v>
      </c>
      <c r="D810" s="90" t="s">
        <v>80</v>
      </c>
      <c r="E810">
        <v>1613</v>
      </c>
      <c r="F810">
        <v>1616</v>
      </c>
      <c r="G810" s="93" t="s">
        <v>68</v>
      </c>
      <c r="H810" t="s">
        <v>383</v>
      </c>
      <c r="I810">
        <v>1</v>
      </c>
      <c r="J810">
        <f>SUM(K811)</f>
        <v>1069.6549089499999</v>
      </c>
      <c r="K810">
        <f>I810*J810</f>
        <v>1069.6549089499999</v>
      </c>
      <c r="L810">
        <f>100*(1-(M810/K810))</f>
        <v>85.6</v>
      </c>
      <c r="M810">
        <f>I810*SUM(M811)</f>
        <v>154.0303068888</v>
      </c>
      <c r="N810" s="90">
        <v>810</v>
      </c>
      <c r="O810" s="90" t="s">
        <v>727</v>
      </c>
      <c r="P810" s="118"/>
      <c r="Q810" s="118"/>
      <c r="R810" s="90" t="s">
        <v>4313</v>
      </c>
      <c r="S810" s="90" t="s">
        <v>5385</v>
      </c>
      <c r="T810" s="90" t="s">
        <v>5883</v>
      </c>
      <c r="U810" s="90" t="s">
        <v>4853</v>
      </c>
    </row>
    <row r="811" spans="1:21" x14ac:dyDescent="0.25">
      <c r="A811" s="90" t="s">
        <v>2232</v>
      </c>
      <c r="B811" s="119">
        <v>5</v>
      </c>
      <c r="C811" s="90" t="s">
        <v>2231</v>
      </c>
      <c r="D811" s="90" t="s">
        <v>78</v>
      </c>
      <c r="E811">
        <v>1614</v>
      </c>
      <c r="F811">
        <v>1615</v>
      </c>
      <c r="G811" s="93" t="s">
        <v>78</v>
      </c>
      <c r="H811" t="s">
        <v>385</v>
      </c>
      <c r="I811">
        <v>1</v>
      </c>
      <c r="J811">
        <v>1069.6549089499999</v>
      </c>
      <c r="K811">
        <f>I811*J811</f>
        <v>1069.6549089499999</v>
      </c>
      <c r="L811">
        <v>85.6</v>
      </c>
      <c r="M811">
        <f>(1-(L811/100))*K811</f>
        <v>154.0303068888</v>
      </c>
      <c r="N811" s="90">
        <v>811</v>
      </c>
      <c r="O811" s="90" t="s">
        <v>728</v>
      </c>
      <c r="P811" s="118"/>
      <c r="Q811" s="118"/>
    </row>
    <row r="812" spans="1:21" x14ac:dyDescent="0.25">
      <c r="A812" s="90" t="s">
        <v>2233</v>
      </c>
      <c r="B812" s="119">
        <v>4</v>
      </c>
      <c r="C812" s="90" t="s">
        <v>2224</v>
      </c>
      <c r="D812" s="90" t="s">
        <v>95</v>
      </c>
      <c r="E812">
        <v>1617</v>
      </c>
      <c r="F812">
        <v>1620</v>
      </c>
      <c r="G812" s="93" t="s">
        <v>68</v>
      </c>
      <c r="H812" t="s">
        <v>387</v>
      </c>
      <c r="I812">
        <v>1</v>
      </c>
      <c r="J812">
        <f>SUM(K813)</f>
        <v>9012.9</v>
      </c>
      <c r="K812">
        <f>I812*J812</f>
        <v>9012.9</v>
      </c>
      <c r="L812">
        <f>100*(1-(M812/K812))</f>
        <v>85.6</v>
      </c>
      <c r="M812">
        <f>I812*SUM(M813)</f>
        <v>1297.8576</v>
      </c>
      <c r="N812" s="90">
        <v>812</v>
      </c>
      <c r="O812" s="90" t="s">
        <v>729</v>
      </c>
      <c r="P812" s="118"/>
      <c r="Q812" s="118"/>
      <c r="R812" s="90" t="s">
        <v>4314</v>
      </c>
      <c r="S812" s="90" t="s">
        <v>5386</v>
      </c>
      <c r="T812" s="90" t="s">
        <v>5884</v>
      </c>
      <c r="U812" s="90" t="s">
        <v>4854</v>
      </c>
    </row>
    <row r="813" spans="1:21" x14ac:dyDescent="0.25">
      <c r="A813" s="90" t="s">
        <v>2234</v>
      </c>
      <c r="B813" s="119">
        <v>5</v>
      </c>
      <c r="C813" s="90" t="s">
        <v>2233</v>
      </c>
      <c r="D813" s="90" t="s">
        <v>78</v>
      </c>
      <c r="E813">
        <v>1618</v>
      </c>
      <c r="F813">
        <v>1619</v>
      </c>
      <c r="G813" s="93" t="s">
        <v>78</v>
      </c>
      <c r="H813" t="s">
        <v>389</v>
      </c>
      <c r="I813">
        <v>1</v>
      </c>
      <c r="J813">
        <v>9012.9</v>
      </c>
      <c r="K813">
        <f>I813*J813</f>
        <v>9012.9</v>
      </c>
      <c r="L813">
        <v>85.6</v>
      </c>
      <c r="M813">
        <f>(1-(L813/100))*K813</f>
        <v>1297.8576</v>
      </c>
      <c r="N813" s="90">
        <v>813</v>
      </c>
      <c r="O813" s="90" t="s">
        <v>730</v>
      </c>
      <c r="P813" s="118"/>
      <c r="Q813" s="118"/>
    </row>
    <row r="814" spans="1:21" x14ac:dyDescent="0.25">
      <c r="A814" s="90" t="s">
        <v>2235</v>
      </c>
      <c r="B814" s="119">
        <v>3</v>
      </c>
      <c r="C814" s="90" t="s">
        <v>2175</v>
      </c>
      <c r="D814" s="90" t="s">
        <v>95</v>
      </c>
      <c r="E814">
        <v>1622</v>
      </c>
      <c r="F814">
        <v>1627</v>
      </c>
      <c r="G814" s="93" t="s">
        <v>68</v>
      </c>
      <c r="H814" t="s">
        <v>2236</v>
      </c>
      <c r="I814">
        <v>1</v>
      </c>
      <c r="J814">
        <f>SUM(K815)</f>
        <v>333.63045970000002</v>
      </c>
      <c r="K814">
        <f>I814*J814</f>
        <v>333.63045970000002</v>
      </c>
      <c r="L814">
        <f>100*(1-(M814/K814))</f>
        <v>85.6</v>
      </c>
      <c r="M814">
        <f>I814*SUM(M815)</f>
        <v>48.042786196800009</v>
      </c>
      <c r="N814" s="90">
        <v>814</v>
      </c>
      <c r="O814" s="90" t="s">
        <v>731</v>
      </c>
      <c r="P814" s="118"/>
      <c r="Q814" s="118"/>
      <c r="R814" s="90" t="s">
        <v>6345</v>
      </c>
      <c r="S814" s="90" t="s">
        <v>6648</v>
      </c>
      <c r="T814" s="90" t="s">
        <v>6793</v>
      </c>
      <c r="U814" s="90" t="s">
        <v>6497</v>
      </c>
    </row>
    <row r="815" spans="1:21" x14ac:dyDescent="0.25">
      <c r="A815" s="90" t="s">
        <v>2237</v>
      </c>
      <c r="B815" s="119">
        <v>4</v>
      </c>
      <c r="C815" s="90" t="s">
        <v>2235</v>
      </c>
      <c r="D815" s="90" t="s">
        <v>78</v>
      </c>
      <c r="E815">
        <v>1623</v>
      </c>
      <c r="F815">
        <v>1626</v>
      </c>
      <c r="G815" s="93" t="s">
        <v>68</v>
      </c>
      <c r="H815" t="s">
        <v>399</v>
      </c>
      <c r="I815">
        <v>1</v>
      </c>
      <c r="J815">
        <f>SUM(K816)</f>
        <v>333.63045970000002</v>
      </c>
      <c r="K815">
        <f>I815*J815</f>
        <v>333.63045970000002</v>
      </c>
      <c r="L815">
        <f>100*(1-(M815/K815))</f>
        <v>85.6</v>
      </c>
      <c r="M815">
        <f>I815*SUM(M816)</f>
        <v>48.042786196800009</v>
      </c>
      <c r="N815" s="90">
        <v>815</v>
      </c>
      <c r="O815" s="90" t="s">
        <v>732</v>
      </c>
      <c r="P815" s="118"/>
      <c r="Q815" s="118"/>
      <c r="R815" s="90" t="s">
        <v>4315</v>
      </c>
      <c r="S815" s="90" t="s">
        <v>5387</v>
      </c>
      <c r="T815" s="90" t="s">
        <v>5885</v>
      </c>
      <c r="U815" s="90" t="s">
        <v>4855</v>
      </c>
    </row>
    <row r="816" spans="1:21" x14ac:dyDescent="0.25">
      <c r="A816" s="90" t="s">
        <v>2238</v>
      </c>
      <c r="B816" s="119">
        <v>5</v>
      </c>
      <c r="C816" s="90" t="s">
        <v>2237</v>
      </c>
      <c r="D816" s="90" t="s">
        <v>78</v>
      </c>
      <c r="E816">
        <v>1624</v>
      </c>
      <c r="F816">
        <v>1625</v>
      </c>
      <c r="G816" s="93" t="s">
        <v>78</v>
      </c>
      <c r="H816" t="s">
        <v>401</v>
      </c>
      <c r="I816">
        <v>1</v>
      </c>
      <c r="J816">
        <v>333.63045970000002</v>
      </c>
      <c r="K816">
        <f>I816*J816</f>
        <v>333.63045970000002</v>
      </c>
      <c r="L816">
        <v>85.6</v>
      </c>
      <c r="M816">
        <f>(1-(L816/100))*K816</f>
        <v>48.042786196800009</v>
      </c>
      <c r="N816" s="90">
        <v>816</v>
      </c>
      <c r="O816" s="90" t="s">
        <v>733</v>
      </c>
      <c r="P816" s="118"/>
      <c r="Q816" s="118"/>
    </row>
    <row r="817" spans="1:21" x14ac:dyDescent="0.25">
      <c r="A817" s="90" t="s">
        <v>2239</v>
      </c>
      <c r="B817" s="119">
        <v>3</v>
      </c>
      <c r="C817" s="90" t="s">
        <v>2175</v>
      </c>
      <c r="D817" s="90" t="s">
        <v>96</v>
      </c>
      <c r="E817">
        <v>1628</v>
      </c>
      <c r="F817">
        <v>1633</v>
      </c>
      <c r="G817" s="93" t="s">
        <v>68</v>
      </c>
      <c r="H817" t="s">
        <v>2240</v>
      </c>
      <c r="I817">
        <v>1</v>
      </c>
      <c r="J817">
        <f>SUM(K818)</f>
        <v>1324.33464918</v>
      </c>
      <c r="K817">
        <f>I817*J817</f>
        <v>1324.33464918</v>
      </c>
      <c r="L817">
        <f>100*(1-(M817/K817))</f>
        <v>85.6</v>
      </c>
      <c r="M817">
        <f>I817*SUM(M818)</f>
        <v>190.70418948192003</v>
      </c>
      <c r="N817" s="90">
        <v>817</v>
      </c>
      <c r="O817" s="90" t="s">
        <v>734</v>
      </c>
      <c r="P817" s="118"/>
      <c r="Q817" s="118"/>
      <c r="R817" s="90" t="s">
        <v>6346</v>
      </c>
      <c r="S817" s="90" t="s">
        <v>6649</v>
      </c>
      <c r="T817" s="90" t="s">
        <v>6794</v>
      </c>
      <c r="U817" s="90" t="s">
        <v>6498</v>
      </c>
    </row>
    <row r="818" spans="1:21" x14ac:dyDescent="0.25">
      <c r="A818" s="90" t="s">
        <v>2241</v>
      </c>
      <c r="B818" s="119">
        <v>4</v>
      </c>
      <c r="C818" s="90" t="s">
        <v>2239</v>
      </c>
      <c r="D818" s="90" t="s">
        <v>78</v>
      </c>
      <c r="E818">
        <v>1629</v>
      </c>
      <c r="F818">
        <v>1632</v>
      </c>
      <c r="G818" s="93" t="s">
        <v>68</v>
      </c>
      <c r="H818" t="s">
        <v>418</v>
      </c>
      <c r="I818">
        <v>1</v>
      </c>
      <c r="J818">
        <f>SUM(K819)</f>
        <v>1324.33464918</v>
      </c>
      <c r="K818">
        <f>I818*J818</f>
        <v>1324.33464918</v>
      </c>
      <c r="L818">
        <f>100*(1-(M818/K818))</f>
        <v>85.6</v>
      </c>
      <c r="M818">
        <f>I818*SUM(M819)</f>
        <v>190.70418948192003</v>
      </c>
      <c r="N818" s="90">
        <v>818</v>
      </c>
      <c r="O818" s="90" t="s">
        <v>735</v>
      </c>
      <c r="P818" s="118"/>
      <c r="Q818" s="118"/>
      <c r="R818" s="90" t="s">
        <v>4316</v>
      </c>
      <c r="S818" s="90" t="s">
        <v>5388</v>
      </c>
      <c r="T818" s="90" t="s">
        <v>5886</v>
      </c>
      <c r="U818" s="90" t="s">
        <v>4856</v>
      </c>
    </row>
    <row r="819" spans="1:21" x14ac:dyDescent="0.25">
      <c r="A819" s="90" t="s">
        <v>2242</v>
      </c>
      <c r="B819" s="119">
        <v>5</v>
      </c>
      <c r="C819" s="90" t="s">
        <v>2241</v>
      </c>
      <c r="D819" s="90" t="s">
        <v>78</v>
      </c>
      <c r="E819">
        <v>1630</v>
      </c>
      <c r="F819">
        <v>1631</v>
      </c>
      <c r="G819" s="93" t="s">
        <v>78</v>
      </c>
      <c r="H819" t="s">
        <v>419</v>
      </c>
      <c r="I819">
        <v>1</v>
      </c>
      <c r="J819">
        <v>1324.33464918</v>
      </c>
      <c r="K819">
        <f>I819*J819</f>
        <v>1324.33464918</v>
      </c>
      <c r="L819">
        <v>85.6</v>
      </c>
      <c r="M819">
        <f>(1-(L819/100))*K819</f>
        <v>190.70418948192003</v>
      </c>
      <c r="N819" s="90">
        <v>819</v>
      </c>
      <c r="O819" s="90" t="s">
        <v>736</v>
      </c>
      <c r="P819" s="118"/>
      <c r="Q819" s="118"/>
    </row>
    <row r="820" spans="1:21" x14ac:dyDescent="0.25">
      <c r="A820" s="90" t="s">
        <v>2243</v>
      </c>
      <c r="B820" s="119">
        <v>2</v>
      </c>
      <c r="C820" s="90" t="s">
        <v>78</v>
      </c>
      <c r="D820" s="90" t="s">
        <v>99</v>
      </c>
      <c r="E820">
        <v>1635</v>
      </c>
      <c r="F820">
        <v>1740</v>
      </c>
      <c r="G820" s="93" t="s">
        <v>68</v>
      </c>
      <c r="H820" t="s">
        <v>2244</v>
      </c>
      <c r="I820">
        <v>1</v>
      </c>
      <c r="J820">
        <f>SUM(K821,K854,K861)</f>
        <v>64944.534570249998</v>
      </c>
      <c r="K820">
        <f>I820*J820</f>
        <v>64944.534570249998</v>
      </c>
      <c r="L820">
        <f>100*(1-(M820/K820))</f>
        <v>49.6166037121925</v>
      </c>
      <c r="M820">
        <f>I820*SUM(M821,M854,M861)</f>
        <v>32721.262219801196</v>
      </c>
      <c r="N820" s="90">
        <v>820</v>
      </c>
      <c r="O820" s="90" t="s">
        <v>737</v>
      </c>
      <c r="P820" s="118"/>
      <c r="Q820" s="118"/>
      <c r="R820" s="90" t="s">
        <v>6925</v>
      </c>
      <c r="S820" s="90" t="s">
        <v>7022</v>
      </c>
      <c r="T820" s="90" t="s">
        <v>7068</v>
      </c>
      <c r="U820" s="90" t="s">
        <v>6974</v>
      </c>
    </row>
    <row r="821" spans="1:21" x14ac:dyDescent="0.25">
      <c r="A821" s="90" t="s">
        <v>2245</v>
      </c>
      <c r="B821" s="119">
        <v>3</v>
      </c>
      <c r="C821" s="90" t="s">
        <v>2243</v>
      </c>
      <c r="D821" s="90" t="s">
        <v>78</v>
      </c>
      <c r="E821">
        <v>1636</v>
      </c>
      <c r="F821">
        <v>1701</v>
      </c>
      <c r="G821" s="93" t="s">
        <v>68</v>
      </c>
      <c r="H821" t="s">
        <v>2246</v>
      </c>
      <c r="I821">
        <v>1</v>
      </c>
      <c r="J821">
        <f>SUM(K822,K824,K826,K828,K830,K832,K834,K837,K839,K841,K843,K850,K852)</f>
        <v>45344.686906939998</v>
      </c>
      <c r="K821">
        <f>I821*J821</f>
        <v>45344.686906939998</v>
      </c>
      <c r="L821">
        <f>100*(1-(M821/K821))</f>
        <v>40</v>
      </c>
      <c r="M821">
        <f>I821*SUM(M822,M824,M826,M828,M830,M832,M834,M837,M839,M841,M843,M850,M852)</f>
        <v>27206.812144163996</v>
      </c>
      <c r="N821" s="90">
        <v>821</v>
      </c>
      <c r="O821" s="90" t="s">
        <v>738</v>
      </c>
      <c r="P821" s="118"/>
      <c r="Q821" s="118"/>
      <c r="R821" s="90" t="s">
        <v>6347</v>
      </c>
      <c r="S821" s="90" t="s">
        <v>6650</v>
      </c>
      <c r="T821" s="90" t="s">
        <v>6795</v>
      </c>
      <c r="U821" s="90" t="s">
        <v>6499</v>
      </c>
    </row>
    <row r="822" spans="1:21" x14ac:dyDescent="0.25">
      <c r="A822" s="90" t="s">
        <v>2247</v>
      </c>
      <c r="B822" s="119">
        <v>4</v>
      </c>
      <c r="C822" s="90" t="s">
        <v>2245</v>
      </c>
      <c r="D822" s="90" t="s">
        <v>78</v>
      </c>
      <c r="E822">
        <v>1637</v>
      </c>
      <c r="F822">
        <v>1640</v>
      </c>
      <c r="G822" s="93" t="s">
        <v>68</v>
      </c>
      <c r="H822" t="s">
        <v>1815</v>
      </c>
      <c r="I822">
        <v>2</v>
      </c>
      <c r="J822">
        <f>SUM(K823)</f>
        <v>491.93938622000002</v>
      </c>
      <c r="K822">
        <f>I822*J822</f>
        <v>983.87877244000003</v>
      </c>
      <c r="L822">
        <f>100*(1-(M822/K822))</f>
        <v>40</v>
      </c>
      <c r="M822">
        <f>I822*SUM(M823)</f>
        <v>590.327263464</v>
      </c>
      <c r="N822" s="90">
        <v>822</v>
      </c>
      <c r="O822" s="90" t="s">
        <v>2248</v>
      </c>
      <c r="P822" s="118"/>
      <c r="Q822" s="118"/>
      <c r="R822" s="90" t="s">
        <v>976</v>
      </c>
      <c r="S822" s="90" t="s">
        <v>1002</v>
      </c>
      <c r="T822" s="90" t="s">
        <v>1029</v>
      </c>
      <c r="U822" s="90" t="s">
        <v>981</v>
      </c>
    </row>
    <row r="823" spans="1:21" x14ac:dyDescent="0.25">
      <c r="A823" s="90" t="s">
        <v>2249</v>
      </c>
      <c r="B823" s="119">
        <v>5</v>
      </c>
      <c r="C823" s="90" t="s">
        <v>2247</v>
      </c>
      <c r="D823" s="90" t="s">
        <v>78</v>
      </c>
      <c r="E823">
        <v>1638</v>
      </c>
      <c r="F823">
        <v>1639</v>
      </c>
      <c r="G823" s="93" t="s">
        <v>78</v>
      </c>
      <c r="H823" t="s">
        <v>126</v>
      </c>
      <c r="I823">
        <v>1</v>
      </c>
      <c r="J823">
        <v>491.93938622000002</v>
      </c>
      <c r="K823">
        <f>I823*J823</f>
        <v>491.93938622000002</v>
      </c>
      <c r="L823">
        <v>40</v>
      </c>
      <c r="M823">
        <f>(1-(L823/100))*K823</f>
        <v>295.163631732</v>
      </c>
      <c r="N823" s="90">
        <v>823</v>
      </c>
      <c r="O823" s="90" t="s">
        <v>739</v>
      </c>
      <c r="P823" s="118"/>
      <c r="Q823" s="118"/>
    </row>
    <row r="824" spans="1:21" x14ac:dyDescent="0.25">
      <c r="A824" s="90" t="s">
        <v>2250</v>
      </c>
      <c r="B824" s="119">
        <v>4</v>
      </c>
      <c r="C824" s="90" t="s">
        <v>2245</v>
      </c>
      <c r="D824" s="90" t="s">
        <v>79</v>
      </c>
      <c r="E824">
        <v>1641</v>
      </c>
      <c r="F824">
        <v>1644</v>
      </c>
      <c r="G824" s="93" t="s">
        <v>68</v>
      </c>
      <c r="H824" t="s">
        <v>1818</v>
      </c>
      <c r="I824">
        <v>4</v>
      </c>
      <c r="J824">
        <f>SUM(K825)</f>
        <v>313.76543995999998</v>
      </c>
      <c r="K824">
        <f>I824*J824</f>
        <v>1255.0617598399999</v>
      </c>
      <c r="L824">
        <f>100*(1-(M824/K824))</f>
        <v>40</v>
      </c>
      <c r="M824">
        <f>I824*SUM(M825)</f>
        <v>753.03705590399989</v>
      </c>
      <c r="N824" s="90">
        <v>824</v>
      </c>
      <c r="O824" s="90" t="s">
        <v>740</v>
      </c>
      <c r="P824" s="118"/>
      <c r="Q824" s="118"/>
      <c r="R824" s="90" t="s">
        <v>4321</v>
      </c>
      <c r="S824" s="90" t="s">
        <v>5393</v>
      </c>
      <c r="T824" s="90" t="s">
        <v>5891</v>
      </c>
      <c r="U824" s="90" t="s">
        <v>4861</v>
      </c>
    </row>
    <row r="825" spans="1:21" x14ac:dyDescent="0.25">
      <c r="A825" s="90" t="s">
        <v>2251</v>
      </c>
      <c r="B825" s="119">
        <v>5</v>
      </c>
      <c r="C825" s="90" t="s">
        <v>2250</v>
      </c>
      <c r="D825" s="90" t="s">
        <v>78</v>
      </c>
      <c r="E825">
        <v>1642</v>
      </c>
      <c r="F825">
        <v>1643</v>
      </c>
      <c r="G825" s="93" t="s">
        <v>78</v>
      </c>
      <c r="H825" t="s">
        <v>123</v>
      </c>
      <c r="I825">
        <v>1</v>
      </c>
      <c r="J825">
        <v>313.76543995999998</v>
      </c>
      <c r="K825">
        <f>I825*J825</f>
        <v>313.76543995999998</v>
      </c>
      <c r="L825">
        <v>40</v>
      </c>
      <c r="M825">
        <f>(1-(L825/100))*K825</f>
        <v>188.25926397599997</v>
      </c>
      <c r="N825" s="90">
        <v>825</v>
      </c>
      <c r="O825" s="90" t="s">
        <v>741</v>
      </c>
      <c r="P825" s="118"/>
      <c r="Q825" s="118"/>
    </row>
    <row r="826" spans="1:21" x14ac:dyDescent="0.25">
      <c r="A826" s="90" t="s">
        <v>2252</v>
      </c>
      <c r="B826" s="119">
        <v>4</v>
      </c>
      <c r="C826" s="90" t="s">
        <v>2245</v>
      </c>
      <c r="D826" s="90" t="s">
        <v>80</v>
      </c>
      <c r="E826">
        <v>1645</v>
      </c>
      <c r="F826">
        <v>1648</v>
      </c>
      <c r="G826" s="93" t="s">
        <v>68</v>
      </c>
      <c r="H826" t="s">
        <v>1821</v>
      </c>
      <c r="I826">
        <v>1</v>
      </c>
      <c r="J826">
        <f>SUM(K827)</f>
        <v>666.34407233000002</v>
      </c>
      <c r="K826">
        <f>I826*J826</f>
        <v>666.34407233000002</v>
      </c>
      <c r="L826">
        <f>100*(1-(M826/K826))</f>
        <v>40</v>
      </c>
      <c r="M826">
        <f>I826*SUM(M827)</f>
        <v>399.806443398</v>
      </c>
      <c r="N826" s="90">
        <v>826</v>
      </c>
      <c r="O826" s="90" t="s">
        <v>742</v>
      </c>
      <c r="P826" s="118"/>
      <c r="Q826" s="118"/>
      <c r="R826" s="90" t="s">
        <v>4322</v>
      </c>
      <c r="S826" s="90" t="s">
        <v>5394</v>
      </c>
      <c r="T826" s="90" t="s">
        <v>5892</v>
      </c>
      <c r="U826" s="90" t="s">
        <v>4862</v>
      </c>
    </row>
    <row r="827" spans="1:21" x14ac:dyDescent="0.25">
      <c r="A827" s="90" t="s">
        <v>2253</v>
      </c>
      <c r="B827" s="119">
        <v>5</v>
      </c>
      <c r="C827" s="90" t="s">
        <v>2252</v>
      </c>
      <c r="D827" s="90" t="s">
        <v>78</v>
      </c>
      <c r="E827">
        <v>1646</v>
      </c>
      <c r="F827">
        <v>1647</v>
      </c>
      <c r="G827" s="93" t="s">
        <v>78</v>
      </c>
      <c r="H827" t="s">
        <v>698</v>
      </c>
      <c r="I827">
        <v>1</v>
      </c>
      <c r="J827">
        <v>666.34407233000002</v>
      </c>
      <c r="K827">
        <f>I827*J827</f>
        <v>666.34407233000002</v>
      </c>
      <c r="L827">
        <v>40</v>
      </c>
      <c r="M827">
        <f>(1-(L827/100))*K827</f>
        <v>399.806443398</v>
      </c>
      <c r="N827" s="90">
        <v>827</v>
      </c>
      <c r="O827" s="90" t="s">
        <v>743</v>
      </c>
      <c r="P827" s="118"/>
      <c r="Q827" s="118"/>
    </row>
    <row r="828" spans="1:21" x14ac:dyDescent="0.25">
      <c r="A828" s="90" t="s">
        <v>2254</v>
      </c>
      <c r="B828" s="119">
        <v>4</v>
      </c>
      <c r="C828" s="90" t="s">
        <v>2245</v>
      </c>
      <c r="D828" s="90" t="s">
        <v>95</v>
      </c>
      <c r="E828">
        <v>1649</v>
      </c>
      <c r="F828">
        <v>1652</v>
      </c>
      <c r="G828" s="93" t="s">
        <v>68</v>
      </c>
      <c r="H828" t="s">
        <v>1240</v>
      </c>
      <c r="I828">
        <v>1</v>
      </c>
      <c r="J828">
        <f>SUM(K829)</f>
        <v>700.36928562000003</v>
      </c>
      <c r="K828">
        <f>I828*J828</f>
        <v>700.36928562000003</v>
      </c>
      <c r="L828">
        <f>100*(1-(M828/K828))</f>
        <v>40</v>
      </c>
      <c r="M828">
        <f>I828*SUM(M829)</f>
        <v>420.22157137200003</v>
      </c>
      <c r="N828" s="90">
        <v>828</v>
      </c>
      <c r="O828" s="90" t="s">
        <v>744</v>
      </c>
      <c r="P828" s="118"/>
      <c r="Q828" s="118"/>
      <c r="R828" s="90" t="s">
        <v>4323</v>
      </c>
      <c r="S828" s="90" t="s">
        <v>5395</v>
      </c>
      <c r="T828" s="90" t="s">
        <v>5893</v>
      </c>
      <c r="U828" s="90" t="s">
        <v>4863</v>
      </c>
    </row>
    <row r="829" spans="1:21" x14ac:dyDescent="0.25">
      <c r="A829" s="90" t="s">
        <v>2255</v>
      </c>
      <c r="B829" s="119">
        <v>5</v>
      </c>
      <c r="C829" s="90" t="s">
        <v>2254</v>
      </c>
      <c r="D829" s="90" t="s">
        <v>78</v>
      </c>
      <c r="E829">
        <v>1650</v>
      </c>
      <c r="F829">
        <v>1651</v>
      </c>
      <c r="G829" s="93" t="s">
        <v>78</v>
      </c>
      <c r="H829" t="s">
        <v>1243</v>
      </c>
      <c r="I829">
        <v>1</v>
      </c>
      <c r="J829">
        <v>700.36928562000003</v>
      </c>
      <c r="K829">
        <f>I829*J829</f>
        <v>700.36928562000003</v>
      </c>
      <c r="L829">
        <v>40</v>
      </c>
      <c r="M829">
        <f>(1-(L829/100))*K829</f>
        <v>420.22157137200003</v>
      </c>
      <c r="N829" s="90">
        <v>829</v>
      </c>
      <c r="O829" s="90" t="s">
        <v>745</v>
      </c>
      <c r="P829" s="118"/>
      <c r="Q829" s="118"/>
    </row>
    <row r="830" spans="1:21" x14ac:dyDescent="0.25">
      <c r="A830" s="90" t="s">
        <v>2256</v>
      </c>
      <c r="B830" s="119">
        <v>4</v>
      </c>
      <c r="C830" s="90" t="s">
        <v>2245</v>
      </c>
      <c r="D830" s="90" t="s">
        <v>96</v>
      </c>
      <c r="E830">
        <v>1653</v>
      </c>
      <c r="F830">
        <v>1656</v>
      </c>
      <c r="G830" s="93" t="s">
        <v>68</v>
      </c>
      <c r="H830" t="s">
        <v>1246</v>
      </c>
      <c r="I830">
        <v>4</v>
      </c>
      <c r="J830">
        <f>SUM(K831)</f>
        <v>967.93582071000003</v>
      </c>
      <c r="K830">
        <f>I830*J830</f>
        <v>3871.7432828400001</v>
      </c>
      <c r="L830">
        <f>100*(1-(M830/K830))</f>
        <v>40</v>
      </c>
      <c r="M830">
        <f>I830*SUM(M831)</f>
        <v>2323.0459697040001</v>
      </c>
      <c r="N830" s="90">
        <v>830</v>
      </c>
      <c r="O830" s="90" t="s">
        <v>746</v>
      </c>
      <c r="P830" s="118"/>
      <c r="Q830" s="118"/>
      <c r="R830" s="90" t="s">
        <v>4324</v>
      </c>
      <c r="S830" s="90" t="s">
        <v>5396</v>
      </c>
      <c r="T830" s="90" t="s">
        <v>5894</v>
      </c>
      <c r="U830" s="90" t="s">
        <v>4864</v>
      </c>
    </row>
    <row r="831" spans="1:21" x14ac:dyDescent="0.25">
      <c r="A831" s="90" t="s">
        <v>2257</v>
      </c>
      <c r="B831" s="119">
        <v>5</v>
      </c>
      <c r="C831" s="90" t="s">
        <v>2256</v>
      </c>
      <c r="D831" s="90" t="s">
        <v>78</v>
      </c>
      <c r="E831">
        <v>1654</v>
      </c>
      <c r="F831">
        <v>1655</v>
      </c>
      <c r="G831" s="93" t="s">
        <v>78</v>
      </c>
      <c r="H831" t="s">
        <v>120</v>
      </c>
      <c r="I831">
        <v>1</v>
      </c>
      <c r="J831">
        <v>967.93582071000003</v>
      </c>
      <c r="K831">
        <f>I831*J831</f>
        <v>967.93582071000003</v>
      </c>
      <c r="L831">
        <v>40</v>
      </c>
      <c r="M831">
        <f>(1-(L831/100))*K831</f>
        <v>580.76149242600002</v>
      </c>
      <c r="N831" s="90">
        <v>831</v>
      </c>
      <c r="O831" s="90" t="s">
        <v>747</v>
      </c>
      <c r="P831" s="118"/>
      <c r="Q831" s="118"/>
    </row>
    <row r="832" spans="1:21" x14ac:dyDescent="0.25">
      <c r="A832" s="90" t="s">
        <v>2258</v>
      </c>
      <c r="B832" s="119">
        <v>4</v>
      </c>
      <c r="C832" s="90" t="s">
        <v>2245</v>
      </c>
      <c r="D832" s="90" t="s">
        <v>103</v>
      </c>
      <c r="E832">
        <v>1657</v>
      </c>
      <c r="F832">
        <v>1660</v>
      </c>
      <c r="G832" s="93" t="s">
        <v>68</v>
      </c>
      <c r="H832" t="s">
        <v>104</v>
      </c>
      <c r="I832">
        <v>1</v>
      </c>
      <c r="J832">
        <f>SUM(K833)</f>
        <v>1419</v>
      </c>
      <c r="K832">
        <f>I832*J832</f>
        <v>1419</v>
      </c>
      <c r="L832">
        <f>100*(1-(M832/K832))</f>
        <v>40</v>
      </c>
      <c r="M832">
        <f>I832*SUM(M833)</f>
        <v>851.4</v>
      </c>
      <c r="N832" s="90">
        <v>832</v>
      </c>
      <c r="O832" s="90" t="s">
        <v>2259</v>
      </c>
      <c r="P832" s="118"/>
      <c r="Q832" s="118"/>
      <c r="R832" s="90" t="s">
        <v>4325</v>
      </c>
      <c r="S832" s="90" t="s">
        <v>5397</v>
      </c>
      <c r="T832" s="90" t="s">
        <v>5895</v>
      </c>
      <c r="U832" s="90" t="s">
        <v>4865</v>
      </c>
    </row>
    <row r="833" spans="1:21" x14ac:dyDescent="0.25">
      <c r="A833" s="90" t="s">
        <v>2260</v>
      </c>
      <c r="B833" s="119">
        <v>5</v>
      </c>
      <c r="C833" s="90" t="s">
        <v>2258</v>
      </c>
      <c r="D833" s="90" t="s">
        <v>78</v>
      </c>
      <c r="E833">
        <v>1658</v>
      </c>
      <c r="F833">
        <v>1659</v>
      </c>
      <c r="G833" s="93" t="s">
        <v>78</v>
      </c>
      <c r="H833" t="s">
        <v>105</v>
      </c>
      <c r="I833">
        <v>1</v>
      </c>
      <c r="J833">
        <v>1419</v>
      </c>
      <c r="K833">
        <f>I833*J833</f>
        <v>1419</v>
      </c>
      <c r="L833">
        <v>40</v>
      </c>
      <c r="M833">
        <f>(1-(L833/100))*K833</f>
        <v>851.4</v>
      </c>
      <c r="N833" s="90">
        <v>833</v>
      </c>
      <c r="O833" s="90" t="s">
        <v>748</v>
      </c>
      <c r="P833" s="118"/>
      <c r="Q833" s="118"/>
    </row>
    <row r="834" spans="1:21" x14ac:dyDescent="0.25">
      <c r="A834" s="90" t="s">
        <v>2261</v>
      </c>
      <c r="B834" s="119">
        <v>4</v>
      </c>
      <c r="C834" s="90" t="s">
        <v>2245</v>
      </c>
      <c r="D834" s="90" t="s">
        <v>796</v>
      </c>
      <c r="E834">
        <v>1661</v>
      </c>
      <c r="F834">
        <v>1666</v>
      </c>
      <c r="G834" s="93" t="s">
        <v>68</v>
      </c>
      <c r="H834" t="s">
        <v>2126</v>
      </c>
      <c r="I834">
        <v>1</v>
      </c>
      <c r="J834">
        <f>SUM(K835,K836)</f>
        <v>587.63</v>
      </c>
      <c r="K834">
        <f>I834*J834</f>
        <v>587.63</v>
      </c>
      <c r="L834">
        <f>100*(1-(M834/K834))</f>
        <v>40</v>
      </c>
      <c r="M834">
        <f>I834*SUM(M835,M836)</f>
        <v>352.57799999999997</v>
      </c>
      <c r="N834" s="90">
        <v>834</v>
      </c>
      <c r="O834" s="90" t="s">
        <v>2262</v>
      </c>
      <c r="P834" s="118"/>
      <c r="Q834" s="118"/>
      <c r="R834" s="90" t="s">
        <v>4326</v>
      </c>
      <c r="S834" s="90" t="s">
        <v>1003</v>
      </c>
      <c r="T834" s="90" t="s">
        <v>1030</v>
      </c>
      <c r="U834" s="90" t="s">
        <v>4866</v>
      </c>
    </row>
    <row r="835" spans="1:21" x14ac:dyDescent="0.25">
      <c r="A835" s="90" t="s">
        <v>2263</v>
      </c>
      <c r="B835" s="119">
        <v>5</v>
      </c>
      <c r="C835" s="90" t="s">
        <v>2261</v>
      </c>
      <c r="D835" s="90" t="s">
        <v>78</v>
      </c>
      <c r="E835">
        <v>1662</v>
      </c>
      <c r="F835">
        <v>1663</v>
      </c>
      <c r="G835" s="93" t="s">
        <v>78</v>
      </c>
      <c r="H835" t="s">
        <v>109</v>
      </c>
      <c r="I835">
        <v>1</v>
      </c>
      <c r="J835">
        <v>290.63</v>
      </c>
      <c r="K835">
        <f>I835*J835</f>
        <v>290.63</v>
      </c>
      <c r="L835">
        <v>40</v>
      </c>
      <c r="M835">
        <f>(1-(L835/100))*K835</f>
        <v>174.37799999999999</v>
      </c>
      <c r="N835" s="90">
        <v>835</v>
      </c>
      <c r="O835" s="90" t="s">
        <v>749</v>
      </c>
      <c r="P835" s="118"/>
      <c r="Q835" s="118"/>
    </row>
    <row r="836" spans="1:21" x14ac:dyDescent="0.25">
      <c r="A836" s="90" t="s">
        <v>2264</v>
      </c>
      <c r="B836" s="119">
        <v>5</v>
      </c>
      <c r="C836" s="90" t="s">
        <v>2261</v>
      </c>
      <c r="D836" s="90" t="s">
        <v>79</v>
      </c>
      <c r="E836">
        <v>1664</v>
      </c>
      <c r="F836">
        <v>1665</v>
      </c>
      <c r="G836" s="93" t="s">
        <v>78</v>
      </c>
      <c r="H836" t="s">
        <v>110</v>
      </c>
      <c r="I836">
        <v>1</v>
      </c>
      <c r="J836">
        <v>297</v>
      </c>
      <c r="K836">
        <f>I836*J836</f>
        <v>297</v>
      </c>
      <c r="L836">
        <v>40</v>
      </c>
      <c r="M836">
        <f>(1-(L836/100))*K836</f>
        <v>178.2</v>
      </c>
      <c r="N836" s="90">
        <v>836</v>
      </c>
      <c r="O836" s="90" t="s">
        <v>750</v>
      </c>
      <c r="P836" s="118"/>
      <c r="Q836" s="118"/>
    </row>
    <row r="837" spans="1:21" x14ac:dyDescent="0.25">
      <c r="A837" s="90" t="s">
        <v>2265</v>
      </c>
      <c r="B837" s="119">
        <v>4</v>
      </c>
      <c r="C837" s="90" t="s">
        <v>2245</v>
      </c>
      <c r="D837" s="90" t="s">
        <v>797</v>
      </c>
      <c r="E837">
        <v>1667</v>
      </c>
      <c r="F837">
        <v>1670</v>
      </c>
      <c r="G837" s="93" t="s">
        <v>68</v>
      </c>
      <c r="H837" t="s">
        <v>1266</v>
      </c>
      <c r="I837">
        <v>1</v>
      </c>
      <c r="J837">
        <f>SUM(K838)</f>
        <v>9312.3647013900008</v>
      </c>
      <c r="K837">
        <f>I837*J837</f>
        <v>9312.3647013900008</v>
      </c>
      <c r="L837">
        <f>100*(1-(M837/K837))</f>
        <v>40</v>
      </c>
      <c r="M837">
        <f>I837*SUM(M838)</f>
        <v>5587.4188208340001</v>
      </c>
      <c r="N837" s="90">
        <v>837</v>
      </c>
      <c r="O837" s="90" t="s">
        <v>751</v>
      </c>
      <c r="P837" s="118"/>
      <c r="Q837" s="118"/>
      <c r="R837" s="90" t="s">
        <v>815</v>
      </c>
      <c r="S837" s="90" t="s">
        <v>888</v>
      </c>
      <c r="T837" s="90" t="s">
        <v>945</v>
      </c>
      <c r="U837" s="90" t="s">
        <v>844</v>
      </c>
    </row>
    <row r="838" spans="1:21" x14ac:dyDescent="0.25">
      <c r="A838" s="90" t="s">
        <v>2266</v>
      </c>
      <c r="B838" s="119">
        <v>5</v>
      </c>
      <c r="C838" s="90" t="s">
        <v>2265</v>
      </c>
      <c r="D838" s="90" t="s">
        <v>78</v>
      </c>
      <c r="E838">
        <v>1668</v>
      </c>
      <c r="F838">
        <v>1669</v>
      </c>
      <c r="G838" s="93" t="s">
        <v>78</v>
      </c>
      <c r="H838" t="s">
        <v>1269</v>
      </c>
      <c r="I838">
        <v>1</v>
      </c>
      <c r="J838">
        <v>9312.3647013900008</v>
      </c>
      <c r="K838">
        <f>I838*J838</f>
        <v>9312.3647013900008</v>
      </c>
      <c r="L838">
        <v>40</v>
      </c>
      <c r="M838">
        <f>(1-(L838/100))*K838</f>
        <v>5587.4188208340001</v>
      </c>
      <c r="N838" s="90">
        <v>838</v>
      </c>
      <c r="O838" s="90" t="s">
        <v>752</v>
      </c>
      <c r="P838" s="118"/>
      <c r="Q838" s="118"/>
    </row>
    <row r="839" spans="1:21" x14ac:dyDescent="0.25">
      <c r="A839" s="90" t="s">
        <v>2267</v>
      </c>
      <c r="B839" s="119">
        <v>4</v>
      </c>
      <c r="C839" s="90" t="s">
        <v>2245</v>
      </c>
      <c r="D839" s="90" t="s">
        <v>798</v>
      </c>
      <c r="E839">
        <v>1671</v>
      </c>
      <c r="F839">
        <v>1674</v>
      </c>
      <c r="G839" s="93" t="s">
        <v>68</v>
      </c>
      <c r="H839" t="s">
        <v>1638</v>
      </c>
      <c r="I839">
        <v>1</v>
      </c>
      <c r="J839">
        <f>SUM(K840)</f>
        <v>1980.13</v>
      </c>
      <c r="K839">
        <f>I839*J839</f>
        <v>1980.13</v>
      </c>
      <c r="L839">
        <f>100*(1-(M839/K839))</f>
        <v>40</v>
      </c>
      <c r="M839">
        <f>I839*SUM(M840)</f>
        <v>1188.078</v>
      </c>
      <c r="N839" s="90">
        <v>839</v>
      </c>
      <c r="O839" s="90" t="s">
        <v>753</v>
      </c>
      <c r="P839" s="118"/>
      <c r="Q839" s="118"/>
      <c r="R839" s="90" t="s">
        <v>4327</v>
      </c>
      <c r="S839" s="90" t="s">
        <v>889</v>
      </c>
      <c r="T839" s="90" t="s">
        <v>946</v>
      </c>
      <c r="U839" s="90" t="s">
        <v>4867</v>
      </c>
    </row>
    <row r="840" spans="1:21" x14ac:dyDescent="0.25">
      <c r="A840" s="90" t="s">
        <v>2268</v>
      </c>
      <c r="B840" s="119">
        <v>5</v>
      </c>
      <c r="C840" s="90" t="s">
        <v>2267</v>
      </c>
      <c r="D840" s="90" t="s">
        <v>78</v>
      </c>
      <c r="E840">
        <v>1672</v>
      </c>
      <c r="F840">
        <v>1673</v>
      </c>
      <c r="G840" s="93" t="s">
        <v>78</v>
      </c>
      <c r="H840" t="s">
        <v>1638</v>
      </c>
      <c r="I840">
        <v>1</v>
      </c>
      <c r="J840">
        <v>1980.13</v>
      </c>
      <c r="K840">
        <f>I840*J840</f>
        <v>1980.13</v>
      </c>
      <c r="L840">
        <v>40</v>
      </c>
      <c r="M840">
        <f>(1-(L840/100))*K840</f>
        <v>1188.078</v>
      </c>
      <c r="N840" s="90">
        <v>840</v>
      </c>
      <c r="O840" s="90" t="s">
        <v>754</v>
      </c>
      <c r="P840" s="118"/>
      <c r="Q840" s="118"/>
    </row>
    <row r="841" spans="1:21" x14ac:dyDescent="0.25">
      <c r="A841" s="90" t="s">
        <v>2269</v>
      </c>
      <c r="B841" s="119">
        <v>4</v>
      </c>
      <c r="C841" s="90" t="s">
        <v>2245</v>
      </c>
      <c r="D841" s="90" t="s">
        <v>799</v>
      </c>
      <c r="E841">
        <v>1675</v>
      </c>
      <c r="F841">
        <v>1678</v>
      </c>
      <c r="G841" s="93" t="s">
        <v>68</v>
      </c>
      <c r="H841" t="s">
        <v>1272</v>
      </c>
      <c r="I841">
        <v>2</v>
      </c>
      <c r="J841">
        <f>SUM(K842)</f>
        <v>1308.5572392700001</v>
      </c>
      <c r="K841">
        <f>I841*J841</f>
        <v>2617.1144785400002</v>
      </c>
      <c r="L841">
        <f>100*(1-(M841/K841))</f>
        <v>40</v>
      </c>
      <c r="M841">
        <f>I841*SUM(M842)</f>
        <v>1570.2686871240001</v>
      </c>
      <c r="N841" s="90">
        <v>841</v>
      </c>
      <c r="O841" s="90" t="s">
        <v>755</v>
      </c>
      <c r="P841" s="118"/>
      <c r="Q841" s="118"/>
      <c r="R841" s="90" t="s">
        <v>4317</v>
      </c>
      <c r="S841" s="90" t="s">
        <v>5389</v>
      </c>
      <c r="T841" s="90" t="s">
        <v>5887</v>
      </c>
      <c r="U841" s="90" t="s">
        <v>4857</v>
      </c>
    </row>
    <row r="842" spans="1:21" x14ac:dyDescent="0.25">
      <c r="A842" s="90" t="s">
        <v>2270</v>
      </c>
      <c r="B842" s="119">
        <v>5</v>
      </c>
      <c r="C842" s="90" t="s">
        <v>2269</v>
      </c>
      <c r="D842" s="90" t="s">
        <v>78</v>
      </c>
      <c r="E842">
        <v>1676</v>
      </c>
      <c r="F842">
        <v>1677</v>
      </c>
      <c r="G842" s="93" t="s">
        <v>78</v>
      </c>
      <c r="H842" t="s">
        <v>1272</v>
      </c>
      <c r="I842">
        <v>1</v>
      </c>
      <c r="J842">
        <v>1308.5572392700001</v>
      </c>
      <c r="K842">
        <f>I842*J842</f>
        <v>1308.5572392700001</v>
      </c>
      <c r="L842">
        <v>40</v>
      </c>
      <c r="M842">
        <f>(1-(L842/100))*K842</f>
        <v>785.13434356200003</v>
      </c>
      <c r="N842" s="90">
        <v>842</v>
      </c>
      <c r="O842" s="90" t="s">
        <v>756</v>
      </c>
      <c r="P842" s="118"/>
      <c r="Q842" s="118"/>
    </row>
    <row r="843" spans="1:21" x14ac:dyDescent="0.25">
      <c r="A843" s="90" t="s">
        <v>2271</v>
      </c>
      <c r="B843" s="119">
        <v>4</v>
      </c>
      <c r="C843" s="90" t="s">
        <v>2245</v>
      </c>
      <c r="D843" s="90" t="s">
        <v>97</v>
      </c>
      <c r="E843">
        <v>1679</v>
      </c>
      <c r="F843">
        <v>1692</v>
      </c>
      <c r="G843" s="93" t="s">
        <v>68</v>
      </c>
      <c r="H843" t="s">
        <v>2136</v>
      </c>
      <c r="I843">
        <v>1</v>
      </c>
      <c r="J843">
        <f>SUM(K844,K845,K846,K847,K848,K849)</f>
        <v>4573.0039475400008</v>
      </c>
      <c r="K843">
        <f>I843*J843</f>
        <v>4573.0039475400008</v>
      </c>
      <c r="L843">
        <f>100*(1-(M843/K843))</f>
        <v>40</v>
      </c>
      <c r="M843">
        <f>I843*SUM(M844,M845,M846,M847,M848,M849)</f>
        <v>2743.8023685240005</v>
      </c>
      <c r="N843" s="90">
        <v>843</v>
      </c>
      <c r="O843" s="90" t="s">
        <v>757</v>
      </c>
      <c r="P843" s="118"/>
      <c r="Q843" s="118"/>
      <c r="R843" s="90" t="s">
        <v>4318</v>
      </c>
      <c r="S843" s="90" t="s">
        <v>5390</v>
      </c>
      <c r="T843" s="90" t="s">
        <v>5888</v>
      </c>
      <c r="U843" s="90" t="s">
        <v>4858</v>
      </c>
    </row>
    <row r="844" spans="1:21" x14ac:dyDescent="0.25">
      <c r="A844" s="90" t="s">
        <v>2272</v>
      </c>
      <c r="B844" s="119">
        <v>5</v>
      </c>
      <c r="C844" s="90" t="s">
        <v>2271</v>
      </c>
      <c r="D844" s="90" t="s">
        <v>78</v>
      </c>
      <c r="E844">
        <v>1680</v>
      </c>
      <c r="F844">
        <v>1681</v>
      </c>
      <c r="G844" s="93" t="s">
        <v>78</v>
      </c>
      <c r="H844" t="s">
        <v>139</v>
      </c>
      <c r="I844">
        <v>1</v>
      </c>
      <c r="J844">
        <v>2631.3510760200002</v>
      </c>
      <c r="K844">
        <f>I844*J844</f>
        <v>2631.3510760200002</v>
      </c>
      <c r="L844">
        <v>40</v>
      </c>
      <c r="M844">
        <f>(1-(L844/100))*K844</f>
        <v>1578.8106456120001</v>
      </c>
      <c r="N844" s="90">
        <v>844</v>
      </c>
      <c r="O844" s="90" t="s">
        <v>758</v>
      </c>
      <c r="P844" s="118"/>
      <c r="Q844" s="118"/>
    </row>
    <row r="845" spans="1:21" x14ac:dyDescent="0.25">
      <c r="A845" s="90" t="s">
        <v>2273</v>
      </c>
      <c r="B845" s="119">
        <v>5</v>
      </c>
      <c r="C845" s="90" t="s">
        <v>2271</v>
      </c>
      <c r="D845" s="90" t="s">
        <v>79</v>
      </c>
      <c r="E845">
        <v>1682</v>
      </c>
      <c r="F845">
        <v>1683</v>
      </c>
      <c r="G845" s="93" t="s">
        <v>78</v>
      </c>
      <c r="H845" t="s">
        <v>126</v>
      </c>
      <c r="I845">
        <v>1</v>
      </c>
      <c r="J845">
        <v>491.93938622000002</v>
      </c>
      <c r="K845">
        <f>I845*J845</f>
        <v>491.93938622000002</v>
      </c>
      <c r="L845">
        <v>40</v>
      </c>
      <c r="M845">
        <f>(1-(L845/100))*K845</f>
        <v>295.163631732</v>
      </c>
      <c r="N845" s="90">
        <v>845</v>
      </c>
      <c r="O845" s="90" t="s">
        <v>759</v>
      </c>
      <c r="P845" s="118"/>
      <c r="Q845" s="118"/>
    </row>
    <row r="846" spans="1:21" x14ac:dyDescent="0.25">
      <c r="A846" s="90" t="s">
        <v>2274</v>
      </c>
      <c r="B846" s="119">
        <v>5</v>
      </c>
      <c r="C846" s="90" t="s">
        <v>2271</v>
      </c>
      <c r="D846" s="90" t="s">
        <v>80</v>
      </c>
      <c r="E846">
        <v>1684</v>
      </c>
      <c r="F846">
        <v>1685</v>
      </c>
      <c r="G846" s="93" t="s">
        <v>78</v>
      </c>
      <c r="H846" t="s">
        <v>137</v>
      </c>
      <c r="I846">
        <v>0</v>
      </c>
      <c r="J846">
        <v>36.08811919</v>
      </c>
      <c r="K846">
        <f>I846*J846</f>
        <v>0</v>
      </c>
      <c r="L846">
        <v>40</v>
      </c>
      <c r="M846">
        <f>(1-(L846/100))*K846</f>
        <v>0</v>
      </c>
      <c r="N846" s="90">
        <v>846</v>
      </c>
      <c r="O846" s="90" t="s">
        <v>760</v>
      </c>
      <c r="P846" s="118"/>
      <c r="Q846" s="118"/>
    </row>
    <row r="847" spans="1:21" x14ac:dyDescent="0.25">
      <c r="A847" s="90" t="s">
        <v>2275</v>
      </c>
      <c r="B847" s="119">
        <v>5</v>
      </c>
      <c r="C847" s="90" t="s">
        <v>2271</v>
      </c>
      <c r="D847" s="90" t="s">
        <v>95</v>
      </c>
      <c r="E847">
        <v>1686</v>
      </c>
      <c r="F847">
        <v>1687</v>
      </c>
      <c r="G847" s="93" t="s">
        <v>78</v>
      </c>
      <c r="H847" t="s">
        <v>123</v>
      </c>
      <c r="I847">
        <v>2</v>
      </c>
      <c r="J847">
        <v>313.76543995999998</v>
      </c>
      <c r="K847">
        <f>I847*J847</f>
        <v>627.53087991999996</v>
      </c>
      <c r="L847">
        <v>40</v>
      </c>
      <c r="M847">
        <f>(1-(L847/100))*K847</f>
        <v>376.51852795199994</v>
      </c>
      <c r="N847" s="90">
        <v>847</v>
      </c>
      <c r="O847" s="90" t="s">
        <v>761</v>
      </c>
      <c r="P847" s="118"/>
      <c r="Q847" s="118"/>
    </row>
    <row r="848" spans="1:21" x14ac:dyDescent="0.25">
      <c r="A848" s="90" t="s">
        <v>2276</v>
      </c>
      <c r="B848" s="119">
        <v>5</v>
      </c>
      <c r="C848" s="90" t="s">
        <v>2271</v>
      </c>
      <c r="D848" s="90" t="s">
        <v>96</v>
      </c>
      <c r="E848">
        <v>1688</v>
      </c>
      <c r="F848">
        <v>1689</v>
      </c>
      <c r="G848" s="93" t="s">
        <v>78</v>
      </c>
      <c r="H848" t="s">
        <v>119</v>
      </c>
      <c r="I848">
        <v>1</v>
      </c>
      <c r="J848">
        <v>594.85546925000006</v>
      </c>
      <c r="K848">
        <f>I848*J848</f>
        <v>594.85546925000006</v>
      </c>
      <c r="L848">
        <v>40</v>
      </c>
      <c r="M848">
        <f>(1-(L848/100))*K848</f>
        <v>356.91328155000002</v>
      </c>
      <c r="N848" s="90">
        <v>848</v>
      </c>
      <c r="O848" s="90" t="s">
        <v>762</v>
      </c>
      <c r="P848" s="118"/>
      <c r="Q848" s="118"/>
    </row>
    <row r="849" spans="1:21" x14ac:dyDescent="0.25">
      <c r="A849" s="90" t="s">
        <v>2277</v>
      </c>
      <c r="B849" s="119">
        <v>5</v>
      </c>
      <c r="C849" s="90" t="s">
        <v>2271</v>
      </c>
      <c r="D849" s="90" t="s">
        <v>103</v>
      </c>
      <c r="E849">
        <v>1690</v>
      </c>
      <c r="F849">
        <v>1691</v>
      </c>
      <c r="G849" s="93" t="s">
        <v>78</v>
      </c>
      <c r="H849" t="s">
        <v>138</v>
      </c>
      <c r="I849">
        <v>1</v>
      </c>
      <c r="J849">
        <v>227.32713613000001</v>
      </c>
      <c r="K849">
        <f>I849*J849</f>
        <v>227.32713613000001</v>
      </c>
      <c r="L849">
        <v>40</v>
      </c>
      <c r="M849">
        <f>(1-(L849/100))*K849</f>
        <v>136.39628167800001</v>
      </c>
      <c r="N849" s="90">
        <v>849</v>
      </c>
      <c r="O849" s="90" t="s">
        <v>763</v>
      </c>
      <c r="P849" s="118"/>
      <c r="Q849" s="118"/>
    </row>
    <row r="850" spans="1:21" x14ac:dyDescent="0.25">
      <c r="A850" s="90" t="s">
        <v>2278</v>
      </c>
      <c r="B850" s="119">
        <v>4</v>
      </c>
      <c r="C850" s="90" t="s">
        <v>2245</v>
      </c>
      <c r="D850" s="90" t="s">
        <v>98</v>
      </c>
      <c r="E850">
        <v>1693</v>
      </c>
      <c r="F850">
        <v>1696</v>
      </c>
      <c r="G850" s="93" t="s">
        <v>68</v>
      </c>
      <c r="H850" t="s">
        <v>1714</v>
      </c>
      <c r="I850">
        <v>2</v>
      </c>
      <c r="J850">
        <f>SUM(K851)</f>
        <v>5389.0233031999996</v>
      </c>
      <c r="K850">
        <f>I850*J850</f>
        <v>10778.046606399999</v>
      </c>
      <c r="L850">
        <f>100*(1-(M850/K850))</f>
        <v>40</v>
      </c>
      <c r="M850">
        <f>I850*SUM(M851)</f>
        <v>6466.827963839999</v>
      </c>
      <c r="N850" s="90">
        <v>850</v>
      </c>
      <c r="O850" s="90" t="s">
        <v>764</v>
      </c>
      <c r="P850" s="118"/>
      <c r="Q850" s="118"/>
      <c r="R850" s="90" t="s">
        <v>4319</v>
      </c>
      <c r="S850" s="90" t="s">
        <v>5391</v>
      </c>
      <c r="T850" s="90" t="s">
        <v>5889</v>
      </c>
      <c r="U850" s="90" t="s">
        <v>4859</v>
      </c>
    </row>
    <row r="851" spans="1:21" x14ac:dyDescent="0.25">
      <c r="A851" s="90" t="s">
        <v>2279</v>
      </c>
      <c r="B851" s="119">
        <v>5</v>
      </c>
      <c r="C851" s="90" t="s">
        <v>2278</v>
      </c>
      <c r="D851" s="90" t="s">
        <v>78</v>
      </c>
      <c r="E851">
        <v>1694</v>
      </c>
      <c r="F851">
        <v>1695</v>
      </c>
      <c r="G851" s="93" t="s">
        <v>78</v>
      </c>
      <c r="H851" t="s">
        <v>1714</v>
      </c>
      <c r="I851">
        <v>1</v>
      </c>
      <c r="J851">
        <v>5389.0233031999996</v>
      </c>
      <c r="K851">
        <f>I851*J851</f>
        <v>5389.0233031999996</v>
      </c>
      <c r="L851">
        <v>40</v>
      </c>
      <c r="M851">
        <f>(1-(L851/100))*K851</f>
        <v>3233.4139819199995</v>
      </c>
      <c r="N851" s="90">
        <v>851</v>
      </c>
      <c r="O851" s="90" t="s">
        <v>765</v>
      </c>
      <c r="P851" s="118"/>
      <c r="Q851" s="118"/>
    </row>
    <row r="852" spans="1:21" x14ac:dyDescent="0.25">
      <c r="A852" s="90" t="s">
        <v>2280</v>
      </c>
      <c r="B852" s="119">
        <v>4</v>
      </c>
      <c r="C852" s="90" t="s">
        <v>2245</v>
      </c>
      <c r="D852" s="90" t="s">
        <v>99</v>
      </c>
      <c r="E852">
        <v>1697</v>
      </c>
      <c r="F852">
        <v>1700</v>
      </c>
      <c r="G852" s="93" t="s">
        <v>68</v>
      </c>
      <c r="H852" t="s">
        <v>1509</v>
      </c>
      <c r="I852">
        <v>2</v>
      </c>
      <c r="J852">
        <f>SUM(K853)</f>
        <v>3300</v>
      </c>
      <c r="K852">
        <f>I852*J852</f>
        <v>6600</v>
      </c>
      <c r="L852">
        <f>100*(1-(M852/K852))</f>
        <v>40</v>
      </c>
      <c r="M852">
        <f>I852*SUM(M853)</f>
        <v>3960</v>
      </c>
      <c r="N852" s="90">
        <v>852</v>
      </c>
      <c r="O852" s="90" t="s">
        <v>766</v>
      </c>
      <c r="P852" s="118"/>
      <c r="Q852" s="118"/>
      <c r="R852" s="90" t="s">
        <v>4320</v>
      </c>
      <c r="S852" s="90" t="s">
        <v>5392</v>
      </c>
      <c r="T852" s="90" t="s">
        <v>5890</v>
      </c>
      <c r="U852" s="90" t="s">
        <v>4860</v>
      </c>
    </row>
    <row r="853" spans="1:21" x14ac:dyDescent="0.25">
      <c r="A853" s="90" t="s">
        <v>2281</v>
      </c>
      <c r="B853" s="119">
        <v>5</v>
      </c>
      <c r="C853" s="90" t="s">
        <v>2280</v>
      </c>
      <c r="D853" s="90" t="s">
        <v>78</v>
      </c>
      <c r="E853">
        <v>1698</v>
      </c>
      <c r="F853">
        <v>1699</v>
      </c>
      <c r="G853" s="93" t="s">
        <v>78</v>
      </c>
      <c r="H853" t="s">
        <v>1509</v>
      </c>
      <c r="I853">
        <v>1</v>
      </c>
      <c r="J853">
        <v>3300</v>
      </c>
      <c r="K853">
        <f>I853*J853</f>
        <v>3300</v>
      </c>
      <c r="L853">
        <v>40</v>
      </c>
      <c r="M853">
        <f>(1-(L853/100))*K853</f>
        <v>1980</v>
      </c>
      <c r="N853" s="90">
        <v>853</v>
      </c>
      <c r="O853" s="90" t="s">
        <v>767</v>
      </c>
      <c r="P853" s="118"/>
      <c r="Q853" s="118"/>
    </row>
    <row r="854" spans="1:21" x14ac:dyDescent="0.25">
      <c r="A854" s="90" t="s">
        <v>2282</v>
      </c>
      <c r="B854" s="119">
        <v>3</v>
      </c>
      <c r="C854" s="90" t="s">
        <v>2243</v>
      </c>
      <c r="D854" s="90" t="s">
        <v>79</v>
      </c>
      <c r="E854">
        <v>1702</v>
      </c>
      <c r="F854">
        <v>1715</v>
      </c>
      <c r="G854" s="93" t="s">
        <v>68</v>
      </c>
      <c r="H854" t="s">
        <v>2283</v>
      </c>
      <c r="I854">
        <v>1</v>
      </c>
      <c r="J854">
        <f>SUM(K855)</f>
        <v>6588.4757417500005</v>
      </c>
      <c r="K854">
        <f>I854*J854</f>
        <v>6588.4757417500005</v>
      </c>
      <c r="L854">
        <f>100*(1-(M854/K854))</f>
        <v>40</v>
      </c>
      <c r="M854">
        <f>I854*SUM(M855)</f>
        <v>3953.0854450500001</v>
      </c>
      <c r="N854" s="90">
        <v>854</v>
      </c>
      <c r="O854" s="90" t="s">
        <v>768</v>
      </c>
      <c r="P854" s="118"/>
      <c r="Q854" s="118"/>
      <c r="R854" s="90" t="s">
        <v>6926</v>
      </c>
      <c r="S854" s="90" t="s">
        <v>7023</v>
      </c>
      <c r="T854" s="90" t="s">
        <v>7069</v>
      </c>
      <c r="U854" s="90" t="s">
        <v>6975</v>
      </c>
    </row>
    <row r="855" spans="1:21" x14ac:dyDescent="0.25">
      <c r="A855" s="90" t="s">
        <v>2284</v>
      </c>
      <c r="B855" s="119">
        <v>4</v>
      </c>
      <c r="C855" s="90" t="s">
        <v>2282</v>
      </c>
      <c r="D855" s="90" t="s">
        <v>78</v>
      </c>
      <c r="E855">
        <v>1703</v>
      </c>
      <c r="F855">
        <v>1714</v>
      </c>
      <c r="G855" s="93" t="s">
        <v>68</v>
      </c>
      <c r="H855" t="s">
        <v>2150</v>
      </c>
      <c r="I855">
        <v>1</v>
      </c>
      <c r="J855">
        <f>SUM(K856)</f>
        <v>6588.4757417500005</v>
      </c>
      <c r="K855">
        <f>I855*J855</f>
        <v>6588.4757417500005</v>
      </c>
      <c r="L855">
        <f>100*(1-(M855/K855))</f>
        <v>40</v>
      </c>
      <c r="M855">
        <f>I855*SUM(M856)</f>
        <v>3953.0854450500001</v>
      </c>
      <c r="N855" s="90">
        <v>855</v>
      </c>
      <c r="O855" s="90" t="s">
        <v>769</v>
      </c>
      <c r="P855" s="118"/>
      <c r="Q855" s="118"/>
      <c r="R855" s="90" t="s">
        <v>6348</v>
      </c>
      <c r="S855" s="90" t="s">
        <v>6651</v>
      </c>
      <c r="T855" s="90" t="s">
        <v>6796</v>
      </c>
      <c r="U855" s="90" t="s">
        <v>6500</v>
      </c>
    </row>
    <row r="856" spans="1:21" x14ac:dyDescent="0.25">
      <c r="A856" s="90" t="s">
        <v>2285</v>
      </c>
      <c r="B856" s="119">
        <v>5</v>
      </c>
      <c r="C856" s="90" t="s">
        <v>2284</v>
      </c>
      <c r="D856" s="90" t="s">
        <v>78</v>
      </c>
      <c r="E856">
        <v>1704</v>
      </c>
      <c r="F856">
        <v>1713</v>
      </c>
      <c r="G856" s="93" t="s">
        <v>68</v>
      </c>
      <c r="H856" t="s">
        <v>1397</v>
      </c>
      <c r="I856">
        <v>1</v>
      </c>
      <c r="J856">
        <f>SUM(K857,K858,K859,K860)</f>
        <v>6588.4757417500005</v>
      </c>
      <c r="K856">
        <f>I856*J856</f>
        <v>6588.4757417500005</v>
      </c>
      <c r="L856">
        <f>100*(1-(M856/K856))</f>
        <v>40</v>
      </c>
      <c r="M856">
        <f>I856*SUM(M857,M858,M859,M860)</f>
        <v>3953.0854450500001</v>
      </c>
      <c r="N856" s="90">
        <v>856</v>
      </c>
      <c r="O856" s="90" t="s">
        <v>770</v>
      </c>
      <c r="P856" s="118"/>
      <c r="Q856" s="118"/>
      <c r="R856" s="90" t="s">
        <v>4328</v>
      </c>
      <c r="S856" s="90" t="s">
        <v>5398</v>
      </c>
      <c r="T856" s="90" t="s">
        <v>5896</v>
      </c>
      <c r="U856" s="90" t="s">
        <v>4868</v>
      </c>
    </row>
    <row r="857" spans="1:21" x14ac:dyDescent="0.25">
      <c r="A857" s="90" t="s">
        <v>2286</v>
      </c>
      <c r="B857" s="119">
        <v>6</v>
      </c>
      <c r="C857" s="90" t="s">
        <v>2285</v>
      </c>
      <c r="D857" s="90" t="s">
        <v>78</v>
      </c>
      <c r="E857">
        <v>1705</v>
      </c>
      <c r="F857">
        <v>1706</v>
      </c>
      <c r="G857" s="93" t="s">
        <v>78</v>
      </c>
      <c r="H857" t="s">
        <v>120</v>
      </c>
      <c r="I857">
        <v>1</v>
      </c>
      <c r="J857">
        <v>967.93582071000003</v>
      </c>
      <c r="K857">
        <f>I857*J857</f>
        <v>967.93582071000003</v>
      </c>
      <c r="L857">
        <v>40</v>
      </c>
      <c r="M857">
        <f>(1-(L857/100))*K857</f>
        <v>580.76149242600002</v>
      </c>
      <c r="N857" s="90">
        <v>857</v>
      </c>
      <c r="O857" s="90" t="s">
        <v>2287</v>
      </c>
      <c r="P857" s="118"/>
      <c r="Q857" s="118"/>
    </row>
    <row r="858" spans="1:21" x14ac:dyDescent="0.25">
      <c r="A858" s="90" t="s">
        <v>2288</v>
      </c>
      <c r="B858" s="119">
        <v>6</v>
      </c>
      <c r="C858" s="90" t="s">
        <v>2285</v>
      </c>
      <c r="D858" s="90" t="s">
        <v>79</v>
      </c>
      <c r="E858">
        <v>1707</v>
      </c>
      <c r="F858">
        <v>1708</v>
      </c>
      <c r="G858" s="93" t="s">
        <v>78</v>
      </c>
      <c r="H858" t="s">
        <v>125</v>
      </c>
      <c r="I858">
        <v>1</v>
      </c>
      <c r="J858">
        <v>967.93582071000003</v>
      </c>
      <c r="K858">
        <f>I858*J858</f>
        <v>967.93582071000003</v>
      </c>
      <c r="L858">
        <v>40</v>
      </c>
      <c r="M858">
        <f>(1-(L858/100))*K858</f>
        <v>580.76149242600002</v>
      </c>
      <c r="N858" s="90">
        <v>858</v>
      </c>
      <c r="O858" s="90" t="s">
        <v>771</v>
      </c>
      <c r="P858" s="118"/>
      <c r="Q858" s="118"/>
    </row>
    <row r="859" spans="1:21" x14ac:dyDescent="0.25">
      <c r="A859" s="90" t="s">
        <v>2289</v>
      </c>
      <c r="B859" s="119">
        <v>6</v>
      </c>
      <c r="C859" s="90" t="s">
        <v>2285</v>
      </c>
      <c r="D859" s="90" t="s">
        <v>80</v>
      </c>
      <c r="E859">
        <v>1709</v>
      </c>
      <c r="F859">
        <v>1710</v>
      </c>
      <c r="G859" s="93" t="s">
        <v>78</v>
      </c>
      <c r="H859" t="s">
        <v>203</v>
      </c>
      <c r="I859">
        <v>1</v>
      </c>
      <c r="J859">
        <v>2064.00101872</v>
      </c>
      <c r="K859">
        <f>I859*J859</f>
        <v>2064.00101872</v>
      </c>
      <c r="L859">
        <v>40</v>
      </c>
      <c r="M859">
        <f>(1-(L859/100))*K859</f>
        <v>1238.4006112320001</v>
      </c>
      <c r="N859" s="90">
        <v>859</v>
      </c>
      <c r="O859" s="90" t="s">
        <v>772</v>
      </c>
      <c r="P859" s="118"/>
      <c r="Q859" s="118"/>
    </row>
    <row r="860" spans="1:21" x14ac:dyDescent="0.25">
      <c r="A860" s="90" t="s">
        <v>2290</v>
      </c>
      <c r="B860" s="119">
        <v>6</v>
      </c>
      <c r="C860" s="90" t="s">
        <v>2285</v>
      </c>
      <c r="D860" s="90" t="s">
        <v>95</v>
      </c>
      <c r="E860">
        <v>1711</v>
      </c>
      <c r="F860">
        <v>1712</v>
      </c>
      <c r="G860" s="93" t="s">
        <v>78</v>
      </c>
      <c r="H860" t="s">
        <v>191</v>
      </c>
      <c r="I860">
        <v>3</v>
      </c>
      <c r="J860">
        <v>862.86769387000004</v>
      </c>
      <c r="K860">
        <f>I860*J860</f>
        <v>2588.6030816100001</v>
      </c>
      <c r="L860">
        <v>40</v>
      </c>
      <c r="M860">
        <f>(1-(L860/100))*K860</f>
        <v>1553.161848966</v>
      </c>
      <c r="N860" s="90">
        <v>860</v>
      </c>
      <c r="O860" s="90" t="s">
        <v>773</v>
      </c>
      <c r="P860" s="118"/>
      <c r="Q860" s="118"/>
    </row>
    <row r="861" spans="1:21" x14ac:dyDescent="0.25">
      <c r="A861" s="90" t="s">
        <v>2291</v>
      </c>
      <c r="B861" s="119">
        <v>3</v>
      </c>
      <c r="C861" s="90" t="s">
        <v>2243</v>
      </c>
      <c r="D861" s="90" t="s">
        <v>80</v>
      </c>
      <c r="E861">
        <v>1716</v>
      </c>
      <c r="F861">
        <v>1739</v>
      </c>
      <c r="G861" s="93" t="s">
        <v>68</v>
      </c>
      <c r="H861" t="s">
        <v>2292</v>
      </c>
      <c r="I861">
        <v>1</v>
      </c>
      <c r="J861">
        <f>SUM(K862,K865,K867,K869,K871)</f>
        <v>13011.371921559999</v>
      </c>
      <c r="K861">
        <f>I861*J861</f>
        <v>13011.371921559999</v>
      </c>
      <c r="L861">
        <f>100*(1-(M861/K861))</f>
        <v>88</v>
      </c>
      <c r="M861">
        <f>I861*SUM(M862,M865,M867,M869,M871)</f>
        <v>1561.3646305871998</v>
      </c>
      <c r="N861" s="90">
        <v>861</v>
      </c>
      <c r="O861" s="90" t="s">
        <v>774</v>
      </c>
      <c r="P861" s="118"/>
      <c r="Q861" s="118"/>
      <c r="R861" s="90" t="s">
        <v>6349</v>
      </c>
      <c r="S861" s="90" t="s">
        <v>6652</v>
      </c>
      <c r="T861" s="90" t="s">
        <v>6797</v>
      </c>
      <c r="U861" s="90" t="s">
        <v>6501</v>
      </c>
    </row>
    <row r="862" spans="1:21" x14ac:dyDescent="0.25">
      <c r="A862" s="90" t="s">
        <v>2293</v>
      </c>
      <c r="B862" s="119">
        <v>4</v>
      </c>
      <c r="C862" s="90" t="s">
        <v>2291</v>
      </c>
      <c r="D862" s="90" t="s">
        <v>78</v>
      </c>
      <c r="E862">
        <v>1717</v>
      </c>
      <c r="F862">
        <v>1722</v>
      </c>
      <c r="G862" s="93" t="s">
        <v>68</v>
      </c>
      <c r="H862" t="s">
        <v>364</v>
      </c>
      <c r="I862">
        <v>1</v>
      </c>
      <c r="J862">
        <f>SUM(K863,K864)</f>
        <v>2292.1176620400001</v>
      </c>
      <c r="K862">
        <f>I862*J862</f>
        <v>2292.1176620400001</v>
      </c>
      <c r="L862">
        <f>100*(1-(M862/K862))</f>
        <v>88</v>
      </c>
      <c r="M862">
        <f>I862*SUM(M863,M864)</f>
        <v>275.05411944479999</v>
      </c>
      <c r="N862" s="90">
        <v>862</v>
      </c>
      <c r="O862" s="90" t="s">
        <v>775</v>
      </c>
      <c r="P862" s="118"/>
      <c r="Q862" s="118"/>
      <c r="R862" s="90" t="s">
        <v>4329</v>
      </c>
      <c r="S862" s="90" t="s">
        <v>1004</v>
      </c>
      <c r="T862" s="90" t="s">
        <v>1031</v>
      </c>
      <c r="U862" s="90" t="s">
        <v>4869</v>
      </c>
    </row>
    <row r="863" spans="1:21" x14ac:dyDescent="0.25">
      <c r="A863" s="90" t="s">
        <v>2294</v>
      </c>
      <c r="B863" s="119">
        <v>5</v>
      </c>
      <c r="C863" s="90" t="s">
        <v>2293</v>
      </c>
      <c r="D863" s="90" t="s">
        <v>78</v>
      </c>
      <c r="E863">
        <v>1718</v>
      </c>
      <c r="F863">
        <v>1719</v>
      </c>
      <c r="G863" s="93" t="s">
        <v>78</v>
      </c>
      <c r="H863" t="s">
        <v>366</v>
      </c>
      <c r="I863">
        <v>1</v>
      </c>
      <c r="J863">
        <v>509.35948044999998</v>
      </c>
      <c r="K863">
        <f>I863*J863</f>
        <v>509.35948044999998</v>
      </c>
      <c r="L863">
        <v>88</v>
      </c>
      <c r="M863">
        <f>(1-(L863/100))*K863</f>
        <v>61.123137653999997</v>
      </c>
      <c r="N863" s="90">
        <v>863</v>
      </c>
      <c r="O863" s="90" t="s">
        <v>2295</v>
      </c>
      <c r="P863" s="118"/>
      <c r="Q863" s="118"/>
    </row>
    <row r="864" spans="1:21" x14ac:dyDescent="0.25">
      <c r="A864" s="90" t="s">
        <v>2296</v>
      </c>
      <c r="B864" s="119">
        <v>5</v>
      </c>
      <c r="C864" s="90" t="s">
        <v>2293</v>
      </c>
      <c r="D864" s="90" t="s">
        <v>79</v>
      </c>
      <c r="E864">
        <v>1720</v>
      </c>
      <c r="F864">
        <v>1721</v>
      </c>
      <c r="G864" s="93" t="s">
        <v>78</v>
      </c>
      <c r="H864" t="s">
        <v>368</v>
      </c>
      <c r="I864">
        <v>1</v>
      </c>
      <c r="J864">
        <v>1782.75818159</v>
      </c>
      <c r="K864">
        <f>I864*J864</f>
        <v>1782.75818159</v>
      </c>
      <c r="L864">
        <v>88</v>
      </c>
      <c r="M864">
        <f>(1-(L864/100))*K864</f>
        <v>213.93098179079999</v>
      </c>
      <c r="N864" s="90">
        <v>864</v>
      </c>
      <c r="O864" s="90" t="s">
        <v>776</v>
      </c>
      <c r="P864" s="118"/>
      <c r="Q864" s="118"/>
    </row>
    <row r="865" spans="1:21" x14ac:dyDescent="0.25">
      <c r="A865" s="90" t="s">
        <v>2297</v>
      </c>
      <c r="B865" s="119">
        <v>4</v>
      </c>
      <c r="C865" s="90" t="s">
        <v>2291</v>
      </c>
      <c r="D865" s="90" t="s">
        <v>79</v>
      </c>
      <c r="E865">
        <v>1723</v>
      </c>
      <c r="F865">
        <v>1726</v>
      </c>
      <c r="G865" s="93" t="s">
        <v>68</v>
      </c>
      <c r="H865" t="s">
        <v>379</v>
      </c>
      <c r="I865">
        <v>1</v>
      </c>
      <c r="J865">
        <f>SUM(K866)</f>
        <v>303.06889087000002</v>
      </c>
      <c r="K865">
        <f>I865*J865</f>
        <v>303.06889087000002</v>
      </c>
      <c r="L865">
        <f>100*(1-(M865/K865))</f>
        <v>88</v>
      </c>
      <c r="M865">
        <f>I865*SUM(M866)</f>
        <v>36.368266904400002</v>
      </c>
      <c r="N865" s="90">
        <v>865</v>
      </c>
      <c r="O865" s="90" t="s">
        <v>777</v>
      </c>
      <c r="P865" s="118"/>
      <c r="Q865" s="118"/>
      <c r="R865" s="90" t="s">
        <v>816</v>
      </c>
      <c r="S865" s="90" t="s">
        <v>890</v>
      </c>
      <c r="T865" s="90" t="s">
        <v>947</v>
      </c>
      <c r="U865" s="90" t="s">
        <v>845</v>
      </c>
    </row>
    <row r="866" spans="1:21" x14ac:dyDescent="0.25">
      <c r="A866" s="90" t="s">
        <v>2298</v>
      </c>
      <c r="B866" s="119">
        <v>5</v>
      </c>
      <c r="C866" s="90" t="s">
        <v>2297</v>
      </c>
      <c r="D866" s="90" t="s">
        <v>78</v>
      </c>
      <c r="E866">
        <v>1724</v>
      </c>
      <c r="F866">
        <v>1725</v>
      </c>
      <c r="G866" s="93" t="s">
        <v>78</v>
      </c>
      <c r="H866" t="s">
        <v>381</v>
      </c>
      <c r="I866">
        <v>1</v>
      </c>
      <c r="J866">
        <v>303.06889087000002</v>
      </c>
      <c r="K866">
        <f>I866*J866</f>
        <v>303.06889087000002</v>
      </c>
      <c r="L866">
        <v>88</v>
      </c>
      <c r="M866">
        <f>(1-(L866/100))*K866</f>
        <v>36.368266904400002</v>
      </c>
      <c r="N866" s="90">
        <v>866</v>
      </c>
      <c r="O866" s="90" t="s">
        <v>778</v>
      </c>
      <c r="P866" s="118"/>
      <c r="Q866" s="118"/>
    </row>
    <row r="867" spans="1:21" x14ac:dyDescent="0.25">
      <c r="A867" s="90" t="s">
        <v>2299</v>
      </c>
      <c r="B867" s="119">
        <v>4</v>
      </c>
      <c r="C867" s="90" t="s">
        <v>2291</v>
      </c>
      <c r="D867" s="90" t="s">
        <v>80</v>
      </c>
      <c r="E867">
        <v>1727</v>
      </c>
      <c r="F867">
        <v>1730</v>
      </c>
      <c r="G867" s="93" t="s">
        <v>68</v>
      </c>
      <c r="H867" t="s">
        <v>399</v>
      </c>
      <c r="I867">
        <v>1</v>
      </c>
      <c r="J867">
        <f>SUM(K868)</f>
        <v>333.63045970000002</v>
      </c>
      <c r="K867">
        <f>I867*J867</f>
        <v>333.63045970000002</v>
      </c>
      <c r="L867">
        <f>100*(1-(M867/K867))</f>
        <v>88</v>
      </c>
      <c r="M867">
        <f>I867*SUM(M868)</f>
        <v>40.035655163999998</v>
      </c>
      <c r="N867" s="90">
        <v>867</v>
      </c>
      <c r="O867" s="90" t="s">
        <v>779</v>
      </c>
      <c r="P867" s="118"/>
      <c r="Q867" s="118"/>
      <c r="R867" s="90" t="s">
        <v>4330</v>
      </c>
      <c r="S867" s="90" t="s">
        <v>891</v>
      </c>
      <c r="T867" s="90" t="s">
        <v>948</v>
      </c>
      <c r="U867" s="90" t="s">
        <v>4870</v>
      </c>
    </row>
    <row r="868" spans="1:21" x14ac:dyDescent="0.25">
      <c r="A868" s="90" t="s">
        <v>2300</v>
      </c>
      <c r="B868" s="119">
        <v>5</v>
      </c>
      <c r="C868" s="90" t="s">
        <v>2299</v>
      </c>
      <c r="D868" s="90" t="s">
        <v>78</v>
      </c>
      <c r="E868">
        <v>1728</v>
      </c>
      <c r="F868">
        <v>1729</v>
      </c>
      <c r="G868" s="93" t="s">
        <v>78</v>
      </c>
      <c r="H868" t="s">
        <v>401</v>
      </c>
      <c r="I868">
        <v>1</v>
      </c>
      <c r="J868">
        <v>333.63045970000002</v>
      </c>
      <c r="K868">
        <f>I868*J868</f>
        <v>333.63045970000002</v>
      </c>
      <c r="L868">
        <v>88</v>
      </c>
      <c r="M868">
        <f>(1-(L868/100))*K868</f>
        <v>40.035655163999998</v>
      </c>
      <c r="N868" s="90">
        <v>868</v>
      </c>
      <c r="O868" s="90" t="s">
        <v>780</v>
      </c>
      <c r="P868" s="118"/>
      <c r="Q868" s="118"/>
    </row>
    <row r="869" spans="1:21" x14ac:dyDescent="0.25">
      <c r="A869" s="90" t="s">
        <v>2301</v>
      </c>
      <c r="B869" s="119">
        <v>4</v>
      </c>
      <c r="C869" s="90" t="s">
        <v>2291</v>
      </c>
      <c r="D869" s="90" t="s">
        <v>95</v>
      </c>
      <c r="E869">
        <v>1731</v>
      </c>
      <c r="F869">
        <v>1734</v>
      </c>
      <c r="G869" s="93" t="s">
        <v>68</v>
      </c>
      <c r="H869" t="s">
        <v>383</v>
      </c>
      <c r="I869">
        <v>1</v>
      </c>
      <c r="J869">
        <f>SUM(K870)</f>
        <v>1069.6549089499999</v>
      </c>
      <c r="K869">
        <f>I869*J869</f>
        <v>1069.6549089499999</v>
      </c>
      <c r="L869">
        <f>100*(1-(M869/K869))</f>
        <v>88</v>
      </c>
      <c r="M869">
        <f>I869*SUM(M870)</f>
        <v>128.35858907399998</v>
      </c>
      <c r="N869" s="90">
        <v>869</v>
      </c>
      <c r="O869" s="90" t="s">
        <v>781</v>
      </c>
      <c r="P869" s="118"/>
      <c r="Q869" s="118"/>
      <c r="R869" s="90" t="s">
        <v>4331</v>
      </c>
      <c r="S869" s="90" t="s">
        <v>5399</v>
      </c>
      <c r="T869" s="90" t="s">
        <v>5897</v>
      </c>
      <c r="U869" s="90" t="s">
        <v>4871</v>
      </c>
    </row>
    <row r="870" spans="1:21" x14ac:dyDescent="0.25">
      <c r="A870" s="90" t="s">
        <v>2302</v>
      </c>
      <c r="B870" s="119">
        <v>5</v>
      </c>
      <c r="C870" s="90" t="s">
        <v>2301</v>
      </c>
      <c r="D870" s="90" t="s">
        <v>78</v>
      </c>
      <c r="E870">
        <v>1732</v>
      </c>
      <c r="F870">
        <v>1733</v>
      </c>
      <c r="G870" s="93" t="s">
        <v>78</v>
      </c>
      <c r="H870" t="s">
        <v>385</v>
      </c>
      <c r="I870">
        <v>1</v>
      </c>
      <c r="J870">
        <v>1069.6549089499999</v>
      </c>
      <c r="K870">
        <f>I870*J870</f>
        <v>1069.6549089499999</v>
      </c>
      <c r="L870">
        <v>88</v>
      </c>
      <c r="M870">
        <f>(1-(L870/100))*K870</f>
        <v>128.35858907399998</v>
      </c>
      <c r="N870" s="90">
        <v>870</v>
      </c>
      <c r="O870" s="90" t="s">
        <v>782</v>
      </c>
      <c r="P870" s="118"/>
      <c r="Q870" s="118"/>
    </row>
    <row r="871" spans="1:21" x14ac:dyDescent="0.25">
      <c r="A871" s="90" t="s">
        <v>2303</v>
      </c>
      <c r="B871" s="119">
        <v>4</v>
      </c>
      <c r="C871" s="90" t="s">
        <v>2291</v>
      </c>
      <c r="D871" s="90" t="s">
        <v>96</v>
      </c>
      <c r="E871">
        <v>1735</v>
      </c>
      <c r="F871">
        <v>1738</v>
      </c>
      <c r="G871" s="93" t="s">
        <v>68</v>
      </c>
      <c r="H871" t="s">
        <v>387</v>
      </c>
      <c r="I871">
        <v>1</v>
      </c>
      <c r="J871">
        <f>SUM(K872)</f>
        <v>9012.9</v>
      </c>
      <c r="K871">
        <f>I871*J871</f>
        <v>9012.9</v>
      </c>
      <c r="L871">
        <f>100*(1-(M871/K871))</f>
        <v>88</v>
      </c>
      <c r="M871">
        <f>I871*SUM(M872)</f>
        <v>1081.548</v>
      </c>
      <c r="N871" s="90">
        <v>871</v>
      </c>
      <c r="O871" s="90" t="s">
        <v>783</v>
      </c>
      <c r="P871" s="118"/>
      <c r="Q871" s="118"/>
      <c r="R871" s="90" t="s">
        <v>4332</v>
      </c>
      <c r="S871" s="90" t="s">
        <v>5400</v>
      </c>
      <c r="T871" s="90" t="s">
        <v>5898</v>
      </c>
      <c r="U871" s="90" t="s">
        <v>4872</v>
      </c>
    </row>
    <row r="872" spans="1:21" x14ac:dyDescent="0.25">
      <c r="A872" s="90" t="s">
        <v>2304</v>
      </c>
      <c r="B872" s="119">
        <v>5</v>
      </c>
      <c r="C872" s="90" t="s">
        <v>2303</v>
      </c>
      <c r="D872" s="90" t="s">
        <v>78</v>
      </c>
      <c r="E872">
        <v>1736</v>
      </c>
      <c r="F872">
        <v>1737</v>
      </c>
      <c r="G872" s="93" t="s">
        <v>78</v>
      </c>
      <c r="H872" t="s">
        <v>389</v>
      </c>
      <c r="I872">
        <v>1</v>
      </c>
      <c r="J872">
        <v>9012.9</v>
      </c>
      <c r="K872">
        <f>I872*J872</f>
        <v>9012.9</v>
      </c>
      <c r="L872">
        <v>88</v>
      </c>
      <c r="M872">
        <f>(1-(L872/100))*K872</f>
        <v>1081.548</v>
      </c>
      <c r="N872" s="90">
        <v>872</v>
      </c>
      <c r="O872" s="90" t="s">
        <v>784</v>
      </c>
      <c r="P872" s="118"/>
      <c r="Q872" s="118"/>
    </row>
    <row r="873" spans="1:21" x14ac:dyDescent="0.25">
      <c r="A873" s="90" t="s">
        <v>2305</v>
      </c>
      <c r="B873" s="119">
        <v>2</v>
      </c>
      <c r="C873" s="90" t="s">
        <v>78</v>
      </c>
      <c r="D873" s="90" t="s">
        <v>100</v>
      </c>
      <c r="E873">
        <v>1741</v>
      </c>
      <c r="F873">
        <v>1848</v>
      </c>
      <c r="G873" s="93" t="s">
        <v>68</v>
      </c>
      <c r="H873" t="s">
        <v>2306</v>
      </c>
      <c r="I873">
        <v>1</v>
      </c>
      <c r="J873">
        <f>SUM(K874,K907,K915)</f>
        <v>65436.473956469999</v>
      </c>
      <c r="K873">
        <f>I873*J873</f>
        <v>65436.473956469999</v>
      </c>
      <c r="L873">
        <f>100*(1-(M873/K873))</f>
        <v>49.544307852686927</v>
      </c>
      <c r="M873">
        <f>I873*SUM(M874,M907,M915)</f>
        <v>33016.425851533197</v>
      </c>
      <c r="N873" s="90">
        <v>873</v>
      </c>
      <c r="O873" s="90" t="s">
        <v>785</v>
      </c>
      <c r="P873" s="118"/>
      <c r="Q873" s="118"/>
      <c r="R873" s="90" t="s">
        <v>6927</v>
      </c>
      <c r="S873" s="90" t="s">
        <v>7024</v>
      </c>
      <c r="T873" s="90" t="s">
        <v>7070</v>
      </c>
      <c r="U873" s="90" t="s">
        <v>6976</v>
      </c>
    </row>
    <row r="874" spans="1:21" x14ac:dyDescent="0.25">
      <c r="A874" s="90" t="s">
        <v>2307</v>
      </c>
      <c r="B874" s="119">
        <v>3</v>
      </c>
      <c r="C874" s="90" t="s">
        <v>2305</v>
      </c>
      <c r="D874" s="90" t="s">
        <v>78</v>
      </c>
      <c r="E874">
        <v>1742</v>
      </c>
      <c r="F874">
        <v>1807</v>
      </c>
      <c r="G874" s="93" t="s">
        <v>68</v>
      </c>
      <c r="H874" t="s">
        <v>2308</v>
      </c>
      <c r="I874">
        <v>1</v>
      </c>
      <c r="J874">
        <f>SUM(K875,K877,K879,K881,K883,K885,K887,K890,K892,K894,K896,K903,K905)</f>
        <v>45344.686906939998</v>
      </c>
      <c r="K874">
        <f>I874*J874</f>
        <v>45344.686906939998</v>
      </c>
      <c r="L874">
        <f>100*(1-(M874/K874))</f>
        <v>40</v>
      </c>
      <c r="M874">
        <f>I874*SUM(M875,M877,M879,M881,M883,M885,M887,M890,M892,M894,M896,M903,M905)</f>
        <v>27206.812144163996</v>
      </c>
      <c r="N874" s="90">
        <v>874</v>
      </c>
      <c r="O874" s="90" t="s">
        <v>786</v>
      </c>
      <c r="P874" s="118"/>
      <c r="Q874" s="118"/>
      <c r="R874" s="90" t="s">
        <v>6350</v>
      </c>
      <c r="S874" s="90" t="s">
        <v>6653</v>
      </c>
      <c r="T874" s="90" t="s">
        <v>6798</v>
      </c>
      <c r="U874" s="90" t="s">
        <v>6502</v>
      </c>
    </row>
    <row r="875" spans="1:21" x14ac:dyDescent="0.25">
      <c r="A875" s="90" t="s">
        <v>2309</v>
      </c>
      <c r="B875" s="119">
        <v>4</v>
      </c>
      <c r="C875" s="90" t="s">
        <v>2307</v>
      </c>
      <c r="D875" s="90" t="s">
        <v>78</v>
      </c>
      <c r="E875">
        <v>1743</v>
      </c>
      <c r="F875">
        <v>1746</v>
      </c>
      <c r="G875" s="93" t="s">
        <v>68</v>
      </c>
      <c r="H875" t="s">
        <v>1815</v>
      </c>
      <c r="I875">
        <v>2</v>
      </c>
      <c r="J875">
        <f>SUM(K876)</f>
        <v>491.93938622000002</v>
      </c>
      <c r="K875">
        <f>I875*J875</f>
        <v>983.87877244000003</v>
      </c>
      <c r="L875">
        <f>100*(1-(M875/K875))</f>
        <v>40</v>
      </c>
      <c r="M875">
        <f>I875*SUM(M876)</f>
        <v>590.327263464</v>
      </c>
      <c r="N875" s="90">
        <v>875</v>
      </c>
      <c r="O875" s="90" t="s">
        <v>787</v>
      </c>
      <c r="P875" s="118"/>
      <c r="Q875" s="118"/>
      <c r="R875" s="90" t="s">
        <v>4333</v>
      </c>
      <c r="S875" s="90" t="s">
        <v>5401</v>
      </c>
      <c r="T875" s="90" t="s">
        <v>5899</v>
      </c>
      <c r="U875" s="90" t="s">
        <v>4873</v>
      </c>
    </row>
    <row r="876" spans="1:21" x14ac:dyDescent="0.25">
      <c r="A876" s="90" t="s">
        <v>2310</v>
      </c>
      <c r="B876" s="119">
        <v>5</v>
      </c>
      <c r="C876" s="90" t="s">
        <v>2309</v>
      </c>
      <c r="D876" s="90" t="s">
        <v>78</v>
      </c>
      <c r="E876">
        <v>1744</v>
      </c>
      <c r="F876">
        <v>1745</v>
      </c>
      <c r="G876" s="93" t="s">
        <v>78</v>
      </c>
      <c r="H876" t="s">
        <v>126</v>
      </c>
      <c r="I876">
        <v>1</v>
      </c>
      <c r="J876">
        <v>491.93938622000002</v>
      </c>
      <c r="K876">
        <f>I876*J876</f>
        <v>491.93938622000002</v>
      </c>
      <c r="L876">
        <v>40</v>
      </c>
      <c r="M876">
        <f>(1-(L876/100))*K876</f>
        <v>295.163631732</v>
      </c>
      <c r="N876" s="90">
        <v>876</v>
      </c>
      <c r="O876" s="90" t="s">
        <v>788</v>
      </c>
      <c r="P876" s="118"/>
      <c r="Q876" s="118"/>
    </row>
    <row r="877" spans="1:21" x14ac:dyDescent="0.25">
      <c r="A877" s="90" t="s">
        <v>2311</v>
      </c>
      <c r="B877" s="119">
        <v>4</v>
      </c>
      <c r="C877" s="90" t="s">
        <v>2307</v>
      </c>
      <c r="D877" s="90" t="s">
        <v>79</v>
      </c>
      <c r="E877">
        <v>1747</v>
      </c>
      <c r="F877">
        <v>1750</v>
      </c>
      <c r="G877" s="93" t="s">
        <v>68</v>
      </c>
      <c r="H877" t="s">
        <v>1818</v>
      </c>
      <c r="I877">
        <v>4</v>
      </c>
      <c r="J877">
        <f>SUM(K878)</f>
        <v>313.76543995999998</v>
      </c>
      <c r="K877">
        <f>I877*J877</f>
        <v>1255.0617598399999</v>
      </c>
      <c r="L877">
        <f>100*(1-(M877/K877))</f>
        <v>40</v>
      </c>
      <c r="M877">
        <f>I877*SUM(M878)</f>
        <v>753.03705590399989</v>
      </c>
      <c r="N877" s="90">
        <v>877</v>
      </c>
      <c r="O877" s="90" t="s">
        <v>789</v>
      </c>
      <c r="P877" s="118"/>
      <c r="Q877" s="118"/>
      <c r="R877" s="90" t="s">
        <v>4338</v>
      </c>
      <c r="S877" s="90" t="s">
        <v>5405</v>
      </c>
      <c r="T877" s="90" t="s">
        <v>5903</v>
      </c>
      <c r="U877" s="90" t="s">
        <v>4878</v>
      </c>
    </row>
    <row r="878" spans="1:21" x14ac:dyDescent="0.25">
      <c r="A878" s="90" t="s">
        <v>2312</v>
      </c>
      <c r="B878" s="119">
        <v>5</v>
      </c>
      <c r="C878" s="90" t="s">
        <v>2311</v>
      </c>
      <c r="D878" s="90" t="s">
        <v>78</v>
      </c>
      <c r="E878">
        <v>1748</v>
      </c>
      <c r="F878">
        <v>1749</v>
      </c>
      <c r="G878" s="93" t="s">
        <v>78</v>
      </c>
      <c r="H878" t="s">
        <v>123</v>
      </c>
      <c r="I878">
        <v>1</v>
      </c>
      <c r="J878">
        <v>313.76543995999998</v>
      </c>
      <c r="K878">
        <f>I878*J878</f>
        <v>313.76543995999998</v>
      </c>
      <c r="L878">
        <v>40</v>
      </c>
      <c r="M878">
        <f>(1-(L878/100))*K878</f>
        <v>188.25926397599997</v>
      </c>
      <c r="N878" s="90">
        <v>878</v>
      </c>
      <c r="O878" s="90" t="s">
        <v>790</v>
      </c>
      <c r="P878" s="118"/>
      <c r="Q878" s="118"/>
    </row>
    <row r="879" spans="1:21" x14ac:dyDescent="0.25">
      <c r="A879" s="90" t="s">
        <v>2313</v>
      </c>
      <c r="B879" s="119">
        <v>4</v>
      </c>
      <c r="C879" s="90" t="s">
        <v>2307</v>
      </c>
      <c r="D879" s="90" t="s">
        <v>80</v>
      </c>
      <c r="E879">
        <v>1751</v>
      </c>
      <c r="F879">
        <v>1754</v>
      </c>
      <c r="G879" s="93" t="s">
        <v>68</v>
      </c>
      <c r="H879" t="s">
        <v>1821</v>
      </c>
      <c r="I879">
        <v>1</v>
      </c>
      <c r="J879">
        <f>SUM(K880)</f>
        <v>666.34407233000002</v>
      </c>
      <c r="K879">
        <f>I879*J879</f>
        <v>666.34407233000002</v>
      </c>
      <c r="L879">
        <f>100*(1-(M879/K879))</f>
        <v>40</v>
      </c>
      <c r="M879">
        <f>I879*SUM(M880)</f>
        <v>399.806443398</v>
      </c>
      <c r="N879" s="90">
        <v>879</v>
      </c>
      <c r="O879" s="90" t="s">
        <v>791</v>
      </c>
      <c r="P879" s="118"/>
      <c r="Q879" s="118"/>
      <c r="R879" s="90" t="s">
        <v>4339</v>
      </c>
      <c r="S879" s="90" t="s">
        <v>5406</v>
      </c>
      <c r="T879" s="90" t="s">
        <v>5904</v>
      </c>
      <c r="U879" s="90" t="s">
        <v>4879</v>
      </c>
    </row>
    <row r="880" spans="1:21" x14ac:dyDescent="0.25">
      <c r="A880" s="90" t="s">
        <v>2314</v>
      </c>
      <c r="B880" s="119">
        <v>5</v>
      </c>
      <c r="C880" s="90" t="s">
        <v>2313</v>
      </c>
      <c r="D880" s="90" t="s">
        <v>78</v>
      </c>
      <c r="E880">
        <v>1752</v>
      </c>
      <c r="F880">
        <v>1753</v>
      </c>
      <c r="G880" s="93" t="s">
        <v>78</v>
      </c>
      <c r="H880" t="s">
        <v>698</v>
      </c>
      <c r="I880">
        <v>1</v>
      </c>
      <c r="J880">
        <v>666.34407233000002</v>
      </c>
      <c r="K880">
        <f>I880*J880</f>
        <v>666.34407233000002</v>
      </c>
      <c r="L880">
        <v>40</v>
      </c>
      <c r="M880">
        <f>(1-(L880/100))*K880</f>
        <v>399.806443398</v>
      </c>
      <c r="N880" s="90">
        <v>880</v>
      </c>
      <c r="O880" s="90" t="s">
        <v>792</v>
      </c>
      <c r="P880" s="118"/>
      <c r="Q880" s="118"/>
    </row>
    <row r="881" spans="1:21" x14ac:dyDescent="0.25">
      <c r="A881" s="90" t="s">
        <v>2315</v>
      </c>
      <c r="B881" s="119">
        <v>4</v>
      </c>
      <c r="C881" s="90" t="s">
        <v>2307</v>
      </c>
      <c r="D881" s="90" t="s">
        <v>95</v>
      </c>
      <c r="E881">
        <v>1755</v>
      </c>
      <c r="F881">
        <v>1758</v>
      </c>
      <c r="G881" s="93" t="s">
        <v>68</v>
      </c>
      <c r="H881" t="s">
        <v>1240</v>
      </c>
      <c r="I881">
        <v>1</v>
      </c>
      <c r="J881">
        <f>SUM(K882)</f>
        <v>700.36928562000003</v>
      </c>
      <c r="K881">
        <f>I881*J881</f>
        <v>700.36928562000003</v>
      </c>
      <c r="L881">
        <f>100*(1-(M881/K881))</f>
        <v>40</v>
      </c>
      <c r="M881">
        <f>I881*SUM(M882)</f>
        <v>420.22157137200003</v>
      </c>
      <c r="N881" s="90">
        <v>881</v>
      </c>
      <c r="O881" s="90" t="s">
        <v>793</v>
      </c>
      <c r="P881" s="118"/>
      <c r="Q881" s="118"/>
      <c r="R881" s="90" t="s">
        <v>4340</v>
      </c>
      <c r="S881" s="90" t="s">
        <v>5407</v>
      </c>
      <c r="T881" s="90" t="s">
        <v>5905</v>
      </c>
      <c r="U881" s="90" t="s">
        <v>4880</v>
      </c>
    </row>
    <row r="882" spans="1:21" x14ac:dyDescent="0.25">
      <c r="A882" s="90" t="s">
        <v>2316</v>
      </c>
      <c r="B882" s="119">
        <v>5</v>
      </c>
      <c r="C882" s="90" t="s">
        <v>2315</v>
      </c>
      <c r="D882" s="90" t="s">
        <v>78</v>
      </c>
      <c r="E882">
        <v>1756</v>
      </c>
      <c r="F882">
        <v>1757</v>
      </c>
      <c r="G882" s="93" t="s">
        <v>78</v>
      </c>
      <c r="H882" t="s">
        <v>1243</v>
      </c>
      <c r="I882">
        <v>1</v>
      </c>
      <c r="J882">
        <v>700.36928562000003</v>
      </c>
      <c r="K882">
        <f>I882*J882</f>
        <v>700.36928562000003</v>
      </c>
      <c r="L882">
        <v>40</v>
      </c>
      <c r="M882">
        <f>(1-(L882/100))*K882</f>
        <v>420.22157137200003</v>
      </c>
      <c r="N882" s="90">
        <v>882</v>
      </c>
      <c r="O882" s="90" t="s">
        <v>794</v>
      </c>
      <c r="P882" s="118"/>
      <c r="Q882" s="118"/>
    </row>
    <row r="883" spans="1:21" x14ac:dyDescent="0.25">
      <c r="A883" s="90" t="s">
        <v>2317</v>
      </c>
      <c r="B883" s="119">
        <v>4</v>
      </c>
      <c r="C883" s="90" t="s">
        <v>2307</v>
      </c>
      <c r="D883" s="90" t="s">
        <v>96</v>
      </c>
      <c r="E883">
        <v>1759</v>
      </c>
      <c r="F883">
        <v>1762</v>
      </c>
      <c r="G883" s="93" t="s">
        <v>68</v>
      </c>
      <c r="H883" t="s">
        <v>1246</v>
      </c>
      <c r="I883">
        <v>4</v>
      </c>
      <c r="J883">
        <f>SUM(K884)</f>
        <v>967.93582071000003</v>
      </c>
      <c r="K883">
        <f>I883*J883</f>
        <v>3871.7432828400001</v>
      </c>
      <c r="L883">
        <f>100*(1-(M883/K883))</f>
        <v>40</v>
      </c>
      <c r="M883">
        <f>I883*SUM(M884)</f>
        <v>2323.0459697040001</v>
      </c>
      <c r="N883" s="90">
        <v>883</v>
      </c>
      <c r="O883" s="90" t="s">
        <v>795</v>
      </c>
      <c r="P883" s="118"/>
      <c r="Q883" s="118"/>
      <c r="R883" s="90" t="s">
        <v>4341</v>
      </c>
      <c r="S883" s="90" t="s">
        <v>5408</v>
      </c>
      <c r="T883" s="90" t="s">
        <v>5906</v>
      </c>
      <c r="U883" s="90" t="s">
        <v>4881</v>
      </c>
    </row>
    <row r="884" spans="1:21" x14ac:dyDescent="0.25">
      <c r="A884" s="90" t="s">
        <v>2318</v>
      </c>
      <c r="B884" s="119">
        <v>5</v>
      </c>
      <c r="C884" s="90" t="s">
        <v>2317</v>
      </c>
      <c r="D884" s="90" t="s">
        <v>78</v>
      </c>
      <c r="E884">
        <v>1760</v>
      </c>
      <c r="F884">
        <v>1761</v>
      </c>
      <c r="G884" s="93" t="s">
        <v>78</v>
      </c>
      <c r="H884" t="s">
        <v>120</v>
      </c>
      <c r="I884">
        <v>1</v>
      </c>
      <c r="J884">
        <v>967.93582071000003</v>
      </c>
      <c r="K884">
        <f>I884*J884</f>
        <v>967.93582071000003</v>
      </c>
      <c r="L884">
        <v>40</v>
      </c>
      <c r="M884">
        <f>(1-(L884/100))*K884</f>
        <v>580.76149242600002</v>
      </c>
      <c r="N884" s="90">
        <v>884</v>
      </c>
      <c r="O884" s="90" t="s">
        <v>2319</v>
      </c>
      <c r="P884" s="118"/>
      <c r="Q884" s="118"/>
    </row>
    <row r="885" spans="1:21" x14ac:dyDescent="0.25">
      <c r="A885" s="90" t="s">
        <v>2320</v>
      </c>
      <c r="B885" s="119">
        <v>4</v>
      </c>
      <c r="C885" s="90" t="s">
        <v>2307</v>
      </c>
      <c r="D885" s="90" t="s">
        <v>103</v>
      </c>
      <c r="E885">
        <v>1763</v>
      </c>
      <c r="F885">
        <v>1766</v>
      </c>
      <c r="G885" s="93" t="s">
        <v>68</v>
      </c>
      <c r="H885" t="s">
        <v>104</v>
      </c>
      <c r="I885">
        <v>1</v>
      </c>
      <c r="J885">
        <f>SUM(K886)</f>
        <v>1419</v>
      </c>
      <c r="K885">
        <f>I885*J885</f>
        <v>1419</v>
      </c>
      <c r="L885">
        <f>100*(1-(M885/K885))</f>
        <v>40</v>
      </c>
      <c r="M885">
        <f>I885*SUM(M886)</f>
        <v>851.4</v>
      </c>
      <c r="N885" s="90">
        <v>885</v>
      </c>
      <c r="O885" s="90" t="s">
        <v>2321</v>
      </c>
      <c r="P885" s="118"/>
      <c r="Q885" s="118"/>
      <c r="R885" s="90" t="s">
        <v>4342</v>
      </c>
      <c r="S885" s="90" t="s">
        <v>5409</v>
      </c>
      <c r="T885" s="90" t="s">
        <v>5907</v>
      </c>
      <c r="U885" s="90" t="s">
        <v>4882</v>
      </c>
    </row>
    <row r="886" spans="1:21" x14ac:dyDescent="0.25">
      <c r="A886" s="90" t="s">
        <v>2322</v>
      </c>
      <c r="B886" s="119">
        <v>5</v>
      </c>
      <c r="C886" s="90" t="s">
        <v>2320</v>
      </c>
      <c r="D886" s="90" t="s">
        <v>78</v>
      </c>
      <c r="E886">
        <v>1764</v>
      </c>
      <c r="F886">
        <v>1765</v>
      </c>
      <c r="G886" s="93" t="s">
        <v>78</v>
      </c>
      <c r="H886" t="s">
        <v>105</v>
      </c>
      <c r="I886">
        <v>1</v>
      </c>
      <c r="J886">
        <v>1419</v>
      </c>
      <c r="K886">
        <f>I886*J886</f>
        <v>1419</v>
      </c>
      <c r="L886">
        <v>40</v>
      </c>
      <c r="M886">
        <f>(1-(L886/100))*K886</f>
        <v>851.4</v>
      </c>
      <c r="N886" s="90">
        <v>886</v>
      </c>
      <c r="O886" s="90" t="s">
        <v>2323</v>
      </c>
      <c r="P886" s="118"/>
      <c r="Q886" s="118"/>
    </row>
    <row r="887" spans="1:21" x14ac:dyDescent="0.25">
      <c r="A887" s="90" t="s">
        <v>2324</v>
      </c>
      <c r="B887" s="119">
        <v>4</v>
      </c>
      <c r="C887" s="90" t="s">
        <v>2307</v>
      </c>
      <c r="D887" s="90" t="s">
        <v>796</v>
      </c>
      <c r="E887">
        <v>1767</v>
      </c>
      <c r="F887">
        <v>1772</v>
      </c>
      <c r="G887" s="93" t="s">
        <v>68</v>
      </c>
      <c r="H887" t="s">
        <v>2126</v>
      </c>
      <c r="I887">
        <v>1</v>
      </c>
      <c r="J887">
        <f>SUM(K888,K889)</f>
        <v>587.63</v>
      </c>
      <c r="K887">
        <f>I887*J887</f>
        <v>587.63</v>
      </c>
      <c r="L887">
        <f>100*(1-(M887/K887))</f>
        <v>40</v>
      </c>
      <c r="M887">
        <f>I887*SUM(M888,M889)</f>
        <v>352.57799999999997</v>
      </c>
      <c r="N887" s="90">
        <v>887</v>
      </c>
      <c r="O887" s="90" t="s">
        <v>2325</v>
      </c>
      <c r="P887" s="118"/>
      <c r="Q887" s="118"/>
      <c r="R887" s="90" t="s">
        <v>4343</v>
      </c>
      <c r="S887" s="90" t="s">
        <v>5410</v>
      </c>
      <c r="T887" s="90" t="s">
        <v>5908</v>
      </c>
      <c r="U887" s="90" t="s">
        <v>4883</v>
      </c>
    </row>
    <row r="888" spans="1:21" x14ac:dyDescent="0.25">
      <c r="A888" s="90" t="s">
        <v>2326</v>
      </c>
      <c r="B888" s="119">
        <v>5</v>
      </c>
      <c r="C888" s="90" t="s">
        <v>2324</v>
      </c>
      <c r="D888" s="90" t="s">
        <v>78</v>
      </c>
      <c r="E888">
        <v>1768</v>
      </c>
      <c r="F888">
        <v>1769</v>
      </c>
      <c r="G888" s="93" t="s">
        <v>78</v>
      </c>
      <c r="H888" t="s">
        <v>109</v>
      </c>
      <c r="I888">
        <v>1</v>
      </c>
      <c r="J888">
        <v>290.63</v>
      </c>
      <c r="K888">
        <f>I888*J888</f>
        <v>290.63</v>
      </c>
      <c r="L888">
        <v>40</v>
      </c>
      <c r="M888">
        <f>(1-(L888/100))*K888</f>
        <v>174.37799999999999</v>
      </c>
      <c r="N888" s="90">
        <v>888</v>
      </c>
      <c r="O888" s="90" t="s">
        <v>2327</v>
      </c>
      <c r="P888" s="118"/>
      <c r="Q888" s="118"/>
    </row>
    <row r="889" spans="1:21" x14ac:dyDescent="0.25">
      <c r="A889" s="90" t="s">
        <v>2328</v>
      </c>
      <c r="B889" s="119">
        <v>5</v>
      </c>
      <c r="C889" s="90" t="s">
        <v>2324</v>
      </c>
      <c r="D889" s="90" t="s">
        <v>79</v>
      </c>
      <c r="E889">
        <v>1770</v>
      </c>
      <c r="F889">
        <v>1771</v>
      </c>
      <c r="G889" s="93" t="s">
        <v>78</v>
      </c>
      <c r="H889" t="s">
        <v>110</v>
      </c>
      <c r="I889">
        <v>1</v>
      </c>
      <c r="J889">
        <v>297</v>
      </c>
      <c r="K889">
        <f>I889*J889</f>
        <v>297</v>
      </c>
      <c r="L889">
        <v>40</v>
      </c>
      <c r="M889">
        <f>(1-(L889/100))*K889</f>
        <v>178.2</v>
      </c>
      <c r="N889" s="90">
        <v>889</v>
      </c>
      <c r="O889" s="90" t="s">
        <v>2329</v>
      </c>
      <c r="P889" s="118"/>
      <c r="Q889" s="118"/>
    </row>
    <row r="890" spans="1:21" x14ac:dyDescent="0.25">
      <c r="A890" s="90" t="s">
        <v>2330</v>
      </c>
      <c r="B890" s="119">
        <v>4</v>
      </c>
      <c r="C890" s="90" t="s">
        <v>2307</v>
      </c>
      <c r="D890" s="90" t="s">
        <v>797</v>
      </c>
      <c r="E890">
        <v>1773</v>
      </c>
      <c r="F890">
        <v>1776</v>
      </c>
      <c r="G890" s="93" t="s">
        <v>68</v>
      </c>
      <c r="H890" t="s">
        <v>1266</v>
      </c>
      <c r="I890">
        <v>1</v>
      </c>
      <c r="J890">
        <f>SUM(K891)</f>
        <v>9312.3647013900008</v>
      </c>
      <c r="K890">
        <f>I890*J890</f>
        <v>9312.3647013900008</v>
      </c>
      <c r="L890">
        <f>100*(1-(M890/K890))</f>
        <v>40</v>
      </c>
      <c r="M890">
        <f>I890*SUM(M891)</f>
        <v>5587.4188208340001</v>
      </c>
      <c r="N890" s="90">
        <v>890</v>
      </c>
      <c r="O890" s="90" t="s">
        <v>2331</v>
      </c>
      <c r="P890" s="118"/>
      <c r="Q890" s="118"/>
      <c r="R890" s="90" t="s">
        <v>4344</v>
      </c>
      <c r="S890" s="90" t="s">
        <v>5411</v>
      </c>
      <c r="T890" s="90" t="s">
        <v>5909</v>
      </c>
      <c r="U890" s="90" t="s">
        <v>4884</v>
      </c>
    </row>
    <row r="891" spans="1:21" x14ac:dyDescent="0.25">
      <c r="A891" s="90" t="s">
        <v>2332</v>
      </c>
      <c r="B891" s="119">
        <v>5</v>
      </c>
      <c r="C891" s="90" t="s">
        <v>2330</v>
      </c>
      <c r="D891" s="90" t="s">
        <v>78</v>
      </c>
      <c r="E891">
        <v>1774</v>
      </c>
      <c r="F891">
        <v>1775</v>
      </c>
      <c r="G891" s="93" t="s">
        <v>78</v>
      </c>
      <c r="H891" t="s">
        <v>1269</v>
      </c>
      <c r="I891">
        <v>1</v>
      </c>
      <c r="J891">
        <v>9312.3647013900008</v>
      </c>
      <c r="K891">
        <f>I891*J891</f>
        <v>9312.3647013900008</v>
      </c>
      <c r="L891">
        <v>40</v>
      </c>
      <c r="M891">
        <f>(1-(L891/100))*K891</f>
        <v>5587.4188208340001</v>
      </c>
      <c r="N891" s="90">
        <v>891</v>
      </c>
      <c r="O891" s="90" t="s">
        <v>2333</v>
      </c>
      <c r="P891" s="118"/>
      <c r="Q891" s="118"/>
    </row>
    <row r="892" spans="1:21" x14ac:dyDescent="0.25">
      <c r="A892" s="90" t="s">
        <v>2334</v>
      </c>
      <c r="B892" s="119">
        <v>4</v>
      </c>
      <c r="C892" s="90" t="s">
        <v>2307</v>
      </c>
      <c r="D892" s="90" t="s">
        <v>798</v>
      </c>
      <c r="E892">
        <v>1777</v>
      </c>
      <c r="F892">
        <v>1780</v>
      </c>
      <c r="G892" s="93" t="s">
        <v>68</v>
      </c>
      <c r="H892" t="s">
        <v>1638</v>
      </c>
      <c r="I892">
        <v>1</v>
      </c>
      <c r="J892">
        <f>SUM(K893)</f>
        <v>1980.13</v>
      </c>
      <c r="K892">
        <f>I892*J892</f>
        <v>1980.13</v>
      </c>
      <c r="L892">
        <f>100*(1-(M892/K892))</f>
        <v>40</v>
      </c>
      <c r="M892">
        <f>I892*SUM(M893)</f>
        <v>1188.078</v>
      </c>
      <c r="N892" s="90">
        <v>892</v>
      </c>
      <c r="O892" s="90" t="s">
        <v>2335</v>
      </c>
      <c r="P892" s="118"/>
      <c r="Q892" s="118"/>
      <c r="R892" s="90" t="s">
        <v>4345</v>
      </c>
      <c r="S892" s="90" t="s">
        <v>5412</v>
      </c>
      <c r="T892" s="90" t="s">
        <v>5910</v>
      </c>
      <c r="U892" s="90" t="s">
        <v>4885</v>
      </c>
    </row>
    <row r="893" spans="1:21" x14ac:dyDescent="0.25">
      <c r="A893" s="90" t="s">
        <v>2336</v>
      </c>
      <c r="B893" s="119">
        <v>5</v>
      </c>
      <c r="C893" s="90" t="s">
        <v>2334</v>
      </c>
      <c r="D893" s="90" t="s">
        <v>78</v>
      </c>
      <c r="E893">
        <v>1778</v>
      </c>
      <c r="F893">
        <v>1779</v>
      </c>
      <c r="G893" s="93" t="s">
        <v>78</v>
      </c>
      <c r="H893" t="s">
        <v>1638</v>
      </c>
      <c r="I893">
        <v>1</v>
      </c>
      <c r="J893">
        <v>1980.13</v>
      </c>
      <c r="K893">
        <f>I893*J893</f>
        <v>1980.13</v>
      </c>
      <c r="L893">
        <v>40</v>
      </c>
      <c r="M893">
        <f>(1-(L893/100))*K893</f>
        <v>1188.078</v>
      </c>
      <c r="N893" s="90">
        <v>893</v>
      </c>
      <c r="O893" s="90" t="s">
        <v>2337</v>
      </c>
      <c r="P893" s="118"/>
      <c r="Q893" s="118"/>
    </row>
    <row r="894" spans="1:21" x14ac:dyDescent="0.25">
      <c r="A894" s="90" t="s">
        <v>2338</v>
      </c>
      <c r="B894" s="119">
        <v>4</v>
      </c>
      <c r="C894" s="90" t="s">
        <v>2307</v>
      </c>
      <c r="D894" s="90" t="s">
        <v>799</v>
      </c>
      <c r="E894">
        <v>1781</v>
      </c>
      <c r="F894">
        <v>1784</v>
      </c>
      <c r="G894" s="93" t="s">
        <v>68</v>
      </c>
      <c r="H894" t="s">
        <v>1272</v>
      </c>
      <c r="I894">
        <v>2</v>
      </c>
      <c r="J894">
        <f>SUM(K895)</f>
        <v>1308.5572392700001</v>
      </c>
      <c r="K894">
        <f>I894*J894</f>
        <v>2617.1144785400002</v>
      </c>
      <c r="L894">
        <f>100*(1-(M894/K894))</f>
        <v>40</v>
      </c>
      <c r="M894">
        <f>I894*SUM(M895)</f>
        <v>1570.2686871240001</v>
      </c>
      <c r="N894" s="90">
        <v>894</v>
      </c>
      <c r="O894" s="90" t="s">
        <v>2339</v>
      </c>
      <c r="P894" s="118"/>
      <c r="Q894" s="118"/>
      <c r="R894" s="90" t="s">
        <v>4334</v>
      </c>
      <c r="S894" s="90" t="s">
        <v>5402</v>
      </c>
      <c r="T894" s="90" t="s">
        <v>5900</v>
      </c>
      <c r="U894" s="90" t="s">
        <v>4874</v>
      </c>
    </row>
    <row r="895" spans="1:21" x14ac:dyDescent="0.25">
      <c r="A895" s="90" t="s">
        <v>2340</v>
      </c>
      <c r="B895" s="119">
        <v>5</v>
      </c>
      <c r="C895" s="90" t="s">
        <v>2338</v>
      </c>
      <c r="D895" s="90" t="s">
        <v>78</v>
      </c>
      <c r="E895">
        <v>1782</v>
      </c>
      <c r="F895">
        <v>1783</v>
      </c>
      <c r="G895" s="93" t="s">
        <v>78</v>
      </c>
      <c r="H895" t="s">
        <v>1272</v>
      </c>
      <c r="I895">
        <v>1</v>
      </c>
      <c r="J895">
        <v>1308.5572392700001</v>
      </c>
      <c r="K895">
        <f>I895*J895</f>
        <v>1308.5572392700001</v>
      </c>
      <c r="L895">
        <v>40</v>
      </c>
      <c r="M895">
        <f>(1-(L895/100))*K895</f>
        <v>785.13434356200003</v>
      </c>
      <c r="N895" s="90">
        <v>895</v>
      </c>
      <c r="O895" s="90" t="s">
        <v>2341</v>
      </c>
      <c r="P895" s="118"/>
      <c r="Q895" s="118"/>
    </row>
    <row r="896" spans="1:21" x14ac:dyDescent="0.25">
      <c r="A896" s="90" t="s">
        <v>2342</v>
      </c>
      <c r="B896" s="119">
        <v>4</v>
      </c>
      <c r="C896" s="90" t="s">
        <v>2307</v>
      </c>
      <c r="D896" s="90" t="s">
        <v>97</v>
      </c>
      <c r="E896">
        <v>1785</v>
      </c>
      <c r="F896">
        <v>1798</v>
      </c>
      <c r="G896" s="93" t="s">
        <v>68</v>
      </c>
      <c r="H896" t="s">
        <v>2136</v>
      </c>
      <c r="I896">
        <v>1</v>
      </c>
      <c r="J896">
        <f>SUM(K897,K898,K899,K900,K901,K902)</f>
        <v>4573.0039475400008</v>
      </c>
      <c r="K896">
        <f>I896*J896</f>
        <v>4573.0039475400008</v>
      </c>
      <c r="L896">
        <f>100*(1-(M896/K896))</f>
        <v>40</v>
      </c>
      <c r="M896">
        <f>I896*SUM(M897,M898,M899,M900,M901,M902)</f>
        <v>2743.8023685240005</v>
      </c>
      <c r="N896" s="90">
        <v>896</v>
      </c>
      <c r="O896" s="90" t="s">
        <v>2343</v>
      </c>
      <c r="P896" s="118"/>
      <c r="Q896" s="118"/>
      <c r="R896" s="90" t="s">
        <v>4335</v>
      </c>
      <c r="S896" s="90" t="s">
        <v>1005</v>
      </c>
      <c r="T896" s="90" t="s">
        <v>1032</v>
      </c>
      <c r="U896" s="90" t="s">
        <v>4875</v>
      </c>
    </row>
    <row r="897" spans="1:21" x14ac:dyDescent="0.25">
      <c r="A897" s="90" t="s">
        <v>2344</v>
      </c>
      <c r="B897" s="119">
        <v>5</v>
      </c>
      <c r="C897" s="90" t="s">
        <v>2342</v>
      </c>
      <c r="D897" s="90" t="s">
        <v>78</v>
      </c>
      <c r="E897">
        <v>1786</v>
      </c>
      <c r="F897">
        <v>1787</v>
      </c>
      <c r="G897" s="93" t="s">
        <v>78</v>
      </c>
      <c r="H897" t="s">
        <v>139</v>
      </c>
      <c r="I897">
        <v>1</v>
      </c>
      <c r="J897">
        <v>2631.3510760200002</v>
      </c>
      <c r="K897">
        <f>I897*J897</f>
        <v>2631.3510760200002</v>
      </c>
      <c r="L897">
        <v>40</v>
      </c>
      <c r="M897">
        <f>(1-(L897/100))*K897</f>
        <v>1578.8106456120001</v>
      </c>
      <c r="N897" s="90">
        <v>897</v>
      </c>
      <c r="O897" s="90" t="s">
        <v>2345</v>
      </c>
      <c r="P897" s="118"/>
      <c r="Q897" s="118"/>
    </row>
    <row r="898" spans="1:21" x14ac:dyDescent="0.25">
      <c r="A898" s="90" t="s">
        <v>2346</v>
      </c>
      <c r="B898" s="119">
        <v>5</v>
      </c>
      <c r="C898" s="90" t="s">
        <v>2342</v>
      </c>
      <c r="D898" s="90" t="s">
        <v>79</v>
      </c>
      <c r="E898">
        <v>1788</v>
      </c>
      <c r="F898">
        <v>1789</v>
      </c>
      <c r="G898" s="93" t="s">
        <v>78</v>
      </c>
      <c r="H898" t="s">
        <v>126</v>
      </c>
      <c r="I898">
        <v>1</v>
      </c>
      <c r="J898">
        <v>491.93938622000002</v>
      </c>
      <c r="K898">
        <f>I898*J898</f>
        <v>491.93938622000002</v>
      </c>
      <c r="L898">
        <v>40</v>
      </c>
      <c r="M898">
        <f>(1-(L898/100))*K898</f>
        <v>295.163631732</v>
      </c>
      <c r="N898" s="90">
        <v>898</v>
      </c>
      <c r="O898" s="90" t="s">
        <v>2347</v>
      </c>
      <c r="P898" s="118"/>
      <c r="Q898" s="118"/>
    </row>
    <row r="899" spans="1:21" x14ac:dyDescent="0.25">
      <c r="A899" s="90" t="s">
        <v>2348</v>
      </c>
      <c r="B899" s="119">
        <v>5</v>
      </c>
      <c r="C899" s="90" t="s">
        <v>2342</v>
      </c>
      <c r="D899" s="90" t="s">
        <v>80</v>
      </c>
      <c r="E899">
        <v>1790</v>
      </c>
      <c r="F899">
        <v>1791</v>
      </c>
      <c r="G899" s="93" t="s">
        <v>78</v>
      </c>
      <c r="H899" t="s">
        <v>137</v>
      </c>
      <c r="I899">
        <v>0</v>
      </c>
      <c r="J899">
        <v>36.08811919</v>
      </c>
      <c r="K899">
        <f>I899*J899</f>
        <v>0</v>
      </c>
      <c r="L899">
        <v>40</v>
      </c>
      <c r="M899">
        <f>(1-(L899/100))*K899</f>
        <v>0</v>
      </c>
      <c r="N899" s="90">
        <v>899</v>
      </c>
      <c r="O899" s="90" t="s">
        <v>2349</v>
      </c>
      <c r="P899" s="118"/>
      <c r="Q899" s="118"/>
    </row>
    <row r="900" spans="1:21" x14ac:dyDescent="0.25">
      <c r="A900" s="90" t="s">
        <v>2350</v>
      </c>
      <c r="B900" s="119">
        <v>5</v>
      </c>
      <c r="C900" s="90" t="s">
        <v>2342</v>
      </c>
      <c r="D900" s="90" t="s">
        <v>95</v>
      </c>
      <c r="E900">
        <v>1792</v>
      </c>
      <c r="F900">
        <v>1793</v>
      </c>
      <c r="G900" s="93" t="s">
        <v>78</v>
      </c>
      <c r="H900" t="s">
        <v>123</v>
      </c>
      <c r="I900">
        <v>2</v>
      </c>
      <c r="J900">
        <v>313.76543995999998</v>
      </c>
      <c r="K900">
        <f>I900*J900</f>
        <v>627.53087991999996</v>
      </c>
      <c r="L900">
        <v>40</v>
      </c>
      <c r="M900">
        <f>(1-(L900/100))*K900</f>
        <v>376.51852795199994</v>
      </c>
      <c r="N900" s="90">
        <v>900</v>
      </c>
      <c r="O900" s="90" t="s">
        <v>2351</v>
      </c>
      <c r="P900" s="118"/>
      <c r="Q900" s="118"/>
    </row>
    <row r="901" spans="1:21" x14ac:dyDescent="0.25">
      <c r="A901" s="90" t="s">
        <v>2352</v>
      </c>
      <c r="B901" s="119">
        <v>5</v>
      </c>
      <c r="C901" s="90" t="s">
        <v>2342</v>
      </c>
      <c r="D901" s="90" t="s">
        <v>96</v>
      </c>
      <c r="E901">
        <v>1794</v>
      </c>
      <c r="F901">
        <v>1795</v>
      </c>
      <c r="G901" s="93" t="s">
        <v>78</v>
      </c>
      <c r="H901" t="s">
        <v>119</v>
      </c>
      <c r="I901">
        <v>1</v>
      </c>
      <c r="J901">
        <v>594.85546925000006</v>
      </c>
      <c r="K901">
        <f>I901*J901</f>
        <v>594.85546925000006</v>
      </c>
      <c r="L901">
        <v>40</v>
      </c>
      <c r="M901">
        <f>(1-(L901/100))*K901</f>
        <v>356.91328155000002</v>
      </c>
      <c r="N901" s="90">
        <v>901</v>
      </c>
      <c r="O901" s="90" t="s">
        <v>2353</v>
      </c>
      <c r="P901" s="118"/>
      <c r="Q901" s="118"/>
    </row>
    <row r="902" spans="1:21" x14ac:dyDescent="0.25">
      <c r="A902" s="90" t="s">
        <v>2354</v>
      </c>
      <c r="B902" s="119">
        <v>5</v>
      </c>
      <c r="C902" s="90" t="s">
        <v>2342</v>
      </c>
      <c r="D902" s="90" t="s">
        <v>103</v>
      </c>
      <c r="E902">
        <v>1796</v>
      </c>
      <c r="F902">
        <v>1797</v>
      </c>
      <c r="G902" s="93" t="s">
        <v>78</v>
      </c>
      <c r="H902" t="s">
        <v>138</v>
      </c>
      <c r="I902">
        <v>1</v>
      </c>
      <c r="J902">
        <v>227.32713613000001</v>
      </c>
      <c r="K902">
        <f>I902*J902</f>
        <v>227.32713613000001</v>
      </c>
      <c r="L902">
        <v>40</v>
      </c>
      <c r="M902">
        <f>(1-(L902/100))*K902</f>
        <v>136.39628167800001</v>
      </c>
      <c r="N902" s="90">
        <v>902</v>
      </c>
      <c r="O902" s="90" t="s">
        <v>2355</v>
      </c>
      <c r="P902" s="118"/>
      <c r="Q902" s="118"/>
    </row>
    <row r="903" spans="1:21" x14ac:dyDescent="0.25">
      <c r="A903" s="90" t="s">
        <v>2356</v>
      </c>
      <c r="B903" s="119">
        <v>4</v>
      </c>
      <c r="C903" s="90" t="s">
        <v>2307</v>
      </c>
      <c r="D903" s="90" t="s">
        <v>98</v>
      </c>
      <c r="E903">
        <v>1799</v>
      </c>
      <c r="F903">
        <v>1802</v>
      </c>
      <c r="G903" s="93" t="s">
        <v>68</v>
      </c>
      <c r="H903" t="s">
        <v>1714</v>
      </c>
      <c r="I903">
        <v>2</v>
      </c>
      <c r="J903">
        <f>SUM(K904)</f>
        <v>5389.0233031999996</v>
      </c>
      <c r="K903">
        <f>I903*J903</f>
        <v>10778.046606399999</v>
      </c>
      <c r="L903">
        <f>100*(1-(M903/K903))</f>
        <v>40</v>
      </c>
      <c r="M903">
        <f>I903*SUM(M904)</f>
        <v>6466.827963839999</v>
      </c>
      <c r="N903" s="90">
        <v>903</v>
      </c>
      <c r="O903" s="90" t="s">
        <v>2357</v>
      </c>
      <c r="P903" s="118"/>
      <c r="Q903" s="118"/>
      <c r="R903" s="90" t="s">
        <v>4336</v>
      </c>
      <c r="S903" s="90" t="s">
        <v>5403</v>
      </c>
      <c r="T903" s="90" t="s">
        <v>5901</v>
      </c>
      <c r="U903" s="90" t="s">
        <v>4876</v>
      </c>
    </row>
    <row r="904" spans="1:21" x14ac:dyDescent="0.25">
      <c r="A904" s="90" t="s">
        <v>2358</v>
      </c>
      <c r="B904" s="119">
        <v>5</v>
      </c>
      <c r="C904" s="90" t="s">
        <v>2356</v>
      </c>
      <c r="D904" s="90" t="s">
        <v>78</v>
      </c>
      <c r="E904">
        <v>1800</v>
      </c>
      <c r="F904">
        <v>1801</v>
      </c>
      <c r="G904" s="93" t="s">
        <v>78</v>
      </c>
      <c r="H904" t="s">
        <v>1714</v>
      </c>
      <c r="I904">
        <v>1</v>
      </c>
      <c r="J904">
        <v>5389.0233031999996</v>
      </c>
      <c r="K904">
        <f>I904*J904</f>
        <v>5389.0233031999996</v>
      </c>
      <c r="L904">
        <v>40</v>
      </c>
      <c r="M904">
        <f>(1-(L904/100))*K904</f>
        <v>3233.4139819199995</v>
      </c>
      <c r="N904" s="90">
        <v>904</v>
      </c>
      <c r="O904" s="90" t="s">
        <v>2359</v>
      </c>
      <c r="P904" s="118"/>
      <c r="Q904" s="118"/>
    </row>
    <row r="905" spans="1:21" x14ac:dyDescent="0.25">
      <c r="A905" s="90" t="s">
        <v>2360</v>
      </c>
      <c r="B905" s="119">
        <v>4</v>
      </c>
      <c r="C905" s="90" t="s">
        <v>2307</v>
      </c>
      <c r="D905" s="90" t="s">
        <v>99</v>
      </c>
      <c r="E905">
        <v>1803</v>
      </c>
      <c r="F905">
        <v>1806</v>
      </c>
      <c r="G905" s="93" t="s">
        <v>68</v>
      </c>
      <c r="H905" t="s">
        <v>1509</v>
      </c>
      <c r="I905">
        <v>2</v>
      </c>
      <c r="J905">
        <f>SUM(K906)</f>
        <v>3300</v>
      </c>
      <c r="K905">
        <f>I905*J905</f>
        <v>6600</v>
      </c>
      <c r="L905">
        <f>100*(1-(M905/K905))</f>
        <v>40</v>
      </c>
      <c r="M905">
        <f>I905*SUM(M906)</f>
        <v>3960</v>
      </c>
      <c r="N905" s="90">
        <v>905</v>
      </c>
      <c r="O905" s="90" t="s">
        <v>2361</v>
      </c>
      <c r="P905" s="118"/>
      <c r="Q905" s="118"/>
      <c r="R905" s="90" t="s">
        <v>4337</v>
      </c>
      <c r="S905" s="90" t="s">
        <v>5404</v>
      </c>
      <c r="T905" s="90" t="s">
        <v>5902</v>
      </c>
      <c r="U905" s="90" t="s">
        <v>4877</v>
      </c>
    </row>
    <row r="906" spans="1:21" x14ac:dyDescent="0.25">
      <c r="A906" s="90" t="s">
        <v>2362</v>
      </c>
      <c r="B906" s="119">
        <v>5</v>
      </c>
      <c r="C906" s="90" t="s">
        <v>2360</v>
      </c>
      <c r="D906" s="90" t="s">
        <v>78</v>
      </c>
      <c r="E906">
        <v>1804</v>
      </c>
      <c r="F906">
        <v>1805</v>
      </c>
      <c r="G906" s="93" t="s">
        <v>78</v>
      </c>
      <c r="H906" t="s">
        <v>1509</v>
      </c>
      <c r="I906">
        <v>1</v>
      </c>
      <c r="J906">
        <v>3300</v>
      </c>
      <c r="K906">
        <f>I906*J906</f>
        <v>3300</v>
      </c>
      <c r="L906">
        <v>40</v>
      </c>
      <c r="M906">
        <f>(1-(L906/100))*K906</f>
        <v>1980</v>
      </c>
      <c r="N906" s="90">
        <v>906</v>
      </c>
      <c r="O906" s="90" t="s">
        <v>2363</v>
      </c>
      <c r="P906" s="118"/>
      <c r="Q906" s="118"/>
    </row>
    <row r="907" spans="1:21" x14ac:dyDescent="0.25">
      <c r="A907" s="90" t="s">
        <v>2364</v>
      </c>
      <c r="B907" s="119">
        <v>3</v>
      </c>
      <c r="C907" s="90" t="s">
        <v>2305</v>
      </c>
      <c r="D907" s="90" t="s">
        <v>79</v>
      </c>
      <c r="E907">
        <v>1808</v>
      </c>
      <c r="F907">
        <v>1823</v>
      </c>
      <c r="G907" s="93" t="s">
        <v>68</v>
      </c>
      <c r="H907" t="s">
        <v>2365</v>
      </c>
      <c r="I907">
        <v>1</v>
      </c>
      <c r="J907">
        <f>SUM(K908)</f>
        <v>7080.4151279700009</v>
      </c>
      <c r="K907">
        <f>I907*J907</f>
        <v>7080.4151279700009</v>
      </c>
      <c r="L907">
        <f>100*(1-(M907/K907))</f>
        <v>40</v>
      </c>
      <c r="M907">
        <f>I907*SUM(M908)</f>
        <v>4248.249076782</v>
      </c>
      <c r="N907" s="90">
        <v>907</v>
      </c>
      <c r="O907" s="90" t="s">
        <v>2366</v>
      </c>
      <c r="P907" s="118"/>
      <c r="Q907" s="118"/>
      <c r="R907" s="90" t="s">
        <v>6928</v>
      </c>
      <c r="S907" s="90" t="s">
        <v>7025</v>
      </c>
      <c r="T907" s="90" t="s">
        <v>7071</v>
      </c>
      <c r="U907" s="90" t="s">
        <v>6977</v>
      </c>
    </row>
    <row r="908" spans="1:21" x14ac:dyDescent="0.25">
      <c r="A908" s="90" t="s">
        <v>2367</v>
      </c>
      <c r="B908" s="119">
        <v>4</v>
      </c>
      <c r="C908" s="90" t="s">
        <v>2364</v>
      </c>
      <c r="D908" s="90" t="s">
        <v>78</v>
      </c>
      <c r="E908">
        <v>1809</v>
      </c>
      <c r="F908">
        <v>1822</v>
      </c>
      <c r="G908" s="93" t="s">
        <v>68</v>
      </c>
      <c r="H908" t="s">
        <v>2368</v>
      </c>
      <c r="I908">
        <v>1</v>
      </c>
      <c r="J908">
        <f>SUM(K909)</f>
        <v>7080.4151279700009</v>
      </c>
      <c r="K908">
        <f>I908*J908</f>
        <v>7080.4151279700009</v>
      </c>
      <c r="L908">
        <f>100*(1-(M908/K908))</f>
        <v>40</v>
      </c>
      <c r="M908">
        <f>I908*SUM(M909)</f>
        <v>4248.249076782</v>
      </c>
      <c r="N908" s="90">
        <v>908</v>
      </c>
      <c r="O908" s="90" t="s">
        <v>2369</v>
      </c>
      <c r="P908" s="118"/>
      <c r="Q908" s="118"/>
      <c r="R908" s="90" t="s">
        <v>6351</v>
      </c>
      <c r="S908" s="90" t="s">
        <v>6654</v>
      </c>
      <c r="T908" s="90" t="s">
        <v>6799</v>
      </c>
      <c r="U908" s="90" t="s">
        <v>6503</v>
      </c>
    </row>
    <row r="909" spans="1:21" x14ac:dyDescent="0.25">
      <c r="A909" s="90" t="s">
        <v>2370</v>
      </c>
      <c r="B909" s="119">
        <v>5</v>
      </c>
      <c r="C909" s="90" t="s">
        <v>2367</v>
      </c>
      <c r="D909" s="90" t="s">
        <v>78</v>
      </c>
      <c r="E909">
        <v>1810</v>
      </c>
      <c r="F909">
        <v>1821</v>
      </c>
      <c r="G909" s="93" t="s">
        <v>68</v>
      </c>
      <c r="H909" t="s">
        <v>1397</v>
      </c>
      <c r="I909">
        <v>1</v>
      </c>
      <c r="J909">
        <f>SUM(K910,K911,K912,K913,K914)</f>
        <v>7080.4151279700009</v>
      </c>
      <c r="K909">
        <f>I909*J909</f>
        <v>7080.4151279700009</v>
      </c>
      <c r="L909">
        <f>100*(1-(M909/K909))</f>
        <v>40</v>
      </c>
      <c r="M909">
        <f>I909*SUM(M910,M911,M912,M913,M914)</f>
        <v>4248.249076782</v>
      </c>
      <c r="N909" s="90">
        <v>909</v>
      </c>
      <c r="O909" s="90" t="s">
        <v>2371</v>
      </c>
      <c r="P909" s="118"/>
      <c r="Q909" s="118"/>
      <c r="R909" s="90" t="s">
        <v>4346</v>
      </c>
      <c r="S909" s="90" t="s">
        <v>5413</v>
      </c>
      <c r="T909" s="90" t="s">
        <v>5911</v>
      </c>
      <c r="U909" s="90" t="s">
        <v>4886</v>
      </c>
    </row>
    <row r="910" spans="1:21" x14ac:dyDescent="0.25">
      <c r="A910" s="90" t="s">
        <v>2372</v>
      </c>
      <c r="B910" s="119">
        <v>6</v>
      </c>
      <c r="C910" s="90" t="s">
        <v>2370</v>
      </c>
      <c r="D910" s="90" t="s">
        <v>78</v>
      </c>
      <c r="E910">
        <v>1811</v>
      </c>
      <c r="F910">
        <v>1812</v>
      </c>
      <c r="G910" s="93" t="s">
        <v>78</v>
      </c>
      <c r="H910" t="s">
        <v>126</v>
      </c>
      <c r="I910">
        <v>1</v>
      </c>
      <c r="J910">
        <v>491.93938622000002</v>
      </c>
      <c r="K910">
        <f>I910*J910</f>
        <v>491.93938622000002</v>
      </c>
      <c r="L910">
        <v>40</v>
      </c>
      <c r="M910">
        <f>(1-(L910/100))*K910</f>
        <v>295.163631732</v>
      </c>
      <c r="N910" s="90">
        <v>910</v>
      </c>
      <c r="O910" s="90" t="s">
        <v>2373</v>
      </c>
      <c r="P910" s="118"/>
      <c r="Q910" s="118"/>
    </row>
    <row r="911" spans="1:21" x14ac:dyDescent="0.25">
      <c r="A911" s="90" t="s">
        <v>2374</v>
      </c>
      <c r="B911" s="119">
        <v>6</v>
      </c>
      <c r="C911" s="90" t="s">
        <v>2370</v>
      </c>
      <c r="D911" s="90" t="s">
        <v>79</v>
      </c>
      <c r="E911">
        <v>1813</v>
      </c>
      <c r="F911">
        <v>1814</v>
      </c>
      <c r="G911" s="93" t="s">
        <v>78</v>
      </c>
      <c r="H911" t="s">
        <v>120</v>
      </c>
      <c r="I911">
        <v>1</v>
      </c>
      <c r="J911">
        <v>967.93582071000003</v>
      </c>
      <c r="K911">
        <f>I911*J911</f>
        <v>967.93582071000003</v>
      </c>
      <c r="L911">
        <v>40</v>
      </c>
      <c r="M911">
        <f>(1-(L911/100))*K911</f>
        <v>580.76149242600002</v>
      </c>
      <c r="N911" s="90">
        <v>911</v>
      </c>
      <c r="O911" s="90" t="s">
        <v>2375</v>
      </c>
      <c r="P911" s="118"/>
      <c r="Q911" s="118"/>
    </row>
    <row r="912" spans="1:21" x14ac:dyDescent="0.25">
      <c r="A912" s="90" t="s">
        <v>2376</v>
      </c>
      <c r="B912" s="119">
        <v>6</v>
      </c>
      <c r="C912" s="90" t="s">
        <v>2370</v>
      </c>
      <c r="D912" s="90" t="s">
        <v>80</v>
      </c>
      <c r="E912">
        <v>1815</v>
      </c>
      <c r="F912">
        <v>1816</v>
      </c>
      <c r="G912" s="93" t="s">
        <v>78</v>
      </c>
      <c r="H912" t="s">
        <v>125</v>
      </c>
      <c r="I912">
        <v>1</v>
      </c>
      <c r="J912">
        <v>967.93582071000003</v>
      </c>
      <c r="K912">
        <f>I912*J912</f>
        <v>967.93582071000003</v>
      </c>
      <c r="L912">
        <v>40</v>
      </c>
      <c r="M912">
        <f>(1-(L912/100))*K912</f>
        <v>580.76149242600002</v>
      </c>
      <c r="N912" s="90">
        <v>912</v>
      </c>
      <c r="O912" s="90" t="s">
        <v>2377</v>
      </c>
      <c r="P912" s="118"/>
      <c r="Q912" s="118"/>
    </row>
    <row r="913" spans="1:21" x14ac:dyDescent="0.25">
      <c r="A913" s="90" t="s">
        <v>2378</v>
      </c>
      <c r="B913" s="119">
        <v>6</v>
      </c>
      <c r="C913" s="90" t="s">
        <v>2370</v>
      </c>
      <c r="D913" s="90" t="s">
        <v>95</v>
      </c>
      <c r="E913">
        <v>1817</v>
      </c>
      <c r="F913">
        <v>1818</v>
      </c>
      <c r="G913" s="93" t="s">
        <v>78</v>
      </c>
      <c r="H913" t="s">
        <v>203</v>
      </c>
      <c r="I913">
        <v>1</v>
      </c>
      <c r="J913">
        <v>2064.00101872</v>
      </c>
      <c r="K913">
        <f>I913*J913</f>
        <v>2064.00101872</v>
      </c>
      <c r="L913">
        <v>40</v>
      </c>
      <c r="M913">
        <f>(1-(L913/100))*K913</f>
        <v>1238.4006112320001</v>
      </c>
      <c r="N913" s="90">
        <v>913</v>
      </c>
      <c r="O913" s="90" t="s">
        <v>2379</v>
      </c>
      <c r="P913" s="118"/>
      <c r="Q913" s="118"/>
    </row>
    <row r="914" spans="1:21" x14ac:dyDescent="0.25">
      <c r="A914" s="90" t="s">
        <v>2380</v>
      </c>
      <c r="B914" s="119">
        <v>6</v>
      </c>
      <c r="C914" s="90" t="s">
        <v>2370</v>
      </c>
      <c r="D914" s="90" t="s">
        <v>96</v>
      </c>
      <c r="E914">
        <v>1819</v>
      </c>
      <c r="F914">
        <v>1820</v>
      </c>
      <c r="G914" s="93" t="s">
        <v>78</v>
      </c>
      <c r="H914" t="s">
        <v>191</v>
      </c>
      <c r="I914">
        <v>3</v>
      </c>
      <c r="J914">
        <v>862.86769387000004</v>
      </c>
      <c r="K914">
        <f>I914*J914</f>
        <v>2588.6030816100001</v>
      </c>
      <c r="L914">
        <v>40</v>
      </c>
      <c r="M914">
        <f>(1-(L914/100))*K914</f>
        <v>1553.161848966</v>
      </c>
      <c r="N914" s="90">
        <v>914</v>
      </c>
      <c r="O914" s="90" t="s">
        <v>2381</v>
      </c>
      <c r="P914" s="118"/>
      <c r="Q914" s="118"/>
    </row>
    <row r="915" spans="1:21" x14ac:dyDescent="0.25">
      <c r="A915" s="90" t="s">
        <v>2382</v>
      </c>
      <c r="B915" s="119">
        <v>3</v>
      </c>
      <c r="C915" s="90" t="s">
        <v>2305</v>
      </c>
      <c r="D915" s="90" t="s">
        <v>80</v>
      </c>
      <c r="E915">
        <v>1824</v>
      </c>
      <c r="F915">
        <v>1847</v>
      </c>
      <c r="G915" s="93" t="s">
        <v>68</v>
      </c>
      <c r="H915" t="s">
        <v>2383</v>
      </c>
      <c r="I915">
        <v>1</v>
      </c>
      <c r="J915">
        <f>SUM(K916,K919,K921,K923,K925)</f>
        <v>13011.371921559999</v>
      </c>
      <c r="K915">
        <f>I915*J915</f>
        <v>13011.371921559999</v>
      </c>
      <c r="L915">
        <f>100*(1-(M915/K915))</f>
        <v>88</v>
      </c>
      <c r="M915">
        <f>I915*SUM(M916,M919,M921,M923,M925)</f>
        <v>1561.3646305871998</v>
      </c>
      <c r="N915" s="90">
        <v>915</v>
      </c>
      <c r="O915" s="90" t="s">
        <v>2384</v>
      </c>
      <c r="P915" s="118"/>
      <c r="Q915" s="118"/>
      <c r="R915" s="90" t="s">
        <v>6352</v>
      </c>
      <c r="S915" s="90" t="s">
        <v>6655</v>
      </c>
      <c r="T915" s="90" t="s">
        <v>6800</v>
      </c>
      <c r="U915" s="90" t="s">
        <v>6504</v>
      </c>
    </row>
    <row r="916" spans="1:21" x14ac:dyDescent="0.25">
      <c r="A916" s="90" t="s">
        <v>2385</v>
      </c>
      <c r="B916" s="119">
        <v>4</v>
      </c>
      <c r="C916" s="90" t="s">
        <v>2382</v>
      </c>
      <c r="D916" s="90" t="s">
        <v>78</v>
      </c>
      <c r="E916">
        <v>1825</v>
      </c>
      <c r="F916">
        <v>1830</v>
      </c>
      <c r="G916" s="93" t="s">
        <v>68</v>
      </c>
      <c r="H916" t="s">
        <v>364</v>
      </c>
      <c r="I916">
        <v>1</v>
      </c>
      <c r="J916">
        <f>SUM(K917,K918)</f>
        <v>2292.1176620400001</v>
      </c>
      <c r="K916">
        <f>I916*J916</f>
        <v>2292.1176620400001</v>
      </c>
      <c r="L916">
        <f>100*(1-(M916/K916))</f>
        <v>88</v>
      </c>
      <c r="M916">
        <f>I916*SUM(M917,M918)</f>
        <v>275.05411944479999</v>
      </c>
      <c r="N916" s="90">
        <v>916</v>
      </c>
      <c r="O916" s="90" t="s">
        <v>2386</v>
      </c>
      <c r="P916" s="118"/>
      <c r="Q916" s="118"/>
      <c r="R916" s="90" t="s">
        <v>4347</v>
      </c>
      <c r="S916" s="90" t="s">
        <v>5414</v>
      </c>
      <c r="T916" s="90" t="s">
        <v>5912</v>
      </c>
      <c r="U916" s="90" t="s">
        <v>4887</v>
      </c>
    </row>
    <row r="917" spans="1:21" x14ac:dyDescent="0.25">
      <c r="A917" s="90" t="s">
        <v>2387</v>
      </c>
      <c r="B917" s="119">
        <v>5</v>
      </c>
      <c r="C917" s="90" t="s">
        <v>2385</v>
      </c>
      <c r="D917" s="90" t="s">
        <v>78</v>
      </c>
      <c r="E917">
        <v>1826</v>
      </c>
      <c r="F917">
        <v>1827</v>
      </c>
      <c r="G917" s="93" t="s">
        <v>78</v>
      </c>
      <c r="H917" t="s">
        <v>366</v>
      </c>
      <c r="I917">
        <v>1</v>
      </c>
      <c r="J917">
        <v>509.35948044999998</v>
      </c>
      <c r="K917">
        <f>I917*J917</f>
        <v>509.35948044999998</v>
      </c>
      <c r="L917">
        <v>88</v>
      </c>
      <c r="M917">
        <f>(1-(L917/100))*K917</f>
        <v>61.123137653999997</v>
      </c>
      <c r="N917" s="90">
        <v>917</v>
      </c>
      <c r="O917" s="90" t="s">
        <v>2388</v>
      </c>
      <c r="P917" s="118"/>
      <c r="Q917" s="118"/>
    </row>
    <row r="918" spans="1:21" x14ac:dyDescent="0.25">
      <c r="A918" s="90" t="s">
        <v>2389</v>
      </c>
      <c r="B918" s="119">
        <v>5</v>
      </c>
      <c r="C918" s="90" t="s">
        <v>2385</v>
      </c>
      <c r="D918" s="90" t="s">
        <v>79</v>
      </c>
      <c r="E918">
        <v>1828</v>
      </c>
      <c r="F918">
        <v>1829</v>
      </c>
      <c r="G918" s="93" t="s">
        <v>78</v>
      </c>
      <c r="H918" t="s">
        <v>368</v>
      </c>
      <c r="I918">
        <v>1</v>
      </c>
      <c r="J918">
        <v>1782.75818159</v>
      </c>
      <c r="K918">
        <f>I918*J918</f>
        <v>1782.75818159</v>
      </c>
      <c r="L918">
        <v>88</v>
      </c>
      <c r="M918">
        <f>(1-(L918/100))*K918</f>
        <v>213.93098179079999</v>
      </c>
      <c r="N918" s="90">
        <v>918</v>
      </c>
      <c r="O918" s="90" t="s">
        <v>2390</v>
      </c>
      <c r="P918" s="118"/>
      <c r="Q918" s="118"/>
    </row>
    <row r="919" spans="1:21" x14ac:dyDescent="0.25">
      <c r="A919" s="90" t="s">
        <v>2391</v>
      </c>
      <c r="B919" s="119">
        <v>4</v>
      </c>
      <c r="C919" s="90" t="s">
        <v>2382</v>
      </c>
      <c r="D919" s="90" t="s">
        <v>79</v>
      </c>
      <c r="E919">
        <v>1831</v>
      </c>
      <c r="F919">
        <v>1834</v>
      </c>
      <c r="G919" s="93" t="s">
        <v>68</v>
      </c>
      <c r="H919" t="s">
        <v>379</v>
      </c>
      <c r="I919">
        <v>1</v>
      </c>
      <c r="J919">
        <f>SUM(K920)</f>
        <v>303.06889087000002</v>
      </c>
      <c r="K919">
        <f>I919*J919</f>
        <v>303.06889087000002</v>
      </c>
      <c r="L919">
        <f>100*(1-(M919/K919))</f>
        <v>88</v>
      </c>
      <c r="M919">
        <f>I919*SUM(M920)</f>
        <v>36.368266904400002</v>
      </c>
      <c r="N919" s="90">
        <v>919</v>
      </c>
      <c r="O919" s="90" t="s">
        <v>2392</v>
      </c>
      <c r="P919" s="118"/>
      <c r="Q919" s="118"/>
      <c r="R919" s="90" t="s">
        <v>4348</v>
      </c>
      <c r="S919" s="90" t="s">
        <v>1006</v>
      </c>
      <c r="T919" s="90" t="s">
        <v>1033</v>
      </c>
      <c r="U919" s="90" t="s">
        <v>4888</v>
      </c>
    </row>
    <row r="920" spans="1:21" x14ac:dyDescent="0.25">
      <c r="A920" s="90" t="s">
        <v>2393</v>
      </c>
      <c r="B920" s="119">
        <v>5</v>
      </c>
      <c r="C920" s="90" t="s">
        <v>2391</v>
      </c>
      <c r="D920" s="90" t="s">
        <v>78</v>
      </c>
      <c r="E920">
        <v>1832</v>
      </c>
      <c r="F920">
        <v>1833</v>
      </c>
      <c r="G920" s="93" t="s">
        <v>78</v>
      </c>
      <c r="H920" t="s">
        <v>381</v>
      </c>
      <c r="I920">
        <v>1</v>
      </c>
      <c r="J920">
        <v>303.06889087000002</v>
      </c>
      <c r="K920">
        <f>I920*J920</f>
        <v>303.06889087000002</v>
      </c>
      <c r="L920">
        <v>88</v>
      </c>
      <c r="M920">
        <f>(1-(L920/100))*K920</f>
        <v>36.368266904400002</v>
      </c>
      <c r="N920" s="90">
        <v>920</v>
      </c>
      <c r="O920" s="90" t="s">
        <v>2394</v>
      </c>
      <c r="P920" s="118"/>
      <c r="Q920" s="118"/>
    </row>
    <row r="921" spans="1:21" x14ac:dyDescent="0.25">
      <c r="A921" s="90" t="s">
        <v>2395</v>
      </c>
      <c r="B921" s="119">
        <v>4</v>
      </c>
      <c r="C921" s="90" t="s">
        <v>2382</v>
      </c>
      <c r="D921" s="90" t="s">
        <v>80</v>
      </c>
      <c r="E921">
        <v>1835</v>
      </c>
      <c r="F921">
        <v>1838</v>
      </c>
      <c r="G921" s="93" t="s">
        <v>68</v>
      </c>
      <c r="H921" t="s">
        <v>399</v>
      </c>
      <c r="I921">
        <v>1</v>
      </c>
      <c r="J921">
        <f>SUM(K922)</f>
        <v>333.63045970000002</v>
      </c>
      <c r="K921">
        <f>I921*J921</f>
        <v>333.63045970000002</v>
      </c>
      <c r="L921">
        <f>100*(1-(M921/K921))</f>
        <v>88</v>
      </c>
      <c r="M921">
        <f>I921*SUM(M922)</f>
        <v>40.035655163999998</v>
      </c>
      <c r="N921" s="90">
        <v>921</v>
      </c>
      <c r="O921" s="90" t="s">
        <v>2396</v>
      </c>
      <c r="P921" s="118"/>
      <c r="Q921" s="118"/>
      <c r="R921" s="90" t="s">
        <v>4349</v>
      </c>
      <c r="S921" s="90" t="s">
        <v>5415</v>
      </c>
      <c r="T921" s="90" t="s">
        <v>5913</v>
      </c>
      <c r="U921" s="90" t="s">
        <v>4889</v>
      </c>
    </row>
    <row r="922" spans="1:21" x14ac:dyDescent="0.25">
      <c r="A922" s="90" t="s">
        <v>2397</v>
      </c>
      <c r="B922" s="119">
        <v>5</v>
      </c>
      <c r="C922" s="90" t="s">
        <v>2395</v>
      </c>
      <c r="D922" s="90" t="s">
        <v>78</v>
      </c>
      <c r="E922">
        <v>1836</v>
      </c>
      <c r="F922">
        <v>1837</v>
      </c>
      <c r="G922" s="93" t="s">
        <v>78</v>
      </c>
      <c r="H922" t="s">
        <v>401</v>
      </c>
      <c r="I922">
        <v>1</v>
      </c>
      <c r="J922">
        <v>333.63045970000002</v>
      </c>
      <c r="K922">
        <f>I922*J922</f>
        <v>333.63045970000002</v>
      </c>
      <c r="L922">
        <v>88</v>
      </c>
      <c r="M922">
        <f>(1-(L922/100))*K922</f>
        <v>40.035655163999998</v>
      </c>
      <c r="N922" s="90">
        <v>922</v>
      </c>
      <c r="O922" s="90" t="s">
        <v>2398</v>
      </c>
      <c r="P922" s="118"/>
      <c r="Q922" s="118"/>
    </row>
    <row r="923" spans="1:21" x14ac:dyDescent="0.25">
      <c r="A923" s="90" t="s">
        <v>2399</v>
      </c>
      <c r="B923" s="119">
        <v>4</v>
      </c>
      <c r="C923" s="90" t="s">
        <v>2382</v>
      </c>
      <c r="D923" s="90" t="s">
        <v>95</v>
      </c>
      <c r="E923">
        <v>1839</v>
      </c>
      <c r="F923">
        <v>1842</v>
      </c>
      <c r="G923" s="93" t="s">
        <v>68</v>
      </c>
      <c r="H923" t="s">
        <v>383</v>
      </c>
      <c r="I923">
        <v>1</v>
      </c>
      <c r="J923">
        <f>SUM(K924)</f>
        <v>1069.6549089499999</v>
      </c>
      <c r="K923">
        <f>I923*J923</f>
        <v>1069.6549089499999</v>
      </c>
      <c r="L923">
        <f>100*(1-(M923/K923))</f>
        <v>88</v>
      </c>
      <c r="M923">
        <f>I923*SUM(M924)</f>
        <v>128.35858907399998</v>
      </c>
      <c r="N923" s="90">
        <v>923</v>
      </c>
      <c r="O923" s="90" t="s">
        <v>2400</v>
      </c>
      <c r="P923" s="118"/>
      <c r="Q923" s="118"/>
      <c r="R923" s="90" t="s">
        <v>4350</v>
      </c>
      <c r="S923" s="90" t="s">
        <v>5416</v>
      </c>
      <c r="T923" s="90" t="s">
        <v>5914</v>
      </c>
      <c r="U923" s="90" t="s">
        <v>4890</v>
      </c>
    </row>
    <row r="924" spans="1:21" x14ac:dyDescent="0.25">
      <c r="A924" s="90" t="s">
        <v>2401</v>
      </c>
      <c r="B924" s="119">
        <v>5</v>
      </c>
      <c r="C924" s="90" t="s">
        <v>2399</v>
      </c>
      <c r="D924" s="90" t="s">
        <v>78</v>
      </c>
      <c r="E924">
        <v>1840</v>
      </c>
      <c r="F924">
        <v>1841</v>
      </c>
      <c r="G924" s="93" t="s">
        <v>78</v>
      </c>
      <c r="H924" t="s">
        <v>385</v>
      </c>
      <c r="I924">
        <v>1</v>
      </c>
      <c r="J924">
        <v>1069.6549089499999</v>
      </c>
      <c r="K924">
        <f>I924*J924</f>
        <v>1069.6549089499999</v>
      </c>
      <c r="L924">
        <v>88</v>
      </c>
      <c r="M924">
        <f>(1-(L924/100))*K924</f>
        <v>128.35858907399998</v>
      </c>
      <c r="N924" s="90">
        <v>924</v>
      </c>
      <c r="O924" s="90" t="s">
        <v>2402</v>
      </c>
      <c r="P924" s="118"/>
      <c r="Q924" s="118"/>
    </row>
    <row r="925" spans="1:21" x14ac:dyDescent="0.25">
      <c r="A925" s="90" t="s">
        <v>2403</v>
      </c>
      <c r="B925" s="119">
        <v>4</v>
      </c>
      <c r="C925" s="90" t="s">
        <v>2382</v>
      </c>
      <c r="D925" s="90" t="s">
        <v>96</v>
      </c>
      <c r="E925">
        <v>1843</v>
      </c>
      <c r="F925">
        <v>1846</v>
      </c>
      <c r="G925" s="93" t="s">
        <v>68</v>
      </c>
      <c r="H925" t="s">
        <v>387</v>
      </c>
      <c r="I925">
        <v>1</v>
      </c>
      <c r="J925">
        <f>SUM(K926)</f>
        <v>9012.9</v>
      </c>
      <c r="K925">
        <f>I925*J925</f>
        <v>9012.9</v>
      </c>
      <c r="L925">
        <f>100*(1-(M925/K925))</f>
        <v>88</v>
      </c>
      <c r="M925">
        <f>I925*SUM(M926)</f>
        <v>1081.548</v>
      </c>
      <c r="N925" s="90">
        <v>925</v>
      </c>
      <c r="O925" s="90" t="s">
        <v>2404</v>
      </c>
      <c r="P925" s="118"/>
      <c r="Q925" s="118"/>
      <c r="R925" s="90" t="s">
        <v>4351</v>
      </c>
      <c r="S925" s="90" t="s">
        <v>5417</v>
      </c>
      <c r="T925" s="90" t="s">
        <v>5915</v>
      </c>
      <c r="U925" s="90" t="s">
        <v>4891</v>
      </c>
    </row>
    <row r="926" spans="1:21" x14ac:dyDescent="0.25">
      <c r="A926" s="90" t="s">
        <v>2405</v>
      </c>
      <c r="B926" s="119">
        <v>5</v>
      </c>
      <c r="C926" s="90" t="s">
        <v>2403</v>
      </c>
      <c r="D926" s="90" t="s">
        <v>78</v>
      </c>
      <c r="E926">
        <v>1844</v>
      </c>
      <c r="F926">
        <v>1845</v>
      </c>
      <c r="G926" s="93" t="s">
        <v>78</v>
      </c>
      <c r="H926" t="s">
        <v>389</v>
      </c>
      <c r="I926">
        <v>1</v>
      </c>
      <c r="J926">
        <v>9012.9</v>
      </c>
      <c r="K926">
        <f>I926*J926</f>
        <v>9012.9</v>
      </c>
      <c r="L926">
        <v>88</v>
      </c>
      <c r="M926">
        <f>(1-(L926/100))*K926</f>
        <v>1081.548</v>
      </c>
      <c r="N926" s="90">
        <v>926</v>
      </c>
      <c r="O926" s="90" t="s">
        <v>2406</v>
      </c>
      <c r="P926" s="118"/>
      <c r="Q926" s="118"/>
    </row>
    <row r="927" spans="1:21" x14ac:dyDescent="0.25">
      <c r="A927" s="90" t="s">
        <v>2407</v>
      </c>
      <c r="B927" s="119">
        <v>2</v>
      </c>
      <c r="C927" s="90" t="s">
        <v>78</v>
      </c>
      <c r="D927" s="90" t="s">
        <v>81</v>
      </c>
      <c r="E927">
        <v>1849</v>
      </c>
      <c r="F927">
        <v>1958</v>
      </c>
      <c r="G927" s="93" t="s">
        <v>68</v>
      </c>
      <c r="H927" t="s">
        <v>2408</v>
      </c>
      <c r="I927">
        <v>1</v>
      </c>
      <c r="J927">
        <f>SUM(K928,K955,K966,K976,K979)</f>
        <v>60685.761626130006</v>
      </c>
      <c r="K927">
        <f>I927*J927</f>
        <v>60685.761626130006</v>
      </c>
      <c r="L927">
        <f>100*(1-(M927/K927))</f>
        <v>50.772019698015491</v>
      </c>
      <c r="M927">
        <f>I927*SUM(M928,M955,M966,M976,M979)</f>
        <v>29874.374779420552</v>
      </c>
      <c r="N927" s="90">
        <v>927</v>
      </c>
      <c r="O927" s="90" t="s">
        <v>2409</v>
      </c>
      <c r="P927" s="118"/>
      <c r="Q927" s="118"/>
      <c r="R927" s="90" t="s">
        <v>6929</v>
      </c>
      <c r="S927" s="90" t="s">
        <v>7026</v>
      </c>
      <c r="T927" s="90" t="s">
        <v>7072</v>
      </c>
      <c r="U927" s="90" t="s">
        <v>6978</v>
      </c>
    </row>
    <row r="928" spans="1:21" x14ac:dyDescent="0.25">
      <c r="A928" s="90" t="s">
        <v>2410</v>
      </c>
      <c r="B928" s="119">
        <v>3</v>
      </c>
      <c r="C928" s="90" t="s">
        <v>2407</v>
      </c>
      <c r="D928" s="90" t="s">
        <v>78</v>
      </c>
      <c r="E928">
        <v>1850</v>
      </c>
      <c r="F928">
        <v>1903</v>
      </c>
      <c r="G928" s="93" t="s">
        <v>68</v>
      </c>
      <c r="H928" t="s">
        <v>2411</v>
      </c>
      <c r="I928">
        <v>1</v>
      </c>
      <c r="J928">
        <f>SUM(K929,K931,K933,K935,K937,K939,K941,K943,K945,K947,K949,K951)</f>
        <v>37485.758147210006</v>
      </c>
      <c r="K928">
        <f>I928*J928</f>
        <v>37485.758147210006</v>
      </c>
      <c r="L928">
        <f>100*(1-(M928/K928))</f>
        <v>40.000000000000021</v>
      </c>
      <c r="M928">
        <f>I928*SUM(M929,M931,M933,M935,M937,M939,M941,M943,M945,M947,M949,M951)</f>
        <v>22491.454888325996</v>
      </c>
      <c r="N928" s="90">
        <v>928</v>
      </c>
      <c r="O928" s="90" t="s">
        <v>2412</v>
      </c>
      <c r="P928" s="118"/>
      <c r="Q928" s="118"/>
      <c r="R928" s="90" t="s">
        <v>6353</v>
      </c>
      <c r="S928" s="90" t="s">
        <v>6656</v>
      </c>
      <c r="T928" s="90" t="s">
        <v>6801</v>
      </c>
      <c r="U928" s="90" t="s">
        <v>6505</v>
      </c>
    </row>
    <row r="929" spans="1:21" x14ac:dyDescent="0.25">
      <c r="A929" s="90" t="s">
        <v>2413</v>
      </c>
      <c r="B929" s="119">
        <v>4</v>
      </c>
      <c r="C929" s="90" t="s">
        <v>2410</v>
      </c>
      <c r="D929" s="90" t="s">
        <v>78</v>
      </c>
      <c r="E929">
        <v>1851</v>
      </c>
      <c r="F929">
        <v>1854</v>
      </c>
      <c r="G929" s="93" t="s">
        <v>68</v>
      </c>
      <c r="H929" t="s">
        <v>1235</v>
      </c>
      <c r="I929">
        <v>2</v>
      </c>
      <c r="J929">
        <f>SUM(K930)</f>
        <v>37.44</v>
      </c>
      <c r="K929">
        <f>I929*J929</f>
        <v>74.88</v>
      </c>
      <c r="L929">
        <f>100*(1-(M929/K929))</f>
        <v>40</v>
      </c>
      <c r="M929">
        <f>I929*SUM(M930)</f>
        <v>44.927999999999997</v>
      </c>
      <c r="N929" s="90">
        <v>929</v>
      </c>
      <c r="O929" s="90" t="s">
        <v>2414</v>
      </c>
      <c r="P929" s="118"/>
      <c r="Q929" s="118"/>
      <c r="R929" s="90" t="s">
        <v>4352</v>
      </c>
      <c r="S929" s="90" t="s">
        <v>5418</v>
      </c>
      <c r="T929" s="90" t="s">
        <v>5916</v>
      </c>
      <c r="U929" s="90" t="s">
        <v>4892</v>
      </c>
    </row>
    <row r="930" spans="1:21" x14ac:dyDescent="0.25">
      <c r="A930" s="90" t="s">
        <v>2415</v>
      </c>
      <c r="B930" s="119">
        <v>5</v>
      </c>
      <c r="C930" s="90" t="s">
        <v>2413</v>
      </c>
      <c r="D930" s="90" t="s">
        <v>78</v>
      </c>
      <c r="E930">
        <v>1852</v>
      </c>
      <c r="F930">
        <v>1853</v>
      </c>
      <c r="G930" s="93" t="s">
        <v>78</v>
      </c>
      <c r="H930" t="s">
        <v>1235</v>
      </c>
      <c r="I930">
        <v>1</v>
      </c>
      <c r="J930">
        <v>37.44</v>
      </c>
      <c r="K930">
        <f>I930*J930</f>
        <v>37.44</v>
      </c>
      <c r="L930">
        <v>40</v>
      </c>
      <c r="M930">
        <f>(1-(L930/100))*K930</f>
        <v>22.463999999999999</v>
      </c>
      <c r="N930" s="90">
        <v>930</v>
      </c>
      <c r="O930" s="90" t="s">
        <v>2416</v>
      </c>
      <c r="P930" s="118"/>
      <c r="Q930" s="118"/>
    </row>
    <row r="931" spans="1:21" x14ac:dyDescent="0.25">
      <c r="A931" s="90" t="s">
        <v>2417</v>
      </c>
      <c r="B931" s="119">
        <v>4</v>
      </c>
      <c r="C931" s="90" t="s">
        <v>2410</v>
      </c>
      <c r="D931" s="90" t="s">
        <v>79</v>
      </c>
      <c r="E931">
        <v>1855</v>
      </c>
      <c r="F931">
        <v>1858</v>
      </c>
      <c r="G931" s="93" t="s">
        <v>68</v>
      </c>
      <c r="H931" t="s">
        <v>1240</v>
      </c>
      <c r="I931">
        <v>1</v>
      </c>
      <c r="J931">
        <f>SUM(K932)</f>
        <v>700.36928562000003</v>
      </c>
      <c r="K931">
        <f>I931*J931</f>
        <v>700.36928562000003</v>
      </c>
      <c r="L931">
        <f>100*(1-(M931/K931))</f>
        <v>40</v>
      </c>
      <c r="M931">
        <f>I931*SUM(M932)</f>
        <v>420.22157137200003</v>
      </c>
      <c r="N931" s="90">
        <v>931</v>
      </c>
      <c r="O931" s="90" t="s">
        <v>2418</v>
      </c>
      <c r="P931" s="118"/>
      <c r="Q931" s="118"/>
      <c r="R931" s="90" t="s">
        <v>4356</v>
      </c>
      <c r="S931" s="90" t="s">
        <v>5422</v>
      </c>
      <c r="T931" s="90" t="s">
        <v>5920</v>
      </c>
      <c r="U931" s="90" t="s">
        <v>4896</v>
      </c>
    </row>
    <row r="932" spans="1:21" x14ac:dyDescent="0.25">
      <c r="A932" s="90" t="s">
        <v>2419</v>
      </c>
      <c r="B932" s="119">
        <v>5</v>
      </c>
      <c r="C932" s="90" t="s">
        <v>2417</v>
      </c>
      <c r="D932" s="90" t="s">
        <v>78</v>
      </c>
      <c r="E932">
        <v>1856</v>
      </c>
      <c r="F932">
        <v>1857</v>
      </c>
      <c r="G932" s="93" t="s">
        <v>78</v>
      </c>
      <c r="H932" t="s">
        <v>1243</v>
      </c>
      <c r="I932">
        <v>1</v>
      </c>
      <c r="J932">
        <v>700.36928562000003</v>
      </c>
      <c r="K932">
        <f>I932*J932</f>
        <v>700.36928562000003</v>
      </c>
      <c r="L932">
        <v>40</v>
      </c>
      <c r="M932">
        <f>(1-(L932/100))*K932</f>
        <v>420.22157137200003</v>
      </c>
      <c r="N932" s="90">
        <v>932</v>
      </c>
      <c r="O932" s="90" t="s">
        <v>2420</v>
      </c>
      <c r="P932" s="118"/>
      <c r="Q932" s="118"/>
    </row>
    <row r="933" spans="1:21" x14ac:dyDescent="0.25">
      <c r="A933" s="90" t="s">
        <v>2421</v>
      </c>
      <c r="B933" s="119">
        <v>4</v>
      </c>
      <c r="C933" s="90" t="s">
        <v>2410</v>
      </c>
      <c r="D933" s="90" t="s">
        <v>80</v>
      </c>
      <c r="E933">
        <v>1859</v>
      </c>
      <c r="F933">
        <v>1862</v>
      </c>
      <c r="G933" s="93" t="s">
        <v>68</v>
      </c>
      <c r="H933" t="s">
        <v>1246</v>
      </c>
      <c r="I933">
        <v>2</v>
      </c>
      <c r="J933">
        <f>SUM(K934)</f>
        <v>967.93582071000003</v>
      </c>
      <c r="K933">
        <f>I933*J933</f>
        <v>1935.8716414200001</v>
      </c>
      <c r="L933">
        <f>100*(1-(M933/K933))</f>
        <v>40</v>
      </c>
      <c r="M933">
        <f>I933*SUM(M934)</f>
        <v>1161.522984852</v>
      </c>
      <c r="N933" s="90">
        <v>933</v>
      </c>
      <c r="O933" s="90" t="s">
        <v>2422</v>
      </c>
      <c r="P933" s="118"/>
      <c r="Q933" s="118"/>
      <c r="R933" s="90" t="s">
        <v>4357</v>
      </c>
      <c r="S933" s="90" t="s">
        <v>5423</v>
      </c>
      <c r="T933" s="90" t="s">
        <v>5921</v>
      </c>
      <c r="U933" s="90" t="s">
        <v>4897</v>
      </c>
    </row>
    <row r="934" spans="1:21" x14ac:dyDescent="0.25">
      <c r="A934" s="90" t="s">
        <v>2423</v>
      </c>
      <c r="B934" s="119">
        <v>5</v>
      </c>
      <c r="C934" s="90" t="s">
        <v>2421</v>
      </c>
      <c r="D934" s="90" t="s">
        <v>78</v>
      </c>
      <c r="E934">
        <v>1860</v>
      </c>
      <c r="F934">
        <v>1861</v>
      </c>
      <c r="G934" s="93" t="s">
        <v>78</v>
      </c>
      <c r="H934" t="s">
        <v>120</v>
      </c>
      <c r="I934">
        <v>1</v>
      </c>
      <c r="J934">
        <v>967.93582071000003</v>
      </c>
      <c r="K934">
        <f>I934*J934</f>
        <v>967.93582071000003</v>
      </c>
      <c r="L934">
        <v>40</v>
      </c>
      <c r="M934">
        <f>(1-(L934/100))*K934</f>
        <v>580.76149242600002</v>
      </c>
      <c r="N934" s="90">
        <v>934</v>
      </c>
      <c r="O934" s="90" t="s">
        <v>2424</v>
      </c>
      <c r="P934" s="118"/>
      <c r="Q934" s="118"/>
    </row>
    <row r="935" spans="1:21" x14ac:dyDescent="0.25">
      <c r="A935" s="90" t="s">
        <v>2425</v>
      </c>
      <c r="B935" s="119">
        <v>4</v>
      </c>
      <c r="C935" s="90" t="s">
        <v>2410</v>
      </c>
      <c r="D935" s="90" t="s">
        <v>95</v>
      </c>
      <c r="E935">
        <v>1863</v>
      </c>
      <c r="F935">
        <v>1866</v>
      </c>
      <c r="G935" s="93" t="s">
        <v>68</v>
      </c>
      <c r="H935" t="s">
        <v>1251</v>
      </c>
      <c r="I935">
        <v>1</v>
      </c>
      <c r="J935">
        <f>SUM(K936)</f>
        <v>967.93582071000003</v>
      </c>
      <c r="K935">
        <f>I935*J935</f>
        <v>967.93582071000003</v>
      </c>
      <c r="L935">
        <f>100*(1-(M935/K935))</f>
        <v>40</v>
      </c>
      <c r="M935">
        <f>I935*SUM(M936)</f>
        <v>580.76149242600002</v>
      </c>
      <c r="N935" s="90">
        <v>935</v>
      </c>
      <c r="O935" s="90" t="s">
        <v>2426</v>
      </c>
      <c r="P935" s="118"/>
      <c r="Q935" s="118"/>
      <c r="R935" s="90" t="s">
        <v>817</v>
      </c>
      <c r="S935" s="90" t="s">
        <v>892</v>
      </c>
      <c r="T935" s="90" t="s">
        <v>949</v>
      </c>
      <c r="U935" s="90" t="s">
        <v>846</v>
      </c>
    </row>
    <row r="936" spans="1:21" x14ac:dyDescent="0.25">
      <c r="A936" s="90" t="s">
        <v>2427</v>
      </c>
      <c r="B936" s="119">
        <v>5</v>
      </c>
      <c r="C936" s="90" t="s">
        <v>2425</v>
      </c>
      <c r="D936" s="90" t="s">
        <v>78</v>
      </c>
      <c r="E936">
        <v>1864</v>
      </c>
      <c r="F936">
        <v>1865</v>
      </c>
      <c r="G936" s="93" t="s">
        <v>78</v>
      </c>
      <c r="H936" t="s">
        <v>125</v>
      </c>
      <c r="I936">
        <v>1</v>
      </c>
      <c r="J936">
        <v>967.93582071000003</v>
      </c>
      <c r="K936">
        <f>I936*J936</f>
        <v>967.93582071000003</v>
      </c>
      <c r="L936">
        <v>40</v>
      </c>
      <c r="M936">
        <f>(1-(L936/100))*K936</f>
        <v>580.76149242600002</v>
      </c>
      <c r="N936" s="90">
        <v>936</v>
      </c>
      <c r="O936" s="90" t="s">
        <v>2428</v>
      </c>
      <c r="P936" s="118"/>
      <c r="Q936" s="118"/>
    </row>
    <row r="937" spans="1:21" x14ac:dyDescent="0.25">
      <c r="A937" s="90" t="s">
        <v>2429</v>
      </c>
      <c r="B937" s="119">
        <v>4</v>
      </c>
      <c r="C937" s="90" t="s">
        <v>2410</v>
      </c>
      <c r="D937" s="90" t="s">
        <v>96</v>
      </c>
      <c r="E937">
        <v>1867</v>
      </c>
      <c r="F937">
        <v>1870</v>
      </c>
      <c r="G937" s="93" t="s">
        <v>68</v>
      </c>
      <c r="H937" t="s">
        <v>1256</v>
      </c>
      <c r="I937">
        <v>1</v>
      </c>
      <c r="J937">
        <f>SUM(K938)</f>
        <v>9428.2439831899992</v>
      </c>
      <c r="K937">
        <f>I937*J937</f>
        <v>9428.2439831899992</v>
      </c>
      <c r="L937">
        <f>100*(1-(M937/K937))</f>
        <v>40</v>
      </c>
      <c r="M937">
        <f>I937*SUM(M938)</f>
        <v>5656.9463899139992</v>
      </c>
      <c r="N937" s="90">
        <v>937</v>
      </c>
      <c r="O937" s="90" t="s">
        <v>2430</v>
      </c>
      <c r="P937" s="118"/>
      <c r="Q937" s="118"/>
      <c r="R937" s="90" t="s">
        <v>818</v>
      </c>
      <c r="S937" s="90" t="s">
        <v>893</v>
      </c>
      <c r="T937" s="90" t="s">
        <v>950</v>
      </c>
      <c r="U937" s="90" t="s">
        <v>847</v>
      </c>
    </row>
    <row r="938" spans="1:21" x14ac:dyDescent="0.25">
      <c r="A938" s="90" t="s">
        <v>2431</v>
      </c>
      <c r="B938" s="119">
        <v>5</v>
      </c>
      <c r="C938" s="90" t="s">
        <v>2429</v>
      </c>
      <c r="D938" s="90" t="s">
        <v>78</v>
      </c>
      <c r="E938">
        <v>1868</v>
      </c>
      <c r="F938">
        <v>1869</v>
      </c>
      <c r="G938" s="93" t="s">
        <v>78</v>
      </c>
      <c r="H938" t="s">
        <v>1256</v>
      </c>
      <c r="I938">
        <v>1</v>
      </c>
      <c r="J938">
        <v>9428.2439831899992</v>
      </c>
      <c r="K938">
        <f>I938*J938</f>
        <v>9428.2439831899992</v>
      </c>
      <c r="L938">
        <v>40</v>
      </c>
      <c r="M938">
        <f>(1-(L938/100))*K938</f>
        <v>5656.9463899139992</v>
      </c>
      <c r="N938" s="90">
        <v>938</v>
      </c>
      <c r="O938" s="90" t="s">
        <v>2432</v>
      </c>
      <c r="P938" s="118"/>
      <c r="Q938" s="118"/>
    </row>
    <row r="939" spans="1:21" x14ac:dyDescent="0.25">
      <c r="A939" s="90" t="s">
        <v>2433</v>
      </c>
      <c r="B939" s="119">
        <v>4</v>
      </c>
      <c r="C939" s="90" t="s">
        <v>2410</v>
      </c>
      <c r="D939" s="90" t="s">
        <v>103</v>
      </c>
      <c r="E939">
        <v>1871</v>
      </c>
      <c r="F939">
        <v>1874</v>
      </c>
      <c r="G939" s="93" t="s">
        <v>68</v>
      </c>
      <c r="H939" t="s">
        <v>1261</v>
      </c>
      <c r="I939">
        <v>1</v>
      </c>
      <c r="J939">
        <f>SUM(K940)</f>
        <v>10160.44823634</v>
      </c>
      <c r="K939">
        <f>I939*J939</f>
        <v>10160.44823634</v>
      </c>
      <c r="L939">
        <f>100*(1-(M939/K939))</f>
        <v>40</v>
      </c>
      <c r="M939">
        <f>I939*SUM(M940)</f>
        <v>6096.268941804</v>
      </c>
      <c r="N939" s="90">
        <v>939</v>
      </c>
      <c r="O939" s="90" t="s">
        <v>2434</v>
      </c>
      <c r="P939" s="118"/>
      <c r="Q939" s="118"/>
      <c r="R939" s="90" t="s">
        <v>4358</v>
      </c>
      <c r="S939" s="90" t="s">
        <v>894</v>
      </c>
      <c r="T939" s="90" t="s">
        <v>951</v>
      </c>
      <c r="U939" s="90" t="s">
        <v>4898</v>
      </c>
    </row>
    <row r="940" spans="1:21" x14ac:dyDescent="0.25">
      <c r="A940" s="90" t="s">
        <v>2435</v>
      </c>
      <c r="B940" s="119">
        <v>5</v>
      </c>
      <c r="C940" s="90" t="s">
        <v>2433</v>
      </c>
      <c r="D940" s="90" t="s">
        <v>78</v>
      </c>
      <c r="E940">
        <v>1872</v>
      </c>
      <c r="F940">
        <v>1873</v>
      </c>
      <c r="G940" s="93" t="s">
        <v>78</v>
      </c>
      <c r="H940" t="s">
        <v>1261</v>
      </c>
      <c r="I940">
        <v>1</v>
      </c>
      <c r="J940">
        <v>10160.44823634</v>
      </c>
      <c r="K940">
        <f>I940*J940</f>
        <v>10160.44823634</v>
      </c>
      <c r="L940">
        <v>40</v>
      </c>
      <c r="M940">
        <f>(1-(L940/100))*K940</f>
        <v>6096.268941804</v>
      </c>
      <c r="N940" s="90">
        <v>940</v>
      </c>
      <c r="O940" s="90" t="s">
        <v>2436</v>
      </c>
      <c r="P940" s="118"/>
      <c r="Q940" s="118"/>
    </row>
    <row r="941" spans="1:21" x14ac:dyDescent="0.25">
      <c r="A941" s="90" t="s">
        <v>2437</v>
      </c>
      <c r="B941" s="119">
        <v>4</v>
      </c>
      <c r="C941" s="90" t="s">
        <v>2410</v>
      </c>
      <c r="D941" s="90" t="s">
        <v>796</v>
      </c>
      <c r="E941">
        <v>1875</v>
      </c>
      <c r="F941">
        <v>1878</v>
      </c>
      <c r="G941" s="93" t="s">
        <v>68</v>
      </c>
      <c r="H941" t="s">
        <v>1266</v>
      </c>
      <c r="I941">
        <v>1</v>
      </c>
      <c r="J941">
        <f>SUM(K942)</f>
        <v>9312.3647013900008</v>
      </c>
      <c r="K941">
        <f>I941*J941</f>
        <v>9312.3647013900008</v>
      </c>
      <c r="L941">
        <f>100*(1-(M941/K941))</f>
        <v>40</v>
      </c>
      <c r="M941">
        <f>I941*SUM(M942)</f>
        <v>5587.4188208340001</v>
      </c>
      <c r="N941" s="90">
        <v>941</v>
      </c>
      <c r="O941" s="90" t="s">
        <v>2438</v>
      </c>
      <c r="P941" s="118"/>
      <c r="Q941" s="118"/>
      <c r="R941" s="90" t="s">
        <v>4359</v>
      </c>
      <c r="S941" s="90" t="s">
        <v>5424</v>
      </c>
      <c r="T941" s="90" t="s">
        <v>5922</v>
      </c>
      <c r="U941" s="90" t="s">
        <v>4899</v>
      </c>
    </row>
    <row r="942" spans="1:21" x14ac:dyDescent="0.25">
      <c r="A942" s="90" t="s">
        <v>2439</v>
      </c>
      <c r="B942" s="119">
        <v>5</v>
      </c>
      <c r="C942" s="90" t="s">
        <v>2437</v>
      </c>
      <c r="D942" s="90" t="s">
        <v>78</v>
      </c>
      <c r="E942">
        <v>1876</v>
      </c>
      <c r="F942">
        <v>1877</v>
      </c>
      <c r="G942" s="93" t="s">
        <v>78</v>
      </c>
      <c r="H942" t="s">
        <v>1269</v>
      </c>
      <c r="I942">
        <v>1</v>
      </c>
      <c r="J942">
        <v>9312.3647013900008</v>
      </c>
      <c r="K942">
        <f>I942*J942</f>
        <v>9312.3647013900008</v>
      </c>
      <c r="L942">
        <v>40</v>
      </c>
      <c r="M942">
        <f>(1-(L942/100))*K942</f>
        <v>5587.4188208340001</v>
      </c>
      <c r="N942" s="90">
        <v>942</v>
      </c>
      <c r="O942" s="90" t="s">
        <v>2440</v>
      </c>
      <c r="P942" s="118"/>
      <c r="Q942" s="118"/>
    </row>
    <row r="943" spans="1:21" x14ac:dyDescent="0.25">
      <c r="A943" s="90" t="s">
        <v>2441</v>
      </c>
      <c r="B943" s="119">
        <v>4</v>
      </c>
      <c r="C943" s="90" t="s">
        <v>2410</v>
      </c>
      <c r="D943" s="90" t="s">
        <v>797</v>
      </c>
      <c r="E943">
        <v>1879</v>
      </c>
      <c r="F943">
        <v>1882</v>
      </c>
      <c r="G943" s="93" t="s">
        <v>68</v>
      </c>
      <c r="H943" t="s">
        <v>1638</v>
      </c>
      <c r="I943">
        <v>1</v>
      </c>
      <c r="J943">
        <f>SUM(K944)</f>
        <v>1980.13</v>
      </c>
      <c r="K943">
        <f>I943*J943</f>
        <v>1980.13</v>
      </c>
      <c r="L943">
        <f>100*(1-(M943/K943))</f>
        <v>40</v>
      </c>
      <c r="M943">
        <f>I943*SUM(M944)</f>
        <v>1188.078</v>
      </c>
      <c r="N943" s="90">
        <v>943</v>
      </c>
      <c r="O943" s="90" t="s">
        <v>2442</v>
      </c>
      <c r="P943" s="118"/>
      <c r="Q943" s="118"/>
      <c r="R943" s="90" t="s">
        <v>4360</v>
      </c>
      <c r="S943" s="90" t="s">
        <v>5425</v>
      </c>
      <c r="T943" s="90" t="s">
        <v>5923</v>
      </c>
      <c r="U943" s="90" t="s">
        <v>4900</v>
      </c>
    </row>
    <row r="944" spans="1:21" x14ac:dyDescent="0.25">
      <c r="A944" s="90" t="s">
        <v>2443</v>
      </c>
      <c r="B944" s="119">
        <v>5</v>
      </c>
      <c r="C944" s="90" t="s">
        <v>2441</v>
      </c>
      <c r="D944" s="90" t="s">
        <v>78</v>
      </c>
      <c r="E944">
        <v>1880</v>
      </c>
      <c r="F944">
        <v>1881</v>
      </c>
      <c r="G944" s="93" t="s">
        <v>78</v>
      </c>
      <c r="H944" t="s">
        <v>1638</v>
      </c>
      <c r="I944">
        <v>1</v>
      </c>
      <c r="J944">
        <v>1980.13</v>
      </c>
      <c r="K944">
        <f>I944*J944</f>
        <v>1980.13</v>
      </c>
      <c r="L944">
        <v>40</v>
      </c>
      <c r="M944">
        <f>(1-(L944/100))*K944</f>
        <v>1188.078</v>
      </c>
      <c r="N944" s="90">
        <v>944</v>
      </c>
      <c r="O944" s="90" t="s">
        <v>2444</v>
      </c>
      <c r="P944" s="118"/>
      <c r="Q944" s="118"/>
    </row>
    <row r="945" spans="1:21" x14ac:dyDescent="0.25">
      <c r="A945" s="90" t="s">
        <v>2445</v>
      </c>
      <c r="B945" s="119">
        <v>4</v>
      </c>
      <c r="C945" s="90" t="s">
        <v>2410</v>
      </c>
      <c r="D945" s="90" t="s">
        <v>798</v>
      </c>
      <c r="E945">
        <v>1883</v>
      </c>
      <c r="F945">
        <v>1886</v>
      </c>
      <c r="G945" s="93" t="s">
        <v>68</v>
      </c>
      <c r="H945" t="s">
        <v>1272</v>
      </c>
      <c r="I945">
        <v>2</v>
      </c>
      <c r="J945">
        <f>SUM(K946)</f>
        <v>1308.5572392700001</v>
      </c>
      <c r="K945">
        <f>I945*J945</f>
        <v>2617.1144785400002</v>
      </c>
      <c r="L945">
        <f>100*(1-(M945/K945))</f>
        <v>40</v>
      </c>
      <c r="M945">
        <f>I945*SUM(M946)</f>
        <v>1570.2686871240001</v>
      </c>
      <c r="N945" s="90">
        <v>945</v>
      </c>
      <c r="O945" s="90" t="s">
        <v>2446</v>
      </c>
      <c r="P945" s="118"/>
      <c r="Q945" s="118"/>
      <c r="R945" s="90" t="s">
        <v>4361</v>
      </c>
      <c r="S945" s="90" t="s">
        <v>5426</v>
      </c>
      <c r="T945" s="90" t="s">
        <v>5924</v>
      </c>
      <c r="U945" s="90" t="s">
        <v>4901</v>
      </c>
    </row>
    <row r="946" spans="1:21" x14ac:dyDescent="0.25">
      <c r="A946" s="90" t="s">
        <v>2447</v>
      </c>
      <c r="B946" s="119">
        <v>5</v>
      </c>
      <c r="C946" s="90" t="s">
        <v>2445</v>
      </c>
      <c r="D946" s="90" t="s">
        <v>78</v>
      </c>
      <c r="E946">
        <v>1884</v>
      </c>
      <c r="F946">
        <v>1885</v>
      </c>
      <c r="G946" s="93" t="s">
        <v>78</v>
      </c>
      <c r="H946" t="s">
        <v>1272</v>
      </c>
      <c r="I946">
        <v>1</v>
      </c>
      <c r="J946">
        <v>1308.5572392700001</v>
      </c>
      <c r="K946">
        <f>I946*J946</f>
        <v>1308.5572392700001</v>
      </c>
      <c r="L946">
        <v>40</v>
      </c>
      <c r="M946">
        <f>(1-(L946/100))*K946</f>
        <v>785.13434356200003</v>
      </c>
      <c r="N946" s="90">
        <v>946</v>
      </c>
      <c r="O946" s="90" t="s">
        <v>2448</v>
      </c>
      <c r="P946" s="118"/>
      <c r="Q946" s="118"/>
    </row>
    <row r="947" spans="1:21" x14ac:dyDescent="0.25">
      <c r="A947" s="90" t="s">
        <v>2449</v>
      </c>
      <c r="B947" s="119">
        <v>4</v>
      </c>
      <c r="C947" s="90" t="s">
        <v>2410</v>
      </c>
      <c r="D947" s="90" t="s">
        <v>799</v>
      </c>
      <c r="E947">
        <v>1887</v>
      </c>
      <c r="F947">
        <v>1890</v>
      </c>
      <c r="G947" s="93" t="s">
        <v>68</v>
      </c>
      <c r="H947" t="s">
        <v>145</v>
      </c>
      <c r="I947">
        <v>4</v>
      </c>
      <c r="J947">
        <f>SUM(K948)</f>
        <v>28.6</v>
      </c>
      <c r="K947">
        <f>I947*J947</f>
        <v>114.4</v>
      </c>
      <c r="L947">
        <f>100*(1-(M947/K947))</f>
        <v>40</v>
      </c>
      <c r="M947">
        <f>I947*SUM(M948)</f>
        <v>68.64</v>
      </c>
      <c r="N947" s="90">
        <v>947</v>
      </c>
      <c r="O947" s="90" t="s">
        <v>2450</v>
      </c>
      <c r="P947" s="118"/>
      <c r="Q947" s="118"/>
      <c r="R947" s="90" t="s">
        <v>4353</v>
      </c>
      <c r="S947" s="90" t="s">
        <v>5419</v>
      </c>
      <c r="T947" s="90" t="s">
        <v>5917</v>
      </c>
      <c r="U947" s="90" t="s">
        <v>4893</v>
      </c>
    </row>
    <row r="948" spans="1:21" x14ac:dyDescent="0.25">
      <c r="A948" s="90" t="s">
        <v>2451</v>
      </c>
      <c r="B948" s="119">
        <v>5</v>
      </c>
      <c r="C948" s="90" t="s">
        <v>2449</v>
      </c>
      <c r="D948" s="90" t="s">
        <v>78</v>
      </c>
      <c r="E948">
        <v>1888</v>
      </c>
      <c r="F948">
        <v>1889</v>
      </c>
      <c r="G948" s="93" t="s">
        <v>78</v>
      </c>
      <c r="H948" t="s">
        <v>145</v>
      </c>
      <c r="I948">
        <v>1</v>
      </c>
      <c r="J948">
        <v>28.6</v>
      </c>
      <c r="K948">
        <f>I948*J948</f>
        <v>28.6</v>
      </c>
      <c r="L948">
        <v>40</v>
      </c>
      <c r="M948">
        <f>(1-(L948/100))*K948</f>
        <v>17.16</v>
      </c>
      <c r="N948" s="90">
        <v>948</v>
      </c>
      <c r="O948" s="90" t="s">
        <v>2452</v>
      </c>
      <c r="P948" s="118"/>
      <c r="Q948" s="118"/>
    </row>
    <row r="949" spans="1:21" x14ac:dyDescent="0.25">
      <c r="A949" s="90" t="s">
        <v>2453</v>
      </c>
      <c r="B949" s="119">
        <v>4</v>
      </c>
      <c r="C949" s="90" t="s">
        <v>2410</v>
      </c>
      <c r="D949" s="90" t="s">
        <v>97</v>
      </c>
      <c r="E949">
        <v>1891</v>
      </c>
      <c r="F949">
        <v>1894</v>
      </c>
      <c r="G949" s="93" t="s">
        <v>68</v>
      </c>
      <c r="H949" t="s">
        <v>143</v>
      </c>
      <c r="I949">
        <v>2</v>
      </c>
      <c r="J949">
        <f>SUM(K950)</f>
        <v>27.17</v>
      </c>
      <c r="K949">
        <f>I949*J949</f>
        <v>54.34</v>
      </c>
      <c r="L949">
        <f>100*(1-(M949/K949))</f>
        <v>40</v>
      </c>
      <c r="M949">
        <f>I949*SUM(M950)</f>
        <v>32.603999999999999</v>
      </c>
      <c r="N949" s="90">
        <v>949</v>
      </c>
      <c r="O949" s="90" t="s">
        <v>2454</v>
      </c>
      <c r="P949" s="118"/>
      <c r="Q949" s="118"/>
      <c r="R949" s="90" t="s">
        <v>4354</v>
      </c>
      <c r="S949" s="90" t="s">
        <v>5420</v>
      </c>
      <c r="T949" s="90" t="s">
        <v>5918</v>
      </c>
      <c r="U949" s="90" t="s">
        <v>4894</v>
      </c>
    </row>
    <row r="950" spans="1:21" x14ac:dyDescent="0.25">
      <c r="A950" s="90" t="s">
        <v>2455</v>
      </c>
      <c r="B950" s="119">
        <v>5</v>
      </c>
      <c r="C950" s="90" t="s">
        <v>2453</v>
      </c>
      <c r="D950" s="90" t="s">
        <v>78</v>
      </c>
      <c r="E950">
        <v>1892</v>
      </c>
      <c r="F950">
        <v>1893</v>
      </c>
      <c r="G950" s="93" t="s">
        <v>78</v>
      </c>
      <c r="H950" t="s">
        <v>143</v>
      </c>
      <c r="I950">
        <v>1</v>
      </c>
      <c r="J950">
        <v>27.17</v>
      </c>
      <c r="K950">
        <f>I950*J950</f>
        <v>27.17</v>
      </c>
      <c r="L950">
        <v>40</v>
      </c>
      <c r="M950">
        <f>(1-(L950/100))*K950</f>
        <v>16.302</v>
      </c>
      <c r="N950" s="90">
        <v>950</v>
      </c>
      <c r="O950" s="90" t="s">
        <v>2456</v>
      </c>
      <c r="P950" s="118"/>
      <c r="Q950" s="118"/>
    </row>
    <row r="951" spans="1:21" x14ac:dyDescent="0.25">
      <c r="A951" s="90" t="s">
        <v>2457</v>
      </c>
      <c r="B951" s="119">
        <v>4</v>
      </c>
      <c r="C951" s="90" t="s">
        <v>2410</v>
      </c>
      <c r="D951" s="90" t="s">
        <v>98</v>
      </c>
      <c r="E951">
        <v>1895</v>
      </c>
      <c r="F951">
        <v>1902</v>
      </c>
      <c r="G951" s="93" t="s">
        <v>68</v>
      </c>
      <c r="H951" t="s">
        <v>1285</v>
      </c>
      <c r="I951">
        <v>2</v>
      </c>
      <c r="J951">
        <f>SUM(K952)</f>
        <v>69.83</v>
      </c>
      <c r="K951">
        <f>I951*J951</f>
        <v>139.66</v>
      </c>
      <c r="L951">
        <f>100*(1-(M951/K951))</f>
        <v>39.999999999999993</v>
      </c>
      <c r="M951">
        <f>I951*SUM(M952)</f>
        <v>83.796000000000006</v>
      </c>
      <c r="N951" s="90">
        <v>951</v>
      </c>
      <c r="O951" s="90" t="s">
        <v>2458</v>
      </c>
      <c r="P951" s="118"/>
      <c r="Q951" s="118"/>
      <c r="R951" s="90" t="s">
        <v>6354</v>
      </c>
      <c r="S951" s="90" t="s">
        <v>6657</v>
      </c>
      <c r="T951" s="90" t="s">
        <v>6802</v>
      </c>
      <c r="U951" s="90" t="s">
        <v>6506</v>
      </c>
    </row>
    <row r="952" spans="1:21" x14ac:dyDescent="0.25">
      <c r="A952" s="90" t="s">
        <v>2459</v>
      </c>
      <c r="B952" s="119">
        <v>5</v>
      </c>
      <c r="C952" s="90" t="s">
        <v>2457</v>
      </c>
      <c r="D952" s="90" t="s">
        <v>78</v>
      </c>
      <c r="E952">
        <v>1896</v>
      </c>
      <c r="F952">
        <v>1901</v>
      </c>
      <c r="G952" s="93" t="s">
        <v>68</v>
      </c>
      <c r="H952" t="s">
        <v>147</v>
      </c>
      <c r="I952">
        <v>1</v>
      </c>
      <c r="J952">
        <f>SUM(K953,K954)</f>
        <v>69.83</v>
      </c>
      <c r="K952">
        <f>I952*J952</f>
        <v>69.83</v>
      </c>
      <c r="L952">
        <f>100*(1-(M952/K952))</f>
        <v>39.999999999999993</v>
      </c>
      <c r="M952">
        <f>I952*SUM(M953,M954)</f>
        <v>41.898000000000003</v>
      </c>
      <c r="N952" s="90">
        <v>952</v>
      </c>
      <c r="O952" s="90" t="s">
        <v>2460</v>
      </c>
      <c r="P952" s="118"/>
      <c r="Q952" s="118"/>
      <c r="R952" s="90" t="s">
        <v>4355</v>
      </c>
      <c r="S952" s="90" t="s">
        <v>5421</v>
      </c>
      <c r="T952" s="90" t="s">
        <v>5919</v>
      </c>
      <c r="U952" s="90" t="s">
        <v>4895</v>
      </c>
    </row>
    <row r="953" spans="1:21" x14ac:dyDescent="0.25">
      <c r="A953" s="90" t="s">
        <v>2461</v>
      </c>
      <c r="B953" s="119">
        <v>6</v>
      </c>
      <c r="C953" s="90" t="s">
        <v>2459</v>
      </c>
      <c r="D953" s="90" t="s">
        <v>78</v>
      </c>
      <c r="E953">
        <v>1897</v>
      </c>
      <c r="F953">
        <v>1898</v>
      </c>
      <c r="G953" s="93" t="s">
        <v>78</v>
      </c>
      <c r="H953" t="s">
        <v>149</v>
      </c>
      <c r="I953">
        <v>1</v>
      </c>
      <c r="J953">
        <v>15.02</v>
      </c>
      <c r="K953">
        <f>I953*J953</f>
        <v>15.02</v>
      </c>
      <c r="L953">
        <v>40</v>
      </c>
      <c r="M953">
        <f>(1-(L953/100))*K953</f>
        <v>9.0119999999999987</v>
      </c>
      <c r="N953" s="90">
        <v>953</v>
      </c>
      <c r="O953" s="90" t="s">
        <v>2462</v>
      </c>
      <c r="P953" s="118"/>
      <c r="Q953" s="118"/>
    </row>
    <row r="954" spans="1:21" x14ac:dyDescent="0.25">
      <c r="A954" s="90" t="s">
        <v>2463</v>
      </c>
      <c r="B954" s="119">
        <v>6</v>
      </c>
      <c r="C954" s="90" t="s">
        <v>2459</v>
      </c>
      <c r="D954" s="90" t="s">
        <v>79</v>
      </c>
      <c r="E954">
        <v>1899</v>
      </c>
      <c r="F954">
        <v>1900</v>
      </c>
      <c r="G954" s="93" t="s">
        <v>78</v>
      </c>
      <c r="H954" t="s">
        <v>152</v>
      </c>
      <c r="I954">
        <v>1</v>
      </c>
      <c r="J954">
        <v>54.81</v>
      </c>
      <c r="K954">
        <f>I954*J954</f>
        <v>54.81</v>
      </c>
      <c r="L954">
        <v>40</v>
      </c>
      <c r="M954">
        <f>(1-(L954/100))*K954</f>
        <v>32.886000000000003</v>
      </c>
      <c r="N954" s="90">
        <v>954</v>
      </c>
      <c r="O954" s="90" t="s">
        <v>2464</v>
      </c>
      <c r="P954" s="118"/>
      <c r="Q954" s="118"/>
    </row>
    <row r="955" spans="1:21" x14ac:dyDescent="0.25">
      <c r="A955" s="90" t="s">
        <v>2465</v>
      </c>
      <c r="B955" s="119">
        <v>3</v>
      </c>
      <c r="C955" s="90" t="s">
        <v>2407</v>
      </c>
      <c r="D955" s="90" t="s">
        <v>79</v>
      </c>
      <c r="E955">
        <v>1904</v>
      </c>
      <c r="F955">
        <v>1925</v>
      </c>
      <c r="G955" s="93" t="s">
        <v>68</v>
      </c>
      <c r="H955" t="s">
        <v>2466</v>
      </c>
      <c r="I955">
        <v>1</v>
      </c>
      <c r="J955">
        <f>SUM(K956)</f>
        <v>8864.2969081800002</v>
      </c>
      <c r="K955">
        <f>I955*J955</f>
        <v>8864.2969081800002</v>
      </c>
      <c r="L955">
        <f>100*(1-(M955/K955))</f>
        <v>39.999999999999993</v>
      </c>
      <c r="M955">
        <f>I955*SUM(M956)</f>
        <v>5318.5781449080005</v>
      </c>
      <c r="N955" s="90">
        <v>955</v>
      </c>
      <c r="O955" s="90" t="s">
        <v>2467</v>
      </c>
      <c r="P955" s="118"/>
      <c r="Q955" s="118"/>
      <c r="R955" s="90" t="s">
        <v>6930</v>
      </c>
      <c r="S955" s="90" t="s">
        <v>7027</v>
      </c>
      <c r="T955" s="90" t="s">
        <v>7073</v>
      </c>
      <c r="U955" s="90" t="s">
        <v>6979</v>
      </c>
    </row>
    <row r="956" spans="1:21" x14ac:dyDescent="0.25">
      <c r="A956" s="90" t="s">
        <v>2468</v>
      </c>
      <c r="B956" s="119">
        <v>4</v>
      </c>
      <c r="C956" s="90" t="s">
        <v>2465</v>
      </c>
      <c r="D956" s="90" t="s">
        <v>78</v>
      </c>
      <c r="E956">
        <v>1905</v>
      </c>
      <c r="F956">
        <v>1924</v>
      </c>
      <c r="G956" s="93" t="s">
        <v>68</v>
      </c>
      <c r="H956" t="s">
        <v>1394</v>
      </c>
      <c r="I956">
        <v>1</v>
      </c>
      <c r="J956">
        <f>SUM(K957,K962)</f>
        <v>8864.2969081800002</v>
      </c>
      <c r="K956">
        <f>I956*J956</f>
        <v>8864.2969081800002</v>
      </c>
      <c r="L956">
        <f>100*(1-(M956/K956))</f>
        <v>39.999999999999993</v>
      </c>
      <c r="M956">
        <f>I956*SUM(M957,M962)</f>
        <v>5318.5781449080005</v>
      </c>
      <c r="N956" s="90">
        <v>956</v>
      </c>
      <c r="O956" s="90" t="s">
        <v>2469</v>
      </c>
      <c r="P956" s="118"/>
      <c r="Q956" s="118"/>
      <c r="R956" s="90" t="s">
        <v>6355</v>
      </c>
      <c r="S956" s="90" t="s">
        <v>6658</v>
      </c>
      <c r="T956" s="90" t="s">
        <v>6803</v>
      </c>
      <c r="U956" s="90" t="s">
        <v>6507</v>
      </c>
    </row>
    <row r="957" spans="1:21" x14ac:dyDescent="0.25">
      <c r="A957" s="90" t="s">
        <v>2470</v>
      </c>
      <c r="B957" s="119">
        <v>5</v>
      </c>
      <c r="C957" s="90" t="s">
        <v>2468</v>
      </c>
      <c r="D957" s="90" t="s">
        <v>78</v>
      </c>
      <c r="E957">
        <v>1906</v>
      </c>
      <c r="F957">
        <v>1915</v>
      </c>
      <c r="G957" s="93" t="s">
        <v>68</v>
      </c>
      <c r="H957" t="s">
        <v>1397</v>
      </c>
      <c r="I957">
        <v>1</v>
      </c>
      <c r="J957">
        <f>SUM(K958,K959,K960,K961)</f>
        <v>8719.9796256099999</v>
      </c>
      <c r="K957">
        <f>I957*J957</f>
        <v>8719.9796256099999</v>
      </c>
      <c r="L957">
        <f>100*(1-(M957/K957))</f>
        <v>39.999999999999993</v>
      </c>
      <c r="M957">
        <f>I957*SUM(M958,M959,M960,M961)</f>
        <v>5231.9877753660003</v>
      </c>
      <c r="N957" s="90">
        <v>957</v>
      </c>
      <c r="O957" s="90" t="s">
        <v>2471</v>
      </c>
      <c r="P957" s="118"/>
      <c r="Q957" s="118"/>
      <c r="R957" s="90" t="s">
        <v>4362</v>
      </c>
      <c r="S957" s="90" t="s">
        <v>5427</v>
      </c>
      <c r="T957" s="90" t="s">
        <v>5925</v>
      </c>
      <c r="U957" s="90" t="s">
        <v>4902</v>
      </c>
    </row>
    <row r="958" spans="1:21" x14ac:dyDescent="0.25">
      <c r="A958" s="90" t="s">
        <v>2472</v>
      </c>
      <c r="B958" s="119">
        <v>6</v>
      </c>
      <c r="C958" s="90" t="s">
        <v>2470</v>
      </c>
      <c r="D958" s="90" t="s">
        <v>78</v>
      </c>
      <c r="E958">
        <v>1907</v>
      </c>
      <c r="F958">
        <v>1908</v>
      </c>
      <c r="G958" s="93" t="s">
        <v>78</v>
      </c>
      <c r="H958" t="s">
        <v>120</v>
      </c>
      <c r="I958">
        <v>1</v>
      </c>
      <c r="J958">
        <v>967.93582071000003</v>
      </c>
      <c r="K958">
        <f>I958*J958</f>
        <v>967.93582071000003</v>
      </c>
      <c r="L958">
        <v>40</v>
      </c>
      <c r="M958">
        <f>(1-(L958/100))*K958</f>
        <v>580.76149242600002</v>
      </c>
      <c r="N958" s="90">
        <v>958</v>
      </c>
      <c r="O958" s="90" t="s">
        <v>2473</v>
      </c>
      <c r="P958" s="118"/>
      <c r="Q958" s="118"/>
    </row>
    <row r="959" spans="1:21" x14ac:dyDescent="0.25">
      <c r="A959" s="90" t="s">
        <v>2474</v>
      </c>
      <c r="B959" s="119">
        <v>6</v>
      </c>
      <c r="C959" s="90" t="s">
        <v>2470</v>
      </c>
      <c r="D959" s="90" t="s">
        <v>79</v>
      </c>
      <c r="E959">
        <v>1909</v>
      </c>
      <c r="F959">
        <v>1910</v>
      </c>
      <c r="G959" s="93" t="s">
        <v>78</v>
      </c>
      <c r="H959" t="s">
        <v>125</v>
      </c>
      <c r="I959">
        <v>1</v>
      </c>
      <c r="J959">
        <v>967.93582071000003</v>
      </c>
      <c r="K959">
        <f>I959*J959</f>
        <v>967.93582071000003</v>
      </c>
      <c r="L959">
        <v>40</v>
      </c>
      <c r="M959">
        <f>(1-(L959/100))*K959</f>
        <v>580.76149242600002</v>
      </c>
      <c r="N959" s="90">
        <v>959</v>
      </c>
      <c r="O959" s="90" t="s">
        <v>2475</v>
      </c>
      <c r="P959" s="118"/>
      <c r="Q959" s="118"/>
    </row>
    <row r="960" spans="1:21" x14ac:dyDescent="0.25">
      <c r="A960" s="90" t="s">
        <v>2476</v>
      </c>
      <c r="B960" s="119">
        <v>6</v>
      </c>
      <c r="C960" s="90" t="s">
        <v>2470</v>
      </c>
      <c r="D960" s="90" t="s">
        <v>80</v>
      </c>
      <c r="E960">
        <v>1911</v>
      </c>
      <c r="F960">
        <v>1912</v>
      </c>
      <c r="G960" s="93" t="s">
        <v>78</v>
      </c>
      <c r="H960" t="s">
        <v>191</v>
      </c>
      <c r="I960">
        <v>3</v>
      </c>
      <c r="J960">
        <v>862.86769387000004</v>
      </c>
      <c r="K960">
        <f>I960*J960</f>
        <v>2588.6030816100001</v>
      </c>
      <c r="L960">
        <v>40</v>
      </c>
      <c r="M960">
        <f>(1-(L960/100))*K960</f>
        <v>1553.161848966</v>
      </c>
      <c r="N960" s="90">
        <v>960</v>
      </c>
      <c r="O960" s="90" t="s">
        <v>2477</v>
      </c>
      <c r="P960" s="118"/>
      <c r="Q960" s="118"/>
    </row>
    <row r="961" spans="1:21" x14ac:dyDescent="0.25">
      <c r="A961" s="90" t="s">
        <v>2478</v>
      </c>
      <c r="B961" s="119">
        <v>6</v>
      </c>
      <c r="C961" s="90" t="s">
        <v>2470</v>
      </c>
      <c r="D961" s="90" t="s">
        <v>95</v>
      </c>
      <c r="E961">
        <v>1913</v>
      </c>
      <c r="F961">
        <v>1914</v>
      </c>
      <c r="G961" s="93" t="s">
        <v>78</v>
      </c>
      <c r="H961" t="s">
        <v>299</v>
      </c>
      <c r="I961">
        <v>1</v>
      </c>
      <c r="J961">
        <v>4195.5049025799999</v>
      </c>
      <c r="K961">
        <f>I961*J961</f>
        <v>4195.5049025799999</v>
      </c>
      <c r="L961">
        <v>40</v>
      </c>
      <c r="M961">
        <f>(1-(L961/100))*K961</f>
        <v>2517.302941548</v>
      </c>
      <c r="N961" s="90">
        <v>961</v>
      </c>
      <c r="O961" s="90" t="s">
        <v>2479</v>
      </c>
      <c r="P961" s="118"/>
      <c r="Q961" s="118"/>
    </row>
    <row r="962" spans="1:21" x14ac:dyDescent="0.25">
      <c r="A962" s="90" t="s">
        <v>2480</v>
      </c>
      <c r="B962" s="119">
        <v>5</v>
      </c>
      <c r="C962" s="90" t="s">
        <v>2468</v>
      </c>
      <c r="D962" s="90" t="s">
        <v>79</v>
      </c>
      <c r="E962">
        <v>1916</v>
      </c>
      <c r="F962">
        <v>1923</v>
      </c>
      <c r="G962" s="93" t="s">
        <v>68</v>
      </c>
      <c r="H962" t="s">
        <v>142</v>
      </c>
      <c r="I962">
        <v>1</v>
      </c>
      <c r="J962">
        <f>SUM(K963,K964,K965)</f>
        <v>144.31728257</v>
      </c>
      <c r="K962">
        <f>I962*J962</f>
        <v>144.31728257</v>
      </c>
      <c r="L962">
        <f>100*(1-(M962/K962))</f>
        <v>40.000000000000014</v>
      </c>
      <c r="M962">
        <f>I962*SUM(M963,M964,M965)</f>
        <v>86.590369541999991</v>
      </c>
      <c r="N962" s="90">
        <v>962</v>
      </c>
      <c r="O962" s="90" t="s">
        <v>2481</v>
      </c>
      <c r="P962" s="118"/>
      <c r="Q962" s="118"/>
      <c r="R962" s="90" t="s">
        <v>4363</v>
      </c>
      <c r="S962" s="90" t="s">
        <v>5428</v>
      </c>
      <c r="T962" s="90" t="s">
        <v>5926</v>
      </c>
      <c r="U962" s="90" t="s">
        <v>4903</v>
      </c>
    </row>
    <row r="963" spans="1:21" x14ac:dyDescent="0.25">
      <c r="A963" s="90" t="s">
        <v>2482</v>
      </c>
      <c r="B963" s="119">
        <v>6</v>
      </c>
      <c r="C963" s="90" t="s">
        <v>2480</v>
      </c>
      <c r="D963" s="90" t="s">
        <v>78</v>
      </c>
      <c r="E963">
        <v>1917</v>
      </c>
      <c r="F963">
        <v>1918</v>
      </c>
      <c r="G963" s="93" t="s">
        <v>78</v>
      </c>
      <c r="H963" t="s">
        <v>144</v>
      </c>
      <c r="I963">
        <v>1</v>
      </c>
      <c r="J963">
        <v>32.777282569999997</v>
      </c>
      <c r="K963">
        <f>I963*J963</f>
        <v>32.777282569999997</v>
      </c>
      <c r="L963">
        <v>40</v>
      </c>
      <c r="M963">
        <f>(1-(L963/100))*K963</f>
        <v>19.666369541999998</v>
      </c>
      <c r="N963" s="90">
        <v>963</v>
      </c>
      <c r="O963" s="90" t="s">
        <v>2483</v>
      </c>
      <c r="P963" s="118"/>
      <c r="Q963" s="118"/>
    </row>
    <row r="964" spans="1:21" x14ac:dyDescent="0.25">
      <c r="A964" s="90" t="s">
        <v>2484</v>
      </c>
      <c r="B964" s="119">
        <v>6</v>
      </c>
      <c r="C964" s="90" t="s">
        <v>2480</v>
      </c>
      <c r="D964" s="90" t="s">
        <v>79</v>
      </c>
      <c r="E964">
        <v>1919</v>
      </c>
      <c r="F964">
        <v>1920</v>
      </c>
      <c r="G964" s="93" t="s">
        <v>78</v>
      </c>
      <c r="H964" t="s">
        <v>145</v>
      </c>
      <c r="I964">
        <v>2</v>
      </c>
      <c r="J964">
        <v>28.6</v>
      </c>
      <c r="K964">
        <f>I964*J964</f>
        <v>57.2</v>
      </c>
      <c r="L964">
        <v>40</v>
      </c>
      <c r="M964">
        <f>(1-(L964/100))*K964</f>
        <v>34.32</v>
      </c>
      <c r="N964" s="90">
        <v>964</v>
      </c>
      <c r="O964" s="90" t="s">
        <v>2485</v>
      </c>
      <c r="P964" s="118"/>
      <c r="Q964" s="118"/>
    </row>
    <row r="965" spans="1:21" x14ac:dyDescent="0.25">
      <c r="A965" s="90" t="s">
        <v>2486</v>
      </c>
      <c r="B965" s="119">
        <v>6</v>
      </c>
      <c r="C965" s="90" t="s">
        <v>2480</v>
      </c>
      <c r="D965" s="90" t="s">
        <v>80</v>
      </c>
      <c r="E965">
        <v>1921</v>
      </c>
      <c r="F965">
        <v>1922</v>
      </c>
      <c r="G965" s="93" t="s">
        <v>78</v>
      </c>
      <c r="H965" t="s">
        <v>143</v>
      </c>
      <c r="I965">
        <v>2</v>
      </c>
      <c r="J965">
        <v>27.17</v>
      </c>
      <c r="K965">
        <f>I965*J965</f>
        <v>54.34</v>
      </c>
      <c r="L965">
        <v>40</v>
      </c>
      <c r="M965">
        <f>(1-(L965/100))*K965</f>
        <v>32.603999999999999</v>
      </c>
      <c r="N965" s="90">
        <v>965</v>
      </c>
      <c r="O965" s="90" t="s">
        <v>2487</v>
      </c>
      <c r="P965" s="118"/>
      <c r="Q965" s="118"/>
    </row>
    <row r="966" spans="1:21" x14ac:dyDescent="0.25">
      <c r="A966" s="90" t="s">
        <v>2488</v>
      </c>
      <c r="B966" s="119">
        <v>3</v>
      </c>
      <c r="C966" s="90" t="s">
        <v>2407</v>
      </c>
      <c r="D966" s="90" t="s">
        <v>80</v>
      </c>
      <c r="E966">
        <v>1926</v>
      </c>
      <c r="F966">
        <v>1945</v>
      </c>
      <c r="G966" s="93" t="s">
        <v>68</v>
      </c>
      <c r="H966" t="s">
        <v>2489</v>
      </c>
      <c r="I966">
        <v>1</v>
      </c>
      <c r="J966">
        <f>SUM(K967,K970,K972,K974)</f>
        <v>12677.74146186</v>
      </c>
      <c r="K966">
        <f>I966*J966</f>
        <v>12677.74146186</v>
      </c>
      <c r="L966">
        <f>100*(1-(M966/K966))</f>
        <v>85.6</v>
      </c>
      <c r="M966">
        <f>I966*SUM(M967,M970,M972,M974)</f>
        <v>1825.5947705078402</v>
      </c>
      <c r="N966" s="90">
        <v>966</v>
      </c>
      <c r="O966" s="90" t="s">
        <v>2490</v>
      </c>
      <c r="P966" s="118"/>
      <c r="Q966" s="118"/>
      <c r="R966" s="90" t="s">
        <v>6356</v>
      </c>
      <c r="S966" s="90" t="s">
        <v>6659</v>
      </c>
      <c r="T966" s="90" t="s">
        <v>6804</v>
      </c>
      <c r="U966" s="90" t="s">
        <v>6508</v>
      </c>
    </row>
    <row r="967" spans="1:21" x14ac:dyDescent="0.25">
      <c r="A967" s="90" t="s">
        <v>2491</v>
      </c>
      <c r="B967" s="119">
        <v>4</v>
      </c>
      <c r="C967" s="90" t="s">
        <v>2488</v>
      </c>
      <c r="D967" s="90" t="s">
        <v>78</v>
      </c>
      <c r="E967">
        <v>1927</v>
      </c>
      <c r="F967">
        <v>1932</v>
      </c>
      <c r="G967" s="93" t="s">
        <v>68</v>
      </c>
      <c r="H967" t="s">
        <v>364</v>
      </c>
      <c r="I967">
        <v>1</v>
      </c>
      <c r="J967">
        <f>SUM(K968,K969)</f>
        <v>2292.1176620400001</v>
      </c>
      <c r="K967">
        <f>I967*J967</f>
        <v>2292.1176620400001</v>
      </c>
      <c r="L967">
        <f>100*(1-(M967/K967))</f>
        <v>85.6</v>
      </c>
      <c r="M967">
        <f>I967*SUM(M968,M969)</f>
        <v>330.06494333376008</v>
      </c>
      <c r="N967" s="90">
        <v>967</v>
      </c>
      <c r="O967" s="90" t="s">
        <v>2492</v>
      </c>
      <c r="P967" s="118"/>
      <c r="Q967" s="118"/>
      <c r="R967" s="90" t="s">
        <v>4364</v>
      </c>
      <c r="S967" s="90" t="s">
        <v>5429</v>
      </c>
      <c r="T967" s="90" t="s">
        <v>5927</v>
      </c>
      <c r="U967" s="90" t="s">
        <v>4904</v>
      </c>
    </row>
    <row r="968" spans="1:21" x14ac:dyDescent="0.25">
      <c r="A968" s="90" t="s">
        <v>2493</v>
      </c>
      <c r="B968" s="119">
        <v>5</v>
      </c>
      <c r="C968" s="90" t="s">
        <v>2491</v>
      </c>
      <c r="D968" s="90" t="s">
        <v>78</v>
      </c>
      <c r="E968">
        <v>1928</v>
      </c>
      <c r="F968">
        <v>1929</v>
      </c>
      <c r="G968" s="93" t="s">
        <v>78</v>
      </c>
      <c r="H968" t="s">
        <v>366</v>
      </c>
      <c r="I968">
        <v>1</v>
      </c>
      <c r="J968">
        <v>509.35948044999998</v>
      </c>
      <c r="K968">
        <f>I968*J968</f>
        <v>509.35948044999998</v>
      </c>
      <c r="L968">
        <v>85.6</v>
      </c>
      <c r="M968">
        <f>(1-(L968/100))*K968</f>
        <v>73.347765184800011</v>
      </c>
      <c r="N968" s="90">
        <v>968</v>
      </c>
      <c r="O968" s="90" t="s">
        <v>2494</v>
      </c>
      <c r="P968" s="118"/>
      <c r="Q968" s="118"/>
    </row>
    <row r="969" spans="1:21" x14ac:dyDescent="0.25">
      <c r="A969" s="90" t="s">
        <v>2495</v>
      </c>
      <c r="B969" s="119">
        <v>5</v>
      </c>
      <c r="C969" s="90" t="s">
        <v>2491</v>
      </c>
      <c r="D969" s="90" t="s">
        <v>79</v>
      </c>
      <c r="E969">
        <v>1930</v>
      </c>
      <c r="F969">
        <v>1931</v>
      </c>
      <c r="G969" s="93" t="s">
        <v>78</v>
      </c>
      <c r="H969" t="s">
        <v>368</v>
      </c>
      <c r="I969">
        <v>1</v>
      </c>
      <c r="J969">
        <v>1782.75818159</v>
      </c>
      <c r="K969">
        <f>I969*J969</f>
        <v>1782.75818159</v>
      </c>
      <c r="L969">
        <v>85.6</v>
      </c>
      <c r="M969">
        <f>(1-(L969/100))*K969</f>
        <v>256.71717814896004</v>
      </c>
      <c r="N969" s="90">
        <v>969</v>
      </c>
      <c r="O969" s="90" t="s">
        <v>2496</v>
      </c>
      <c r="P969" s="118"/>
      <c r="Q969" s="118"/>
    </row>
    <row r="970" spans="1:21" x14ac:dyDescent="0.25">
      <c r="A970" s="90" t="s">
        <v>2497</v>
      </c>
      <c r="B970" s="119">
        <v>4</v>
      </c>
      <c r="C970" s="90" t="s">
        <v>2488</v>
      </c>
      <c r="D970" s="90" t="s">
        <v>79</v>
      </c>
      <c r="E970">
        <v>1933</v>
      </c>
      <c r="F970">
        <v>1936</v>
      </c>
      <c r="G970" s="93" t="s">
        <v>68</v>
      </c>
      <c r="H970" t="s">
        <v>379</v>
      </c>
      <c r="I970">
        <v>1</v>
      </c>
      <c r="J970">
        <f>SUM(K971)</f>
        <v>303.06889087000002</v>
      </c>
      <c r="K970">
        <f>I970*J970</f>
        <v>303.06889087000002</v>
      </c>
      <c r="L970">
        <f>100*(1-(M970/K970))</f>
        <v>85.6</v>
      </c>
      <c r="M970">
        <f>I970*SUM(M971)</f>
        <v>43.641920285280008</v>
      </c>
      <c r="N970" s="90">
        <v>970</v>
      </c>
      <c r="O970" s="90" t="s">
        <v>2498</v>
      </c>
      <c r="P970" s="118"/>
      <c r="Q970" s="118"/>
      <c r="R970" s="90" t="s">
        <v>819</v>
      </c>
      <c r="S970" s="90" t="s">
        <v>895</v>
      </c>
      <c r="T970" s="90" t="s">
        <v>952</v>
      </c>
      <c r="U970" s="90" t="s">
        <v>848</v>
      </c>
    </row>
    <row r="971" spans="1:21" x14ac:dyDescent="0.25">
      <c r="A971" s="90" t="s">
        <v>2499</v>
      </c>
      <c r="B971" s="119">
        <v>5</v>
      </c>
      <c r="C971" s="90" t="s">
        <v>2497</v>
      </c>
      <c r="D971" s="90" t="s">
        <v>78</v>
      </c>
      <c r="E971">
        <v>1934</v>
      </c>
      <c r="F971">
        <v>1935</v>
      </c>
      <c r="G971" s="93" t="s">
        <v>78</v>
      </c>
      <c r="H971" t="s">
        <v>381</v>
      </c>
      <c r="I971">
        <v>1</v>
      </c>
      <c r="J971">
        <v>303.06889087000002</v>
      </c>
      <c r="K971">
        <f>I971*J971</f>
        <v>303.06889087000002</v>
      </c>
      <c r="L971">
        <v>85.6</v>
      </c>
      <c r="M971">
        <f>(1-(L971/100))*K971</f>
        <v>43.641920285280008</v>
      </c>
      <c r="N971" s="90">
        <v>971</v>
      </c>
      <c r="O971" s="90" t="s">
        <v>2500</v>
      </c>
      <c r="P971" s="118"/>
      <c r="Q971" s="118"/>
    </row>
    <row r="972" spans="1:21" x14ac:dyDescent="0.25">
      <c r="A972" s="90" t="s">
        <v>2501</v>
      </c>
      <c r="B972" s="119">
        <v>4</v>
      </c>
      <c r="C972" s="90" t="s">
        <v>2488</v>
      </c>
      <c r="D972" s="90" t="s">
        <v>80</v>
      </c>
      <c r="E972">
        <v>1937</v>
      </c>
      <c r="F972">
        <v>1940</v>
      </c>
      <c r="G972" s="93" t="s">
        <v>68</v>
      </c>
      <c r="H972" t="s">
        <v>383</v>
      </c>
      <c r="I972">
        <v>1</v>
      </c>
      <c r="J972">
        <f>SUM(K973)</f>
        <v>1069.6549089499999</v>
      </c>
      <c r="K972">
        <f>I972*J972</f>
        <v>1069.6549089499999</v>
      </c>
      <c r="L972">
        <f>100*(1-(M972/K972))</f>
        <v>85.6</v>
      </c>
      <c r="M972">
        <f>I972*SUM(M973)</f>
        <v>154.0303068888</v>
      </c>
      <c r="N972" s="90">
        <v>972</v>
      </c>
      <c r="O972" s="90" t="s">
        <v>2502</v>
      </c>
      <c r="P972" s="118"/>
      <c r="Q972" s="118"/>
      <c r="R972" s="90" t="s">
        <v>820</v>
      </c>
      <c r="S972" s="90" t="s">
        <v>896</v>
      </c>
      <c r="T972" s="90" t="s">
        <v>953</v>
      </c>
      <c r="U972" s="90" t="s">
        <v>849</v>
      </c>
    </row>
    <row r="973" spans="1:21" x14ac:dyDescent="0.25">
      <c r="A973" s="90" t="s">
        <v>2503</v>
      </c>
      <c r="B973" s="119">
        <v>5</v>
      </c>
      <c r="C973" s="90" t="s">
        <v>2501</v>
      </c>
      <c r="D973" s="90" t="s">
        <v>78</v>
      </c>
      <c r="E973">
        <v>1938</v>
      </c>
      <c r="F973">
        <v>1939</v>
      </c>
      <c r="G973" s="93" t="s">
        <v>78</v>
      </c>
      <c r="H973" t="s">
        <v>385</v>
      </c>
      <c r="I973">
        <v>1</v>
      </c>
      <c r="J973">
        <v>1069.6549089499999</v>
      </c>
      <c r="K973">
        <f>I973*J973</f>
        <v>1069.6549089499999</v>
      </c>
      <c r="L973">
        <v>85.6</v>
      </c>
      <c r="M973">
        <f>(1-(L973/100))*K973</f>
        <v>154.0303068888</v>
      </c>
      <c r="N973" s="90">
        <v>973</v>
      </c>
      <c r="O973" s="90" t="s">
        <v>2504</v>
      </c>
      <c r="P973" s="118"/>
      <c r="Q973" s="118"/>
    </row>
    <row r="974" spans="1:21" x14ac:dyDescent="0.25">
      <c r="A974" s="90" t="s">
        <v>2505</v>
      </c>
      <c r="B974" s="119">
        <v>4</v>
      </c>
      <c r="C974" s="90" t="s">
        <v>2488</v>
      </c>
      <c r="D974" s="90" t="s">
        <v>95</v>
      </c>
      <c r="E974">
        <v>1941</v>
      </c>
      <c r="F974">
        <v>1944</v>
      </c>
      <c r="G974" s="93" t="s">
        <v>68</v>
      </c>
      <c r="H974" t="s">
        <v>387</v>
      </c>
      <c r="I974">
        <v>1</v>
      </c>
      <c r="J974">
        <f>SUM(K975)</f>
        <v>9012.9</v>
      </c>
      <c r="K974">
        <f>I974*J974</f>
        <v>9012.9</v>
      </c>
      <c r="L974">
        <f>100*(1-(M974/K974))</f>
        <v>85.6</v>
      </c>
      <c r="M974">
        <f>I974*SUM(M975)</f>
        <v>1297.8576</v>
      </c>
      <c r="N974" s="90">
        <v>974</v>
      </c>
      <c r="O974" s="90" t="s">
        <v>2506</v>
      </c>
      <c r="P974" s="118"/>
      <c r="Q974" s="118"/>
      <c r="R974" s="90" t="s">
        <v>4365</v>
      </c>
      <c r="S974" s="90" t="s">
        <v>897</v>
      </c>
      <c r="T974" s="90" t="s">
        <v>954</v>
      </c>
      <c r="U974" s="90" t="s">
        <v>4905</v>
      </c>
    </row>
    <row r="975" spans="1:21" x14ac:dyDescent="0.25">
      <c r="A975" s="90" t="s">
        <v>2507</v>
      </c>
      <c r="B975" s="119">
        <v>5</v>
      </c>
      <c r="C975" s="90" t="s">
        <v>2505</v>
      </c>
      <c r="D975" s="90" t="s">
        <v>78</v>
      </c>
      <c r="E975">
        <v>1942</v>
      </c>
      <c r="F975">
        <v>1943</v>
      </c>
      <c r="G975" s="93" t="s">
        <v>78</v>
      </c>
      <c r="H975" t="s">
        <v>389</v>
      </c>
      <c r="I975">
        <v>1</v>
      </c>
      <c r="J975">
        <v>9012.9</v>
      </c>
      <c r="K975">
        <f>I975*J975</f>
        <v>9012.9</v>
      </c>
      <c r="L975">
        <v>85.6</v>
      </c>
      <c r="M975">
        <f>(1-(L975/100))*K975</f>
        <v>1297.8576</v>
      </c>
      <c r="N975" s="90">
        <v>975</v>
      </c>
      <c r="O975" s="90" t="s">
        <v>2508</v>
      </c>
      <c r="P975" s="118"/>
      <c r="Q975" s="118"/>
    </row>
    <row r="976" spans="1:21" x14ac:dyDescent="0.25">
      <c r="A976" s="90" t="s">
        <v>2509</v>
      </c>
      <c r="B976" s="119">
        <v>3</v>
      </c>
      <c r="C976" s="90" t="s">
        <v>2407</v>
      </c>
      <c r="D976" s="90" t="s">
        <v>95</v>
      </c>
      <c r="E976">
        <v>1946</v>
      </c>
      <c r="F976">
        <v>1951</v>
      </c>
      <c r="G976" s="93" t="s">
        <v>68</v>
      </c>
      <c r="H976" t="s">
        <v>2510</v>
      </c>
      <c r="I976">
        <v>1</v>
      </c>
      <c r="J976">
        <f>SUM(K977)</f>
        <v>333.63045970000002</v>
      </c>
      <c r="K976">
        <f>I976*J976</f>
        <v>333.63045970000002</v>
      </c>
      <c r="L976">
        <f>100*(1-(M976/K976))</f>
        <v>85.6</v>
      </c>
      <c r="M976">
        <f>I976*SUM(M977)</f>
        <v>48.042786196800009</v>
      </c>
      <c r="N976" s="90">
        <v>976</v>
      </c>
      <c r="O976" s="90" t="s">
        <v>2511</v>
      </c>
      <c r="P976" s="118"/>
      <c r="Q976" s="118"/>
      <c r="R976" s="90" t="s">
        <v>6357</v>
      </c>
      <c r="S976" s="90" t="s">
        <v>6660</v>
      </c>
      <c r="T976" s="90" t="s">
        <v>6805</v>
      </c>
      <c r="U976" s="90" t="s">
        <v>6509</v>
      </c>
    </row>
    <row r="977" spans="1:21" x14ac:dyDescent="0.25">
      <c r="A977" s="90" t="s">
        <v>2512</v>
      </c>
      <c r="B977" s="119">
        <v>4</v>
      </c>
      <c r="C977" s="90" t="s">
        <v>2509</v>
      </c>
      <c r="D977" s="90" t="s">
        <v>78</v>
      </c>
      <c r="E977">
        <v>1947</v>
      </c>
      <c r="F977">
        <v>1950</v>
      </c>
      <c r="G977" s="93" t="s">
        <v>68</v>
      </c>
      <c r="H977" t="s">
        <v>399</v>
      </c>
      <c r="I977">
        <v>1</v>
      </c>
      <c r="J977">
        <f>SUM(K978)</f>
        <v>333.63045970000002</v>
      </c>
      <c r="K977">
        <f>I977*J977</f>
        <v>333.63045970000002</v>
      </c>
      <c r="L977">
        <f>100*(1-(M977/K977))</f>
        <v>85.6</v>
      </c>
      <c r="M977">
        <f>I977*SUM(M978)</f>
        <v>48.042786196800009</v>
      </c>
      <c r="N977" s="90">
        <v>977</v>
      </c>
      <c r="O977" s="90" t="s">
        <v>2513</v>
      </c>
      <c r="P977" s="118"/>
      <c r="Q977" s="118"/>
      <c r="R977" s="90" t="s">
        <v>4366</v>
      </c>
      <c r="S977" s="90" t="s">
        <v>5430</v>
      </c>
      <c r="T977" s="90" t="s">
        <v>5928</v>
      </c>
      <c r="U977" s="90" t="s">
        <v>4906</v>
      </c>
    </row>
    <row r="978" spans="1:21" x14ac:dyDescent="0.25">
      <c r="A978" s="90" t="s">
        <v>2514</v>
      </c>
      <c r="B978" s="119">
        <v>5</v>
      </c>
      <c r="C978" s="90" t="s">
        <v>2512</v>
      </c>
      <c r="D978" s="90" t="s">
        <v>78</v>
      </c>
      <c r="E978">
        <v>1948</v>
      </c>
      <c r="F978">
        <v>1949</v>
      </c>
      <c r="G978" s="93" t="s">
        <v>78</v>
      </c>
      <c r="H978" t="s">
        <v>401</v>
      </c>
      <c r="I978">
        <v>1</v>
      </c>
      <c r="J978">
        <v>333.63045970000002</v>
      </c>
      <c r="K978">
        <f>I978*J978</f>
        <v>333.63045970000002</v>
      </c>
      <c r="L978">
        <v>85.6</v>
      </c>
      <c r="M978">
        <f>(1-(L978/100))*K978</f>
        <v>48.042786196800009</v>
      </c>
      <c r="N978" s="90">
        <v>978</v>
      </c>
      <c r="O978" s="90" t="s">
        <v>2515</v>
      </c>
      <c r="P978" s="118"/>
      <c r="Q978" s="118"/>
    </row>
    <row r="979" spans="1:21" x14ac:dyDescent="0.25">
      <c r="A979" s="90" t="s">
        <v>2516</v>
      </c>
      <c r="B979" s="119">
        <v>3</v>
      </c>
      <c r="C979" s="90" t="s">
        <v>2407</v>
      </c>
      <c r="D979" s="90" t="s">
        <v>96</v>
      </c>
      <c r="E979">
        <v>1952</v>
      </c>
      <c r="F979">
        <v>1957</v>
      </c>
      <c r="G979" s="93" t="s">
        <v>68</v>
      </c>
      <c r="H979" t="s">
        <v>2517</v>
      </c>
      <c r="I979">
        <v>1</v>
      </c>
      <c r="J979">
        <f>SUM(K980)</f>
        <v>1324.33464918</v>
      </c>
      <c r="K979">
        <f>I979*J979</f>
        <v>1324.33464918</v>
      </c>
      <c r="L979">
        <f>100*(1-(M979/K979))</f>
        <v>85.6</v>
      </c>
      <c r="M979">
        <f>I979*SUM(M980)</f>
        <v>190.70418948192003</v>
      </c>
      <c r="N979" s="90">
        <v>979</v>
      </c>
      <c r="O979" s="90" t="s">
        <v>2518</v>
      </c>
      <c r="P979" s="118"/>
      <c r="Q979" s="118"/>
      <c r="R979" s="90" t="s">
        <v>6358</v>
      </c>
      <c r="S979" s="90" t="s">
        <v>6661</v>
      </c>
      <c r="T979" s="90" t="s">
        <v>6806</v>
      </c>
      <c r="U979" s="90" t="s">
        <v>6510</v>
      </c>
    </row>
    <row r="980" spans="1:21" x14ac:dyDescent="0.25">
      <c r="A980" s="90" t="s">
        <v>2519</v>
      </c>
      <c r="B980" s="119">
        <v>4</v>
      </c>
      <c r="C980" s="90" t="s">
        <v>2516</v>
      </c>
      <c r="D980" s="90" t="s">
        <v>78</v>
      </c>
      <c r="E980">
        <v>1953</v>
      </c>
      <c r="F980">
        <v>1956</v>
      </c>
      <c r="G980" s="93" t="s">
        <v>68</v>
      </c>
      <c r="H980" t="s">
        <v>418</v>
      </c>
      <c r="I980">
        <v>1</v>
      </c>
      <c r="J980">
        <f>SUM(K981)</f>
        <v>1324.33464918</v>
      </c>
      <c r="K980">
        <f>I980*J980</f>
        <v>1324.33464918</v>
      </c>
      <c r="L980">
        <f>100*(1-(M980/K980))</f>
        <v>85.6</v>
      </c>
      <c r="M980">
        <f>I980*SUM(M981)</f>
        <v>190.70418948192003</v>
      </c>
      <c r="N980" s="90">
        <v>980</v>
      </c>
      <c r="O980" s="90" t="s">
        <v>2520</v>
      </c>
      <c r="P980" s="118"/>
      <c r="Q980" s="118"/>
      <c r="R980" s="90" t="s">
        <v>4367</v>
      </c>
      <c r="S980" s="90" t="s">
        <v>5431</v>
      </c>
      <c r="T980" s="90" t="s">
        <v>5929</v>
      </c>
      <c r="U980" s="90" t="s">
        <v>4907</v>
      </c>
    </row>
    <row r="981" spans="1:21" x14ac:dyDescent="0.25">
      <c r="A981" s="90" t="s">
        <v>2521</v>
      </c>
      <c r="B981" s="119">
        <v>5</v>
      </c>
      <c r="C981" s="90" t="s">
        <v>2519</v>
      </c>
      <c r="D981" s="90" t="s">
        <v>78</v>
      </c>
      <c r="E981">
        <v>1954</v>
      </c>
      <c r="F981">
        <v>1955</v>
      </c>
      <c r="G981" s="93" t="s">
        <v>78</v>
      </c>
      <c r="H981" t="s">
        <v>419</v>
      </c>
      <c r="I981">
        <v>1</v>
      </c>
      <c r="J981">
        <v>1324.33464918</v>
      </c>
      <c r="K981">
        <f>I981*J981</f>
        <v>1324.33464918</v>
      </c>
      <c r="L981">
        <v>85.6</v>
      </c>
      <c r="M981">
        <f>(1-(L981/100))*K981</f>
        <v>190.70418948192003</v>
      </c>
      <c r="N981" s="90">
        <v>981</v>
      </c>
      <c r="O981" s="90" t="s">
        <v>2522</v>
      </c>
      <c r="P981" s="118"/>
      <c r="Q981" s="118"/>
    </row>
    <row r="982" spans="1:21" x14ac:dyDescent="0.25">
      <c r="A982" s="90" t="s">
        <v>2523</v>
      </c>
      <c r="B982" s="119">
        <v>2</v>
      </c>
      <c r="C982" s="90" t="s">
        <v>78</v>
      </c>
      <c r="D982" s="90" t="s">
        <v>83</v>
      </c>
      <c r="E982">
        <v>1959</v>
      </c>
      <c r="F982">
        <v>2084</v>
      </c>
      <c r="G982" s="93" t="s">
        <v>68</v>
      </c>
      <c r="H982" t="s">
        <v>2524</v>
      </c>
      <c r="I982">
        <v>1</v>
      </c>
      <c r="J982">
        <f>SUM(K983,K1022,K1033)</f>
        <v>63975.751371450009</v>
      </c>
      <c r="K982">
        <f>I982*J982</f>
        <v>63975.751371450009</v>
      </c>
      <c r="L982">
        <f>100*(1-(M982/K982))</f>
        <v>49.76222770106601</v>
      </c>
      <c r="M982">
        <f>I982*SUM(M983,M1022,M1033)</f>
        <v>32139.992300521193</v>
      </c>
      <c r="N982" s="90">
        <v>982</v>
      </c>
      <c r="O982" s="90" t="s">
        <v>2525</v>
      </c>
      <c r="P982" s="118"/>
      <c r="Q982" s="118"/>
      <c r="R982" s="90" t="s">
        <v>6931</v>
      </c>
      <c r="S982" s="90" t="s">
        <v>7028</v>
      </c>
      <c r="T982" s="90" t="s">
        <v>7074</v>
      </c>
      <c r="U982" s="90" t="s">
        <v>6980</v>
      </c>
    </row>
    <row r="983" spans="1:21" x14ac:dyDescent="0.25">
      <c r="A983" s="90" t="s">
        <v>2526</v>
      </c>
      <c r="B983" s="119">
        <v>3</v>
      </c>
      <c r="C983" s="90" t="s">
        <v>2523</v>
      </c>
      <c r="D983" s="90" t="s">
        <v>78</v>
      </c>
      <c r="E983">
        <v>1960</v>
      </c>
      <c r="F983">
        <v>2037</v>
      </c>
      <c r="G983" s="93" t="s">
        <v>68</v>
      </c>
      <c r="H983" t="s">
        <v>2527</v>
      </c>
      <c r="I983">
        <v>1</v>
      </c>
      <c r="J983">
        <f>SUM(K984,K986,K988,K990,K992,K994,K996,K998,K1000,K1002,K1004,K1006,K1008,K1010,K1012,K1014,K1016,K1018)</f>
        <v>42100.082541710006</v>
      </c>
      <c r="K983">
        <f>I983*J983</f>
        <v>42100.082541710006</v>
      </c>
      <c r="L983">
        <f>100*(1-(M983/K983))</f>
        <v>40.000000000000021</v>
      </c>
      <c r="M983">
        <f>I983*SUM(M984,M986,M988,M990,M992,M994,M996,M998,M1000,M1002,M1004,M1006,M1008,M1010,M1012,M1014,M1016,M1018)</f>
        <v>25260.049525025996</v>
      </c>
      <c r="N983" s="90">
        <v>983</v>
      </c>
      <c r="O983" s="90" t="s">
        <v>2528</v>
      </c>
      <c r="P983" s="118"/>
      <c r="Q983" s="118"/>
      <c r="R983" s="90" t="s">
        <v>6359</v>
      </c>
      <c r="S983" s="90" t="s">
        <v>6662</v>
      </c>
      <c r="T983" s="90" t="s">
        <v>6807</v>
      </c>
      <c r="U983" s="90" t="s">
        <v>6511</v>
      </c>
    </row>
    <row r="984" spans="1:21" x14ac:dyDescent="0.25">
      <c r="A984" s="90" t="s">
        <v>2529</v>
      </c>
      <c r="B984" s="119">
        <v>4</v>
      </c>
      <c r="C984" s="90" t="s">
        <v>2526</v>
      </c>
      <c r="D984" s="90" t="s">
        <v>78</v>
      </c>
      <c r="E984">
        <v>1961</v>
      </c>
      <c r="F984">
        <v>1964</v>
      </c>
      <c r="G984" s="93" t="s">
        <v>68</v>
      </c>
      <c r="H984" t="s">
        <v>1235</v>
      </c>
      <c r="I984">
        <v>2</v>
      </c>
      <c r="J984">
        <f>SUM(K985)</f>
        <v>37.44</v>
      </c>
      <c r="K984">
        <f>I984*J984</f>
        <v>74.88</v>
      </c>
      <c r="L984">
        <f>100*(1-(M984/K984))</f>
        <v>40</v>
      </c>
      <c r="M984">
        <f>I984*SUM(M985)</f>
        <v>44.927999999999997</v>
      </c>
      <c r="N984" s="90">
        <v>984</v>
      </c>
      <c r="O984" s="90" t="s">
        <v>2530</v>
      </c>
      <c r="P984" s="118"/>
      <c r="Q984" s="118"/>
      <c r="R984" s="90" t="s">
        <v>4368</v>
      </c>
      <c r="S984" s="90" t="s">
        <v>5432</v>
      </c>
      <c r="T984" s="90" t="s">
        <v>5930</v>
      </c>
      <c r="U984" s="90" t="s">
        <v>4908</v>
      </c>
    </row>
    <row r="985" spans="1:21" x14ac:dyDescent="0.25">
      <c r="A985" s="90" t="s">
        <v>2531</v>
      </c>
      <c r="B985" s="119">
        <v>5</v>
      </c>
      <c r="C985" s="90" t="s">
        <v>2529</v>
      </c>
      <c r="D985" s="90" t="s">
        <v>78</v>
      </c>
      <c r="E985">
        <v>1962</v>
      </c>
      <c r="F985">
        <v>1963</v>
      </c>
      <c r="G985" s="93" t="s">
        <v>78</v>
      </c>
      <c r="H985" t="s">
        <v>1235</v>
      </c>
      <c r="I985">
        <v>1</v>
      </c>
      <c r="J985">
        <v>37.44</v>
      </c>
      <c r="K985">
        <f>I985*J985</f>
        <v>37.44</v>
      </c>
      <c r="L985">
        <v>40</v>
      </c>
      <c r="M985">
        <f>(1-(L985/100))*K985</f>
        <v>22.463999999999999</v>
      </c>
      <c r="N985" s="90">
        <v>985</v>
      </c>
      <c r="O985" s="90" t="s">
        <v>2532</v>
      </c>
      <c r="P985" s="118"/>
      <c r="Q985" s="118"/>
    </row>
    <row r="986" spans="1:21" x14ac:dyDescent="0.25">
      <c r="A986" s="90" t="s">
        <v>2533</v>
      </c>
      <c r="B986" s="119">
        <v>4</v>
      </c>
      <c r="C986" s="90" t="s">
        <v>2526</v>
      </c>
      <c r="D986" s="90" t="s">
        <v>79</v>
      </c>
      <c r="E986">
        <v>1965</v>
      </c>
      <c r="F986">
        <v>1968</v>
      </c>
      <c r="G986" s="93" t="s">
        <v>68</v>
      </c>
      <c r="H986" t="s">
        <v>1240</v>
      </c>
      <c r="I986">
        <v>1</v>
      </c>
      <c r="J986">
        <f>SUM(K987)</f>
        <v>700.36928562000003</v>
      </c>
      <c r="K986">
        <f>I986*J986</f>
        <v>700.36928562000003</v>
      </c>
      <c r="L986">
        <f>100*(1-(M986/K986))</f>
        <v>40</v>
      </c>
      <c r="M986">
        <f>I986*SUM(M987)</f>
        <v>420.22157137200003</v>
      </c>
      <c r="N986" s="90">
        <v>986</v>
      </c>
      <c r="O986" s="90" t="s">
        <v>2534</v>
      </c>
      <c r="P986" s="118"/>
      <c r="Q986" s="118"/>
      <c r="R986" s="90" t="s">
        <v>4378</v>
      </c>
      <c r="S986" s="90" t="s">
        <v>5442</v>
      </c>
      <c r="T986" s="90" t="s">
        <v>5940</v>
      </c>
      <c r="U986" s="90" t="s">
        <v>4918</v>
      </c>
    </row>
    <row r="987" spans="1:21" x14ac:dyDescent="0.25">
      <c r="A987" s="90" t="s">
        <v>2535</v>
      </c>
      <c r="B987" s="119">
        <v>5</v>
      </c>
      <c r="C987" s="90" t="s">
        <v>2533</v>
      </c>
      <c r="D987" s="90" t="s">
        <v>78</v>
      </c>
      <c r="E987">
        <v>1966</v>
      </c>
      <c r="F987">
        <v>1967</v>
      </c>
      <c r="G987" s="93" t="s">
        <v>78</v>
      </c>
      <c r="H987" t="s">
        <v>1243</v>
      </c>
      <c r="I987">
        <v>1</v>
      </c>
      <c r="J987">
        <v>700.36928562000003</v>
      </c>
      <c r="K987">
        <f>I987*J987</f>
        <v>700.36928562000003</v>
      </c>
      <c r="L987">
        <v>40</v>
      </c>
      <c r="M987">
        <f>(1-(L987/100))*K987</f>
        <v>420.22157137200003</v>
      </c>
      <c r="N987" s="90">
        <v>987</v>
      </c>
      <c r="O987" s="90" t="s">
        <v>2536</v>
      </c>
      <c r="P987" s="118"/>
      <c r="Q987" s="118"/>
    </row>
    <row r="988" spans="1:21" x14ac:dyDescent="0.25">
      <c r="A988" s="90" t="s">
        <v>2537</v>
      </c>
      <c r="B988" s="119">
        <v>4</v>
      </c>
      <c r="C988" s="90" t="s">
        <v>2526</v>
      </c>
      <c r="D988" s="90" t="s">
        <v>80</v>
      </c>
      <c r="E988">
        <v>1969</v>
      </c>
      <c r="F988">
        <v>1972</v>
      </c>
      <c r="G988" s="93" t="s">
        <v>68</v>
      </c>
      <c r="H988" t="s">
        <v>1246</v>
      </c>
      <c r="I988">
        <v>2</v>
      </c>
      <c r="J988">
        <f>SUM(K989)</f>
        <v>967.93582071000003</v>
      </c>
      <c r="K988">
        <f>I988*J988</f>
        <v>1935.8716414200001</v>
      </c>
      <c r="L988">
        <f>100*(1-(M988/K988))</f>
        <v>40</v>
      </c>
      <c r="M988">
        <f>I988*SUM(M989)</f>
        <v>1161.522984852</v>
      </c>
      <c r="N988" s="90">
        <v>988</v>
      </c>
      <c r="O988" s="90" t="s">
        <v>2538</v>
      </c>
      <c r="P988" s="118"/>
      <c r="Q988" s="118"/>
      <c r="R988" s="90" t="s">
        <v>4379</v>
      </c>
      <c r="S988" s="90" t="s">
        <v>5443</v>
      </c>
      <c r="T988" s="90" t="s">
        <v>5941</v>
      </c>
      <c r="U988" s="90" t="s">
        <v>4919</v>
      </c>
    </row>
    <row r="989" spans="1:21" x14ac:dyDescent="0.25">
      <c r="A989" s="90" t="s">
        <v>2539</v>
      </c>
      <c r="B989" s="119">
        <v>5</v>
      </c>
      <c r="C989" s="90" t="s">
        <v>2537</v>
      </c>
      <c r="D989" s="90" t="s">
        <v>78</v>
      </c>
      <c r="E989">
        <v>1970</v>
      </c>
      <c r="F989">
        <v>1971</v>
      </c>
      <c r="G989" s="93" t="s">
        <v>78</v>
      </c>
      <c r="H989" t="s">
        <v>120</v>
      </c>
      <c r="I989">
        <v>1</v>
      </c>
      <c r="J989">
        <v>967.93582071000003</v>
      </c>
      <c r="K989">
        <f>I989*J989</f>
        <v>967.93582071000003</v>
      </c>
      <c r="L989">
        <v>40</v>
      </c>
      <c r="M989">
        <f>(1-(L989/100))*K989</f>
        <v>580.76149242600002</v>
      </c>
      <c r="N989" s="90">
        <v>989</v>
      </c>
      <c r="O989" s="90" t="s">
        <v>2540</v>
      </c>
      <c r="P989" s="118"/>
      <c r="Q989" s="118"/>
    </row>
    <row r="990" spans="1:21" x14ac:dyDescent="0.25">
      <c r="A990" s="90" t="s">
        <v>2541</v>
      </c>
      <c r="B990" s="119">
        <v>4</v>
      </c>
      <c r="C990" s="90" t="s">
        <v>2526</v>
      </c>
      <c r="D990" s="90" t="s">
        <v>95</v>
      </c>
      <c r="E990">
        <v>1973</v>
      </c>
      <c r="F990">
        <v>1976</v>
      </c>
      <c r="G990" s="93" t="s">
        <v>68</v>
      </c>
      <c r="H990" t="s">
        <v>1251</v>
      </c>
      <c r="I990">
        <v>1</v>
      </c>
      <c r="J990">
        <f>SUM(K991)</f>
        <v>967.93582071000003</v>
      </c>
      <c r="K990">
        <f>I990*J990</f>
        <v>967.93582071000003</v>
      </c>
      <c r="L990">
        <f>100*(1-(M990/K990))</f>
        <v>40</v>
      </c>
      <c r="M990">
        <f>I990*SUM(M991)</f>
        <v>580.76149242600002</v>
      </c>
      <c r="N990" s="90">
        <v>990</v>
      </c>
      <c r="O990" s="90" t="s">
        <v>2542</v>
      </c>
      <c r="P990" s="118"/>
      <c r="Q990" s="118"/>
      <c r="R990" s="90" t="s">
        <v>4380</v>
      </c>
      <c r="S990" s="90" t="s">
        <v>5444</v>
      </c>
      <c r="T990" s="90" t="s">
        <v>5942</v>
      </c>
      <c r="U990" s="90" t="s">
        <v>4920</v>
      </c>
    </row>
    <row r="991" spans="1:21" x14ac:dyDescent="0.25">
      <c r="A991" s="90" t="s">
        <v>2543</v>
      </c>
      <c r="B991" s="119">
        <v>5</v>
      </c>
      <c r="C991" s="90" t="s">
        <v>2541</v>
      </c>
      <c r="D991" s="90" t="s">
        <v>78</v>
      </c>
      <c r="E991">
        <v>1974</v>
      </c>
      <c r="F991">
        <v>1975</v>
      </c>
      <c r="G991" s="93" t="s">
        <v>78</v>
      </c>
      <c r="H991" t="s">
        <v>125</v>
      </c>
      <c r="I991">
        <v>1</v>
      </c>
      <c r="J991">
        <v>967.93582071000003</v>
      </c>
      <c r="K991">
        <f>I991*J991</f>
        <v>967.93582071000003</v>
      </c>
      <c r="L991">
        <v>40</v>
      </c>
      <c r="M991">
        <f>(1-(L991/100))*K991</f>
        <v>580.76149242600002</v>
      </c>
      <c r="N991" s="90">
        <v>991</v>
      </c>
      <c r="O991" s="90" t="s">
        <v>2544</v>
      </c>
      <c r="P991" s="118"/>
      <c r="Q991" s="118"/>
    </row>
    <row r="992" spans="1:21" x14ac:dyDescent="0.25">
      <c r="A992" s="90" t="s">
        <v>2545</v>
      </c>
      <c r="B992" s="119">
        <v>4</v>
      </c>
      <c r="C992" s="90" t="s">
        <v>2526</v>
      </c>
      <c r="D992" s="90" t="s">
        <v>96</v>
      </c>
      <c r="E992">
        <v>1977</v>
      </c>
      <c r="F992">
        <v>1980</v>
      </c>
      <c r="G992" s="93" t="s">
        <v>68</v>
      </c>
      <c r="H992" t="s">
        <v>2546</v>
      </c>
      <c r="I992">
        <v>1</v>
      </c>
      <c r="J992">
        <f>SUM(K993)</f>
        <v>20.059999999999999</v>
      </c>
      <c r="K992">
        <f>I992*J992</f>
        <v>20.059999999999999</v>
      </c>
      <c r="L992">
        <f>100*(1-(M992/K992))</f>
        <v>40</v>
      </c>
      <c r="M992">
        <f>I992*SUM(M993)</f>
        <v>12.036</v>
      </c>
      <c r="N992" s="90">
        <v>992</v>
      </c>
      <c r="O992" s="90" t="s">
        <v>2547</v>
      </c>
      <c r="P992" s="118"/>
      <c r="Q992" s="118"/>
      <c r="R992" s="90" t="s">
        <v>4381</v>
      </c>
      <c r="S992" s="90" t="s">
        <v>5445</v>
      </c>
      <c r="T992" s="90" t="s">
        <v>5943</v>
      </c>
      <c r="U992" s="90" t="s">
        <v>4921</v>
      </c>
    </row>
    <row r="993" spans="1:21" x14ac:dyDescent="0.25">
      <c r="A993" s="90" t="s">
        <v>2548</v>
      </c>
      <c r="B993" s="119">
        <v>5</v>
      </c>
      <c r="C993" s="90" t="s">
        <v>2545</v>
      </c>
      <c r="D993" s="90" t="s">
        <v>78</v>
      </c>
      <c r="E993">
        <v>1978</v>
      </c>
      <c r="F993">
        <v>1979</v>
      </c>
      <c r="G993" s="93" t="s">
        <v>78</v>
      </c>
      <c r="H993" t="s">
        <v>2546</v>
      </c>
      <c r="I993">
        <v>1</v>
      </c>
      <c r="J993">
        <v>20.059999999999999</v>
      </c>
      <c r="K993">
        <f>I993*J993</f>
        <v>20.059999999999999</v>
      </c>
      <c r="L993">
        <v>40</v>
      </c>
      <c r="M993">
        <f>(1-(L993/100))*K993</f>
        <v>12.036</v>
      </c>
      <c r="N993" s="90">
        <v>993</v>
      </c>
      <c r="O993" s="90" t="s">
        <v>2549</v>
      </c>
      <c r="P993" s="118"/>
      <c r="Q993" s="118"/>
    </row>
    <row r="994" spans="1:21" x14ac:dyDescent="0.25">
      <c r="A994" s="90" t="s">
        <v>2550</v>
      </c>
      <c r="B994" s="119">
        <v>4</v>
      </c>
      <c r="C994" s="90" t="s">
        <v>2526</v>
      </c>
      <c r="D994" s="90" t="s">
        <v>103</v>
      </c>
      <c r="E994">
        <v>1981</v>
      </c>
      <c r="F994">
        <v>1984</v>
      </c>
      <c r="G994" s="93" t="s">
        <v>68</v>
      </c>
      <c r="H994" t="s">
        <v>2551</v>
      </c>
      <c r="I994">
        <v>1</v>
      </c>
      <c r="J994">
        <f>SUM(K995)</f>
        <v>40.11</v>
      </c>
      <c r="K994">
        <f>I994*J994</f>
        <v>40.11</v>
      </c>
      <c r="L994">
        <f>100*(1-(M994/K994))</f>
        <v>40</v>
      </c>
      <c r="M994">
        <f>I994*SUM(M995)</f>
        <v>24.065999999999999</v>
      </c>
      <c r="N994" s="90">
        <v>994</v>
      </c>
      <c r="O994" s="90" t="s">
        <v>2552</v>
      </c>
      <c r="P994" s="118"/>
      <c r="Q994" s="118"/>
      <c r="R994" s="90" t="s">
        <v>4382</v>
      </c>
      <c r="S994" s="90" t="s">
        <v>5446</v>
      </c>
      <c r="T994" s="90" t="s">
        <v>5944</v>
      </c>
      <c r="U994" s="90" t="s">
        <v>4922</v>
      </c>
    </row>
    <row r="995" spans="1:21" x14ac:dyDescent="0.25">
      <c r="A995" s="90" t="s">
        <v>2553</v>
      </c>
      <c r="B995" s="119">
        <v>5</v>
      </c>
      <c r="C995" s="90" t="s">
        <v>2550</v>
      </c>
      <c r="D995" s="90" t="s">
        <v>78</v>
      </c>
      <c r="E995">
        <v>1982</v>
      </c>
      <c r="F995">
        <v>1983</v>
      </c>
      <c r="G995" s="93" t="s">
        <v>78</v>
      </c>
      <c r="H995" t="s">
        <v>2551</v>
      </c>
      <c r="I995">
        <v>1</v>
      </c>
      <c r="J995">
        <v>40.11</v>
      </c>
      <c r="K995">
        <f>I995*J995</f>
        <v>40.11</v>
      </c>
      <c r="L995">
        <v>40</v>
      </c>
      <c r="M995">
        <f>(1-(L995/100))*K995</f>
        <v>24.065999999999999</v>
      </c>
      <c r="N995" s="90">
        <v>995</v>
      </c>
      <c r="O995" s="90" t="s">
        <v>2554</v>
      </c>
      <c r="P995" s="118"/>
      <c r="Q995" s="118"/>
    </row>
    <row r="996" spans="1:21" x14ac:dyDescent="0.25">
      <c r="A996" s="90" t="s">
        <v>2555</v>
      </c>
      <c r="B996" s="119">
        <v>4</v>
      </c>
      <c r="C996" s="90" t="s">
        <v>2526</v>
      </c>
      <c r="D996" s="90" t="s">
        <v>796</v>
      </c>
      <c r="E996">
        <v>1985</v>
      </c>
      <c r="F996">
        <v>1988</v>
      </c>
      <c r="G996" s="93" t="s">
        <v>68</v>
      </c>
      <c r="H996" t="s">
        <v>1256</v>
      </c>
      <c r="I996">
        <v>1</v>
      </c>
      <c r="J996">
        <f>SUM(K997)</f>
        <v>9428.2439831899992</v>
      </c>
      <c r="K996">
        <f>I996*J996</f>
        <v>9428.2439831899992</v>
      </c>
      <c r="L996">
        <f>100*(1-(M996/K996))</f>
        <v>40</v>
      </c>
      <c r="M996">
        <f>I996*SUM(M997)</f>
        <v>5656.9463899139992</v>
      </c>
      <c r="N996" s="90">
        <v>996</v>
      </c>
      <c r="O996" s="90" t="s">
        <v>2556</v>
      </c>
      <c r="P996" s="118"/>
      <c r="Q996" s="118"/>
      <c r="R996" s="90" t="s">
        <v>4383</v>
      </c>
      <c r="S996" s="90" t="s">
        <v>5447</v>
      </c>
      <c r="T996" s="90" t="s">
        <v>5945</v>
      </c>
      <c r="U996" s="90" t="s">
        <v>4923</v>
      </c>
    </row>
    <row r="997" spans="1:21" x14ac:dyDescent="0.25">
      <c r="A997" s="90" t="s">
        <v>2557</v>
      </c>
      <c r="B997" s="119">
        <v>5</v>
      </c>
      <c r="C997" s="90" t="s">
        <v>2555</v>
      </c>
      <c r="D997" s="90" t="s">
        <v>78</v>
      </c>
      <c r="E997">
        <v>1986</v>
      </c>
      <c r="F997">
        <v>1987</v>
      </c>
      <c r="G997" s="93" t="s">
        <v>78</v>
      </c>
      <c r="H997" t="s">
        <v>1256</v>
      </c>
      <c r="I997">
        <v>1</v>
      </c>
      <c r="J997">
        <v>9428.2439831899992</v>
      </c>
      <c r="K997">
        <f>I997*J997</f>
        <v>9428.2439831899992</v>
      </c>
      <c r="L997">
        <v>40</v>
      </c>
      <c r="M997">
        <f>(1-(L997/100))*K997</f>
        <v>5656.9463899139992</v>
      </c>
      <c r="N997" s="90">
        <v>997</v>
      </c>
      <c r="O997" s="90" t="s">
        <v>2558</v>
      </c>
      <c r="P997" s="118"/>
      <c r="Q997" s="118"/>
    </row>
    <row r="998" spans="1:21" x14ac:dyDescent="0.25">
      <c r="A998" s="90" t="s">
        <v>2559</v>
      </c>
      <c r="B998" s="119">
        <v>4</v>
      </c>
      <c r="C998" s="90" t="s">
        <v>2526</v>
      </c>
      <c r="D998" s="90" t="s">
        <v>797</v>
      </c>
      <c r="E998">
        <v>1989</v>
      </c>
      <c r="F998">
        <v>1992</v>
      </c>
      <c r="G998" s="93" t="s">
        <v>68</v>
      </c>
      <c r="H998" t="s">
        <v>1261</v>
      </c>
      <c r="I998">
        <v>1</v>
      </c>
      <c r="J998">
        <f>SUM(K999)</f>
        <v>10160.44823634</v>
      </c>
      <c r="K998">
        <f>I998*J998</f>
        <v>10160.44823634</v>
      </c>
      <c r="L998">
        <f>100*(1-(M998/K998))</f>
        <v>40</v>
      </c>
      <c r="M998">
        <f>I998*SUM(M999)</f>
        <v>6096.268941804</v>
      </c>
      <c r="N998" s="90">
        <v>998</v>
      </c>
      <c r="O998" s="90" t="s">
        <v>2560</v>
      </c>
      <c r="P998" s="118"/>
      <c r="Q998" s="118"/>
      <c r="R998" s="90" t="s">
        <v>4384</v>
      </c>
      <c r="S998" s="90" t="s">
        <v>5448</v>
      </c>
      <c r="T998" s="90" t="s">
        <v>5946</v>
      </c>
      <c r="U998" s="90" t="s">
        <v>4924</v>
      </c>
    </row>
    <row r="999" spans="1:21" x14ac:dyDescent="0.25">
      <c r="A999" s="90" t="s">
        <v>2561</v>
      </c>
      <c r="B999" s="119">
        <v>5</v>
      </c>
      <c r="C999" s="90" t="s">
        <v>2559</v>
      </c>
      <c r="D999" s="90" t="s">
        <v>78</v>
      </c>
      <c r="E999">
        <v>1990</v>
      </c>
      <c r="F999">
        <v>1991</v>
      </c>
      <c r="G999" s="93" t="s">
        <v>78</v>
      </c>
      <c r="H999" t="s">
        <v>1261</v>
      </c>
      <c r="I999">
        <v>1</v>
      </c>
      <c r="J999">
        <v>10160.44823634</v>
      </c>
      <c r="K999">
        <f>I999*J999</f>
        <v>10160.44823634</v>
      </c>
      <c r="L999">
        <v>40</v>
      </c>
      <c r="M999">
        <f>(1-(L999/100))*K999</f>
        <v>6096.268941804</v>
      </c>
      <c r="N999" s="90">
        <v>999</v>
      </c>
      <c r="O999" s="90" t="s">
        <v>2562</v>
      </c>
      <c r="P999" s="118"/>
      <c r="Q999" s="118"/>
    </row>
    <row r="1000" spans="1:21" x14ac:dyDescent="0.25">
      <c r="A1000" s="90" t="s">
        <v>2563</v>
      </c>
      <c r="B1000" s="119">
        <v>4</v>
      </c>
      <c r="C1000" s="90" t="s">
        <v>2526</v>
      </c>
      <c r="D1000" s="90" t="s">
        <v>798</v>
      </c>
      <c r="E1000">
        <v>1993</v>
      </c>
      <c r="F1000">
        <v>1996</v>
      </c>
      <c r="G1000" s="93" t="s">
        <v>68</v>
      </c>
      <c r="H1000" t="s">
        <v>1266</v>
      </c>
      <c r="I1000">
        <v>1</v>
      </c>
      <c r="J1000">
        <f>SUM(K1001)</f>
        <v>9312.3647013900008</v>
      </c>
      <c r="K1000">
        <f>I1000*J1000</f>
        <v>9312.3647013900008</v>
      </c>
      <c r="L1000">
        <f>100*(1-(M1000/K1000))</f>
        <v>40</v>
      </c>
      <c r="M1000">
        <f>I1000*SUM(M1001)</f>
        <v>5587.4188208340001</v>
      </c>
      <c r="N1000" s="90">
        <v>1000</v>
      </c>
      <c r="O1000" s="90" t="s">
        <v>2564</v>
      </c>
      <c r="P1000" s="118"/>
      <c r="Q1000" s="118"/>
      <c r="R1000" s="90" t="s">
        <v>4385</v>
      </c>
      <c r="S1000" s="90" t="s">
        <v>5449</v>
      </c>
      <c r="T1000" s="90" t="s">
        <v>5947</v>
      </c>
      <c r="U1000" s="90" t="s">
        <v>4925</v>
      </c>
    </row>
    <row r="1001" spans="1:21" x14ac:dyDescent="0.25">
      <c r="A1001" s="90" t="s">
        <v>2565</v>
      </c>
      <c r="B1001" s="119">
        <v>5</v>
      </c>
      <c r="C1001" s="90" t="s">
        <v>2563</v>
      </c>
      <c r="D1001" s="90" t="s">
        <v>78</v>
      </c>
      <c r="E1001">
        <v>1994</v>
      </c>
      <c r="F1001">
        <v>1995</v>
      </c>
      <c r="G1001" s="93" t="s">
        <v>78</v>
      </c>
      <c r="H1001" t="s">
        <v>1269</v>
      </c>
      <c r="I1001">
        <v>1</v>
      </c>
      <c r="J1001">
        <v>9312.3647013900008</v>
      </c>
      <c r="K1001">
        <f>I1001*J1001</f>
        <v>9312.3647013900008</v>
      </c>
      <c r="L1001">
        <v>40</v>
      </c>
      <c r="M1001">
        <f>(1-(L1001/100))*K1001</f>
        <v>5587.4188208340001</v>
      </c>
      <c r="N1001" s="90">
        <v>1001</v>
      </c>
      <c r="O1001" s="90" t="s">
        <v>2566</v>
      </c>
      <c r="P1001" s="118"/>
      <c r="Q1001" s="118"/>
    </row>
    <row r="1002" spans="1:21" x14ac:dyDescent="0.25">
      <c r="A1002" s="90" t="s">
        <v>2567</v>
      </c>
      <c r="B1002" s="119">
        <v>4</v>
      </c>
      <c r="C1002" s="90" t="s">
        <v>2526</v>
      </c>
      <c r="D1002" s="90" t="s">
        <v>799</v>
      </c>
      <c r="E1002">
        <v>1997</v>
      </c>
      <c r="F1002">
        <v>2000</v>
      </c>
      <c r="G1002" s="93" t="s">
        <v>68</v>
      </c>
      <c r="H1002" t="s">
        <v>1638</v>
      </c>
      <c r="I1002">
        <v>1</v>
      </c>
      <c r="J1002">
        <f>SUM(K1003)</f>
        <v>1980.13</v>
      </c>
      <c r="K1002">
        <f>I1002*J1002</f>
        <v>1980.13</v>
      </c>
      <c r="L1002">
        <f>100*(1-(M1002/K1002))</f>
        <v>40</v>
      </c>
      <c r="M1002">
        <f>I1002*SUM(M1003)</f>
        <v>1188.078</v>
      </c>
      <c r="N1002" s="90">
        <v>1002</v>
      </c>
      <c r="O1002" s="90" t="s">
        <v>2568</v>
      </c>
      <c r="P1002" s="118"/>
      <c r="Q1002" s="118"/>
      <c r="R1002" s="90" t="s">
        <v>4369</v>
      </c>
      <c r="S1002" s="90" t="s">
        <v>5433</v>
      </c>
      <c r="T1002" s="90" t="s">
        <v>5931</v>
      </c>
      <c r="U1002" s="90" t="s">
        <v>4909</v>
      </c>
    </row>
    <row r="1003" spans="1:21" x14ac:dyDescent="0.25">
      <c r="A1003" s="90" t="s">
        <v>2569</v>
      </c>
      <c r="B1003" s="119">
        <v>5</v>
      </c>
      <c r="C1003" s="90" t="s">
        <v>2567</v>
      </c>
      <c r="D1003" s="90" t="s">
        <v>78</v>
      </c>
      <c r="E1003">
        <v>1998</v>
      </c>
      <c r="F1003">
        <v>1999</v>
      </c>
      <c r="G1003" s="93" t="s">
        <v>78</v>
      </c>
      <c r="H1003" t="s">
        <v>1638</v>
      </c>
      <c r="I1003">
        <v>1</v>
      </c>
      <c r="J1003">
        <v>1980.13</v>
      </c>
      <c r="K1003">
        <f>I1003*J1003</f>
        <v>1980.13</v>
      </c>
      <c r="L1003">
        <v>40</v>
      </c>
      <c r="M1003">
        <f>(1-(L1003/100))*K1003</f>
        <v>1188.078</v>
      </c>
      <c r="N1003" s="90">
        <v>1003</v>
      </c>
      <c r="O1003" s="90" t="s">
        <v>2570</v>
      </c>
    </row>
    <row r="1004" spans="1:21" x14ac:dyDescent="0.25">
      <c r="A1004" s="90" t="s">
        <v>2571</v>
      </c>
      <c r="B1004" s="119">
        <v>4</v>
      </c>
      <c r="C1004" s="90" t="s">
        <v>2526</v>
      </c>
      <c r="D1004" s="90" t="s">
        <v>97</v>
      </c>
      <c r="E1004">
        <v>2001</v>
      </c>
      <c r="F1004">
        <v>2004</v>
      </c>
      <c r="G1004" s="93" t="s">
        <v>68</v>
      </c>
      <c r="H1004" t="s">
        <v>1272</v>
      </c>
      <c r="I1004">
        <v>2</v>
      </c>
      <c r="J1004">
        <f>SUM(K1005)</f>
        <v>1308.5572392700001</v>
      </c>
      <c r="K1004">
        <f>I1004*J1004</f>
        <v>2617.1144785400002</v>
      </c>
      <c r="L1004">
        <f>100*(1-(M1004/K1004))</f>
        <v>40</v>
      </c>
      <c r="M1004">
        <f>I1004*SUM(M1005)</f>
        <v>1570.2686871240001</v>
      </c>
      <c r="N1004" s="90">
        <v>1004</v>
      </c>
      <c r="O1004" s="90" t="s">
        <v>2572</v>
      </c>
      <c r="R1004" s="90" t="s">
        <v>4370</v>
      </c>
      <c r="S1004" s="90" t="s">
        <v>5434</v>
      </c>
      <c r="T1004" s="90" t="s">
        <v>5932</v>
      </c>
      <c r="U1004" s="90" t="s">
        <v>4910</v>
      </c>
    </row>
    <row r="1005" spans="1:21" x14ac:dyDescent="0.25">
      <c r="A1005" s="90" t="s">
        <v>2573</v>
      </c>
      <c r="B1005" s="119">
        <v>5</v>
      </c>
      <c r="C1005" s="90" t="s">
        <v>2571</v>
      </c>
      <c r="D1005" s="90" t="s">
        <v>78</v>
      </c>
      <c r="E1005">
        <v>2002</v>
      </c>
      <c r="F1005">
        <v>2003</v>
      </c>
      <c r="G1005" s="93" t="s">
        <v>78</v>
      </c>
      <c r="H1005" t="s">
        <v>1272</v>
      </c>
      <c r="I1005">
        <v>1</v>
      </c>
      <c r="J1005">
        <v>1308.5572392700001</v>
      </c>
      <c r="K1005">
        <f>I1005*J1005</f>
        <v>1308.5572392700001</v>
      </c>
      <c r="L1005">
        <v>40</v>
      </c>
      <c r="M1005">
        <f>(1-(L1005/100))*K1005</f>
        <v>785.13434356200003</v>
      </c>
      <c r="N1005" s="90">
        <v>1005</v>
      </c>
      <c r="O1005" s="90" t="s">
        <v>2574</v>
      </c>
    </row>
    <row r="1006" spans="1:21" x14ac:dyDescent="0.25">
      <c r="A1006" s="90" t="s">
        <v>2575</v>
      </c>
      <c r="B1006" s="119">
        <v>4</v>
      </c>
      <c r="C1006" s="90" t="s">
        <v>2526</v>
      </c>
      <c r="D1006" s="90" t="s">
        <v>98</v>
      </c>
      <c r="E1006">
        <v>2005</v>
      </c>
      <c r="F1006">
        <v>2008</v>
      </c>
      <c r="G1006" s="93" t="s">
        <v>68</v>
      </c>
      <c r="H1006" t="s">
        <v>1485</v>
      </c>
      <c r="I1006">
        <v>2</v>
      </c>
      <c r="J1006">
        <f>SUM(K1007)</f>
        <v>452</v>
      </c>
      <c r="K1006">
        <f>I1006*J1006</f>
        <v>904</v>
      </c>
      <c r="L1006">
        <f>100*(1-(M1006/K1006))</f>
        <v>40</v>
      </c>
      <c r="M1006">
        <f>I1006*SUM(M1007)</f>
        <v>542.4</v>
      </c>
      <c r="N1006" s="90">
        <v>1006</v>
      </c>
      <c r="O1006" s="90" t="s">
        <v>2576</v>
      </c>
      <c r="R1006" s="90" t="s">
        <v>4371</v>
      </c>
      <c r="S1006" s="90" t="s">
        <v>5435</v>
      </c>
      <c r="T1006" s="90" t="s">
        <v>5933</v>
      </c>
      <c r="U1006" s="90" t="s">
        <v>4911</v>
      </c>
    </row>
    <row r="1007" spans="1:21" x14ac:dyDescent="0.25">
      <c r="A1007" s="90" t="s">
        <v>2577</v>
      </c>
      <c r="B1007" s="119">
        <v>5</v>
      </c>
      <c r="C1007" s="90" t="s">
        <v>2575</v>
      </c>
      <c r="D1007" s="90" t="s">
        <v>78</v>
      </c>
      <c r="E1007">
        <v>2006</v>
      </c>
      <c r="F1007">
        <v>2007</v>
      </c>
      <c r="G1007" s="93" t="s">
        <v>78</v>
      </c>
      <c r="H1007" t="s">
        <v>1488</v>
      </c>
      <c r="I1007">
        <v>1</v>
      </c>
      <c r="J1007">
        <v>452</v>
      </c>
      <c r="K1007">
        <f>I1007*J1007</f>
        <v>452</v>
      </c>
      <c r="L1007">
        <v>40</v>
      </c>
      <c r="M1007">
        <f>(1-(L1007/100))*K1007</f>
        <v>271.2</v>
      </c>
      <c r="N1007" s="90">
        <v>1007</v>
      </c>
      <c r="O1007" s="90" t="s">
        <v>2578</v>
      </c>
    </row>
    <row r="1008" spans="1:21" x14ac:dyDescent="0.25">
      <c r="A1008" s="90" t="s">
        <v>2579</v>
      </c>
      <c r="B1008" s="119">
        <v>4</v>
      </c>
      <c r="C1008" s="90" t="s">
        <v>2526</v>
      </c>
      <c r="D1008" s="90" t="s">
        <v>99</v>
      </c>
      <c r="E1008">
        <v>2009</v>
      </c>
      <c r="F1008">
        <v>2012</v>
      </c>
      <c r="G1008" s="93" t="s">
        <v>68</v>
      </c>
      <c r="H1008" t="s">
        <v>145</v>
      </c>
      <c r="I1008">
        <v>4</v>
      </c>
      <c r="J1008">
        <f>SUM(K1009)</f>
        <v>28.6</v>
      </c>
      <c r="K1008">
        <f>I1008*J1008</f>
        <v>114.4</v>
      </c>
      <c r="L1008">
        <f>100*(1-(M1008/K1008))</f>
        <v>40</v>
      </c>
      <c r="M1008">
        <f>I1008*SUM(M1009)</f>
        <v>68.64</v>
      </c>
      <c r="N1008" s="90">
        <v>1008</v>
      </c>
      <c r="O1008" s="90" t="s">
        <v>2580</v>
      </c>
      <c r="R1008" s="90" t="s">
        <v>4372</v>
      </c>
      <c r="S1008" s="90" t="s">
        <v>5436</v>
      </c>
      <c r="T1008" s="90" t="s">
        <v>5934</v>
      </c>
      <c r="U1008" s="90" t="s">
        <v>4912</v>
      </c>
    </row>
    <row r="1009" spans="1:21" x14ac:dyDescent="0.25">
      <c r="A1009" s="90" t="s">
        <v>2581</v>
      </c>
      <c r="B1009" s="119">
        <v>5</v>
      </c>
      <c r="C1009" s="90" t="s">
        <v>2579</v>
      </c>
      <c r="D1009" s="90" t="s">
        <v>78</v>
      </c>
      <c r="E1009">
        <v>2010</v>
      </c>
      <c r="F1009">
        <v>2011</v>
      </c>
      <c r="G1009" s="93" t="s">
        <v>78</v>
      </c>
      <c r="H1009" t="s">
        <v>145</v>
      </c>
      <c r="I1009">
        <v>1</v>
      </c>
      <c r="J1009">
        <v>28.6</v>
      </c>
      <c r="K1009">
        <f>I1009*J1009</f>
        <v>28.6</v>
      </c>
      <c r="L1009">
        <v>40</v>
      </c>
      <c r="M1009">
        <f>(1-(L1009/100))*K1009</f>
        <v>17.16</v>
      </c>
      <c r="N1009" s="90">
        <v>1009</v>
      </c>
      <c r="O1009" s="90" t="s">
        <v>2582</v>
      </c>
    </row>
    <row r="1010" spans="1:21" x14ac:dyDescent="0.25">
      <c r="A1010" s="90" t="s">
        <v>2583</v>
      </c>
      <c r="B1010" s="119">
        <v>4</v>
      </c>
      <c r="C1010" s="90" t="s">
        <v>2526</v>
      </c>
      <c r="D1010" s="90" t="s">
        <v>100</v>
      </c>
      <c r="E1010">
        <v>2013</v>
      </c>
      <c r="F1010">
        <v>2016</v>
      </c>
      <c r="G1010" s="93" t="s">
        <v>68</v>
      </c>
      <c r="H1010" t="s">
        <v>2584</v>
      </c>
      <c r="I1010">
        <v>1</v>
      </c>
      <c r="J1010">
        <f>SUM(K1011)</f>
        <v>1107.3</v>
      </c>
      <c r="K1010">
        <f>I1010*J1010</f>
        <v>1107.3</v>
      </c>
      <c r="L1010">
        <f>100*(1-(M1010/K1010))</f>
        <v>40</v>
      </c>
      <c r="M1010">
        <f>I1010*SUM(M1011)</f>
        <v>664.38</v>
      </c>
      <c r="N1010" s="90">
        <v>1010</v>
      </c>
      <c r="O1010" s="90" t="s">
        <v>2585</v>
      </c>
      <c r="R1010" s="90" t="s">
        <v>4373</v>
      </c>
      <c r="S1010" s="90" t="s">
        <v>5437</v>
      </c>
      <c r="T1010" s="90" t="s">
        <v>5935</v>
      </c>
      <c r="U1010" s="90" t="s">
        <v>4913</v>
      </c>
    </row>
    <row r="1011" spans="1:21" x14ac:dyDescent="0.25">
      <c r="A1011" s="90" t="s">
        <v>2586</v>
      </c>
      <c r="B1011" s="119">
        <v>5</v>
      </c>
      <c r="C1011" s="90" t="s">
        <v>2583</v>
      </c>
      <c r="D1011" s="90" t="s">
        <v>78</v>
      </c>
      <c r="E1011">
        <v>2014</v>
      </c>
      <c r="F1011">
        <v>2015</v>
      </c>
      <c r="G1011" s="93" t="s">
        <v>78</v>
      </c>
      <c r="H1011" t="s">
        <v>2584</v>
      </c>
      <c r="I1011">
        <v>1</v>
      </c>
      <c r="J1011">
        <v>1107.3</v>
      </c>
      <c r="K1011">
        <f>I1011*J1011</f>
        <v>1107.3</v>
      </c>
      <c r="L1011">
        <v>40</v>
      </c>
      <c r="M1011">
        <f>(1-(L1011/100))*K1011</f>
        <v>664.38</v>
      </c>
      <c r="N1011" s="90">
        <v>1011</v>
      </c>
      <c r="O1011" s="90" t="s">
        <v>2587</v>
      </c>
    </row>
    <row r="1012" spans="1:21" x14ac:dyDescent="0.25">
      <c r="A1012" s="90" t="s">
        <v>2588</v>
      </c>
      <c r="B1012" s="119">
        <v>4</v>
      </c>
      <c r="C1012" s="90" t="s">
        <v>2526</v>
      </c>
      <c r="D1012" s="90" t="s">
        <v>81</v>
      </c>
      <c r="E1012">
        <v>2017</v>
      </c>
      <c r="F1012">
        <v>2020</v>
      </c>
      <c r="G1012" s="93" t="s">
        <v>68</v>
      </c>
      <c r="H1012" t="s">
        <v>1495</v>
      </c>
      <c r="I1012">
        <v>1</v>
      </c>
      <c r="J1012">
        <f>SUM(K1013)</f>
        <v>2358.3343945000001</v>
      </c>
      <c r="K1012">
        <f>I1012*J1012</f>
        <v>2358.3343945000001</v>
      </c>
      <c r="L1012">
        <f>100*(1-(M1012/K1012))</f>
        <v>40</v>
      </c>
      <c r="M1012">
        <f>I1012*SUM(M1013)</f>
        <v>1415.0006367000001</v>
      </c>
      <c r="N1012" s="90">
        <v>1012</v>
      </c>
      <c r="O1012" s="90" t="s">
        <v>2589</v>
      </c>
      <c r="R1012" s="90" t="s">
        <v>4374</v>
      </c>
      <c r="S1012" s="90" t="s">
        <v>5438</v>
      </c>
      <c r="T1012" s="90" t="s">
        <v>5936</v>
      </c>
      <c r="U1012" s="90" t="s">
        <v>4914</v>
      </c>
    </row>
    <row r="1013" spans="1:21" x14ac:dyDescent="0.25">
      <c r="A1013" s="90" t="s">
        <v>2590</v>
      </c>
      <c r="B1013" s="119">
        <v>5</v>
      </c>
      <c r="C1013" s="90" t="s">
        <v>2588</v>
      </c>
      <c r="D1013" s="90" t="s">
        <v>78</v>
      </c>
      <c r="E1013">
        <v>2018</v>
      </c>
      <c r="F1013">
        <v>2019</v>
      </c>
      <c r="G1013" s="93" t="s">
        <v>78</v>
      </c>
      <c r="H1013" t="s">
        <v>1495</v>
      </c>
      <c r="I1013">
        <v>1</v>
      </c>
      <c r="J1013">
        <v>2358.3343945000001</v>
      </c>
      <c r="K1013">
        <f>I1013*J1013</f>
        <v>2358.3343945000001</v>
      </c>
      <c r="L1013">
        <v>40</v>
      </c>
      <c r="M1013">
        <f>(1-(L1013/100))*K1013</f>
        <v>1415.0006367000001</v>
      </c>
      <c r="N1013" s="90">
        <v>1013</v>
      </c>
      <c r="O1013" s="90" t="s">
        <v>2591</v>
      </c>
    </row>
    <row r="1014" spans="1:21" x14ac:dyDescent="0.25">
      <c r="A1014" s="90" t="s">
        <v>2592</v>
      </c>
      <c r="B1014" s="119">
        <v>4</v>
      </c>
      <c r="C1014" s="90" t="s">
        <v>2526</v>
      </c>
      <c r="D1014" s="90" t="s">
        <v>83</v>
      </c>
      <c r="E1014">
        <v>2021</v>
      </c>
      <c r="F1014">
        <v>2024</v>
      </c>
      <c r="G1014" s="93" t="s">
        <v>68</v>
      </c>
      <c r="H1014" t="s">
        <v>143</v>
      </c>
      <c r="I1014">
        <v>2</v>
      </c>
      <c r="J1014">
        <f>SUM(K1015)</f>
        <v>27.17</v>
      </c>
      <c r="K1014">
        <f>I1014*J1014</f>
        <v>54.34</v>
      </c>
      <c r="L1014">
        <f>100*(1-(M1014/K1014))</f>
        <v>40</v>
      </c>
      <c r="M1014">
        <f>I1014*SUM(M1015)</f>
        <v>32.603999999999999</v>
      </c>
      <c r="N1014" s="90">
        <v>1014</v>
      </c>
      <c r="O1014" s="90" t="s">
        <v>2593</v>
      </c>
      <c r="R1014" s="90" t="s">
        <v>4375</v>
      </c>
      <c r="S1014" s="90" t="s">
        <v>5439</v>
      </c>
      <c r="T1014" s="90" t="s">
        <v>5937</v>
      </c>
      <c r="U1014" s="90" t="s">
        <v>4915</v>
      </c>
    </row>
    <row r="1015" spans="1:21" x14ac:dyDescent="0.25">
      <c r="A1015" s="90" t="s">
        <v>2594</v>
      </c>
      <c r="B1015" s="119">
        <v>5</v>
      </c>
      <c r="C1015" s="90" t="s">
        <v>2592</v>
      </c>
      <c r="D1015" s="90" t="s">
        <v>78</v>
      </c>
      <c r="E1015">
        <v>2022</v>
      </c>
      <c r="F1015">
        <v>2023</v>
      </c>
      <c r="G1015" s="93" t="s">
        <v>78</v>
      </c>
      <c r="H1015" t="s">
        <v>143</v>
      </c>
      <c r="I1015">
        <v>1</v>
      </c>
      <c r="J1015">
        <v>27.17</v>
      </c>
      <c r="K1015">
        <f>I1015*J1015</f>
        <v>27.17</v>
      </c>
      <c r="L1015">
        <v>40</v>
      </c>
      <c r="M1015">
        <f>(1-(L1015/100))*K1015</f>
        <v>16.302</v>
      </c>
      <c r="N1015" s="90">
        <v>1015</v>
      </c>
      <c r="O1015" s="90" t="s">
        <v>2595</v>
      </c>
    </row>
    <row r="1016" spans="1:21" x14ac:dyDescent="0.25">
      <c r="A1016" s="90" t="s">
        <v>2596</v>
      </c>
      <c r="B1016" s="119">
        <v>4</v>
      </c>
      <c r="C1016" s="90" t="s">
        <v>2526</v>
      </c>
      <c r="D1016" s="90" t="s">
        <v>84</v>
      </c>
      <c r="E1016">
        <v>2025</v>
      </c>
      <c r="F1016">
        <v>2028</v>
      </c>
      <c r="G1016" s="93" t="s">
        <v>68</v>
      </c>
      <c r="H1016" t="s">
        <v>1504</v>
      </c>
      <c r="I1016">
        <v>1</v>
      </c>
      <c r="J1016">
        <f>SUM(K1017)</f>
        <v>184.52</v>
      </c>
      <c r="K1016">
        <f>I1016*J1016</f>
        <v>184.52</v>
      </c>
      <c r="L1016">
        <f>100*(1-(M1016/K1016))</f>
        <v>40</v>
      </c>
      <c r="M1016">
        <f>I1016*SUM(M1017)</f>
        <v>110.712</v>
      </c>
      <c r="N1016" s="90">
        <v>1016</v>
      </c>
      <c r="O1016" s="90" t="s">
        <v>2597</v>
      </c>
      <c r="R1016" s="90" t="s">
        <v>4376</v>
      </c>
      <c r="S1016" s="90" t="s">
        <v>5440</v>
      </c>
      <c r="T1016" s="90" t="s">
        <v>5938</v>
      </c>
      <c r="U1016" s="90" t="s">
        <v>4916</v>
      </c>
    </row>
    <row r="1017" spans="1:21" x14ac:dyDescent="0.25">
      <c r="A1017" s="90" t="s">
        <v>2598</v>
      </c>
      <c r="B1017" s="119">
        <v>5</v>
      </c>
      <c r="C1017" s="90" t="s">
        <v>2596</v>
      </c>
      <c r="D1017" s="90" t="s">
        <v>78</v>
      </c>
      <c r="E1017">
        <v>2026</v>
      </c>
      <c r="F1017">
        <v>2027</v>
      </c>
      <c r="G1017" s="93" t="s">
        <v>78</v>
      </c>
      <c r="H1017" t="s">
        <v>1504</v>
      </c>
      <c r="I1017">
        <v>1</v>
      </c>
      <c r="J1017">
        <v>184.52</v>
      </c>
      <c r="K1017">
        <f>I1017*J1017</f>
        <v>184.52</v>
      </c>
      <c r="L1017">
        <v>40</v>
      </c>
      <c r="M1017">
        <f>(1-(L1017/100))*K1017</f>
        <v>110.712</v>
      </c>
      <c r="N1017" s="90">
        <v>1017</v>
      </c>
      <c r="O1017" s="90" t="s">
        <v>2599</v>
      </c>
    </row>
    <row r="1018" spans="1:21" x14ac:dyDescent="0.25">
      <c r="A1018" s="90" t="s">
        <v>2600</v>
      </c>
      <c r="B1018" s="119">
        <v>4</v>
      </c>
      <c r="C1018" s="90" t="s">
        <v>2526</v>
      </c>
      <c r="D1018" s="90" t="s">
        <v>85</v>
      </c>
      <c r="E1018">
        <v>2029</v>
      </c>
      <c r="F1018">
        <v>2036</v>
      </c>
      <c r="G1018" s="93" t="s">
        <v>68</v>
      </c>
      <c r="H1018" t="s">
        <v>1285</v>
      </c>
      <c r="I1018">
        <v>2</v>
      </c>
      <c r="J1018">
        <f>SUM(K1019)</f>
        <v>69.83</v>
      </c>
      <c r="K1018">
        <f>I1018*J1018</f>
        <v>139.66</v>
      </c>
      <c r="L1018">
        <f>100*(1-(M1018/K1018))</f>
        <v>39.999999999999993</v>
      </c>
      <c r="M1018">
        <f>I1018*SUM(M1019)</f>
        <v>83.796000000000006</v>
      </c>
      <c r="N1018" s="90">
        <v>1018</v>
      </c>
      <c r="O1018" s="90" t="s">
        <v>2601</v>
      </c>
      <c r="R1018" s="90" t="s">
        <v>6360</v>
      </c>
      <c r="S1018" s="90" t="s">
        <v>6663</v>
      </c>
      <c r="T1018" s="90" t="s">
        <v>6808</v>
      </c>
      <c r="U1018" s="90" t="s">
        <v>6512</v>
      </c>
    </row>
    <row r="1019" spans="1:21" x14ac:dyDescent="0.25">
      <c r="A1019" s="90" t="s">
        <v>2602</v>
      </c>
      <c r="B1019" s="119">
        <v>5</v>
      </c>
      <c r="C1019" s="90" t="s">
        <v>2600</v>
      </c>
      <c r="D1019" s="90" t="s">
        <v>78</v>
      </c>
      <c r="E1019">
        <v>2030</v>
      </c>
      <c r="F1019">
        <v>2035</v>
      </c>
      <c r="G1019" s="93" t="s">
        <v>68</v>
      </c>
      <c r="H1019" t="s">
        <v>147</v>
      </c>
      <c r="I1019">
        <v>1</v>
      </c>
      <c r="J1019">
        <f>SUM(K1020,K1021)</f>
        <v>69.83</v>
      </c>
      <c r="K1019">
        <f>I1019*J1019</f>
        <v>69.83</v>
      </c>
      <c r="L1019">
        <f>100*(1-(M1019/K1019))</f>
        <v>39.999999999999993</v>
      </c>
      <c r="M1019">
        <f>I1019*SUM(M1020,M1021)</f>
        <v>41.898000000000003</v>
      </c>
      <c r="N1019" s="90">
        <v>1019</v>
      </c>
      <c r="O1019" s="90" t="s">
        <v>2603</v>
      </c>
      <c r="R1019" s="90" t="s">
        <v>4377</v>
      </c>
      <c r="S1019" s="90" t="s">
        <v>5441</v>
      </c>
      <c r="T1019" s="90" t="s">
        <v>5939</v>
      </c>
      <c r="U1019" s="90" t="s">
        <v>4917</v>
      </c>
    </row>
    <row r="1020" spans="1:21" x14ac:dyDescent="0.25">
      <c r="A1020" s="90" t="s">
        <v>2604</v>
      </c>
      <c r="B1020" s="119">
        <v>6</v>
      </c>
      <c r="C1020" s="90" t="s">
        <v>2602</v>
      </c>
      <c r="D1020" s="90" t="s">
        <v>78</v>
      </c>
      <c r="E1020">
        <v>2031</v>
      </c>
      <c r="F1020">
        <v>2032</v>
      </c>
      <c r="G1020" s="93" t="s">
        <v>78</v>
      </c>
      <c r="H1020" t="s">
        <v>149</v>
      </c>
      <c r="I1020">
        <v>1</v>
      </c>
      <c r="J1020">
        <v>15.02</v>
      </c>
      <c r="K1020">
        <f>I1020*J1020</f>
        <v>15.02</v>
      </c>
      <c r="L1020">
        <v>40</v>
      </c>
      <c r="M1020">
        <f>(1-(L1020/100))*K1020</f>
        <v>9.0119999999999987</v>
      </c>
      <c r="N1020" s="90">
        <v>1020</v>
      </c>
      <c r="O1020" s="90" t="s">
        <v>2605</v>
      </c>
    </row>
    <row r="1021" spans="1:21" x14ac:dyDescent="0.25">
      <c r="A1021" s="90" t="s">
        <v>2606</v>
      </c>
      <c r="B1021" s="119">
        <v>6</v>
      </c>
      <c r="C1021" s="90" t="s">
        <v>2602</v>
      </c>
      <c r="D1021" s="90" t="s">
        <v>79</v>
      </c>
      <c r="E1021">
        <v>2033</v>
      </c>
      <c r="F1021">
        <v>2034</v>
      </c>
      <c r="G1021" s="93" t="s">
        <v>78</v>
      </c>
      <c r="H1021" t="s">
        <v>152</v>
      </c>
      <c r="I1021">
        <v>1</v>
      </c>
      <c r="J1021">
        <v>54.81</v>
      </c>
      <c r="K1021">
        <f>I1021*J1021</f>
        <v>54.81</v>
      </c>
      <c r="L1021">
        <v>40</v>
      </c>
      <c r="M1021">
        <f>(1-(L1021/100))*K1021</f>
        <v>32.886000000000003</v>
      </c>
      <c r="N1021" s="90">
        <v>1021</v>
      </c>
      <c r="O1021" s="90" t="s">
        <v>2607</v>
      </c>
    </row>
    <row r="1022" spans="1:21" x14ac:dyDescent="0.25">
      <c r="A1022" s="90" t="s">
        <v>2608</v>
      </c>
      <c r="B1022" s="119">
        <v>3</v>
      </c>
      <c r="C1022" s="90" t="s">
        <v>2523</v>
      </c>
      <c r="D1022" s="90" t="s">
        <v>79</v>
      </c>
      <c r="E1022">
        <v>2038</v>
      </c>
      <c r="F1022">
        <v>2059</v>
      </c>
      <c r="G1022" s="93" t="s">
        <v>68</v>
      </c>
      <c r="H1022" t="s">
        <v>2609</v>
      </c>
      <c r="I1022">
        <v>1</v>
      </c>
      <c r="J1022">
        <f>SUM(K1023)</f>
        <v>8864.2969081800002</v>
      </c>
      <c r="K1022">
        <f>I1022*J1022</f>
        <v>8864.2969081800002</v>
      </c>
      <c r="L1022">
        <f>100*(1-(M1022/K1022))</f>
        <v>39.999999999999993</v>
      </c>
      <c r="M1022">
        <f>I1022*SUM(M1023)</f>
        <v>5318.5781449080005</v>
      </c>
      <c r="N1022" s="90">
        <v>1022</v>
      </c>
      <c r="O1022" s="90" t="s">
        <v>2610</v>
      </c>
      <c r="R1022" s="90" t="s">
        <v>6932</v>
      </c>
      <c r="S1022" s="90" t="s">
        <v>7029</v>
      </c>
      <c r="T1022" s="90" t="s">
        <v>7075</v>
      </c>
      <c r="U1022" s="90" t="s">
        <v>6981</v>
      </c>
    </row>
    <row r="1023" spans="1:21" x14ac:dyDescent="0.25">
      <c r="A1023" s="90" t="s">
        <v>2611</v>
      </c>
      <c r="B1023" s="119">
        <v>4</v>
      </c>
      <c r="C1023" s="90" t="s">
        <v>2608</v>
      </c>
      <c r="D1023" s="90" t="s">
        <v>78</v>
      </c>
      <c r="E1023">
        <v>2039</v>
      </c>
      <c r="F1023">
        <v>2058</v>
      </c>
      <c r="G1023" s="93" t="s">
        <v>68</v>
      </c>
      <c r="H1023" t="s">
        <v>1394</v>
      </c>
      <c r="I1023">
        <v>1</v>
      </c>
      <c r="J1023">
        <f>SUM(K1024,K1029)</f>
        <v>8864.2969081800002</v>
      </c>
      <c r="K1023">
        <f>I1023*J1023</f>
        <v>8864.2969081800002</v>
      </c>
      <c r="L1023">
        <f>100*(1-(M1023/K1023))</f>
        <v>39.999999999999993</v>
      </c>
      <c r="M1023">
        <f>I1023*SUM(M1024,M1029)</f>
        <v>5318.5781449080005</v>
      </c>
      <c r="N1023" s="90">
        <v>1023</v>
      </c>
      <c r="O1023" s="90" t="s">
        <v>2612</v>
      </c>
      <c r="R1023" s="90" t="s">
        <v>6361</v>
      </c>
      <c r="S1023" s="90" t="s">
        <v>6664</v>
      </c>
      <c r="T1023" s="90" t="s">
        <v>6809</v>
      </c>
      <c r="U1023" s="90" t="s">
        <v>6513</v>
      </c>
    </row>
    <row r="1024" spans="1:21" x14ac:dyDescent="0.25">
      <c r="A1024" s="90" t="s">
        <v>2613</v>
      </c>
      <c r="B1024" s="119">
        <v>5</v>
      </c>
      <c r="C1024" s="90" t="s">
        <v>2611</v>
      </c>
      <c r="D1024" s="90" t="s">
        <v>78</v>
      </c>
      <c r="E1024">
        <v>2040</v>
      </c>
      <c r="F1024">
        <v>2049</v>
      </c>
      <c r="G1024" s="93" t="s">
        <v>68</v>
      </c>
      <c r="H1024" t="s">
        <v>1397</v>
      </c>
      <c r="I1024">
        <v>1</v>
      </c>
      <c r="J1024">
        <f>SUM(K1025,K1026,K1027,K1028)</f>
        <v>8719.9796256099999</v>
      </c>
      <c r="K1024">
        <f>I1024*J1024</f>
        <v>8719.9796256099999</v>
      </c>
      <c r="L1024">
        <f>100*(1-(M1024/K1024))</f>
        <v>39.999999999999993</v>
      </c>
      <c r="M1024">
        <f>I1024*SUM(M1025,M1026,M1027,M1028)</f>
        <v>5231.9877753660003</v>
      </c>
      <c r="N1024" s="90">
        <v>1024</v>
      </c>
      <c r="O1024" s="90" t="s">
        <v>2614</v>
      </c>
      <c r="R1024" s="90" t="s">
        <v>4386</v>
      </c>
      <c r="S1024" s="90" t="s">
        <v>5450</v>
      </c>
      <c r="T1024" s="90" t="s">
        <v>5948</v>
      </c>
      <c r="U1024" s="90" t="s">
        <v>4926</v>
      </c>
    </row>
    <row r="1025" spans="1:21" x14ac:dyDescent="0.25">
      <c r="A1025" s="90" t="s">
        <v>2615</v>
      </c>
      <c r="B1025" s="119">
        <v>6</v>
      </c>
      <c r="C1025" s="90" t="s">
        <v>2613</v>
      </c>
      <c r="D1025" s="90" t="s">
        <v>78</v>
      </c>
      <c r="E1025">
        <v>2041</v>
      </c>
      <c r="F1025">
        <v>2042</v>
      </c>
      <c r="G1025" s="93" t="s">
        <v>78</v>
      </c>
      <c r="H1025" t="s">
        <v>120</v>
      </c>
      <c r="I1025">
        <v>1</v>
      </c>
      <c r="J1025">
        <v>967.93582071000003</v>
      </c>
      <c r="K1025">
        <f>I1025*J1025</f>
        <v>967.93582071000003</v>
      </c>
      <c r="L1025">
        <v>40</v>
      </c>
      <c r="M1025">
        <f>(1-(L1025/100))*K1025</f>
        <v>580.76149242600002</v>
      </c>
      <c r="N1025" s="90">
        <v>1025</v>
      </c>
      <c r="O1025" s="90" t="s">
        <v>2616</v>
      </c>
    </row>
    <row r="1026" spans="1:21" x14ac:dyDescent="0.25">
      <c r="A1026" s="90" t="s">
        <v>2617</v>
      </c>
      <c r="B1026" s="119">
        <v>6</v>
      </c>
      <c r="C1026" s="90" t="s">
        <v>2613</v>
      </c>
      <c r="D1026" s="90" t="s">
        <v>79</v>
      </c>
      <c r="E1026">
        <v>2043</v>
      </c>
      <c r="F1026">
        <v>2044</v>
      </c>
      <c r="G1026" s="93" t="s">
        <v>78</v>
      </c>
      <c r="H1026" t="s">
        <v>125</v>
      </c>
      <c r="I1026">
        <v>1</v>
      </c>
      <c r="J1026">
        <v>967.93582071000003</v>
      </c>
      <c r="K1026">
        <f>I1026*J1026</f>
        <v>967.93582071000003</v>
      </c>
      <c r="L1026">
        <v>40</v>
      </c>
      <c r="M1026">
        <f>(1-(L1026/100))*K1026</f>
        <v>580.76149242600002</v>
      </c>
      <c r="N1026" s="90">
        <v>1026</v>
      </c>
      <c r="O1026" s="90" t="s">
        <v>2618</v>
      </c>
    </row>
    <row r="1027" spans="1:21" x14ac:dyDescent="0.25">
      <c r="A1027" s="90" t="s">
        <v>2619</v>
      </c>
      <c r="B1027" s="119">
        <v>6</v>
      </c>
      <c r="C1027" s="90" t="s">
        <v>2613</v>
      </c>
      <c r="D1027" s="90" t="s">
        <v>80</v>
      </c>
      <c r="E1027">
        <v>2045</v>
      </c>
      <c r="F1027">
        <v>2046</v>
      </c>
      <c r="G1027" s="93" t="s">
        <v>78</v>
      </c>
      <c r="H1027" t="s">
        <v>191</v>
      </c>
      <c r="I1027">
        <v>3</v>
      </c>
      <c r="J1027">
        <v>862.86769387000004</v>
      </c>
      <c r="K1027">
        <f>I1027*J1027</f>
        <v>2588.6030816100001</v>
      </c>
      <c r="L1027">
        <v>40</v>
      </c>
      <c r="M1027">
        <f>(1-(L1027/100))*K1027</f>
        <v>1553.161848966</v>
      </c>
      <c r="N1027" s="90">
        <v>1027</v>
      </c>
      <c r="O1027" s="90" t="s">
        <v>2620</v>
      </c>
    </row>
    <row r="1028" spans="1:21" x14ac:dyDescent="0.25">
      <c r="A1028" s="90" t="s">
        <v>2621</v>
      </c>
      <c r="B1028" s="119">
        <v>6</v>
      </c>
      <c r="C1028" s="90" t="s">
        <v>2613</v>
      </c>
      <c r="D1028" s="90" t="s">
        <v>95</v>
      </c>
      <c r="E1028">
        <v>2047</v>
      </c>
      <c r="F1028">
        <v>2048</v>
      </c>
      <c r="G1028" s="93" t="s">
        <v>78</v>
      </c>
      <c r="H1028" t="s">
        <v>299</v>
      </c>
      <c r="I1028">
        <v>1</v>
      </c>
      <c r="J1028">
        <v>4195.5049025799999</v>
      </c>
      <c r="K1028">
        <f>I1028*J1028</f>
        <v>4195.5049025799999</v>
      </c>
      <c r="L1028">
        <v>40</v>
      </c>
      <c r="M1028">
        <f>(1-(L1028/100))*K1028</f>
        <v>2517.302941548</v>
      </c>
      <c r="N1028" s="90">
        <v>1028</v>
      </c>
      <c r="O1028" s="90" t="s">
        <v>2622</v>
      </c>
    </row>
    <row r="1029" spans="1:21" x14ac:dyDescent="0.25">
      <c r="A1029" s="90" t="s">
        <v>2623</v>
      </c>
      <c r="B1029" s="119">
        <v>5</v>
      </c>
      <c r="C1029" s="90" t="s">
        <v>2611</v>
      </c>
      <c r="D1029" s="90" t="s">
        <v>79</v>
      </c>
      <c r="E1029">
        <v>2050</v>
      </c>
      <c r="F1029">
        <v>2057</v>
      </c>
      <c r="G1029" s="93" t="s">
        <v>68</v>
      </c>
      <c r="H1029" t="s">
        <v>142</v>
      </c>
      <c r="I1029">
        <v>1</v>
      </c>
      <c r="J1029">
        <f>SUM(K1030,K1031,K1032)</f>
        <v>144.31728257</v>
      </c>
      <c r="K1029">
        <f>I1029*J1029</f>
        <v>144.31728257</v>
      </c>
      <c r="L1029">
        <f>100*(1-(M1029/K1029))</f>
        <v>40.000000000000014</v>
      </c>
      <c r="M1029">
        <f>I1029*SUM(M1030,M1031,M1032)</f>
        <v>86.590369541999991</v>
      </c>
      <c r="N1029" s="90">
        <v>1029</v>
      </c>
      <c r="O1029" s="90" t="s">
        <v>2624</v>
      </c>
      <c r="R1029" s="90" t="s">
        <v>4387</v>
      </c>
      <c r="S1029" s="90" t="s">
        <v>5451</v>
      </c>
      <c r="T1029" s="90" t="s">
        <v>5949</v>
      </c>
      <c r="U1029" s="90" t="s">
        <v>4927</v>
      </c>
    </row>
    <row r="1030" spans="1:21" x14ac:dyDescent="0.25">
      <c r="A1030" s="90" t="s">
        <v>2625</v>
      </c>
      <c r="B1030" s="119">
        <v>6</v>
      </c>
      <c r="C1030" s="90" t="s">
        <v>2623</v>
      </c>
      <c r="D1030" s="90" t="s">
        <v>78</v>
      </c>
      <c r="E1030">
        <v>2051</v>
      </c>
      <c r="F1030">
        <v>2052</v>
      </c>
      <c r="G1030" s="93" t="s">
        <v>78</v>
      </c>
      <c r="H1030" t="s">
        <v>144</v>
      </c>
      <c r="I1030">
        <v>1</v>
      </c>
      <c r="J1030">
        <v>32.777282569999997</v>
      </c>
      <c r="K1030">
        <f>I1030*J1030</f>
        <v>32.777282569999997</v>
      </c>
      <c r="L1030">
        <v>40</v>
      </c>
      <c r="M1030">
        <f>(1-(L1030/100))*K1030</f>
        <v>19.666369541999998</v>
      </c>
      <c r="N1030" s="90">
        <v>1030</v>
      </c>
      <c r="O1030" s="90" t="s">
        <v>2626</v>
      </c>
    </row>
    <row r="1031" spans="1:21" x14ac:dyDescent="0.25">
      <c r="A1031" s="90" t="s">
        <v>2627</v>
      </c>
      <c r="B1031" s="119">
        <v>6</v>
      </c>
      <c r="C1031" s="90" t="s">
        <v>2623</v>
      </c>
      <c r="D1031" s="90" t="s">
        <v>79</v>
      </c>
      <c r="E1031">
        <v>2053</v>
      </c>
      <c r="F1031">
        <v>2054</v>
      </c>
      <c r="G1031" s="93" t="s">
        <v>78</v>
      </c>
      <c r="H1031" t="s">
        <v>145</v>
      </c>
      <c r="I1031">
        <v>2</v>
      </c>
      <c r="J1031">
        <v>28.6</v>
      </c>
      <c r="K1031">
        <f>I1031*J1031</f>
        <v>57.2</v>
      </c>
      <c r="L1031">
        <v>40</v>
      </c>
      <c r="M1031">
        <f>(1-(L1031/100))*K1031</f>
        <v>34.32</v>
      </c>
      <c r="N1031" s="90">
        <v>1031</v>
      </c>
      <c r="O1031" s="90" t="s">
        <v>2628</v>
      </c>
    </row>
    <row r="1032" spans="1:21" x14ac:dyDescent="0.25">
      <c r="A1032" s="90" t="s">
        <v>2629</v>
      </c>
      <c r="B1032" s="119">
        <v>6</v>
      </c>
      <c r="C1032" s="90" t="s">
        <v>2623</v>
      </c>
      <c r="D1032" s="90" t="s">
        <v>80</v>
      </c>
      <c r="E1032">
        <v>2055</v>
      </c>
      <c r="F1032">
        <v>2056</v>
      </c>
      <c r="G1032" s="93" t="s">
        <v>78</v>
      </c>
      <c r="H1032" t="s">
        <v>143</v>
      </c>
      <c r="I1032">
        <v>2</v>
      </c>
      <c r="J1032">
        <v>27.17</v>
      </c>
      <c r="K1032">
        <f>I1032*J1032</f>
        <v>54.34</v>
      </c>
      <c r="L1032">
        <v>40</v>
      </c>
      <c r="M1032">
        <f>(1-(L1032/100))*K1032</f>
        <v>32.603999999999999</v>
      </c>
      <c r="N1032" s="90">
        <v>1032</v>
      </c>
      <c r="O1032" s="90" t="s">
        <v>2630</v>
      </c>
    </row>
    <row r="1033" spans="1:21" x14ac:dyDescent="0.25">
      <c r="A1033" s="90" t="s">
        <v>2631</v>
      </c>
      <c r="B1033" s="119">
        <v>3</v>
      </c>
      <c r="C1033" s="90" t="s">
        <v>2523</v>
      </c>
      <c r="D1033" s="90" t="s">
        <v>80</v>
      </c>
      <c r="E1033">
        <v>2060</v>
      </c>
      <c r="F1033">
        <v>2083</v>
      </c>
      <c r="G1033" s="93" t="s">
        <v>68</v>
      </c>
      <c r="H1033" t="s">
        <v>2632</v>
      </c>
      <c r="I1033">
        <v>1</v>
      </c>
      <c r="J1033">
        <f>SUM(K1034,K1037,K1039,K1041,K1043)</f>
        <v>13011.371921559999</v>
      </c>
      <c r="K1033">
        <f>I1033*J1033</f>
        <v>13011.371921559999</v>
      </c>
      <c r="L1033">
        <f>100*(1-(M1033/K1033))</f>
        <v>88</v>
      </c>
      <c r="M1033">
        <f>I1033*SUM(M1034,M1037,M1039,M1041,M1043)</f>
        <v>1561.3646305871998</v>
      </c>
      <c r="N1033" s="90">
        <v>1033</v>
      </c>
      <c r="O1033" s="90" t="s">
        <v>2633</v>
      </c>
      <c r="R1033" s="90" t="s">
        <v>6362</v>
      </c>
      <c r="S1033" s="90" t="s">
        <v>6665</v>
      </c>
      <c r="T1033" s="90" t="s">
        <v>6810</v>
      </c>
      <c r="U1033" s="90" t="s">
        <v>6514</v>
      </c>
    </row>
    <row r="1034" spans="1:21" x14ac:dyDescent="0.25">
      <c r="A1034" s="90" t="s">
        <v>2634</v>
      </c>
      <c r="B1034" s="119">
        <v>4</v>
      </c>
      <c r="C1034" s="90" t="s">
        <v>2631</v>
      </c>
      <c r="D1034" s="90" t="s">
        <v>78</v>
      </c>
      <c r="E1034">
        <v>2061</v>
      </c>
      <c r="F1034">
        <v>2066</v>
      </c>
      <c r="G1034" s="93" t="s">
        <v>68</v>
      </c>
      <c r="H1034" t="s">
        <v>364</v>
      </c>
      <c r="I1034">
        <v>1</v>
      </c>
      <c r="J1034">
        <f>SUM(K1035,K1036)</f>
        <v>2292.1176620400001</v>
      </c>
      <c r="K1034">
        <f>I1034*J1034</f>
        <v>2292.1176620400001</v>
      </c>
      <c r="L1034">
        <f>100*(1-(M1034/K1034))</f>
        <v>88</v>
      </c>
      <c r="M1034">
        <f>I1034*SUM(M1035,M1036)</f>
        <v>275.05411944479999</v>
      </c>
      <c r="N1034" s="90">
        <v>1034</v>
      </c>
      <c r="O1034" s="90" t="s">
        <v>2635</v>
      </c>
      <c r="R1034" s="90" t="s">
        <v>4388</v>
      </c>
      <c r="S1034" s="90" t="s">
        <v>5452</v>
      </c>
      <c r="T1034" s="90" t="s">
        <v>5950</v>
      </c>
      <c r="U1034" s="90" t="s">
        <v>4928</v>
      </c>
    </row>
    <row r="1035" spans="1:21" x14ac:dyDescent="0.25">
      <c r="A1035" s="90" t="s">
        <v>2636</v>
      </c>
      <c r="B1035" s="119">
        <v>5</v>
      </c>
      <c r="C1035" s="90" t="s">
        <v>2634</v>
      </c>
      <c r="D1035" s="90" t="s">
        <v>78</v>
      </c>
      <c r="E1035">
        <v>2062</v>
      </c>
      <c r="F1035">
        <v>2063</v>
      </c>
      <c r="G1035" s="93" t="s">
        <v>78</v>
      </c>
      <c r="H1035" t="s">
        <v>366</v>
      </c>
      <c r="I1035">
        <v>1</v>
      </c>
      <c r="J1035">
        <v>509.35948044999998</v>
      </c>
      <c r="K1035">
        <f>I1035*J1035</f>
        <v>509.35948044999998</v>
      </c>
      <c r="L1035">
        <v>88</v>
      </c>
      <c r="M1035">
        <f>(1-(L1035/100))*K1035</f>
        <v>61.123137653999997</v>
      </c>
      <c r="N1035" s="90">
        <v>1035</v>
      </c>
      <c r="O1035" s="90" t="s">
        <v>2637</v>
      </c>
    </row>
    <row r="1036" spans="1:21" x14ac:dyDescent="0.25">
      <c r="A1036" s="90" t="s">
        <v>2638</v>
      </c>
      <c r="B1036" s="119">
        <v>5</v>
      </c>
      <c r="C1036" s="90" t="s">
        <v>2634</v>
      </c>
      <c r="D1036" s="90" t="s">
        <v>79</v>
      </c>
      <c r="E1036">
        <v>2064</v>
      </c>
      <c r="F1036">
        <v>2065</v>
      </c>
      <c r="G1036" s="93" t="s">
        <v>78</v>
      </c>
      <c r="H1036" t="s">
        <v>368</v>
      </c>
      <c r="I1036">
        <v>1</v>
      </c>
      <c r="J1036">
        <v>1782.75818159</v>
      </c>
      <c r="K1036">
        <f>I1036*J1036</f>
        <v>1782.75818159</v>
      </c>
      <c r="L1036">
        <v>88</v>
      </c>
      <c r="M1036">
        <f>(1-(L1036/100))*K1036</f>
        <v>213.93098179079999</v>
      </c>
      <c r="N1036" s="90">
        <v>1036</v>
      </c>
      <c r="O1036" s="90" t="s">
        <v>2639</v>
      </c>
    </row>
    <row r="1037" spans="1:21" x14ac:dyDescent="0.25">
      <c r="A1037" s="90" t="s">
        <v>2640</v>
      </c>
      <c r="B1037" s="119">
        <v>4</v>
      </c>
      <c r="C1037" s="90" t="s">
        <v>2631</v>
      </c>
      <c r="D1037" s="90" t="s">
        <v>79</v>
      </c>
      <c r="E1037">
        <v>2067</v>
      </c>
      <c r="F1037">
        <v>2070</v>
      </c>
      <c r="G1037" s="93" t="s">
        <v>68</v>
      </c>
      <c r="H1037" t="s">
        <v>379</v>
      </c>
      <c r="I1037">
        <v>1</v>
      </c>
      <c r="J1037">
        <f>SUM(K1038)</f>
        <v>303.06889087000002</v>
      </c>
      <c r="K1037">
        <f>I1037*J1037</f>
        <v>303.06889087000002</v>
      </c>
      <c r="L1037">
        <f>100*(1-(M1037/K1037))</f>
        <v>88</v>
      </c>
      <c r="M1037">
        <f>I1037*SUM(M1038)</f>
        <v>36.368266904400002</v>
      </c>
      <c r="N1037" s="90">
        <v>1037</v>
      </c>
      <c r="O1037" s="90" t="s">
        <v>2641</v>
      </c>
      <c r="R1037" s="90" t="s">
        <v>4389</v>
      </c>
      <c r="S1037" s="90" t="s">
        <v>5453</v>
      </c>
      <c r="T1037" s="90" t="s">
        <v>5951</v>
      </c>
      <c r="U1037" s="90" t="s">
        <v>4929</v>
      </c>
    </row>
    <row r="1038" spans="1:21" x14ac:dyDescent="0.25">
      <c r="A1038" s="90" t="s">
        <v>2642</v>
      </c>
      <c r="B1038" s="119">
        <v>5</v>
      </c>
      <c r="C1038" s="90" t="s">
        <v>2640</v>
      </c>
      <c r="D1038" s="90" t="s">
        <v>78</v>
      </c>
      <c r="E1038">
        <v>2068</v>
      </c>
      <c r="F1038">
        <v>2069</v>
      </c>
      <c r="G1038" s="93" t="s">
        <v>78</v>
      </c>
      <c r="H1038" t="s">
        <v>381</v>
      </c>
      <c r="I1038">
        <v>1</v>
      </c>
      <c r="J1038">
        <v>303.06889087000002</v>
      </c>
      <c r="K1038">
        <f>I1038*J1038</f>
        <v>303.06889087000002</v>
      </c>
      <c r="L1038">
        <v>88</v>
      </c>
      <c r="M1038">
        <f>(1-(L1038/100))*K1038</f>
        <v>36.368266904400002</v>
      </c>
      <c r="N1038" s="90">
        <v>1038</v>
      </c>
      <c r="O1038" s="90" t="s">
        <v>2643</v>
      </c>
    </row>
    <row r="1039" spans="1:21" x14ac:dyDescent="0.25">
      <c r="A1039" s="90" t="s">
        <v>2644</v>
      </c>
      <c r="B1039" s="119">
        <v>4</v>
      </c>
      <c r="C1039" s="90" t="s">
        <v>2631</v>
      </c>
      <c r="D1039" s="90" t="s">
        <v>80</v>
      </c>
      <c r="E1039">
        <v>2071</v>
      </c>
      <c r="F1039">
        <v>2074</v>
      </c>
      <c r="G1039" s="93" t="s">
        <v>68</v>
      </c>
      <c r="H1039" t="s">
        <v>399</v>
      </c>
      <c r="I1039">
        <v>1</v>
      </c>
      <c r="J1039">
        <f>SUM(K1040)</f>
        <v>333.63045970000002</v>
      </c>
      <c r="K1039">
        <f>I1039*J1039</f>
        <v>333.63045970000002</v>
      </c>
      <c r="L1039">
        <f>100*(1-(M1039/K1039))</f>
        <v>88</v>
      </c>
      <c r="M1039">
        <f>I1039*SUM(M1040)</f>
        <v>40.035655163999998</v>
      </c>
      <c r="N1039" s="90">
        <v>1039</v>
      </c>
      <c r="O1039" s="90" t="s">
        <v>2645</v>
      </c>
      <c r="R1039" s="90" t="s">
        <v>4390</v>
      </c>
      <c r="S1039" s="90" t="s">
        <v>5454</v>
      </c>
      <c r="T1039" s="90" t="s">
        <v>5952</v>
      </c>
      <c r="U1039" s="90" t="s">
        <v>4930</v>
      </c>
    </row>
    <row r="1040" spans="1:21" x14ac:dyDescent="0.25">
      <c r="A1040" s="90" t="s">
        <v>2646</v>
      </c>
      <c r="B1040" s="119">
        <v>5</v>
      </c>
      <c r="C1040" s="90" t="s">
        <v>2644</v>
      </c>
      <c r="D1040" s="90" t="s">
        <v>78</v>
      </c>
      <c r="E1040">
        <v>2072</v>
      </c>
      <c r="F1040">
        <v>2073</v>
      </c>
      <c r="G1040" s="93" t="s">
        <v>78</v>
      </c>
      <c r="H1040" t="s">
        <v>401</v>
      </c>
      <c r="I1040">
        <v>1</v>
      </c>
      <c r="J1040">
        <v>333.63045970000002</v>
      </c>
      <c r="K1040">
        <f>I1040*J1040</f>
        <v>333.63045970000002</v>
      </c>
      <c r="L1040">
        <v>88</v>
      </c>
      <c r="M1040">
        <f>(1-(L1040/100))*K1040</f>
        <v>40.035655163999998</v>
      </c>
      <c r="N1040" s="90">
        <v>1040</v>
      </c>
      <c r="O1040" s="90" t="s">
        <v>2647</v>
      </c>
    </row>
    <row r="1041" spans="1:21" x14ac:dyDescent="0.25">
      <c r="A1041" s="90" t="s">
        <v>2648</v>
      </c>
      <c r="B1041" s="119">
        <v>4</v>
      </c>
      <c r="C1041" s="90" t="s">
        <v>2631</v>
      </c>
      <c r="D1041" s="90" t="s">
        <v>95</v>
      </c>
      <c r="E1041">
        <v>2075</v>
      </c>
      <c r="F1041">
        <v>2078</v>
      </c>
      <c r="G1041" s="93" t="s">
        <v>68</v>
      </c>
      <c r="H1041" t="s">
        <v>383</v>
      </c>
      <c r="I1041">
        <v>1</v>
      </c>
      <c r="J1041">
        <f>SUM(K1042)</f>
        <v>1069.6549089499999</v>
      </c>
      <c r="K1041">
        <f>I1041*J1041</f>
        <v>1069.6549089499999</v>
      </c>
      <c r="L1041">
        <f>100*(1-(M1041/K1041))</f>
        <v>88</v>
      </c>
      <c r="M1041">
        <f>I1041*SUM(M1042)</f>
        <v>128.35858907399998</v>
      </c>
      <c r="N1041" s="90">
        <v>1041</v>
      </c>
      <c r="O1041" s="90" t="s">
        <v>2649</v>
      </c>
      <c r="R1041" s="90" t="s">
        <v>4391</v>
      </c>
      <c r="S1041" s="90" t="s">
        <v>5455</v>
      </c>
      <c r="T1041" s="90" t="s">
        <v>5953</v>
      </c>
      <c r="U1041" s="90" t="s">
        <v>4931</v>
      </c>
    </row>
    <row r="1042" spans="1:21" x14ac:dyDescent="0.25">
      <c r="A1042" s="90" t="s">
        <v>2650</v>
      </c>
      <c r="B1042" s="119">
        <v>5</v>
      </c>
      <c r="C1042" s="90" t="s">
        <v>2648</v>
      </c>
      <c r="D1042" s="90" t="s">
        <v>78</v>
      </c>
      <c r="E1042">
        <v>2076</v>
      </c>
      <c r="F1042">
        <v>2077</v>
      </c>
      <c r="G1042" s="93" t="s">
        <v>78</v>
      </c>
      <c r="H1042" t="s">
        <v>385</v>
      </c>
      <c r="I1042">
        <v>1</v>
      </c>
      <c r="J1042">
        <v>1069.6549089499999</v>
      </c>
      <c r="K1042">
        <f>I1042*J1042</f>
        <v>1069.6549089499999</v>
      </c>
      <c r="L1042">
        <v>88</v>
      </c>
      <c r="M1042">
        <f>(1-(L1042/100))*K1042</f>
        <v>128.35858907399998</v>
      </c>
      <c r="N1042" s="90">
        <v>1042</v>
      </c>
      <c r="O1042" s="90" t="s">
        <v>2651</v>
      </c>
    </row>
    <row r="1043" spans="1:21" x14ac:dyDescent="0.25">
      <c r="A1043" s="90" t="s">
        <v>2652</v>
      </c>
      <c r="B1043" s="119">
        <v>4</v>
      </c>
      <c r="C1043" s="90" t="s">
        <v>2631</v>
      </c>
      <c r="D1043" s="90" t="s">
        <v>96</v>
      </c>
      <c r="E1043">
        <v>2079</v>
      </c>
      <c r="F1043">
        <v>2082</v>
      </c>
      <c r="G1043" s="93" t="s">
        <v>68</v>
      </c>
      <c r="H1043" t="s">
        <v>387</v>
      </c>
      <c r="I1043">
        <v>1</v>
      </c>
      <c r="J1043">
        <f>SUM(K1044)</f>
        <v>9012.9</v>
      </c>
      <c r="K1043">
        <f>I1043*J1043</f>
        <v>9012.9</v>
      </c>
      <c r="L1043">
        <f>100*(1-(M1043/K1043))</f>
        <v>88</v>
      </c>
      <c r="M1043">
        <f>I1043*SUM(M1044)</f>
        <v>1081.548</v>
      </c>
      <c r="N1043" s="90">
        <v>1043</v>
      </c>
      <c r="O1043" s="90" t="s">
        <v>2653</v>
      </c>
      <c r="R1043" s="90" t="s">
        <v>4392</v>
      </c>
      <c r="S1043" s="90" t="s">
        <v>5456</v>
      </c>
      <c r="T1043" s="90" t="s">
        <v>5954</v>
      </c>
      <c r="U1043" s="90" t="s">
        <v>4932</v>
      </c>
    </row>
    <row r="1044" spans="1:21" x14ac:dyDescent="0.25">
      <c r="A1044" s="90" t="s">
        <v>2654</v>
      </c>
      <c r="B1044" s="119">
        <v>5</v>
      </c>
      <c r="C1044" s="90" t="s">
        <v>2652</v>
      </c>
      <c r="D1044" s="90" t="s">
        <v>78</v>
      </c>
      <c r="E1044">
        <v>2080</v>
      </c>
      <c r="F1044">
        <v>2081</v>
      </c>
      <c r="G1044" s="93" t="s">
        <v>78</v>
      </c>
      <c r="H1044" t="s">
        <v>389</v>
      </c>
      <c r="I1044">
        <v>1</v>
      </c>
      <c r="J1044">
        <v>9012.9</v>
      </c>
      <c r="K1044">
        <f>I1044*J1044</f>
        <v>9012.9</v>
      </c>
      <c r="L1044">
        <v>88</v>
      </c>
      <c r="M1044">
        <f>(1-(L1044/100))*K1044</f>
        <v>1081.548</v>
      </c>
      <c r="N1044" s="90">
        <v>1044</v>
      </c>
      <c r="O1044" s="90" t="s">
        <v>2655</v>
      </c>
    </row>
    <row r="1045" spans="1:21" x14ac:dyDescent="0.25">
      <c r="A1045" s="90" t="s">
        <v>2656</v>
      </c>
      <c r="B1045" s="119">
        <v>2</v>
      </c>
      <c r="C1045" s="90" t="s">
        <v>78</v>
      </c>
      <c r="D1045" s="90" t="s">
        <v>84</v>
      </c>
      <c r="E1045">
        <v>2085</v>
      </c>
      <c r="F1045">
        <v>2232</v>
      </c>
      <c r="G1045" s="93" t="s">
        <v>68</v>
      </c>
      <c r="H1045" t="s">
        <v>2657</v>
      </c>
      <c r="I1045">
        <v>1</v>
      </c>
      <c r="J1045">
        <f>SUM(K1046,K1092,K1103,K1113,K1116)</f>
        <v>76108.603871140003</v>
      </c>
      <c r="K1045">
        <f>I1045*J1045</f>
        <v>76108.603871140003</v>
      </c>
      <c r="L1045">
        <f>100*(1-(M1045/K1045))</f>
        <v>48.58915006156915</v>
      </c>
      <c r="M1045">
        <f>I1045*SUM(M1046,M1092,M1103,M1113,M1116)</f>
        <v>39128.080126426561</v>
      </c>
      <c r="N1045" s="90">
        <v>1045</v>
      </c>
      <c r="O1045" s="90" t="s">
        <v>2658</v>
      </c>
      <c r="R1045" s="90" t="s">
        <v>6933</v>
      </c>
      <c r="S1045" s="90" t="s">
        <v>7030</v>
      </c>
      <c r="T1045" s="90" t="s">
        <v>7076</v>
      </c>
      <c r="U1045" s="90" t="s">
        <v>6982</v>
      </c>
    </row>
    <row r="1046" spans="1:21" x14ac:dyDescent="0.25">
      <c r="A1046" s="90" t="s">
        <v>2659</v>
      </c>
      <c r="B1046" s="119">
        <v>3</v>
      </c>
      <c r="C1046" s="90" t="s">
        <v>2656</v>
      </c>
      <c r="D1046" s="90" t="s">
        <v>78</v>
      </c>
      <c r="E1046">
        <v>2086</v>
      </c>
      <c r="F1046">
        <v>2177</v>
      </c>
      <c r="G1046" s="93" t="s">
        <v>68</v>
      </c>
      <c r="H1046" t="s">
        <v>2660</v>
      </c>
      <c r="I1046">
        <v>1</v>
      </c>
      <c r="J1046">
        <f>SUM(K1047,K1049,K1051,K1053,K1055,K1057,K1059,K1064,K1066,K1068,K1070,K1072,K1074,K1076,K1078,K1080,K1090)</f>
        <v>52908.600392220003</v>
      </c>
      <c r="K1046">
        <f>I1046*J1046</f>
        <v>52908.600392220003</v>
      </c>
      <c r="L1046">
        <f>100*(1-(M1046/K1046))</f>
        <v>40.000000000000014</v>
      </c>
      <c r="M1046">
        <f>I1046*SUM(M1047,M1049,M1051,M1053,M1055,M1057,M1059,M1064,M1066,M1068,M1070,M1072,M1074,M1076,M1078,M1080,M1090)</f>
        <v>31745.160235331998</v>
      </c>
      <c r="N1046" s="90">
        <v>1046</v>
      </c>
      <c r="O1046" s="90" t="s">
        <v>2661</v>
      </c>
      <c r="R1046" s="90" t="s">
        <v>6363</v>
      </c>
      <c r="S1046" s="90" t="s">
        <v>6666</v>
      </c>
      <c r="T1046" s="90" t="s">
        <v>6811</v>
      </c>
      <c r="U1046" s="90" t="s">
        <v>6515</v>
      </c>
    </row>
    <row r="1047" spans="1:21" x14ac:dyDescent="0.25">
      <c r="A1047" s="90" t="s">
        <v>2662</v>
      </c>
      <c r="B1047" s="119">
        <v>4</v>
      </c>
      <c r="C1047" s="90" t="s">
        <v>2659</v>
      </c>
      <c r="D1047" s="90" t="s">
        <v>78</v>
      </c>
      <c r="E1047">
        <v>2087</v>
      </c>
      <c r="F1047">
        <v>2090</v>
      </c>
      <c r="G1047" s="93" t="s">
        <v>68</v>
      </c>
      <c r="H1047" t="s">
        <v>1815</v>
      </c>
      <c r="I1047">
        <v>1</v>
      </c>
      <c r="J1047">
        <f>SUM(K1048)</f>
        <v>491.93938622000002</v>
      </c>
      <c r="K1047">
        <f>I1047*J1047</f>
        <v>491.93938622000002</v>
      </c>
      <c r="L1047">
        <f>100*(1-(M1047/K1047))</f>
        <v>40</v>
      </c>
      <c r="M1047">
        <f>I1047*SUM(M1048)</f>
        <v>295.163631732</v>
      </c>
      <c r="N1047" s="90">
        <v>1047</v>
      </c>
      <c r="O1047" s="90" t="s">
        <v>2663</v>
      </c>
      <c r="R1047" s="90" t="s">
        <v>4393</v>
      </c>
      <c r="S1047" s="90" t="s">
        <v>5457</v>
      </c>
      <c r="T1047" s="90" t="s">
        <v>5955</v>
      </c>
      <c r="U1047" s="90" t="s">
        <v>4933</v>
      </c>
    </row>
    <row r="1048" spans="1:21" x14ac:dyDescent="0.25">
      <c r="A1048" s="90" t="s">
        <v>2664</v>
      </c>
      <c r="B1048" s="119">
        <v>5</v>
      </c>
      <c r="C1048" s="90" t="s">
        <v>2662</v>
      </c>
      <c r="D1048" s="90" t="s">
        <v>78</v>
      </c>
      <c r="E1048">
        <v>2088</v>
      </c>
      <c r="F1048">
        <v>2089</v>
      </c>
      <c r="G1048" s="93" t="s">
        <v>78</v>
      </c>
      <c r="H1048" t="s">
        <v>126</v>
      </c>
      <c r="I1048">
        <v>1</v>
      </c>
      <c r="J1048">
        <v>491.93938622000002</v>
      </c>
      <c r="K1048">
        <f>I1048*J1048</f>
        <v>491.93938622000002</v>
      </c>
      <c r="L1048">
        <v>40</v>
      </c>
      <c r="M1048">
        <f>(1-(L1048/100))*K1048</f>
        <v>295.163631732</v>
      </c>
      <c r="N1048" s="90">
        <v>1048</v>
      </c>
      <c r="O1048" s="90" t="s">
        <v>2665</v>
      </c>
    </row>
    <row r="1049" spans="1:21" x14ac:dyDescent="0.25">
      <c r="A1049" s="90" t="s">
        <v>2666</v>
      </c>
      <c r="B1049" s="119">
        <v>4</v>
      </c>
      <c r="C1049" s="90" t="s">
        <v>2659</v>
      </c>
      <c r="D1049" s="90" t="s">
        <v>79</v>
      </c>
      <c r="E1049">
        <v>2091</v>
      </c>
      <c r="F1049">
        <v>2094</v>
      </c>
      <c r="G1049" s="93" t="s">
        <v>68</v>
      </c>
      <c r="H1049" t="s">
        <v>1818</v>
      </c>
      <c r="I1049">
        <v>2</v>
      </c>
      <c r="J1049">
        <f>SUM(K1050)</f>
        <v>313.76543995999998</v>
      </c>
      <c r="K1049">
        <f>I1049*J1049</f>
        <v>627.53087991999996</v>
      </c>
      <c r="L1049">
        <f>100*(1-(M1049/K1049))</f>
        <v>40</v>
      </c>
      <c r="M1049">
        <f>I1049*SUM(M1050)</f>
        <v>376.51852795199994</v>
      </c>
      <c r="N1049" s="90">
        <v>1049</v>
      </c>
      <c r="O1049" s="90" t="s">
        <v>2667</v>
      </c>
      <c r="R1049" s="90" t="s">
        <v>4403</v>
      </c>
      <c r="S1049" s="90" t="s">
        <v>5467</v>
      </c>
      <c r="T1049" s="90" t="s">
        <v>5965</v>
      </c>
      <c r="U1049" s="90" t="s">
        <v>4943</v>
      </c>
    </row>
    <row r="1050" spans="1:21" x14ac:dyDescent="0.25">
      <c r="A1050" s="90" t="s">
        <v>2668</v>
      </c>
      <c r="B1050" s="119">
        <v>5</v>
      </c>
      <c r="C1050" s="90" t="s">
        <v>2666</v>
      </c>
      <c r="D1050" s="90" t="s">
        <v>78</v>
      </c>
      <c r="E1050">
        <v>2092</v>
      </c>
      <c r="F1050">
        <v>2093</v>
      </c>
      <c r="G1050" s="93" t="s">
        <v>78</v>
      </c>
      <c r="H1050" t="s">
        <v>123</v>
      </c>
      <c r="I1050">
        <v>1</v>
      </c>
      <c r="J1050">
        <v>313.76543995999998</v>
      </c>
      <c r="K1050">
        <f>I1050*J1050</f>
        <v>313.76543995999998</v>
      </c>
      <c r="L1050">
        <v>40</v>
      </c>
      <c r="M1050">
        <f>(1-(L1050/100))*K1050</f>
        <v>188.25926397599997</v>
      </c>
      <c r="N1050" s="90">
        <v>1050</v>
      </c>
      <c r="O1050" s="90" t="s">
        <v>2669</v>
      </c>
    </row>
    <row r="1051" spans="1:21" x14ac:dyDescent="0.25">
      <c r="A1051" s="90" t="s">
        <v>2670</v>
      </c>
      <c r="B1051" s="119">
        <v>4</v>
      </c>
      <c r="C1051" s="90" t="s">
        <v>2659</v>
      </c>
      <c r="D1051" s="90" t="s">
        <v>80</v>
      </c>
      <c r="E1051">
        <v>2095</v>
      </c>
      <c r="F1051">
        <v>2098</v>
      </c>
      <c r="G1051" s="93" t="s">
        <v>68</v>
      </c>
      <c r="H1051" t="s">
        <v>1235</v>
      </c>
      <c r="I1051">
        <v>2</v>
      </c>
      <c r="J1051">
        <f>SUM(K1052)</f>
        <v>37.44</v>
      </c>
      <c r="K1051">
        <f>I1051*J1051</f>
        <v>74.88</v>
      </c>
      <c r="L1051">
        <f>100*(1-(M1051/K1051))</f>
        <v>40</v>
      </c>
      <c r="M1051">
        <f>I1051*SUM(M1052)</f>
        <v>44.927999999999997</v>
      </c>
      <c r="N1051" s="90">
        <v>1051</v>
      </c>
      <c r="O1051" s="90" t="s">
        <v>2671</v>
      </c>
      <c r="R1051" s="90" t="s">
        <v>4404</v>
      </c>
      <c r="S1051" s="90" t="s">
        <v>5468</v>
      </c>
      <c r="T1051" s="90" t="s">
        <v>5966</v>
      </c>
      <c r="U1051" s="90" t="s">
        <v>4944</v>
      </c>
    </row>
    <row r="1052" spans="1:21" x14ac:dyDescent="0.25">
      <c r="A1052" s="90" t="s">
        <v>2672</v>
      </c>
      <c r="B1052" s="119">
        <v>5</v>
      </c>
      <c r="C1052" s="90" t="s">
        <v>2670</v>
      </c>
      <c r="D1052" s="90" t="s">
        <v>78</v>
      </c>
      <c r="E1052">
        <v>2096</v>
      </c>
      <c r="F1052">
        <v>2097</v>
      </c>
      <c r="G1052" s="93" t="s">
        <v>78</v>
      </c>
      <c r="H1052" t="s">
        <v>1235</v>
      </c>
      <c r="I1052">
        <v>1</v>
      </c>
      <c r="J1052">
        <v>37.44</v>
      </c>
      <c r="K1052">
        <f>I1052*J1052</f>
        <v>37.44</v>
      </c>
      <c r="L1052">
        <v>40</v>
      </c>
      <c r="M1052">
        <f>(1-(L1052/100))*K1052</f>
        <v>22.463999999999999</v>
      </c>
      <c r="N1052" s="90">
        <v>1052</v>
      </c>
      <c r="O1052" s="90" t="s">
        <v>2673</v>
      </c>
    </row>
    <row r="1053" spans="1:21" x14ac:dyDescent="0.25">
      <c r="A1053" s="90" t="s">
        <v>2674</v>
      </c>
      <c r="B1053" s="119">
        <v>4</v>
      </c>
      <c r="C1053" s="90" t="s">
        <v>2659</v>
      </c>
      <c r="D1053" s="90" t="s">
        <v>95</v>
      </c>
      <c r="E1053">
        <v>2099</v>
      </c>
      <c r="F1053">
        <v>2102</v>
      </c>
      <c r="G1053" s="93" t="s">
        <v>68</v>
      </c>
      <c r="H1053" t="s">
        <v>1240</v>
      </c>
      <c r="I1053">
        <v>1</v>
      </c>
      <c r="J1053">
        <f>SUM(K1054)</f>
        <v>700.36928562000003</v>
      </c>
      <c r="K1053">
        <f>I1053*J1053</f>
        <v>700.36928562000003</v>
      </c>
      <c r="L1053">
        <f>100*(1-(M1053/K1053))</f>
        <v>40</v>
      </c>
      <c r="M1053">
        <f>I1053*SUM(M1054)</f>
        <v>420.22157137200003</v>
      </c>
      <c r="N1053" s="90">
        <v>1053</v>
      </c>
      <c r="O1053" s="90" t="s">
        <v>2675</v>
      </c>
      <c r="R1053" s="90" t="s">
        <v>4405</v>
      </c>
      <c r="S1053" s="90" t="s">
        <v>5469</v>
      </c>
      <c r="T1053" s="90" t="s">
        <v>5967</v>
      </c>
      <c r="U1053" s="90" t="s">
        <v>4945</v>
      </c>
    </row>
    <row r="1054" spans="1:21" x14ac:dyDescent="0.25">
      <c r="A1054" s="90" t="s">
        <v>2676</v>
      </c>
      <c r="B1054" s="119">
        <v>5</v>
      </c>
      <c r="C1054" s="90" t="s">
        <v>2674</v>
      </c>
      <c r="D1054" s="90" t="s">
        <v>78</v>
      </c>
      <c r="E1054">
        <v>2100</v>
      </c>
      <c r="F1054">
        <v>2101</v>
      </c>
      <c r="G1054" s="93" t="s">
        <v>78</v>
      </c>
      <c r="H1054" t="s">
        <v>1243</v>
      </c>
      <c r="I1054">
        <v>1</v>
      </c>
      <c r="J1054">
        <v>700.36928562000003</v>
      </c>
      <c r="K1054">
        <f>I1054*J1054</f>
        <v>700.36928562000003</v>
      </c>
      <c r="L1054">
        <v>40</v>
      </c>
      <c r="M1054">
        <f>(1-(L1054/100))*K1054</f>
        <v>420.22157137200003</v>
      </c>
      <c r="N1054" s="90">
        <v>1054</v>
      </c>
      <c r="O1054" s="90" t="s">
        <v>2677</v>
      </c>
    </row>
    <row r="1055" spans="1:21" x14ac:dyDescent="0.25">
      <c r="A1055" s="90" t="s">
        <v>2678</v>
      </c>
      <c r="B1055" s="119">
        <v>4</v>
      </c>
      <c r="C1055" s="90" t="s">
        <v>2659</v>
      </c>
      <c r="D1055" s="90" t="s">
        <v>96</v>
      </c>
      <c r="E1055">
        <v>2103</v>
      </c>
      <c r="F1055">
        <v>2106</v>
      </c>
      <c r="G1055" s="93" t="s">
        <v>68</v>
      </c>
      <c r="H1055" t="s">
        <v>1246</v>
      </c>
      <c r="I1055">
        <v>2</v>
      </c>
      <c r="J1055">
        <f>SUM(K1056)</f>
        <v>967.93582071000003</v>
      </c>
      <c r="K1055">
        <f>I1055*J1055</f>
        <v>1935.8716414200001</v>
      </c>
      <c r="L1055">
        <f>100*(1-(M1055/K1055))</f>
        <v>40</v>
      </c>
      <c r="M1055">
        <f>I1055*SUM(M1056)</f>
        <v>1161.522984852</v>
      </c>
      <c r="N1055" s="90">
        <v>1055</v>
      </c>
      <c r="O1055" s="90" t="s">
        <v>2679</v>
      </c>
      <c r="R1055" s="90" t="s">
        <v>4406</v>
      </c>
      <c r="S1055" s="90" t="s">
        <v>5470</v>
      </c>
      <c r="T1055" s="90" t="s">
        <v>5968</v>
      </c>
      <c r="U1055" s="90" t="s">
        <v>4946</v>
      </c>
    </row>
    <row r="1056" spans="1:21" x14ac:dyDescent="0.25">
      <c r="A1056" s="90" t="s">
        <v>2680</v>
      </c>
      <c r="B1056" s="119">
        <v>5</v>
      </c>
      <c r="C1056" s="90" t="s">
        <v>2678</v>
      </c>
      <c r="D1056" s="90" t="s">
        <v>78</v>
      </c>
      <c r="E1056">
        <v>2104</v>
      </c>
      <c r="F1056">
        <v>2105</v>
      </c>
      <c r="G1056" s="93" t="s">
        <v>78</v>
      </c>
      <c r="H1056" t="s">
        <v>120</v>
      </c>
      <c r="I1056">
        <v>1</v>
      </c>
      <c r="J1056">
        <v>967.93582071000003</v>
      </c>
      <c r="K1056">
        <f>I1056*J1056</f>
        <v>967.93582071000003</v>
      </c>
      <c r="L1056">
        <v>40</v>
      </c>
      <c r="M1056">
        <f>(1-(L1056/100))*K1056</f>
        <v>580.76149242600002</v>
      </c>
      <c r="N1056" s="90">
        <v>1056</v>
      </c>
      <c r="O1056" s="90" t="s">
        <v>2681</v>
      </c>
    </row>
    <row r="1057" spans="1:21" x14ac:dyDescent="0.25">
      <c r="A1057" s="90" t="s">
        <v>2682</v>
      </c>
      <c r="B1057" s="119">
        <v>4</v>
      </c>
      <c r="C1057" s="90" t="s">
        <v>2659</v>
      </c>
      <c r="D1057" s="90" t="s">
        <v>103</v>
      </c>
      <c r="E1057">
        <v>2107</v>
      </c>
      <c r="F1057">
        <v>2110</v>
      </c>
      <c r="G1057" s="93" t="s">
        <v>68</v>
      </c>
      <c r="H1057" t="s">
        <v>1251</v>
      </c>
      <c r="I1057">
        <v>1</v>
      </c>
      <c r="J1057">
        <f>SUM(K1058)</f>
        <v>967.93582071000003</v>
      </c>
      <c r="K1057">
        <f>I1057*J1057</f>
        <v>967.93582071000003</v>
      </c>
      <c r="L1057">
        <f>100*(1-(M1057/K1057))</f>
        <v>40</v>
      </c>
      <c r="M1057">
        <f>I1057*SUM(M1058)</f>
        <v>580.76149242600002</v>
      </c>
      <c r="N1057" s="90">
        <v>1057</v>
      </c>
      <c r="O1057" s="90" t="s">
        <v>2683</v>
      </c>
      <c r="R1057" s="90" t="s">
        <v>4407</v>
      </c>
      <c r="S1057" s="90" t="s">
        <v>5471</v>
      </c>
      <c r="T1057" s="90" t="s">
        <v>5969</v>
      </c>
      <c r="U1057" s="90" t="s">
        <v>4947</v>
      </c>
    </row>
    <row r="1058" spans="1:21" x14ac:dyDescent="0.25">
      <c r="A1058" s="90" t="s">
        <v>2684</v>
      </c>
      <c r="B1058" s="119">
        <v>5</v>
      </c>
      <c r="C1058" s="90" t="s">
        <v>2682</v>
      </c>
      <c r="D1058" s="90" t="s">
        <v>78</v>
      </c>
      <c r="E1058">
        <v>2108</v>
      </c>
      <c r="F1058">
        <v>2109</v>
      </c>
      <c r="G1058" s="93" t="s">
        <v>78</v>
      </c>
      <c r="H1058" t="s">
        <v>125</v>
      </c>
      <c r="I1058">
        <v>1</v>
      </c>
      <c r="J1058">
        <v>967.93582071000003</v>
      </c>
      <c r="K1058">
        <f>I1058*J1058</f>
        <v>967.93582071000003</v>
      </c>
      <c r="L1058">
        <v>40</v>
      </c>
      <c r="M1058">
        <f>(1-(L1058/100))*K1058</f>
        <v>580.76149242600002</v>
      </c>
      <c r="N1058" s="90">
        <v>1058</v>
      </c>
      <c r="O1058" s="90" t="s">
        <v>2685</v>
      </c>
    </row>
    <row r="1059" spans="1:21" x14ac:dyDescent="0.25">
      <c r="A1059" s="90" t="s">
        <v>2686</v>
      </c>
      <c r="B1059" s="119">
        <v>4</v>
      </c>
      <c r="C1059" s="90" t="s">
        <v>2659</v>
      </c>
      <c r="D1059" s="90" t="s">
        <v>796</v>
      </c>
      <c r="E1059">
        <v>2111</v>
      </c>
      <c r="F1059">
        <v>2120</v>
      </c>
      <c r="G1059" s="93" t="s">
        <v>68</v>
      </c>
      <c r="H1059" t="s">
        <v>2687</v>
      </c>
      <c r="I1059">
        <v>1</v>
      </c>
      <c r="J1059">
        <f>SUM(K1060,K1061,K1062,K1063)</f>
        <v>3086.2400000000002</v>
      </c>
      <c r="K1059">
        <f>I1059*J1059</f>
        <v>3086.2400000000002</v>
      </c>
      <c r="L1059">
        <f>100*(1-(M1059/K1059))</f>
        <v>40</v>
      </c>
      <c r="M1059">
        <f>I1059*SUM(M1060,M1061,M1062,M1063)</f>
        <v>1851.7439999999999</v>
      </c>
      <c r="N1059" s="90">
        <v>1059</v>
      </c>
      <c r="O1059" s="90" t="s">
        <v>2688</v>
      </c>
      <c r="R1059" s="90" t="s">
        <v>4408</v>
      </c>
      <c r="S1059" s="90" t="s">
        <v>5472</v>
      </c>
      <c r="T1059" s="90" t="s">
        <v>5970</v>
      </c>
      <c r="U1059" s="90" t="s">
        <v>4948</v>
      </c>
    </row>
    <row r="1060" spans="1:21" x14ac:dyDescent="0.25">
      <c r="A1060" s="90" t="s">
        <v>2689</v>
      </c>
      <c r="B1060" s="119">
        <v>5</v>
      </c>
      <c r="C1060" s="90" t="s">
        <v>2686</v>
      </c>
      <c r="D1060" s="90" t="s">
        <v>78</v>
      </c>
      <c r="E1060">
        <v>2112</v>
      </c>
      <c r="F1060">
        <v>2113</v>
      </c>
      <c r="G1060" s="93" t="s">
        <v>78</v>
      </c>
      <c r="H1060" t="s">
        <v>2690</v>
      </c>
      <c r="I1060">
        <v>1</v>
      </c>
      <c r="J1060">
        <v>2879</v>
      </c>
      <c r="K1060">
        <f>I1060*J1060</f>
        <v>2879</v>
      </c>
      <c r="L1060">
        <v>40</v>
      </c>
      <c r="M1060">
        <f>(1-(L1060/100))*K1060</f>
        <v>1727.3999999999999</v>
      </c>
      <c r="N1060" s="90">
        <v>1060</v>
      </c>
      <c r="O1060" s="90" t="s">
        <v>2691</v>
      </c>
    </row>
    <row r="1061" spans="1:21" x14ac:dyDescent="0.25">
      <c r="A1061" s="90" t="s">
        <v>2692</v>
      </c>
      <c r="B1061" s="119">
        <v>5</v>
      </c>
      <c r="C1061" s="90" t="s">
        <v>2686</v>
      </c>
      <c r="D1061" s="90" t="s">
        <v>79</v>
      </c>
      <c r="E1061">
        <v>2114</v>
      </c>
      <c r="F1061">
        <v>2115</v>
      </c>
      <c r="G1061" s="93" t="s">
        <v>78</v>
      </c>
      <c r="H1061" t="s">
        <v>2693</v>
      </c>
      <c r="I1061">
        <v>1</v>
      </c>
      <c r="J1061">
        <v>53.48</v>
      </c>
      <c r="K1061">
        <f>I1061*J1061</f>
        <v>53.48</v>
      </c>
      <c r="L1061">
        <v>40</v>
      </c>
      <c r="M1061">
        <f>(1-(L1061/100))*K1061</f>
        <v>32.087999999999994</v>
      </c>
      <c r="N1061" s="90">
        <v>1061</v>
      </c>
      <c r="O1061" s="90" t="s">
        <v>2694</v>
      </c>
    </row>
    <row r="1062" spans="1:21" x14ac:dyDescent="0.25">
      <c r="A1062" s="90" t="s">
        <v>2695</v>
      </c>
      <c r="B1062" s="119">
        <v>5</v>
      </c>
      <c r="C1062" s="90" t="s">
        <v>2686</v>
      </c>
      <c r="D1062" s="90" t="s">
        <v>80</v>
      </c>
      <c r="E1062">
        <v>2116</v>
      </c>
      <c r="F1062">
        <v>2117</v>
      </c>
      <c r="G1062" s="93" t="s">
        <v>78</v>
      </c>
      <c r="H1062" t="s">
        <v>2696</v>
      </c>
      <c r="I1062">
        <v>1</v>
      </c>
      <c r="J1062">
        <v>25.4</v>
      </c>
      <c r="K1062">
        <f>I1062*J1062</f>
        <v>25.4</v>
      </c>
      <c r="L1062">
        <v>40</v>
      </c>
      <c r="M1062">
        <f>(1-(L1062/100))*K1062</f>
        <v>15.239999999999998</v>
      </c>
      <c r="N1062" s="90">
        <v>1062</v>
      </c>
      <c r="O1062" s="90" t="s">
        <v>2697</v>
      </c>
    </row>
    <row r="1063" spans="1:21" x14ac:dyDescent="0.25">
      <c r="A1063" s="90" t="s">
        <v>2698</v>
      </c>
      <c r="B1063" s="119">
        <v>5</v>
      </c>
      <c r="C1063" s="90" t="s">
        <v>2686</v>
      </c>
      <c r="D1063" s="90" t="s">
        <v>95</v>
      </c>
      <c r="E1063">
        <v>2118</v>
      </c>
      <c r="F1063">
        <v>2119</v>
      </c>
      <c r="G1063" s="93" t="s">
        <v>78</v>
      </c>
      <c r="H1063" t="s">
        <v>2699</v>
      </c>
      <c r="I1063">
        <v>1</v>
      </c>
      <c r="J1063">
        <v>128.36000000000001</v>
      </c>
      <c r="K1063">
        <f>I1063*J1063</f>
        <v>128.36000000000001</v>
      </c>
      <c r="L1063">
        <v>40</v>
      </c>
      <c r="M1063">
        <f>(1-(L1063/100))*K1063</f>
        <v>77.016000000000005</v>
      </c>
      <c r="N1063" s="90">
        <v>1063</v>
      </c>
      <c r="O1063" s="90" t="s">
        <v>2700</v>
      </c>
    </row>
    <row r="1064" spans="1:21" x14ac:dyDescent="0.25">
      <c r="A1064" s="90" t="s">
        <v>2701</v>
      </c>
      <c r="B1064" s="119">
        <v>4</v>
      </c>
      <c r="C1064" s="90" t="s">
        <v>2659</v>
      </c>
      <c r="D1064" s="90" t="s">
        <v>797</v>
      </c>
      <c r="E1064">
        <v>2121</v>
      </c>
      <c r="F1064">
        <v>2124</v>
      </c>
      <c r="G1064" s="93" t="s">
        <v>68</v>
      </c>
      <c r="H1064" t="s">
        <v>1256</v>
      </c>
      <c r="I1064">
        <v>1</v>
      </c>
      <c r="J1064">
        <f>SUM(K1065)</f>
        <v>9428.2439831899992</v>
      </c>
      <c r="K1064">
        <f>I1064*J1064</f>
        <v>9428.2439831899992</v>
      </c>
      <c r="L1064">
        <f>100*(1-(M1064/K1064))</f>
        <v>40</v>
      </c>
      <c r="M1064">
        <f>I1064*SUM(M1065)</f>
        <v>5656.9463899139992</v>
      </c>
      <c r="N1064" s="90">
        <v>1064</v>
      </c>
      <c r="O1064" s="90" t="s">
        <v>2702</v>
      </c>
      <c r="R1064" s="90" t="s">
        <v>4409</v>
      </c>
      <c r="S1064" s="90" t="s">
        <v>5473</v>
      </c>
      <c r="T1064" s="90" t="s">
        <v>5971</v>
      </c>
      <c r="U1064" s="90" t="s">
        <v>4949</v>
      </c>
    </row>
    <row r="1065" spans="1:21" x14ac:dyDescent="0.25">
      <c r="A1065" s="90" t="s">
        <v>2703</v>
      </c>
      <c r="B1065" s="119">
        <v>5</v>
      </c>
      <c r="C1065" s="90" t="s">
        <v>2701</v>
      </c>
      <c r="D1065" s="90" t="s">
        <v>78</v>
      </c>
      <c r="E1065">
        <v>2122</v>
      </c>
      <c r="F1065">
        <v>2123</v>
      </c>
      <c r="G1065" s="93" t="s">
        <v>78</v>
      </c>
      <c r="H1065" t="s">
        <v>1256</v>
      </c>
      <c r="I1065">
        <v>1</v>
      </c>
      <c r="J1065">
        <v>9428.2439831899992</v>
      </c>
      <c r="K1065">
        <f>I1065*J1065</f>
        <v>9428.2439831899992</v>
      </c>
      <c r="L1065">
        <v>40</v>
      </c>
      <c r="M1065">
        <f>(1-(L1065/100))*K1065</f>
        <v>5656.9463899139992</v>
      </c>
      <c r="N1065" s="90">
        <v>1065</v>
      </c>
      <c r="O1065" s="90" t="s">
        <v>2704</v>
      </c>
    </row>
    <row r="1066" spans="1:21" x14ac:dyDescent="0.25">
      <c r="A1066" s="90" t="s">
        <v>2705</v>
      </c>
      <c r="B1066" s="119">
        <v>4</v>
      </c>
      <c r="C1066" s="90" t="s">
        <v>2659</v>
      </c>
      <c r="D1066" s="90" t="s">
        <v>798</v>
      </c>
      <c r="E1066">
        <v>2125</v>
      </c>
      <c r="F1066">
        <v>2128</v>
      </c>
      <c r="G1066" s="93" t="s">
        <v>68</v>
      </c>
      <c r="H1066" t="s">
        <v>1261</v>
      </c>
      <c r="I1066">
        <v>1</v>
      </c>
      <c r="J1066">
        <f>SUM(K1067)</f>
        <v>10160.44823634</v>
      </c>
      <c r="K1066">
        <f>I1066*J1066</f>
        <v>10160.44823634</v>
      </c>
      <c r="L1066">
        <f>100*(1-(M1066/K1066))</f>
        <v>40</v>
      </c>
      <c r="M1066">
        <f>I1066*SUM(M1067)</f>
        <v>6096.268941804</v>
      </c>
      <c r="N1066" s="90">
        <v>1066</v>
      </c>
      <c r="O1066" s="90" t="s">
        <v>2706</v>
      </c>
      <c r="R1066" s="90" t="s">
        <v>4410</v>
      </c>
      <c r="S1066" s="90" t="s">
        <v>5474</v>
      </c>
      <c r="T1066" s="90" t="s">
        <v>5972</v>
      </c>
      <c r="U1066" s="90" t="s">
        <v>4950</v>
      </c>
    </row>
    <row r="1067" spans="1:21" x14ac:dyDescent="0.25">
      <c r="A1067" s="90" t="s">
        <v>2707</v>
      </c>
      <c r="B1067" s="119">
        <v>5</v>
      </c>
      <c r="C1067" s="90" t="s">
        <v>2705</v>
      </c>
      <c r="D1067" s="90" t="s">
        <v>78</v>
      </c>
      <c r="E1067">
        <v>2126</v>
      </c>
      <c r="F1067">
        <v>2127</v>
      </c>
      <c r="G1067" s="93" t="s">
        <v>78</v>
      </c>
      <c r="H1067" t="s">
        <v>1261</v>
      </c>
      <c r="I1067">
        <v>1</v>
      </c>
      <c r="J1067">
        <v>10160.44823634</v>
      </c>
      <c r="K1067">
        <f>I1067*J1067</f>
        <v>10160.44823634</v>
      </c>
      <c r="L1067">
        <v>40</v>
      </c>
      <c r="M1067">
        <f>(1-(L1067/100))*K1067</f>
        <v>6096.268941804</v>
      </c>
      <c r="N1067" s="90">
        <v>1067</v>
      </c>
      <c r="O1067" s="90" t="s">
        <v>2708</v>
      </c>
    </row>
    <row r="1068" spans="1:21" x14ac:dyDescent="0.25">
      <c r="A1068" s="90" t="s">
        <v>2709</v>
      </c>
      <c r="B1068" s="119">
        <v>4</v>
      </c>
      <c r="C1068" s="90" t="s">
        <v>2659</v>
      </c>
      <c r="D1068" s="90" t="s">
        <v>799</v>
      </c>
      <c r="E1068">
        <v>2129</v>
      </c>
      <c r="F1068">
        <v>2132</v>
      </c>
      <c r="G1068" s="93" t="s">
        <v>68</v>
      </c>
      <c r="H1068" t="s">
        <v>1266</v>
      </c>
      <c r="I1068">
        <v>1</v>
      </c>
      <c r="J1068">
        <f>SUM(K1069)</f>
        <v>9312.3647013900008</v>
      </c>
      <c r="K1068">
        <f>I1068*J1068</f>
        <v>9312.3647013900008</v>
      </c>
      <c r="L1068">
        <f>100*(1-(M1068/K1068))</f>
        <v>40</v>
      </c>
      <c r="M1068">
        <f>I1068*SUM(M1069)</f>
        <v>5587.4188208340001</v>
      </c>
      <c r="N1068" s="90">
        <v>1068</v>
      </c>
      <c r="O1068" s="90" t="s">
        <v>2710</v>
      </c>
      <c r="R1068" s="90" t="s">
        <v>4394</v>
      </c>
      <c r="S1068" s="90" t="s">
        <v>5458</v>
      </c>
      <c r="T1068" s="90" t="s">
        <v>5956</v>
      </c>
      <c r="U1068" s="90" t="s">
        <v>4934</v>
      </c>
    </row>
    <row r="1069" spans="1:21" x14ac:dyDescent="0.25">
      <c r="A1069" s="90" t="s">
        <v>2711</v>
      </c>
      <c r="B1069" s="119">
        <v>5</v>
      </c>
      <c r="C1069" s="90" t="s">
        <v>2709</v>
      </c>
      <c r="D1069" s="90" t="s">
        <v>78</v>
      </c>
      <c r="E1069">
        <v>2130</v>
      </c>
      <c r="F1069">
        <v>2131</v>
      </c>
      <c r="G1069" s="93" t="s">
        <v>78</v>
      </c>
      <c r="H1069" t="s">
        <v>1269</v>
      </c>
      <c r="I1069">
        <v>1</v>
      </c>
      <c r="J1069">
        <v>9312.3647013900008</v>
      </c>
      <c r="K1069">
        <f>I1069*J1069</f>
        <v>9312.3647013900008</v>
      </c>
      <c r="L1069">
        <v>40</v>
      </c>
      <c r="M1069">
        <f>(1-(L1069/100))*K1069</f>
        <v>5587.4188208340001</v>
      </c>
      <c r="N1069" s="90">
        <v>1069</v>
      </c>
      <c r="O1069" s="90" t="s">
        <v>2712</v>
      </c>
    </row>
    <row r="1070" spans="1:21" x14ac:dyDescent="0.25">
      <c r="A1070" s="90" t="s">
        <v>2713</v>
      </c>
      <c r="B1070" s="119">
        <v>4</v>
      </c>
      <c r="C1070" s="90" t="s">
        <v>2659</v>
      </c>
      <c r="D1070" s="90" t="s">
        <v>97</v>
      </c>
      <c r="E1070">
        <v>2133</v>
      </c>
      <c r="F1070">
        <v>2136</v>
      </c>
      <c r="G1070" s="93" t="s">
        <v>68</v>
      </c>
      <c r="H1070" t="s">
        <v>1638</v>
      </c>
      <c r="I1070">
        <v>1</v>
      </c>
      <c r="J1070">
        <f>SUM(K1071)</f>
        <v>1980.13</v>
      </c>
      <c r="K1070">
        <f>I1070*J1070</f>
        <v>1980.13</v>
      </c>
      <c r="L1070">
        <f>100*(1-(M1070/K1070))</f>
        <v>40</v>
      </c>
      <c r="M1070">
        <f>I1070*SUM(M1071)</f>
        <v>1188.078</v>
      </c>
      <c r="N1070" s="90">
        <v>1070</v>
      </c>
      <c r="O1070" s="90" t="s">
        <v>2714</v>
      </c>
      <c r="R1070" s="90" t="s">
        <v>4395</v>
      </c>
      <c r="S1070" s="90" t="s">
        <v>5459</v>
      </c>
      <c r="T1070" s="90" t="s">
        <v>5957</v>
      </c>
      <c r="U1070" s="90" t="s">
        <v>4935</v>
      </c>
    </row>
    <row r="1071" spans="1:21" x14ac:dyDescent="0.25">
      <c r="A1071" s="90" t="s">
        <v>2715</v>
      </c>
      <c r="B1071" s="119">
        <v>5</v>
      </c>
      <c r="C1071" s="90" t="s">
        <v>2713</v>
      </c>
      <c r="D1071" s="90" t="s">
        <v>78</v>
      </c>
      <c r="E1071">
        <v>2134</v>
      </c>
      <c r="F1071">
        <v>2135</v>
      </c>
      <c r="G1071" s="93" t="s">
        <v>78</v>
      </c>
      <c r="H1071" t="s">
        <v>1638</v>
      </c>
      <c r="I1071">
        <v>1</v>
      </c>
      <c r="J1071">
        <v>1980.13</v>
      </c>
      <c r="K1071">
        <f>I1071*J1071</f>
        <v>1980.13</v>
      </c>
      <c r="L1071">
        <v>40</v>
      </c>
      <c r="M1071">
        <f>(1-(L1071/100))*K1071</f>
        <v>1188.078</v>
      </c>
      <c r="N1071" s="90">
        <v>1071</v>
      </c>
      <c r="O1071" s="90" t="s">
        <v>2716</v>
      </c>
    </row>
    <row r="1072" spans="1:21" x14ac:dyDescent="0.25">
      <c r="A1072" s="90" t="s">
        <v>2717</v>
      </c>
      <c r="B1072" s="119">
        <v>4</v>
      </c>
      <c r="C1072" s="90" t="s">
        <v>2659</v>
      </c>
      <c r="D1072" s="90" t="s">
        <v>98</v>
      </c>
      <c r="E1072">
        <v>2137</v>
      </c>
      <c r="F1072">
        <v>2140</v>
      </c>
      <c r="G1072" s="93" t="s">
        <v>68</v>
      </c>
      <c r="H1072" t="s">
        <v>1272</v>
      </c>
      <c r="I1072">
        <v>2</v>
      </c>
      <c r="J1072">
        <f>SUM(K1073)</f>
        <v>1308.5572392700001</v>
      </c>
      <c r="K1072">
        <f>I1072*J1072</f>
        <v>2617.1144785400002</v>
      </c>
      <c r="L1072">
        <f>100*(1-(M1072/K1072))</f>
        <v>40</v>
      </c>
      <c r="M1072">
        <f>I1072*SUM(M1073)</f>
        <v>1570.2686871240001</v>
      </c>
      <c r="N1072" s="90">
        <v>1072</v>
      </c>
      <c r="O1072" s="90" t="s">
        <v>2718</v>
      </c>
      <c r="R1072" s="90" t="s">
        <v>4396</v>
      </c>
      <c r="S1072" s="90" t="s">
        <v>5460</v>
      </c>
      <c r="T1072" s="90" t="s">
        <v>5958</v>
      </c>
      <c r="U1072" s="90" t="s">
        <v>4936</v>
      </c>
    </row>
    <row r="1073" spans="1:21" x14ac:dyDescent="0.25">
      <c r="A1073" s="90" t="s">
        <v>2719</v>
      </c>
      <c r="B1073" s="119">
        <v>5</v>
      </c>
      <c r="C1073" s="90" t="s">
        <v>2717</v>
      </c>
      <c r="D1073" s="90" t="s">
        <v>78</v>
      </c>
      <c r="E1073">
        <v>2138</v>
      </c>
      <c r="F1073">
        <v>2139</v>
      </c>
      <c r="G1073" s="93" t="s">
        <v>78</v>
      </c>
      <c r="H1073" t="s">
        <v>1272</v>
      </c>
      <c r="I1073">
        <v>1</v>
      </c>
      <c r="J1073">
        <v>1308.5572392700001</v>
      </c>
      <c r="K1073">
        <f>I1073*J1073</f>
        <v>1308.5572392700001</v>
      </c>
      <c r="L1073">
        <v>40</v>
      </c>
      <c r="M1073">
        <f>(1-(L1073/100))*K1073</f>
        <v>785.13434356200003</v>
      </c>
      <c r="N1073" s="90">
        <v>1073</v>
      </c>
      <c r="O1073" s="90" t="s">
        <v>2720</v>
      </c>
    </row>
    <row r="1074" spans="1:21" x14ac:dyDescent="0.25">
      <c r="A1074" s="90" t="s">
        <v>2721</v>
      </c>
      <c r="B1074" s="119">
        <v>4</v>
      </c>
      <c r="C1074" s="90" t="s">
        <v>2659</v>
      </c>
      <c r="D1074" s="90" t="s">
        <v>99</v>
      </c>
      <c r="E1074">
        <v>2141</v>
      </c>
      <c r="F1074">
        <v>2144</v>
      </c>
      <c r="G1074" s="93" t="s">
        <v>68</v>
      </c>
      <c r="H1074" t="s">
        <v>2722</v>
      </c>
      <c r="I1074">
        <v>1</v>
      </c>
      <c r="J1074">
        <f>SUM(K1075)</f>
        <v>1500</v>
      </c>
      <c r="K1074">
        <f>I1074*J1074</f>
        <v>1500</v>
      </c>
      <c r="L1074">
        <f>100*(1-(M1074/K1074))</f>
        <v>40</v>
      </c>
      <c r="M1074">
        <f>I1074*SUM(M1075)</f>
        <v>900</v>
      </c>
      <c r="N1074" s="90">
        <v>1074</v>
      </c>
      <c r="O1074" s="90" t="s">
        <v>2723</v>
      </c>
      <c r="R1074" s="90" t="s">
        <v>4397</v>
      </c>
      <c r="S1074" s="90" t="s">
        <v>5461</v>
      </c>
      <c r="T1074" s="90" t="s">
        <v>5959</v>
      </c>
      <c r="U1074" s="90" t="s">
        <v>4937</v>
      </c>
    </row>
    <row r="1075" spans="1:21" x14ac:dyDescent="0.25">
      <c r="A1075" s="90" t="s">
        <v>2724</v>
      </c>
      <c r="B1075" s="119">
        <v>5</v>
      </c>
      <c r="C1075" s="90" t="s">
        <v>2721</v>
      </c>
      <c r="D1075" s="90" t="s">
        <v>78</v>
      </c>
      <c r="E1075">
        <v>2142</v>
      </c>
      <c r="F1075">
        <v>2143</v>
      </c>
      <c r="G1075" s="93" t="s">
        <v>78</v>
      </c>
      <c r="H1075" t="s">
        <v>2725</v>
      </c>
      <c r="I1075">
        <v>1</v>
      </c>
      <c r="J1075">
        <v>1500</v>
      </c>
      <c r="K1075">
        <f>I1075*J1075</f>
        <v>1500</v>
      </c>
      <c r="L1075">
        <v>40</v>
      </c>
      <c r="M1075">
        <f>(1-(L1075/100))*K1075</f>
        <v>900</v>
      </c>
      <c r="N1075" s="90">
        <v>1075</v>
      </c>
      <c r="O1075" s="90" t="s">
        <v>2726</v>
      </c>
    </row>
    <row r="1076" spans="1:21" x14ac:dyDescent="0.25">
      <c r="A1076" s="90" t="s">
        <v>2727</v>
      </c>
      <c r="B1076" s="119">
        <v>4</v>
      </c>
      <c r="C1076" s="90" t="s">
        <v>2659</v>
      </c>
      <c r="D1076" s="90" t="s">
        <v>100</v>
      </c>
      <c r="E1076">
        <v>2145</v>
      </c>
      <c r="F1076">
        <v>2148</v>
      </c>
      <c r="G1076" s="93" t="s">
        <v>68</v>
      </c>
      <c r="H1076" t="s">
        <v>145</v>
      </c>
      <c r="I1076">
        <v>4</v>
      </c>
      <c r="J1076">
        <f>SUM(K1077)</f>
        <v>28.6</v>
      </c>
      <c r="K1076">
        <f>I1076*J1076</f>
        <v>114.4</v>
      </c>
      <c r="L1076">
        <f>100*(1-(M1076/K1076))</f>
        <v>40</v>
      </c>
      <c r="M1076">
        <f>I1076*SUM(M1077)</f>
        <v>68.64</v>
      </c>
      <c r="N1076" s="90">
        <v>1076</v>
      </c>
      <c r="O1076" s="90" t="s">
        <v>2728</v>
      </c>
      <c r="R1076" s="90" t="s">
        <v>4398</v>
      </c>
      <c r="S1076" s="90" t="s">
        <v>5462</v>
      </c>
      <c r="T1076" s="90" t="s">
        <v>5960</v>
      </c>
      <c r="U1076" s="90" t="s">
        <v>4938</v>
      </c>
    </row>
    <row r="1077" spans="1:21" x14ac:dyDescent="0.25">
      <c r="A1077" s="90" t="s">
        <v>2729</v>
      </c>
      <c r="B1077" s="119">
        <v>5</v>
      </c>
      <c r="C1077" s="90" t="s">
        <v>2727</v>
      </c>
      <c r="D1077" s="90" t="s">
        <v>78</v>
      </c>
      <c r="E1077">
        <v>2146</v>
      </c>
      <c r="F1077">
        <v>2147</v>
      </c>
      <c r="G1077" s="93" t="s">
        <v>78</v>
      </c>
      <c r="H1077" t="s">
        <v>145</v>
      </c>
      <c r="I1077">
        <v>1</v>
      </c>
      <c r="J1077">
        <v>28.6</v>
      </c>
      <c r="K1077">
        <f>I1077*J1077</f>
        <v>28.6</v>
      </c>
      <c r="L1077">
        <v>40</v>
      </c>
      <c r="M1077">
        <f>(1-(L1077/100))*K1077</f>
        <v>17.16</v>
      </c>
      <c r="N1077" s="90">
        <v>1077</v>
      </c>
      <c r="O1077" s="90" t="s">
        <v>2730</v>
      </c>
    </row>
    <row r="1078" spans="1:21" x14ac:dyDescent="0.25">
      <c r="A1078" s="90" t="s">
        <v>2731</v>
      </c>
      <c r="B1078" s="119">
        <v>4</v>
      </c>
      <c r="C1078" s="90" t="s">
        <v>2659</v>
      </c>
      <c r="D1078" s="90" t="s">
        <v>81</v>
      </c>
      <c r="E1078">
        <v>2149</v>
      </c>
      <c r="F1078">
        <v>2152</v>
      </c>
      <c r="G1078" s="93" t="s">
        <v>68</v>
      </c>
      <c r="H1078" t="s">
        <v>143</v>
      </c>
      <c r="I1078">
        <v>2</v>
      </c>
      <c r="J1078">
        <f>SUM(K1079)</f>
        <v>27.17</v>
      </c>
      <c r="K1078">
        <f>I1078*J1078</f>
        <v>54.34</v>
      </c>
      <c r="L1078">
        <f>100*(1-(M1078/K1078))</f>
        <v>40</v>
      </c>
      <c r="M1078">
        <f>I1078*SUM(M1079)</f>
        <v>32.603999999999999</v>
      </c>
      <c r="N1078" s="90">
        <v>1078</v>
      </c>
      <c r="O1078" s="90" t="s">
        <v>2732</v>
      </c>
      <c r="R1078" s="90" t="s">
        <v>4399</v>
      </c>
      <c r="S1078" s="90" t="s">
        <v>5463</v>
      </c>
      <c r="T1078" s="90" t="s">
        <v>5961</v>
      </c>
      <c r="U1078" s="90" t="s">
        <v>4939</v>
      </c>
    </row>
    <row r="1079" spans="1:21" x14ac:dyDescent="0.25">
      <c r="A1079" s="90" t="s">
        <v>2733</v>
      </c>
      <c r="B1079" s="119">
        <v>5</v>
      </c>
      <c r="C1079" s="90" t="s">
        <v>2731</v>
      </c>
      <c r="D1079" s="90" t="s">
        <v>78</v>
      </c>
      <c r="E1079">
        <v>2150</v>
      </c>
      <c r="F1079">
        <v>2151</v>
      </c>
      <c r="G1079" s="93" t="s">
        <v>78</v>
      </c>
      <c r="H1079" t="s">
        <v>143</v>
      </c>
      <c r="I1079">
        <v>1</v>
      </c>
      <c r="J1079">
        <v>27.17</v>
      </c>
      <c r="K1079">
        <f>I1079*J1079</f>
        <v>27.17</v>
      </c>
      <c r="L1079">
        <v>40</v>
      </c>
      <c r="M1079">
        <f>(1-(L1079/100))*K1079</f>
        <v>16.302</v>
      </c>
      <c r="N1079" s="90">
        <v>1079</v>
      </c>
      <c r="O1079" s="90" t="s">
        <v>2734</v>
      </c>
    </row>
    <row r="1080" spans="1:21" x14ac:dyDescent="0.25">
      <c r="A1080" s="90" t="s">
        <v>2735</v>
      </c>
      <c r="B1080" s="119">
        <v>4</v>
      </c>
      <c r="C1080" s="90" t="s">
        <v>2659</v>
      </c>
      <c r="D1080" s="90" t="s">
        <v>83</v>
      </c>
      <c r="E1080">
        <v>2153</v>
      </c>
      <c r="F1080">
        <v>2172</v>
      </c>
      <c r="G1080" s="93" t="s">
        <v>68</v>
      </c>
      <c r="H1080" t="s">
        <v>2736</v>
      </c>
      <c r="I1080">
        <v>1</v>
      </c>
      <c r="J1080">
        <f>SUM(K1081,K1082,K1083,K1084,K1085,K1086,K1088,K1089)</f>
        <v>9294.1319788700021</v>
      </c>
      <c r="K1080">
        <f>I1080*J1080</f>
        <v>9294.1319788700021</v>
      </c>
      <c r="L1080">
        <f>100*(1-(M1080/K1080))</f>
        <v>40.000000000000021</v>
      </c>
      <c r="M1080">
        <f>I1080*SUM(M1081,M1082,M1083,M1084,M1085,M1086,M1088,M1089)</f>
        <v>5576.4791873219992</v>
      </c>
      <c r="N1080" s="90">
        <v>1080</v>
      </c>
      <c r="O1080" s="90" t="s">
        <v>2737</v>
      </c>
      <c r="R1080" s="90" t="s">
        <v>4400</v>
      </c>
      <c r="S1080" s="90" t="s">
        <v>5464</v>
      </c>
      <c r="T1080" s="90" t="s">
        <v>5962</v>
      </c>
      <c r="U1080" s="90" t="s">
        <v>4940</v>
      </c>
    </row>
    <row r="1081" spans="1:21" x14ac:dyDescent="0.25">
      <c r="A1081" s="90" t="s">
        <v>2738</v>
      </c>
      <c r="B1081" s="119">
        <v>5</v>
      </c>
      <c r="C1081" s="90" t="s">
        <v>2735</v>
      </c>
      <c r="D1081" s="90" t="s">
        <v>78</v>
      </c>
      <c r="E1081">
        <v>2154</v>
      </c>
      <c r="F1081">
        <v>2155</v>
      </c>
      <c r="G1081" s="93" t="s">
        <v>78</v>
      </c>
      <c r="H1081" t="s">
        <v>2739</v>
      </c>
      <c r="I1081">
        <v>1</v>
      </c>
      <c r="J1081">
        <v>5177.22</v>
      </c>
      <c r="K1081">
        <f>I1081*J1081</f>
        <v>5177.22</v>
      </c>
      <c r="L1081">
        <v>40</v>
      </c>
      <c r="M1081">
        <f>(1-(L1081/100))*K1081</f>
        <v>3106.3319999999999</v>
      </c>
      <c r="N1081" s="90">
        <v>1081</v>
      </c>
      <c r="O1081" s="90" t="s">
        <v>2740</v>
      </c>
    </row>
    <row r="1082" spans="1:21" x14ac:dyDescent="0.25">
      <c r="A1082" s="90" t="s">
        <v>2741</v>
      </c>
      <c r="B1082" s="119">
        <v>5</v>
      </c>
      <c r="C1082" s="90" t="s">
        <v>2735</v>
      </c>
      <c r="D1082" s="90" t="s">
        <v>79</v>
      </c>
      <c r="E1082">
        <v>2156</v>
      </c>
      <c r="F1082">
        <v>2157</v>
      </c>
      <c r="G1082" s="93" t="s">
        <v>78</v>
      </c>
      <c r="H1082" t="s">
        <v>2742</v>
      </c>
      <c r="I1082">
        <v>1</v>
      </c>
      <c r="J1082">
        <v>2577.83</v>
      </c>
      <c r="K1082">
        <f>I1082*J1082</f>
        <v>2577.83</v>
      </c>
      <c r="L1082">
        <v>40</v>
      </c>
      <c r="M1082">
        <f>(1-(L1082/100))*K1082</f>
        <v>1546.6979999999999</v>
      </c>
      <c r="N1082" s="90">
        <v>1082</v>
      </c>
      <c r="O1082" s="90" t="s">
        <v>2743</v>
      </c>
    </row>
    <row r="1083" spans="1:21" x14ac:dyDescent="0.25">
      <c r="A1083" s="90" t="s">
        <v>2744</v>
      </c>
      <c r="B1083" s="119">
        <v>5</v>
      </c>
      <c r="C1083" s="90" t="s">
        <v>2735</v>
      </c>
      <c r="D1083" s="90" t="s">
        <v>80</v>
      </c>
      <c r="E1083">
        <v>2158</v>
      </c>
      <c r="F1083">
        <v>2159</v>
      </c>
      <c r="G1083" s="93" t="s">
        <v>78</v>
      </c>
      <c r="H1083" t="s">
        <v>2745</v>
      </c>
      <c r="I1083">
        <v>1</v>
      </c>
      <c r="J1083">
        <v>243</v>
      </c>
      <c r="K1083">
        <f>I1083*J1083</f>
        <v>243</v>
      </c>
      <c r="L1083">
        <v>40</v>
      </c>
      <c r="M1083">
        <f>(1-(L1083/100))*K1083</f>
        <v>145.79999999999998</v>
      </c>
      <c r="N1083" s="90">
        <v>1083</v>
      </c>
      <c r="O1083" s="90" t="s">
        <v>2746</v>
      </c>
    </row>
    <row r="1084" spans="1:21" x14ac:dyDescent="0.25">
      <c r="A1084" s="90" t="s">
        <v>2747</v>
      </c>
      <c r="B1084" s="119">
        <v>5</v>
      </c>
      <c r="C1084" s="90" t="s">
        <v>2735</v>
      </c>
      <c r="D1084" s="90" t="s">
        <v>95</v>
      </c>
      <c r="E1084">
        <v>2160</v>
      </c>
      <c r="F1084">
        <v>2161</v>
      </c>
      <c r="G1084" s="93" t="s">
        <v>78</v>
      </c>
      <c r="H1084" t="s">
        <v>129</v>
      </c>
      <c r="I1084">
        <v>1</v>
      </c>
      <c r="J1084">
        <v>212.88679486000001</v>
      </c>
      <c r="K1084">
        <f>I1084*J1084</f>
        <v>212.88679486000001</v>
      </c>
      <c r="L1084">
        <v>40</v>
      </c>
      <c r="M1084">
        <f>(1-(L1084/100))*K1084</f>
        <v>127.732076916</v>
      </c>
      <c r="N1084" s="90">
        <v>1084</v>
      </c>
      <c r="O1084" s="90" t="s">
        <v>2748</v>
      </c>
    </row>
    <row r="1085" spans="1:21" x14ac:dyDescent="0.25">
      <c r="A1085" s="90" t="s">
        <v>2749</v>
      </c>
      <c r="B1085" s="119">
        <v>5</v>
      </c>
      <c r="C1085" s="90" t="s">
        <v>2735</v>
      </c>
      <c r="D1085" s="90" t="s">
        <v>96</v>
      </c>
      <c r="E1085">
        <v>2162</v>
      </c>
      <c r="F1085">
        <v>2163</v>
      </c>
      <c r="G1085" s="93" t="s">
        <v>78</v>
      </c>
      <c r="H1085" t="s">
        <v>130</v>
      </c>
      <c r="I1085">
        <v>1</v>
      </c>
      <c r="J1085">
        <v>206.87635298999999</v>
      </c>
      <c r="K1085">
        <f>I1085*J1085</f>
        <v>206.87635298999999</v>
      </c>
      <c r="L1085">
        <v>40</v>
      </c>
      <c r="M1085">
        <f>(1-(L1085/100))*K1085</f>
        <v>124.12581179399999</v>
      </c>
      <c r="N1085" s="90">
        <v>1085</v>
      </c>
      <c r="O1085" s="90" t="s">
        <v>2750</v>
      </c>
    </row>
    <row r="1086" spans="1:21" x14ac:dyDescent="0.25">
      <c r="A1086" s="90" t="s">
        <v>2751</v>
      </c>
      <c r="B1086" s="119">
        <v>5</v>
      </c>
      <c r="C1086" s="90" t="s">
        <v>2735</v>
      </c>
      <c r="D1086" s="90" t="s">
        <v>103</v>
      </c>
      <c r="E1086">
        <v>2164</v>
      </c>
      <c r="F1086">
        <v>2167</v>
      </c>
      <c r="G1086" s="93" t="s">
        <v>68</v>
      </c>
      <c r="H1086" t="s">
        <v>142</v>
      </c>
      <c r="I1086">
        <v>1</v>
      </c>
      <c r="J1086">
        <f>SUM(K1087)</f>
        <v>330.26</v>
      </c>
      <c r="K1086">
        <f>I1086*J1086</f>
        <v>330.26</v>
      </c>
      <c r="L1086">
        <f>100*(1-(M1086/K1086))</f>
        <v>40</v>
      </c>
      <c r="M1086">
        <f>I1086*SUM(M1087)</f>
        <v>198.15599999999998</v>
      </c>
      <c r="N1086" s="90">
        <v>1086</v>
      </c>
      <c r="O1086" s="90" t="s">
        <v>2752</v>
      </c>
      <c r="R1086" s="90" t="s">
        <v>4401</v>
      </c>
      <c r="S1086" s="90" t="s">
        <v>5465</v>
      </c>
      <c r="T1086" s="90" t="s">
        <v>5963</v>
      </c>
      <c r="U1086" s="90" t="s">
        <v>4941</v>
      </c>
    </row>
    <row r="1087" spans="1:21" x14ac:dyDescent="0.25">
      <c r="A1087" s="90" t="s">
        <v>2753</v>
      </c>
      <c r="B1087" s="119">
        <v>6</v>
      </c>
      <c r="C1087" s="90" t="s">
        <v>2751</v>
      </c>
      <c r="D1087" s="90" t="s">
        <v>78</v>
      </c>
      <c r="E1087">
        <v>2165</v>
      </c>
      <c r="F1087">
        <v>2166</v>
      </c>
      <c r="G1087" s="93" t="s">
        <v>78</v>
      </c>
      <c r="H1087" t="s">
        <v>2754</v>
      </c>
      <c r="I1087">
        <v>1</v>
      </c>
      <c r="J1087">
        <v>330.26</v>
      </c>
      <c r="K1087">
        <f>I1087*J1087</f>
        <v>330.26</v>
      </c>
      <c r="L1087">
        <v>40</v>
      </c>
      <c r="M1087">
        <f>(1-(L1087/100))*K1087</f>
        <v>198.15599999999998</v>
      </c>
      <c r="N1087" s="90">
        <v>1087</v>
      </c>
      <c r="O1087" s="90" t="s">
        <v>2755</v>
      </c>
    </row>
    <row r="1088" spans="1:21" x14ac:dyDescent="0.25">
      <c r="A1088" s="90" t="s">
        <v>2756</v>
      </c>
      <c r="B1088" s="119">
        <v>5</v>
      </c>
      <c r="C1088" s="90" t="s">
        <v>2735</v>
      </c>
      <c r="D1088" s="90" t="s">
        <v>796</v>
      </c>
      <c r="E1088">
        <v>2168</v>
      </c>
      <c r="F1088">
        <v>2169</v>
      </c>
      <c r="G1088" s="93" t="s">
        <v>78</v>
      </c>
      <c r="H1088" t="s">
        <v>127</v>
      </c>
      <c r="I1088">
        <v>1</v>
      </c>
      <c r="J1088">
        <v>275.43613906000002</v>
      </c>
      <c r="K1088">
        <f>I1088*J1088</f>
        <v>275.43613906000002</v>
      </c>
      <c r="L1088">
        <v>40</v>
      </c>
      <c r="M1088">
        <f>(1-(L1088/100))*K1088</f>
        <v>165.261683436</v>
      </c>
      <c r="N1088" s="90">
        <v>1088</v>
      </c>
      <c r="O1088" s="90" t="s">
        <v>2757</v>
      </c>
    </row>
    <row r="1089" spans="1:21" x14ac:dyDescent="0.25">
      <c r="A1089" s="90" t="s">
        <v>2758</v>
      </c>
      <c r="B1089" s="119">
        <v>5</v>
      </c>
      <c r="C1089" s="90" t="s">
        <v>2735</v>
      </c>
      <c r="D1089" s="90" t="s">
        <v>797</v>
      </c>
      <c r="E1089">
        <v>2170</v>
      </c>
      <c r="F1089">
        <v>2171</v>
      </c>
      <c r="G1089" s="93" t="s">
        <v>78</v>
      </c>
      <c r="H1089" t="s">
        <v>128</v>
      </c>
      <c r="I1089">
        <v>1</v>
      </c>
      <c r="J1089">
        <v>270.62269196</v>
      </c>
      <c r="K1089">
        <f>I1089*J1089</f>
        <v>270.62269196</v>
      </c>
      <c r="L1089">
        <v>40</v>
      </c>
      <c r="M1089">
        <f>(1-(L1089/100))*K1089</f>
        <v>162.37361517599999</v>
      </c>
      <c r="N1089" s="90">
        <v>1089</v>
      </c>
      <c r="O1089" s="90" t="s">
        <v>2759</v>
      </c>
    </row>
    <row r="1090" spans="1:21" x14ac:dyDescent="0.25">
      <c r="A1090" s="90" t="s">
        <v>2760</v>
      </c>
      <c r="B1090" s="119">
        <v>4</v>
      </c>
      <c r="C1090" s="90" t="s">
        <v>2659</v>
      </c>
      <c r="D1090" s="90" t="s">
        <v>84</v>
      </c>
      <c r="E1090">
        <v>2173</v>
      </c>
      <c r="F1090">
        <v>2176</v>
      </c>
      <c r="G1090" s="93" t="s">
        <v>68</v>
      </c>
      <c r="H1090" t="s">
        <v>2761</v>
      </c>
      <c r="I1090">
        <v>2</v>
      </c>
      <c r="J1090">
        <f>SUM(K1091)</f>
        <v>281.33</v>
      </c>
      <c r="K1090">
        <f>I1090*J1090</f>
        <v>562.66</v>
      </c>
      <c r="L1090">
        <f>100*(1-(M1090/K1090))</f>
        <v>40</v>
      </c>
      <c r="M1090">
        <f>I1090*SUM(M1091)</f>
        <v>337.59599999999995</v>
      </c>
      <c r="N1090" s="90">
        <v>1090</v>
      </c>
      <c r="O1090" s="90" t="s">
        <v>2762</v>
      </c>
      <c r="R1090" s="90" t="s">
        <v>4402</v>
      </c>
      <c r="S1090" s="90" t="s">
        <v>5466</v>
      </c>
      <c r="T1090" s="90" t="s">
        <v>5964</v>
      </c>
      <c r="U1090" s="90" t="s">
        <v>4942</v>
      </c>
    </row>
    <row r="1091" spans="1:21" x14ac:dyDescent="0.25">
      <c r="A1091" s="90" t="s">
        <v>2763</v>
      </c>
      <c r="B1091" s="119">
        <v>5</v>
      </c>
      <c r="C1091" s="90" t="s">
        <v>2760</v>
      </c>
      <c r="D1091" s="90" t="s">
        <v>78</v>
      </c>
      <c r="E1091">
        <v>2174</v>
      </c>
      <c r="F1091">
        <v>2175</v>
      </c>
      <c r="G1091" s="93" t="s">
        <v>78</v>
      </c>
      <c r="H1091" t="s">
        <v>2761</v>
      </c>
      <c r="I1091">
        <v>1</v>
      </c>
      <c r="J1091">
        <v>281.33</v>
      </c>
      <c r="K1091">
        <f>I1091*J1091</f>
        <v>281.33</v>
      </c>
      <c r="L1091">
        <v>40</v>
      </c>
      <c r="M1091">
        <f>(1-(L1091/100))*K1091</f>
        <v>168.79799999999997</v>
      </c>
      <c r="N1091" s="90">
        <v>1091</v>
      </c>
      <c r="O1091" s="90" t="s">
        <v>2764</v>
      </c>
    </row>
    <row r="1092" spans="1:21" x14ac:dyDescent="0.25">
      <c r="A1092" s="90" t="s">
        <v>2765</v>
      </c>
      <c r="B1092" s="119">
        <v>3</v>
      </c>
      <c r="C1092" s="90" t="s">
        <v>2656</v>
      </c>
      <c r="D1092" s="90" t="s">
        <v>79</v>
      </c>
      <c r="E1092">
        <v>2178</v>
      </c>
      <c r="F1092">
        <v>2199</v>
      </c>
      <c r="G1092" s="93" t="s">
        <v>68</v>
      </c>
      <c r="H1092" t="s">
        <v>2766</v>
      </c>
      <c r="I1092">
        <v>1</v>
      </c>
      <c r="J1092">
        <f>SUM(K1093)</f>
        <v>8864.2969081800002</v>
      </c>
      <c r="K1092">
        <f>I1092*J1092</f>
        <v>8864.2969081800002</v>
      </c>
      <c r="L1092">
        <f>100*(1-(M1092/K1092))</f>
        <v>39.999999999999993</v>
      </c>
      <c r="M1092">
        <f>I1092*SUM(M1093)</f>
        <v>5318.5781449080005</v>
      </c>
      <c r="N1092" s="90">
        <v>1092</v>
      </c>
      <c r="O1092" s="90" t="s">
        <v>2767</v>
      </c>
      <c r="R1092" s="90" t="s">
        <v>6934</v>
      </c>
      <c r="S1092" s="90" t="s">
        <v>7031</v>
      </c>
      <c r="T1092" s="90" t="s">
        <v>7077</v>
      </c>
      <c r="U1092" s="90" t="s">
        <v>6983</v>
      </c>
    </row>
    <row r="1093" spans="1:21" x14ac:dyDescent="0.25">
      <c r="A1093" s="90" t="s">
        <v>2768</v>
      </c>
      <c r="B1093" s="119">
        <v>4</v>
      </c>
      <c r="C1093" s="90" t="s">
        <v>2765</v>
      </c>
      <c r="D1093" s="90" t="s">
        <v>78</v>
      </c>
      <c r="E1093">
        <v>2179</v>
      </c>
      <c r="F1093">
        <v>2198</v>
      </c>
      <c r="G1093" s="93" t="s">
        <v>68</v>
      </c>
      <c r="H1093" t="s">
        <v>1394</v>
      </c>
      <c r="I1093">
        <v>1</v>
      </c>
      <c r="J1093">
        <f>SUM(K1094,K1099)</f>
        <v>8864.2969081800002</v>
      </c>
      <c r="K1093">
        <f>I1093*J1093</f>
        <v>8864.2969081800002</v>
      </c>
      <c r="L1093">
        <f>100*(1-(M1093/K1093))</f>
        <v>39.999999999999993</v>
      </c>
      <c r="M1093">
        <f>I1093*SUM(M1094,M1099)</f>
        <v>5318.5781449080005</v>
      </c>
      <c r="N1093" s="90">
        <v>1093</v>
      </c>
      <c r="O1093" s="90" t="s">
        <v>2769</v>
      </c>
      <c r="R1093" s="90" t="s">
        <v>6364</v>
      </c>
      <c r="S1093" s="90" t="s">
        <v>6667</v>
      </c>
      <c r="T1093" s="90" t="s">
        <v>6812</v>
      </c>
      <c r="U1093" s="90" t="s">
        <v>6516</v>
      </c>
    </row>
    <row r="1094" spans="1:21" x14ac:dyDescent="0.25">
      <c r="A1094" s="90" t="s">
        <v>2770</v>
      </c>
      <c r="B1094" s="119">
        <v>5</v>
      </c>
      <c r="C1094" s="90" t="s">
        <v>2768</v>
      </c>
      <c r="D1094" s="90" t="s">
        <v>78</v>
      </c>
      <c r="E1094">
        <v>2180</v>
      </c>
      <c r="F1094">
        <v>2189</v>
      </c>
      <c r="G1094" s="93" t="s">
        <v>68</v>
      </c>
      <c r="H1094" t="s">
        <v>1397</v>
      </c>
      <c r="I1094">
        <v>1</v>
      </c>
      <c r="J1094">
        <f>SUM(K1095,K1096,K1097,K1098)</f>
        <v>8719.9796256099999</v>
      </c>
      <c r="K1094">
        <f>I1094*J1094</f>
        <v>8719.9796256099999</v>
      </c>
      <c r="L1094">
        <f>100*(1-(M1094/K1094))</f>
        <v>39.999999999999993</v>
      </c>
      <c r="M1094">
        <f>I1094*SUM(M1095,M1096,M1097,M1098)</f>
        <v>5231.9877753660003</v>
      </c>
      <c r="N1094" s="90">
        <v>1094</v>
      </c>
      <c r="O1094" s="90" t="s">
        <v>2771</v>
      </c>
      <c r="R1094" s="90" t="s">
        <v>4411</v>
      </c>
      <c r="S1094" s="90" t="s">
        <v>5475</v>
      </c>
      <c r="T1094" s="90" t="s">
        <v>5973</v>
      </c>
      <c r="U1094" s="90" t="s">
        <v>4951</v>
      </c>
    </row>
    <row r="1095" spans="1:21" x14ac:dyDescent="0.25">
      <c r="A1095" s="90" t="s">
        <v>2772</v>
      </c>
      <c r="B1095" s="119">
        <v>6</v>
      </c>
      <c r="C1095" s="90" t="s">
        <v>2770</v>
      </c>
      <c r="D1095" s="90" t="s">
        <v>78</v>
      </c>
      <c r="E1095">
        <v>2181</v>
      </c>
      <c r="F1095">
        <v>2182</v>
      </c>
      <c r="G1095" s="93" t="s">
        <v>78</v>
      </c>
      <c r="H1095" t="s">
        <v>120</v>
      </c>
      <c r="I1095">
        <v>1</v>
      </c>
      <c r="J1095">
        <v>967.93582071000003</v>
      </c>
      <c r="K1095">
        <f>I1095*J1095</f>
        <v>967.93582071000003</v>
      </c>
      <c r="L1095">
        <v>40</v>
      </c>
      <c r="M1095">
        <f>(1-(L1095/100))*K1095</f>
        <v>580.76149242600002</v>
      </c>
      <c r="N1095" s="90">
        <v>1095</v>
      </c>
      <c r="O1095" s="90" t="s">
        <v>2773</v>
      </c>
    </row>
    <row r="1096" spans="1:21" x14ac:dyDescent="0.25">
      <c r="A1096" s="90" t="s">
        <v>2774</v>
      </c>
      <c r="B1096" s="119">
        <v>6</v>
      </c>
      <c r="C1096" s="90" t="s">
        <v>2770</v>
      </c>
      <c r="D1096" s="90" t="s">
        <v>79</v>
      </c>
      <c r="E1096">
        <v>2183</v>
      </c>
      <c r="F1096">
        <v>2184</v>
      </c>
      <c r="G1096" s="93" t="s">
        <v>78</v>
      </c>
      <c r="H1096" t="s">
        <v>125</v>
      </c>
      <c r="I1096">
        <v>1</v>
      </c>
      <c r="J1096">
        <v>967.93582071000003</v>
      </c>
      <c r="K1096">
        <f>I1096*J1096</f>
        <v>967.93582071000003</v>
      </c>
      <c r="L1096">
        <v>40</v>
      </c>
      <c r="M1096">
        <f>(1-(L1096/100))*K1096</f>
        <v>580.76149242600002</v>
      </c>
      <c r="N1096" s="90">
        <v>1096</v>
      </c>
      <c r="O1096" s="90" t="s">
        <v>2775</v>
      </c>
    </row>
    <row r="1097" spans="1:21" x14ac:dyDescent="0.25">
      <c r="A1097" s="90" t="s">
        <v>2776</v>
      </c>
      <c r="B1097" s="119">
        <v>6</v>
      </c>
      <c r="C1097" s="90" t="s">
        <v>2770</v>
      </c>
      <c r="D1097" s="90" t="s">
        <v>80</v>
      </c>
      <c r="E1097">
        <v>2185</v>
      </c>
      <c r="F1097">
        <v>2186</v>
      </c>
      <c r="G1097" s="93" t="s">
        <v>78</v>
      </c>
      <c r="H1097" t="s">
        <v>191</v>
      </c>
      <c r="I1097">
        <v>3</v>
      </c>
      <c r="J1097">
        <v>862.86769387000004</v>
      </c>
      <c r="K1097">
        <f>I1097*J1097</f>
        <v>2588.6030816100001</v>
      </c>
      <c r="L1097">
        <v>40</v>
      </c>
      <c r="M1097">
        <f>(1-(L1097/100))*K1097</f>
        <v>1553.161848966</v>
      </c>
      <c r="N1097" s="90">
        <v>1097</v>
      </c>
      <c r="O1097" s="90" t="s">
        <v>2777</v>
      </c>
    </row>
    <row r="1098" spans="1:21" x14ac:dyDescent="0.25">
      <c r="A1098" s="90" t="s">
        <v>2778</v>
      </c>
      <c r="B1098" s="119">
        <v>6</v>
      </c>
      <c r="C1098" s="90" t="s">
        <v>2770</v>
      </c>
      <c r="D1098" s="90" t="s">
        <v>95</v>
      </c>
      <c r="E1098">
        <v>2187</v>
      </c>
      <c r="F1098">
        <v>2188</v>
      </c>
      <c r="G1098" s="93" t="s">
        <v>78</v>
      </c>
      <c r="H1098" t="s">
        <v>299</v>
      </c>
      <c r="I1098">
        <v>1</v>
      </c>
      <c r="J1098">
        <v>4195.5049025799999</v>
      </c>
      <c r="K1098">
        <f>I1098*J1098</f>
        <v>4195.5049025799999</v>
      </c>
      <c r="L1098">
        <v>40</v>
      </c>
      <c r="M1098">
        <f>(1-(L1098/100))*K1098</f>
        <v>2517.302941548</v>
      </c>
      <c r="N1098" s="90">
        <v>1098</v>
      </c>
      <c r="O1098" s="90" t="s">
        <v>2779</v>
      </c>
    </row>
    <row r="1099" spans="1:21" x14ac:dyDescent="0.25">
      <c r="A1099" s="90" t="s">
        <v>2780</v>
      </c>
      <c r="B1099" s="119">
        <v>5</v>
      </c>
      <c r="C1099" s="90" t="s">
        <v>2768</v>
      </c>
      <c r="D1099" s="90" t="s">
        <v>79</v>
      </c>
      <c r="E1099">
        <v>2190</v>
      </c>
      <c r="F1099">
        <v>2197</v>
      </c>
      <c r="G1099" s="93" t="s">
        <v>68</v>
      </c>
      <c r="H1099" t="s">
        <v>142</v>
      </c>
      <c r="I1099">
        <v>1</v>
      </c>
      <c r="J1099">
        <f>SUM(K1100,K1101,K1102)</f>
        <v>144.31728257</v>
      </c>
      <c r="K1099">
        <f>I1099*J1099</f>
        <v>144.31728257</v>
      </c>
      <c r="L1099">
        <f>100*(1-(M1099/K1099))</f>
        <v>40.000000000000014</v>
      </c>
      <c r="M1099">
        <f>I1099*SUM(M1100,M1101,M1102)</f>
        <v>86.590369541999991</v>
      </c>
      <c r="N1099" s="90">
        <v>1099</v>
      </c>
      <c r="O1099" s="90" t="s">
        <v>2781</v>
      </c>
      <c r="R1099" s="90" t="s">
        <v>4412</v>
      </c>
      <c r="S1099" s="90" t="s">
        <v>5476</v>
      </c>
      <c r="T1099" s="90" t="s">
        <v>5974</v>
      </c>
      <c r="U1099" s="90" t="s">
        <v>4952</v>
      </c>
    </row>
    <row r="1100" spans="1:21" x14ac:dyDescent="0.25">
      <c r="A1100" s="90" t="s">
        <v>2782</v>
      </c>
      <c r="B1100" s="119">
        <v>6</v>
      </c>
      <c r="C1100" s="90" t="s">
        <v>2780</v>
      </c>
      <c r="D1100" s="90" t="s">
        <v>78</v>
      </c>
      <c r="E1100">
        <v>2191</v>
      </c>
      <c r="F1100">
        <v>2192</v>
      </c>
      <c r="G1100" s="93" t="s">
        <v>78</v>
      </c>
      <c r="H1100" t="s">
        <v>144</v>
      </c>
      <c r="I1100">
        <v>1</v>
      </c>
      <c r="J1100">
        <v>32.777282569999997</v>
      </c>
      <c r="K1100">
        <f>I1100*J1100</f>
        <v>32.777282569999997</v>
      </c>
      <c r="L1100">
        <v>40</v>
      </c>
      <c r="M1100">
        <f>(1-(L1100/100))*K1100</f>
        <v>19.666369541999998</v>
      </c>
      <c r="N1100" s="90">
        <v>1100</v>
      </c>
      <c r="O1100" s="90" t="s">
        <v>2783</v>
      </c>
    </row>
    <row r="1101" spans="1:21" x14ac:dyDescent="0.25">
      <c r="A1101" s="90" t="s">
        <v>2784</v>
      </c>
      <c r="B1101" s="119">
        <v>6</v>
      </c>
      <c r="C1101" s="90" t="s">
        <v>2780</v>
      </c>
      <c r="D1101" s="90" t="s">
        <v>79</v>
      </c>
      <c r="E1101">
        <v>2193</v>
      </c>
      <c r="F1101">
        <v>2194</v>
      </c>
      <c r="G1101" s="93" t="s">
        <v>78</v>
      </c>
      <c r="H1101" t="s">
        <v>145</v>
      </c>
      <c r="I1101">
        <v>2</v>
      </c>
      <c r="J1101">
        <v>28.6</v>
      </c>
      <c r="K1101">
        <f>I1101*J1101</f>
        <v>57.2</v>
      </c>
      <c r="L1101">
        <v>40</v>
      </c>
      <c r="M1101">
        <f>(1-(L1101/100))*K1101</f>
        <v>34.32</v>
      </c>
      <c r="N1101" s="90">
        <v>1101</v>
      </c>
      <c r="O1101" s="90" t="s">
        <v>2785</v>
      </c>
    </row>
    <row r="1102" spans="1:21" x14ac:dyDescent="0.25">
      <c r="A1102" s="90" t="s">
        <v>2786</v>
      </c>
      <c r="B1102" s="119">
        <v>6</v>
      </c>
      <c r="C1102" s="90" t="s">
        <v>2780</v>
      </c>
      <c r="D1102" s="90" t="s">
        <v>80</v>
      </c>
      <c r="E1102">
        <v>2195</v>
      </c>
      <c r="F1102">
        <v>2196</v>
      </c>
      <c r="G1102" s="93" t="s">
        <v>78</v>
      </c>
      <c r="H1102" t="s">
        <v>143</v>
      </c>
      <c r="I1102">
        <v>2</v>
      </c>
      <c r="J1102">
        <v>27.17</v>
      </c>
      <c r="K1102">
        <f>I1102*J1102</f>
        <v>54.34</v>
      </c>
      <c r="L1102">
        <v>40</v>
      </c>
      <c r="M1102">
        <f>(1-(L1102/100))*K1102</f>
        <v>32.603999999999999</v>
      </c>
      <c r="N1102" s="90">
        <v>1102</v>
      </c>
      <c r="O1102" s="90" t="s">
        <v>2787</v>
      </c>
    </row>
    <row r="1103" spans="1:21" x14ac:dyDescent="0.25">
      <c r="A1103" s="90" t="s">
        <v>2788</v>
      </c>
      <c r="B1103" s="119">
        <v>3</v>
      </c>
      <c r="C1103" s="90" t="s">
        <v>2656</v>
      </c>
      <c r="D1103" s="90" t="s">
        <v>80</v>
      </c>
      <c r="E1103">
        <v>2200</v>
      </c>
      <c r="F1103">
        <v>2219</v>
      </c>
      <c r="G1103" s="93" t="s">
        <v>68</v>
      </c>
      <c r="H1103" t="s">
        <v>2789</v>
      </c>
      <c r="I1103">
        <v>1</v>
      </c>
      <c r="J1103">
        <f>SUM(K1104,K1107,K1109,K1111)</f>
        <v>12677.74146186</v>
      </c>
      <c r="K1103">
        <f>I1103*J1103</f>
        <v>12677.74146186</v>
      </c>
      <c r="L1103">
        <f>100*(1-(M1103/K1103))</f>
        <v>85.6</v>
      </c>
      <c r="M1103">
        <f>I1103*SUM(M1104,M1107,M1109,M1111)</f>
        <v>1825.5947705078402</v>
      </c>
      <c r="N1103" s="90">
        <v>1103</v>
      </c>
      <c r="O1103" s="90" t="s">
        <v>2790</v>
      </c>
      <c r="R1103" s="90" t="s">
        <v>6365</v>
      </c>
      <c r="S1103" s="90" t="s">
        <v>6668</v>
      </c>
      <c r="T1103" s="90" t="s">
        <v>6813</v>
      </c>
      <c r="U1103" s="90" t="s">
        <v>6517</v>
      </c>
    </row>
    <row r="1104" spans="1:21" x14ac:dyDescent="0.25">
      <c r="A1104" s="90" t="s">
        <v>2791</v>
      </c>
      <c r="B1104" s="119">
        <v>4</v>
      </c>
      <c r="C1104" s="90" t="s">
        <v>2788</v>
      </c>
      <c r="D1104" s="90" t="s">
        <v>78</v>
      </c>
      <c r="E1104">
        <v>2201</v>
      </c>
      <c r="F1104">
        <v>2206</v>
      </c>
      <c r="G1104" s="93" t="s">
        <v>68</v>
      </c>
      <c r="H1104" t="s">
        <v>364</v>
      </c>
      <c r="I1104">
        <v>1</v>
      </c>
      <c r="J1104">
        <f>SUM(K1105,K1106)</f>
        <v>2292.1176620400001</v>
      </c>
      <c r="K1104">
        <f>I1104*J1104</f>
        <v>2292.1176620400001</v>
      </c>
      <c r="L1104">
        <f>100*(1-(M1104/K1104))</f>
        <v>85.6</v>
      </c>
      <c r="M1104">
        <f>I1104*SUM(M1105,M1106)</f>
        <v>330.06494333376008</v>
      </c>
      <c r="N1104" s="90">
        <v>1104</v>
      </c>
      <c r="O1104" s="90" t="s">
        <v>2792</v>
      </c>
      <c r="R1104" s="90" t="s">
        <v>4413</v>
      </c>
      <c r="S1104" s="90" t="s">
        <v>5477</v>
      </c>
      <c r="T1104" s="90" t="s">
        <v>5975</v>
      </c>
      <c r="U1104" s="90" t="s">
        <v>4953</v>
      </c>
    </row>
    <row r="1105" spans="1:21" x14ac:dyDescent="0.25">
      <c r="A1105" s="90" t="s">
        <v>2793</v>
      </c>
      <c r="B1105" s="119">
        <v>5</v>
      </c>
      <c r="C1105" s="90" t="s">
        <v>2791</v>
      </c>
      <c r="D1105" s="90" t="s">
        <v>78</v>
      </c>
      <c r="E1105">
        <v>2202</v>
      </c>
      <c r="F1105">
        <v>2203</v>
      </c>
      <c r="G1105" s="93" t="s">
        <v>78</v>
      </c>
      <c r="H1105" t="s">
        <v>366</v>
      </c>
      <c r="I1105">
        <v>1</v>
      </c>
      <c r="J1105">
        <v>509.35948044999998</v>
      </c>
      <c r="K1105">
        <f>I1105*J1105</f>
        <v>509.35948044999998</v>
      </c>
      <c r="L1105">
        <v>85.6</v>
      </c>
      <c r="M1105">
        <f>(1-(L1105/100))*K1105</f>
        <v>73.347765184800011</v>
      </c>
      <c r="N1105" s="90">
        <v>1105</v>
      </c>
      <c r="O1105" s="90" t="s">
        <v>2794</v>
      </c>
    </row>
    <row r="1106" spans="1:21" x14ac:dyDescent="0.25">
      <c r="A1106" s="90" t="s">
        <v>2795</v>
      </c>
      <c r="B1106" s="119">
        <v>5</v>
      </c>
      <c r="C1106" s="90" t="s">
        <v>2791</v>
      </c>
      <c r="D1106" s="90" t="s">
        <v>79</v>
      </c>
      <c r="E1106">
        <v>2204</v>
      </c>
      <c r="F1106">
        <v>2205</v>
      </c>
      <c r="G1106" s="93" t="s">
        <v>78</v>
      </c>
      <c r="H1106" t="s">
        <v>368</v>
      </c>
      <c r="I1106">
        <v>1</v>
      </c>
      <c r="J1106">
        <v>1782.75818159</v>
      </c>
      <c r="K1106">
        <f>I1106*J1106</f>
        <v>1782.75818159</v>
      </c>
      <c r="L1106">
        <v>85.6</v>
      </c>
      <c r="M1106">
        <f>(1-(L1106/100))*K1106</f>
        <v>256.71717814896004</v>
      </c>
      <c r="N1106" s="90">
        <v>1106</v>
      </c>
      <c r="O1106" s="90" t="s">
        <v>2796</v>
      </c>
    </row>
    <row r="1107" spans="1:21" x14ac:dyDescent="0.25">
      <c r="A1107" s="90" t="s">
        <v>2797</v>
      </c>
      <c r="B1107" s="119">
        <v>4</v>
      </c>
      <c r="C1107" s="90" t="s">
        <v>2788</v>
      </c>
      <c r="D1107" s="90" t="s">
        <v>79</v>
      </c>
      <c r="E1107">
        <v>2207</v>
      </c>
      <c r="F1107">
        <v>2210</v>
      </c>
      <c r="G1107" s="93" t="s">
        <v>68</v>
      </c>
      <c r="H1107" t="s">
        <v>379</v>
      </c>
      <c r="I1107">
        <v>1</v>
      </c>
      <c r="J1107">
        <f>SUM(K1108)</f>
        <v>303.06889087000002</v>
      </c>
      <c r="K1107">
        <f>I1107*J1107</f>
        <v>303.06889087000002</v>
      </c>
      <c r="L1107">
        <f>100*(1-(M1107/K1107))</f>
        <v>85.6</v>
      </c>
      <c r="M1107">
        <f>I1107*SUM(M1108)</f>
        <v>43.641920285280008</v>
      </c>
      <c r="N1107" s="90">
        <v>1107</v>
      </c>
      <c r="O1107" s="90" t="s">
        <v>2798</v>
      </c>
      <c r="R1107" s="90" t="s">
        <v>4414</v>
      </c>
      <c r="S1107" s="90" t="s">
        <v>5478</v>
      </c>
      <c r="T1107" s="90" t="s">
        <v>5976</v>
      </c>
      <c r="U1107" s="90" t="s">
        <v>4954</v>
      </c>
    </row>
    <row r="1108" spans="1:21" x14ac:dyDescent="0.25">
      <c r="A1108" s="90" t="s">
        <v>2799</v>
      </c>
      <c r="B1108" s="119">
        <v>5</v>
      </c>
      <c r="C1108" s="90" t="s">
        <v>2797</v>
      </c>
      <c r="D1108" s="90" t="s">
        <v>78</v>
      </c>
      <c r="E1108">
        <v>2208</v>
      </c>
      <c r="F1108">
        <v>2209</v>
      </c>
      <c r="G1108" s="93" t="s">
        <v>78</v>
      </c>
      <c r="H1108" t="s">
        <v>381</v>
      </c>
      <c r="I1108">
        <v>1</v>
      </c>
      <c r="J1108">
        <v>303.06889087000002</v>
      </c>
      <c r="K1108">
        <f>I1108*J1108</f>
        <v>303.06889087000002</v>
      </c>
      <c r="L1108">
        <v>85.6</v>
      </c>
      <c r="M1108">
        <f>(1-(L1108/100))*K1108</f>
        <v>43.641920285280008</v>
      </c>
      <c r="N1108" s="90">
        <v>1108</v>
      </c>
      <c r="O1108" s="90" t="s">
        <v>2800</v>
      </c>
    </row>
    <row r="1109" spans="1:21" x14ac:dyDescent="0.25">
      <c r="A1109" s="90" t="s">
        <v>2801</v>
      </c>
      <c r="B1109" s="119">
        <v>4</v>
      </c>
      <c r="C1109" s="90" t="s">
        <v>2788</v>
      </c>
      <c r="D1109" s="90" t="s">
        <v>80</v>
      </c>
      <c r="E1109">
        <v>2211</v>
      </c>
      <c r="F1109">
        <v>2214</v>
      </c>
      <c r="G1109" s="93" t="s">
        <v>68</v>
      </c>
      <c r="H1109" t="s">
        <v>383</v>
      </c>
      <c r="I1109">
        <v>1</v>
      </c>
      <c r="J1109">
        <f>SUM(K1110)</f>
        <v>1069.6549089499999</v>
      </c>
      <c r="K1109">
        <f>I1109*J1109</f>
        <v>1069.6549089499999</v>
      </c>
      <c r="L1109">
        <f>100*(1-(M1109/K1109))</f>
        <v>85.6</v>
      </c>
      <c r="M1109">
        <f>I1109*SUM(M1110)</f>
        <v>154.0303068888</v>
      </c>
      <c r="N1109" s="90">
        <v>1109</v>
      </c>
      <c r="O1109" s="90" t="s">
        <v>2802</v>
      </c>
      <c r="R1109" s="90" t="s">
        <v>4415</v>
      </c>
      <c r="S1109" s="90" t="s">
        <v>5479</v>
      </c>
      <c r="T1109" s="90" t="s">
        <v>5977</v>
      </c>
      <c r="U1109" s="90" t="s">
        <v>4955</v>
      </c>
    </row>
    <row r="1110" spans="1:21" x14ac:dyDescent="0.25">
      <c r="A1110" s="90" t="s">
        <v>2803</v>
      </c>
      <c r="B1110" s="119">
        <v>5</v>
      </c>
      <c r="C1110" s="90" t="s">
        <v>2801</v>
      </c>
      <c r="D1110" s="90" t="s">
        <v>78</v>
      </c>
      <c r="E1110">
        <v>2212</v>
      </c>
      <c r="F1110">
        <v>2213</v>
      </c>
      <c r="G1110" s="93" t="s">
        <v>78</v>
      </c>
      <c r="H1110" t="s">
        <v>385</v>
      </c>
      <c r="I1110">
        <v>1</v>
      </c>
      <c r="J1110">
        <v>1069.6549089499999</v>
      </c>
      <c r="K1110">
        <f>I1110*J1110</f>
        <v>1069.6549089499999</v>
      </c>
      <c r="L1110">
        <v>85.6</v>
      </c>
      <c r="M1110">
        <f>(1-(L1110/100))*K1110</f>
        <v>154.0303068888</v>
      </c>
      <c r="N1110" s="90">
        <v>1110</v>
      </c>
      <c r="O1110" s="90" t="s">
        <v>2804</v>
      </c>
    </row>
    <row r="1111" spans="1:21" x14ac:dyDescent="0.25">
      <c r="A1111" s="90" t="s">
        <v>2805</v>
      </c>
      <c r="B1111" s="119">
        <v>4</v>
      </c>
      <c r="C1111" s="90" t="s">
        <v>2788</v>
      </c>
      <c r="D1111" s="90" t="s">
        <v>95</v>
      </c>
      <c r="E1111">
        <v>2215</v>
      </c>
      <c r="F1111">
        <v>2218</v>
      </c>
      <c r="G1111" s="93" t="s">
        <v>68</v>
      </c>
      <c r="H1111" t="s">
        <v>387</v>
      </c>
      <c r="I1111">
        <v>1</v>
      </c>
      <c r="J1111">
        <f>SUM(K1112)</f>
        <v>9012.9</v>
      </c>
      <c r="K1111">
        <f>I1111*J1111</f>
        <v>9012.9</v>
      </c>
      <c r="L1111">
        <f>100*(1-(M1111/K1111))</f>
        <v>85.6</v>
      </c>
      <c r="M1111">
        <f>I1111*SUM(M1112)</f>
        <v>1297.8576</v>
      </c>
      <c r="N1111" s="90">
        <v>1111</v>
      </c>
      <c r="O1111" s="90" t="s">
        <v>2806</v>
      </c>
      <c r="R1111" s="90" t="s">
        <v>4416</v>
      </c>
      <c r="S1111" s="90" t="s">
        <v>5480</v>
      </c>
      <c r="T1111" s="90" t="s">
        <v>5978</v>
      </c>
      <c r="U1111" s="90" t="s">
        <v>4956</v>
      </c>
    </row>
    <row r="1112" spans="1:21" x14ac:dyDescent="0.25">
      <c r="A1112" s="90" t="s">
        <v>2807</v>
      </c>
      <c r="B1112" s="119">
        <v>5</v>
      </c>
      <c r="C1112" s="90" t="s">
        <v>2805</v>
      </c>
      <c r="D1112" s="90" t="s">
        <v>78</v>
      </c>
      <c r="E1112">
        <v>2216</v>
      </c>
      <c r="F1112">
        <v>2217</v>
      </c>
      <c r="G1112" s="93" t="s">
        <v>78</v>
      </c>
      <c r="H1112" t="s">
        <v>389</v>
      </c>
      <c r="I1112">
        <v>1</v>
      </c>
      <c r="J1112">
        <v>9012.9</v>
      </c>
      <c r="K1112">
        <f>I1112*J1112</f>
        <v>9012.9</v>
      </c>
      <c r="L1112">
        <v>85.6</v>
      </c>
      <c r="M1112">
        <f>(1-(L1112/100))*K1112</f>
        <v>1297.8576</v>
      </c>
      <c r="N1112" s="90">
        <v>1112</v>
      </c>
      <c r="O1112" s="90" t="s">
        <v>2808</v>
      </c>
    </row>
    <row r="1113" spans="1:21" x14ac:dyDescent="0.25">
      <c r="A1113" s="90" t="s">
        <v>2809</v>
      </c>
      <c r="B1113" s="119">
        <v>3</v>
      </c>
      <c r="C1113" s="90" t="s">
        <v>2656</v>
      </c>
      <c r="D1113" s="90" t="s">
        <v>95</v>
      </c>
      <c r="E1113">
        <v>2220</v>
      </c>
      <c r="F1113">
        <v>2225</v>
      </c>
      <c r="G1113" s="93" t="s">
        <v>68</v>
      </c>
      <c r="H1113" t="s">
        <v>2810</v>
      </c>
      <c r="I1113">
        <v>1</v>
      </c>
      <c r="J1113">
        <f>SUM(K1114)</f>
        <v>333.63045970000002</v>
      </c>
      <c r="K1113">
        <f>I1113*J1113</f>
        <v>333.63045970000002</v>
      </c>
      <c r="L1113">
        <f>100*(1-(M1113/K1113))</f>
        <v>85.6</v>
      </c>
      <c r="M1113">
        <f>I1113*SUM(M1114)</f>
        <v>48.042786196800009</v>
      </c>
      <c r="N1113" s="90">
        <v>1113</v>
      </c>
      <c r="O1113" s="90" t="s">
        <v>2811</v>
      </c>
      <c r="R1113" s="90" t="s">
        <v>6366</v>
      </c>
      <c r="S1113" s="90" t="s">
        <v>6669</v>
      </c>
      <c r="T1113" s="90" t="s">
        <v>6814</v>
      </c>
      <c r="U1113" s="90" t="s">
        <v>6518</v>
      </c>
    </row>
    <row r="1114" spans="1:21" x14ac:dyDescent="0.25">
      <c r="A1114" s="90" t="s">
        <v>2812</v>
      </c>
      <c r="B1114" s="119">
        <v>4</v>
      </c>
      <c r="C1114" s="90" t="s">
        <v>2809</v>
      </c>
      <c r="D1114" s="90" t="s">
        <v>78</v>
      </c>
      <c r="E1114">
        <v>2221</v>
      </c>
      <c r="F1114">
        <v>2224</v>
      </c>
      <c r="G1114" s="93" t="s">
        <v>68</v>
      </c>
      <c r="H1114" t="s">
        <v>399</v>
      </c>
      <c r="I1114">
        <v>1</v>
      </c>
      <c r="J1114">
        <f>SUM(K1115)</f>
        <v>333.63045970000002</v>
      </c>
      <c r="K1114">
        <f>I1114*J1114</f>
        <v>333.63045970000002</v>
      </c>
      <c r="L1114">
        <f>100*(1-(M1114/K1114))</f>
        <v>85.6</v>
      </c>
      <c r="M1114">
        <f>I1114*SUM(M1115)</f>
        <v>48.042786196800009</v>
      </c>
      <c r="N1114" s="90">
        <v>1114</v>
      </c>
      <c r="O1114" s="90" t="s">
        <v>2813</v>
      </c>
      <c r="R1114" s="90" t="s">
        <v>4417</v>
      </c>
      <c r="S1114" s="90" t="s">
        <v>5481</v>
      </c>
      <c r="T1114" s="90" t="s">
        <v>5979</v>
      </c>
      <c r="U1114" s="90" t="s">
        <v>4957</v>
      </c>
    </row>
    <row r="1115" spans="1:21" x14ac:dyDescent="0.25">
      <c r="A1115" s="90" t="s">
        <v>2814</v>
      </c>
      <c r="B1115" s="119">
        <v>5</v>
      </c>
      <c r="C1115" s="90" t="s">
        <v>2812</v>
      </c>
      <c r="D1115" s="90" t="s">
        <v>78</v>
      </c>
      <c r="E1115">
        <v>2222</v>
      </c>
      <c r="F1115">
        <v>2223</v>
      </c>
      <c r="G1115" s="93" t="s">
        <v>78</v>
      </c>
      <c r="H1115" t="s">
        <v>401</v>
      </c>
      <c r="I1115">
        <v>1</v>
      </c>
      <c r="J1115">
        <v>333.63045970000002</v>
      </c>
      <c r="K1115">
        <f>I1115*J1115</f>
        <v>333.63045970000002</v>
      </c>
      <c r="L1115">
        <v>85.6</v>
      </c>
      <c r="M1115">
        <f>(1-(L1115/100))*K1115</f>
        <v>48.042786196800009</v>
      </c>
      <c r="N1115" s="90">
        <v>1115</v>
      </c>
      <c r="O1115" s="90" t="s">
        <v>2815</v>
      </c>
    </row>
    <row r="1116" spans="1:21" x14ac:dyDescent="0.25">
      <c r="A1116" s="90" t="s">
        <v>2816</v>
      </c>
      <c r="B1116" s="119">
        <v>3</v>
      </c>
      <c r="C1116" s="90" t="s">
        <v>2656</v>
      </c>
      <c r="D1116" s="90" t="s">
        <v>96</v>
      </c>
      <c r="E1116">
        <v>2226</v>
      </c>
      <c r="F1116">
        <v>2231</v>
      </c>
      <c r="G1116" s="93" t="s">
        <v>68</v>
      </c>
      <c r="H1116" t="s">
        <v>2817</v>
      </c>
      <c r="I1116">
        <v>1</v>
      </c>
      <c r="J1116">
        <f>SUM(K1117)</f>
        <v>1324.33464918</v>
      </c>
      <c r="K1116">
        <f>I1116*J1116</f>
        <v>1324.33464918</v>
      </c>
      <c r="L1116">
        <f>100*(1-(M1116/K1116))</f>
        <v>85.6</v>
      </c>
      <c r="M1116">
        <f>I1116*SUM(M1117)</f>
        <v>190.70418948192003</v>
      </c>
      <c r="N1116" s="90">
        <v>1116</v>
      </c>
      <c r="O1116" s="90" t="s">
        <v>2818</v>
      </c>
      <c r="R1116" s="90" t="s">
        <v>6367</v>
      </c>
      <c r="S1116" s="90" t="s">
        <v>6670</v>
      </c>
      <c r="T1116" s="90" t="s">
        <v>6815</v>
      </c>
      <c r="U1116" s="90" t="s">
        <v>6519</v>
      </c>
    </row>
    <row r="1117" spans="1:21" x14ac:dyDescent="0.25">
      <c r="A1117" s="90" t="s">
        <v>2819</v>
      </c>
      <c r="B1117" s="119">
        <v>4</v>
      </c>
      <c r="C1117" s="90" t="s">
        <v>2816</v>
      </c>
      <c r="D1117" s="90" t="s">
        <v>78</v>
      </c>
      <c r="E1117">
        <v>2227</v>
      </c>
      <c r="F1117">
        <v>2230</v>
      </c>
      <c r="G1117" s="93" t="s">
        <v>68</v>
      </c>
      <c r="H1117" t="s">
        <v>418</v>
      </c>
      <c r="I1117">
        <v>1</v>
      </c>
      <c r="J1117">
        <f>SUM(K1118)</f>
        <v>1324.33464918</v>
      </c>
      <c r="K1117">
        <f>I1117*J1117</f>
        <v>1324.33464918</v>
      </c>
      <c r="L1117">
        <f>100*(1-(M1117/K1117))</f>
        <v>85.6</v>
      </c>
      <c r="M1117">
        <f>I1117*SUM(M1118)</f>
        <v>190.70418948192003</v>
      </c>
      <c r="N1117" s="90">
        <v>1117</v>
      </c>
      <c r="O1117" s="90" t="s">
        <v>2820</v>
      </c>
      <c r="R1117" s="90" t="s">
        <v>4418</v>
      </c>
      <c r="S1117" s="90" t="s">
        <v>5482</v>
      </c>
      <c r="T1117" s="90" t="s">
        <v>5980</v>
      </c>
      <c r="U1117" s="90" t="s">
        <v>4958</v>
      </c>
    </row>
    <row r="1118" spans="1:21" x14ac:dyDescent="0.25">
      <c r="A1118" s="90" t="s">
        <v>2821</v>
      </c>
      <c r="B1118" s="119">
        <v>5</v>
      </c>
      <c r="C1118" s="90" t="s">
        <v>2819</v>
      </c>
      <c r="D1118" s="90" t="s">
        <v>78</v>
      </c>
      <c r="E1118">
        <v>2228</v>
      </c>
      <c r="F1118">
        <v>2229</v>
      </c>
      <c r="G1118" s="93" t="s">
        <v>78</v>
      </c>
      <c r="H1118" t="s">
        <v>419</v>
      </c>
      <c r="I1118">
        <v>1</v>
      </c>
      <c r="J1118">
        <v>1324.33464918</v>
      </c>
      <c r="K1118">
        <f>I1118*J1118</f>
        <v>1324.33464918</v>
      </c>
      <c r="L1118">
        <v>85.6</v>
      </c>
      <c r="M1118">
        <f>(1-(L1118/100))*K1118</f>
        <v>190.70418948192003</v>
      </c>
      <c r="N1118" s="90">
        <v>1118</v>
      </c>
      <c r="O1118" s="90" t="s">
        <v>2822</v>
      </c>
    </row>
    <row r="1119" spans="1:21" x14ac:dyDescent="0.25">
      <c r="A1119" s="90" t="s">
        <v>2823</v>
      </c>
      <c r="B1119" s="119">
        <v>2</v>
      </c>
      <c r="C1119" s="90" t="s">
        <v>78</v>
      </c>
      <c r="D1119" s="90" t="s">
        <v>85</v>
      </c>
      <c r="E1119">
        <v>2233</v>
      </c>
      <c r="F1119">
        <v>2376</v>
      </c>
      <c r="G1119" s="93" t="s">
        <v>68</v>
      </c>
      <c r="H1119" t="s">
        <v>2824</v>
      </c>
      <c r="I1119">
        <v>1</v>
      </c>
      <c r="J1119">
        <f>SUM(K1120,K1164,K1175,K1185,K1188)</f>
        <v>74128.473871140013</v>
      </c>
      <c r="K1119">
        <f>I1119*J1119</f>
        <v>74128.473871140013</v>
      </c>
      <c r="L1119">
        <f>100*(1-(M1119/K1119))</f>
        <v>48.818584620561701</v>
      </c>
      <c r="M1119">
        <f>I1119*SUM(M1120,M1164,M1175,M1185,M1188)</f>
        <v>37940.00212642656</v>
      </c>
      <c r="N1119" s="90">
        <v>1119</v>
      </c>
      <c r="O1119" s="90" t="s">
        <v>2825</v>
      </c>
      <c r="R1119" s="90" t="s">
        <v>6935</v>
      </c>
      <c r="S1119" s="90" t="s">
        <v>7032</v>
      </c>
      <c r="T1119" s="90" t="s">
        <v>7078</v>
      </c>
      <c r="U1119" s="90" t="s">
        <v>6984</v>
      </c>
    </row>
    <row r="1120" spans="1:21" x14ac:dyDescent="0.25">
      <c r="A1120" s="90" t="s">
        <v>2826</v>
      </c>
      <c r="B1120" s="119">
        <v>3</v>
      </c>
      <c r="C1120" s="90" t="s">
        <v>2823</v>
      </c>
      <c r="D1120" s="90" t="s">
        <v>78</v>
      </c>
      <c r="E1120">
        <v>2234</v>
      </c>
      <c r="F1120">
        <v>2321</v>
      </c>
      <c r="G1120" s="93" t="s">
        <v>68</v>
      </c>
      <c r="H1120" t="s">
        <v>2827</v>
      </c>
      <c r="I1120">
        <v>1</v>
      </c>
      <c r="J1120">
        <f>SUM(K1121,K1123,K1125,K1127,K1129,K1131,K1133,K1138,K1140,K1142,K1144,K1146,K1148,K1150,K1152,K1162)</f>
        <v>50928.470392220013</v>
      </c>
      <c r="K1120">
        <f>I1120*J1120</f>
        <v>50928.470392220013</v>
      </c>
      <c r="L1120">
        <f>100*(1-(M1120/K1120))</f>
        <v>40.000000000000021</v>
      </c>
      <c r="M1120">
        <f>I1120*SUM(M1121,M1123,M1125,M1127,M1129,M1131,M1133,M1138,M1140,M1142,M1144,M1146,M1148,M1150,M1152,M1162)</f>
        <v>30557.082235331996</v>
      </c>
      <c r="N1120" s="90">
        <v>1120</v>
      </c>
      <c r="O1120" s="90" t="s">
        <v>2828</v>
      </c>
      <c r="R1120" s="90" t="s">
        <v>6368</v>
      </c>
      <c r="S1120" s="90" t="s">
        <v>6671</v>
      </c>
      <c r="T1120" s="90" t="s">
        <v>6816</v>
      </c>
      <c r="U1120" s="90" t="s">
        <v>6520</v>
      </c>
    </row>
    <row r="1121" spans="1:21" x14ac:dyDescent="0.25">
      <c r="A1121" s="90" t="s">
        <v>2829</v>
      </c>
      <c r="B1121" s="119">
        <v>4</v>
      </c>
      <c r="C1121" s="90" t="s">
        <v>2826</v>
      </c>
      <c r="D1121" s="90" t="s">
        <v>78</v>
      </c>
      <c r="E1121">
        <v>2235</v>
      </c>
      <c r="F1121">
        <v>2238</v>
      </c>
      <c r="G1121" s="93" t="s">
        <v>68</v>
      </c>
      <c r="H1121" t="s">
        <v>1815</v>
      </c>
      <c r="I1121">
        <v>1</v>
      </c>
      <c r="J1121">
        <f>SUM(K1122)</f>
        <v>491.93938622000002</v>
      </c>
      <c r="K1121">
        <f>I1121*J1121</f>
        <v>491.93938622000002</v>
      </c>
      <c r="L1121">
        <f>100*(1-(M1121/K1121))</f>
        <v>40</v>
      </c>
      <c r="M1121">
        <f>I1121*SUM(M1122)</f>
        <v>295.163631732</v>
      </c>
      <c r="N1121" s="90">
        <v>1121</v>
      </c>
      <c r="O1121" s="90" t="s">
        <v>2830</v>
      </c>
      <c r="R1121" s="90" t="s">
        <v>4419</v>
      </c>
      <c r="S1121" s="90" t="s">
        <v>5483</v>
      </c>
      <c r="T1121" s="90" t="s">
        <v>5981</v>
      </c>
      <c r="U1121" s="90" t="s">
        <v>4959</v>
      </c>
    </row>
    <row r="1122" spans="1:21" x14ac:dyDescent="0.25">
      <c r="A1122" s="90" t="s">
        <v>2831</v>
      </c>
      <c r="B1122" s="119">
        <v>5</v>
      </c>
      <c r="C1122" s="90" t="s">
        <v>2829</v>
      </c>
      <c r="D1122" s="90" t="s">
        <v>78</v>
      </c>
      <c r="E1122">
        <v>2236</v>
      </c>
      <c r="F1122">
        <v>2237</v>
      </c>
      <c r="G1122" s="93" t="s">
        <v>78</v>
      </c>
      <c r="H1122" t="s">
        <v>126</v>
      </c>
      <c r="I1122">
        <v>1</v>
      </c>
      <c r="J1122">
        <v>491.93938622000002</v>
      </c>
      <c r="K1122">
        <f>I1122*J1122</f>
        <v>491.93938622000002</v>
      </c>
      <c r="L1122">
        <v>40</v>
      </c>
      <c r="M1122">
        <f>(1-(L1122/100))*K1122</f>
        <v>295.163631732</v>
      </c>
      <c r="N1122" s="90">
        <v>1122</v>
      </c>
      <c r="O1122" s="90" t="s">
        <v>2832</v>
      </c>
    </row>
    <row r="1123" spans="1:21" x14ac:dyDescent="0.25">
      <c r="A1123" s="90" t="s">
        <v>2833</v>
      </c>
      <c r="B1123" s="119">
        <v>4</v>
      </c>
      <c r="C1123" s="90" t="s">
        <v>2826</v>
      </c>
      <c r="D1123" s="90" t="s">
        <v>79</v>
      </c>
      <c r="E1123">
        <v>2239</v>
      </c>
      <c r="F1123">
        <v>2242</v>
      </c>
      <c r="G1123" s="93" t="s">
        <v>68</v>
      </c>
      <c r="H1123" t="s">
        <v>1818</v>
      </c>
      <c r="I1123">
        <v>2</v>
      </c>
      <c r="J1123">
        <f>SUM(K1124)</f>
        <v>313.76543995999998</v>
      </c>
      <c r="K1123">
        <f>I1123*J1123</f>
        <v>627.53087991999996</v>
      </c>
      <c r="L1123">
        <f>100*(1-(M1123/K1123))</f>
        <v>40</v>
      </c>
      <c r="M1123">
        <f>I1123*SUM(M1124)</f>
        <v>376.51852795199994</v>
      </c>
      <c r="N1123" s="90">
        <v>1123</v>
      </c>
      <c r="O1123" s="90" t="s">
        <v>2834</v>
      </c>
      <c r="R1123" s="90" t="s">
        <v>4428</v>
      </c>
      <c r="S1123" s="90" t="s">
        <v>5492</v>
      </c>
      <c r="T1123" s="90" t="s">
        <v>5990</v>
      </c>
      <c r="U1123" s="90" t="s">
        <v>4968</v>
      </c>
    </row>
    <row r="1124" spans="1:21" x14ac:dyDescent="0.25">
      <c r="A1124" s="90" t="s">
        <v>2835</v>
      </c>
      <c r="B1124" s="119">
        <v>5</v>
      </c>
      <c r="C1124" s="90" t="s">
        <v>2833</v>
      </c>
      <c r="D1124" s="90" t="s">
        <v>78</v>
      </c>
      <c r="E1124">
        <v>2240</v>
      </c>
      <c r="F1124">
        <v>2241</v>
      </c>
      <c r="G1124" s="93" t="s">
        <v>78</v>
      </c>
      <c r="H1124" t="s">
        <v>123</v>
      </c>
      <c r="I1124">
        <v>1</v>
      </c>
      <c r="J1124">
        <v>313.76543995999998</v>
      </c>
      <c r="K1124">
        <f>I1124*J1124</f>
        <v>313.76543995999998</v>
      </c>
      <c r="L1124">
        <v>40</v>
      </c>
      <c r="M1124">
        <f>(1-(L1124/100))*K1124</f>
        <v>188.25926397599997</v>
      </c>
      <c r="N1124" s="90">
        <v>1124</v>
      </c>
      <c r="O1124" s="90" t="s">
        <v>2836</v>
      </c>
    </row>
    <row r="1125" spans="1:21" x14ac:dyDescent="0.25">
      <c r="A1125" s="90" t="s">
        <v>2837</v>
      </c>
      <c r="B1125" s="119">
        <v>4</v>
      </c>
      <c r="C1125" s="90" t="s">
        <v>2826</v>
      </c>
      <c r="D1125" s="90" t="s">
        <v>80</v>
      </c>
      <c r="E1125">
        <v>2243</v>
      </c>
      <c r="F1125">
        <v>2246</v>
      </c>
      <c r="G1125" s="93" t="s">
        <v>68</v>
      </c>
      <c r="H1125" t="s">
        <v>1235</v>
      </c>
      <c r="I1125">
        <v>2</v>
      </c>
      <c r="J1125">
        <f>SUM(K1126)</f>
        <v>37.44</v>
      </c>
      <c r="K1125">
        <f>I1125*J1125</f>
        <v>74.88</v>
      </c>
      <c r="L1125">
        <f>100*(1-(M1125/K1125))</f>
        <v>40</v>
      </c>
      <c r="M1125">
        <f>I1125*SUM(M1126)</f>
        <v>44.927999999999997</v>
      </c>
      <c r="N1125" s="90">
        <v>1125</v>
      </c>
      <c r="O1125" s="90" t="s">
        <v>2838</v>
      </c>
      <c r="R1125" s="90" t="s">
        <v>4429</v>
      </c>
      <c r="S1125" s="90" t="s">
        <v>5493</v>
      </c>
      <c r="T1125" s="90" t="s">
        <v>5991</v>
      </c>
      <c r="U1125" s="90" t="s">
        <v>4969</v>
      </c>
    </row>
    <row r="1126" spans="1:21" x14ac:dyDescent="0.25">
      <c r="A1126" s="90" t="s">
        <v>2839</v>
      </c>
      <c r="B1126" s="119">
        <v>5</v>
      </c>
      <c r="C1126" s="90" t="s">
        <v>2837</v>
      </c>
      <c r="D1126" s="90" t="s">
        <v>78</v>
      </c>
      <c r="E1126">
        <v>2244</v>
      </c>
      <c r="F1126">
        <v>2245</v>
      </c>
      <c r="G1126" s="93" t="s">
        <v>78</v>
      </c>
      <c r="H1126" t="s">
        <v>1235</v>
      </c>
      <c r="I1126">
        <v>1</v>
      </c>
      <c r="J1126">
        <v>37.44</v>
      </c>
      <c r="K1126">
        <f>I1126*J1126</f>
        <v>37.44</v>
      </c>
      <c r="L1126">
        <v>40</v>
      </c>
      <c r="M1126">
        <f>(1-(L1126/100))*K1126</f>
        <v>22.463999999999999</v>
      </c>
      <c r="N1126" s="90">
        <v>1126</v>
      </c>
      <c r="O1126" s="90" t="s">
        <v>2840</v>
      </c>
    </row>
    <row r="1127" spans="1:21" x14ac:dyDescent="0.25">
      <c r="A1127" s="90" t="s">
        <v>2841</v>
      </c>
      <c r="B1127" s="119">
        <v>4</v>
      </c>
      <c r="C1127" s="90" t="s">
        <v>2826</v>
      </c>
      <c r="D1127" s="90" t="s">
        <v>95</v>
      </c>
      <c r="E1127">
        <v>2247</v>
      </c>
      <c r="F1127">
        <v>2250</v>
      </c>
      <c r="G1127" s="93" t="s">
        <v>68</v>
      </c>
      <c r="H1127" t="s">
        <v>1240</v>
      </c>
      <c r="I1127">
        <v>1</v>
      </c>
      <c r="J1127">
        <f>SUM(K1128)</f>
        <v>700.36928562000003</v>
      </c>
      <c r="K1127">
        <f>I1127*J1127</f>
        <v>700.36928562000003</v>
      </c>
      <c r="L1127">
        <f>100*(1-(M1127/K1127))</f>
        <v>40</v>
      </c>
      <c r="M1127">
        <f>I1127*SUM(M1128)</f>
        <v>420.22157137200003</v>
      </c>
      <c r="N1127" s="90">
        <v>1127</v>
      </c>
      <c r="O1127" s="90" t="s">
        <v>2842</v>
      </c>
      <c r="R1127" s="90" t="s">
        <v>4430</v>
      </c>
      <c r="S1127" s="90" t="s">
        <v>5494</v>
      </c>
      <c r="T1127" s="90" t="s">
        <v>5992</v>
      </c>
      <c r="U1127" s="90" t="s">
        <v>4970</v>
      </c>
    </row>
    <row r="1128" spans="1:21" x14ac:dyDescent="0.25">
      <c r="A1128" s="90" t="s">
        <v>2843</v>
      </c>
      <c r="B1128" s="119">
        <v>5</v>
      </c>
      <c r="C1128" s="90" t="s">
        <v>2841</v>
      </c>
      <c r="D1128" s="90" t="s">
        <v>78</v>
      </c>
      <c r="E1128">
        <v>2248</v>
      </c>
      <c r="F1128">
        <v>2249</v>
      </c>
      <c r="G1128" s="93" t="s">
        <v>78</v>
      </c>
      <c r="H1128" t="s">
        <v>1243</v>
      </c>
      <c r="I1128">
        <v>1</v>
      </c>
      <c r="J1128">
        <v>700.36928562000003</v>
      </c>
      <c r="K1128">
        <f>I1128*J1128</f>
        <v>700.36928562000003</v>
      </c>
      <c r="L1128">
        <v>40</v>
      </c>
      <c r="M1128">
        <f>(1-(L1128/100))*K1128</f>
        <v>420.22157137200003</v>
      </c>
      <c r="N1128" s="90">
        <v>1128</v>
      </c>
      <c r="O1128" s="90" t="s">
        <v>2844</v>
      </c>
    </row>
    <row r="1129" spans="1:21" x14ac:dyDescent="0.25">
      <c r="A1129" s="90" t="s">
        <v>2845</v>
      </c>
      <c r="B1129" s="119">
        <v>4</v>
      </c>
      <c r="C1129" s="90" t="s">
        <v>2826</v>
      </c>
      <c r="D1129" s="90" t="s">
        <v>96</v>
      </c>
      <c r="E1129">
        <v>2251</v>
      </c>
      <c r="F1129">
        <v>2254</v>
      </c>
      <c r="G1129" s="93" t="s">
        <v>68</v>
      </c>
      <c r="H1129" t="s">
        <v>1246</v>
      </c>
      <c r="I1129">
        <v>2</v>
      </c>
      <c r="J1129">
        <f>SUM(K1130)</f>
        <v>967.93582071000003</v>
      </c>
      <c r="K1129">
        <f>I1129*J1129</f>
        <v>1935.8716414200001</v>
      </c>
      <c r="L1129">
        <f>100*(1-(M1129/K1129))</f>
        <v>40</v>
      </c>
      <c r="M1129">
        <f>I1129*SUM(M1130)</f>
        <v>1161.522984852</v>
      </c>
      <c r="N1129" s="90">
        <v>1129</v>
      </c>
      <c r="O1129" s="90" t="s">
        <v>2846</v>
      </c>
      <c r="R1129" s="90" t="s">
        <v>4431</v>
      </c>
      <c r="S1129" s="90" t="s">
        <v>5495</v>
      </c>
      <c r="T1129" s="90" t="s">
        <v>5993</v>
      </c>
      <c r="U1129" s="90" t="s">
        <v>4971</v>
      </c>
    </row>
    <row r="1130" spans="1:21" x14ac:dyDescent="0.25">
      <c r="A1130" s="90" t="s">
        <v>2847</v>
      </c>
      <c r="B1130" s="119">
        <v>5</v>
      </c>
      <c r="C1130" s="90" t="s">
        <v>2845</v>
      </c>
      <c r="D1130" s="90" t="s">
        <v>78</v>
      </c>
      <c r="E1130">
        <v>2252</v>
      </c>
      <c r="F1130">
        <v>2253</v>
      </c>
      <c r="G1130" s="93" t="s">
        <v>78</v>
      </c>
      <c r="H1130" t="s">
        <v>120</v>
      </c>
      <c r="I1130">
        <v>1</v>
      </c>
      <c r="J1130">
        <v>967.93582071000003</v>
      </c>
      <c r="K1130">
        <f>I1130*J1130</f>
        <v>967.93582071000003</v>
      </c>
      <c r="L1130">
        <v>40</v>
      </c>
      <c r="M1130">
        <f>(1-(L1130/100))*K1130</f>
        <v>580.76149242600002</v>
      </c>
      <c r="N1130" s="90">
        <v>1130</v>
      </c>
      <c r="O1130" s="90" t="s">
        <v>2848</v>
      </c>
    </row>
    <row r="1131" spans="1:21" x14ac:dyDescent="0.25">
      <c r="A1131" s="90" t="s">
        <v>2849</v>
      </c>
      <c r="B1131" s="119">
        <v>4</v>
      </c>
      <c r="C1131" s="90" t="s">
        <v>2826</v>
      </c>
      <c r="D1131" s="90" t="s">
        <v>103</v>
      </c>
      <c r="E1131">
        <v>2255</v>
      </c>
      <c r="F1131">
        <v>2258</v>
      </c>
      <c r="G1131" s="93" t="s">
        <v>68</v>
      </c>
      <c r="H1131" t="s">
        <v>1251</v>
      </c>
      <c r="I1131">
        <v>1</v>
      </c>
      <c r="J1131">
        <f>SUM(K1132)</f>
        <v>967.93582071000003</v>
      </c>
      <c r="K1131">
        <f>I1131*J1131</f>
        <v>967.93582071000003</v>
      </c>
      <c r="L1131">
        <f>100*(1-(M1131/K1131))</f>
        <v>40</v>
      </c>
      <c r="M1131">
        <f>I1131*SUM(M1132)</f>
        <v>580.76149242600002</v>
      </c>
      <c r="N1131" s="90">
        <v>1131</v>
      </c>
      <c r="O1131" s="90" t="s">
        <v>2850</v>
      </c>
      <c r="R1131" s="90" t="s">
        <v>4432</v>
      </c>
      <c r="S1131" s="90" t="s">
        <v>5496</v>
      </c>
      <c r="T1131" s="90" t="s">
        <v>5994</v>
      </c>
      <c r="U1131" s="90" t="s">
        <v>4972</v>
      </c>
    </row>
    <row r="1132" spans="1:21" x14ac:dyDescent="0.25">
      <c r="A1132" s="90" t="s">
        <v>2851</v>
      </c>
      <c r="B1132" s="119">
        <v>5</v>
      </c>
      <c r="C1132" s="90" t="s">
        <v>2849</v>
      </c>
      <c r="D1132" s="90" t="s">
        <v>78</v>
      </c>
      <c r="E1132">
        <v>2256</v>
      </c>
      <c r="F1132">
        <v>2257</v>
      </c>
      <c r="G1132" s="93" t="s">
        <v>78</v>
      </c>
      <c r="H1132" t="s">
        <v>125</v>
      </c>
      <c r="I1132">
        <v>1</v>
      </c>
      <c r="J1132">
        <v>967.93582071000003</v>
      </c>
      <c r="K1132">
        <f>I1132*J1132</f>
        <v>967.93582071000003</v>
      </c>
      <c r="L1132">
        <v>40</v>
      </c>
      <c r="M1132">
        <f>(1-(L1132/100))*K1132</f>
        <v>580.76149242600002</v>
      </c>
      <c r="N1132" s="90">
        <v>1132</v>
      </c>
      <c r="O1132" s="90" t="s">
        <v>2852</v>
      </c>
    </row>
    <row r="1133" spans="1:21" x14ac:dyDescent="0.25">
      <c r="A1133" s="90" t="s">
        <v>2853</v>
      </c>
      <c r="B1133" s="119">
        <v>4</v>
      </c>
      <c r="C1133" s="90" t="s">
        <v>2826</v>
      </c>
      <c r="D1133" s="90" t="s">
        <v>796</v>
      </c>
      <c r="E1133">
        <v>2259</v>
      </c>
      <c r="F1133">
        <v>2268</v>
      </c>
      <c r="G1133" s="93" t="s">
        <v>68</v>
      </c>
      <c r="H1133" t="s">
        <v>2687</v>
      </c>
      <c r="I1133">
        <v>1</v>
      </c>
      <c r="J1133">
        <f>SUM(K1134,K1135,K1136,K1137)</f>
        <v>3086.2400000000002</v>
      </c>
      <c r="K1133">
        <f>I1133*J1133</f>
        <v>3086.2400000000002</v>
      </c>
      <c r="L1133">
        <f>100*(1-(M1133/K1133))</f>
        <v>40</v>
      </c>
      <c r="M1133">
        <f>I1133*SUM(M1134,M1135,M1136,M1137)</f>
        <v>1851.7439999999999</v>
      </c>
      <c r="N1133" s="90">
        <v>1133</v>
      </c>
      <c r="O1133" s="90" t="s">
        <v>2854</v>
      </c>
      <c r="R1133" s="90" t="s">
        <v>4433</v>
      </c>
      <c r="S1133" s="90" t="s">
        <v>5497</v>
      </c>
      <c r="T1133" s="90" t="s">
        <v>5995</v>
      </c>
      <c r="U1133" s="90" t="s">
        <v>4973</v>
      </c>
    </row>
    <row r="1134" spans="1:21" x14ac:dyDescent="0.25">
      <c r="A1134" s="90" t="s">
        <v>2855</v>
      </c>
      <c r="B1134" s="119">
        <v>5</v>
      </c>
      <c r="C1134" s="90" t="s">
        <v>2853</v>
      </c>
      <c r="D1134" s="90" t="s">
        <v>78</v>
      </c>
      <c r="E1134">
        <v>2260</v>
      </c>
      <c r="F1134">
        <v>2261</v>
      </c>
      <c r="G1134" s="93" t="s">
        <v>78</v>
      </c>
      <c r="H1134" t="s">
        <v>2690</v>
      </c>
      <c r="I1134">
        <v>1</v>
      </c>
      <c r="J1134">
        <v>2879</v>
      </c>
      <c r="K1134">
        <f>I1134*J1134</f>
        <v>2879</v>
      </c>
      <c r="L1134">
        <v>40</v>
      </c>
      <c r="M1134">
        <f>(1-(L1134/100))*K1134</f>
        <v>1727.3999999999999</v>
      </c>
      <c r="N1134" s="90">
        <v>1134</v>
      </c>
      <c r="O1134" s="90" t="s">
        <v>2856</v>
      </c>
    </row>
    <row r="1135" spans="1:21" x14ac:dyDescent="0.25">
      <c r="A1135" s="90" t="s">
        <v>2857</v>
      </c>
      <c r="B1135" s="119">
        <v>5</v>
      </c>
      <c r="C1135" s="90" t="s">
        <v>2853</v>
      </c>
      <c r="D1135" s="90" t="s">
        <v>79</v>
      </c>
      <c r="E1135">
        <v>2262</v>
      </c>
      <c r="F1135">
        <v>2263</v>
      </c>
      <c r="G1135" s="93" t="s">
        <v>78</v>
      </c>
      <c r="H1135" t="s">
        <v>2693</v>
      </c>
      <c r="I1135">
        <v>1</v>
      </c>
      <c r="J1135">
        <v>53.48</v>
      </c>
      <c r="K1135">
        <f>I1135*J1135</f>
        <v>53.48</v>
      </c>
      <c r="L1135">
        <v>40</v>
      </c>
      <c r="M1135">
        <f>(1-(L1135/100))*K1135</f>
        <v>32.087999999999994</v>
      </c>
      <c r="N1135" s="90">
        <v>1135</v>
      </c>
      <c r="O1135" s="90" t="s">
        <v>2858</v>
      </c>
    </row>
    <row r="1136" spans="1:21" x14ac:dyDescent="0.25">
      <c r="A1136" s="90" t="s">
        <v>2859</v>
      </c>
      <c r="B1136" s="119">
        <v>5</v>
      </c>
      <c r="C1136" s="90" t="s">
        <v>2853</v>
      </c>
      <c r="D1136" s="90" t="s">
        <v>80</v>
      </c>
      <c r="E1136">
        <v>2264</v>
      </c>
      <c r="F1136">
        <v>2265</v>
      </c>
      <c r="G1136" s="93" t="s">
        <v>78</v>
      </c>
      <c r="H1136" t="s">
        <v>2696</v>
      </c>
      <c r="I1136">
        <v>1</v>
      </c>
      <c r="J1136">
        <v>25.4</v>
      </c>
      <c r="K1136">
        <f>I1136*J1136</f>
        <v>25.4</v>
      </c>
      <c r="L1136">
        <v>40</v>
      </c>
      <c r="M1136">
        <f>(1-(L1136/100))*K1136</f>
        <v>15.239999999999998</v>
      </c>
      <c r="N1136" s="90">
        <v>1136</v>
      </c>
      <c r="O1136" s="90" t="s">
        <v>2860</v>
      </c>
    </row>
    <row r="1137" spans="1:21" x14ac:dyDescent="0.25">
      <c r="A1137" s="90" t="s">
        <v>2861</v>
      </c>
      <c r="B1137" s="119">
        <v>5</v>
      </c>
      <c r="C1137" s="90" t="s">
        <v>2853</v>
      </c>
      <c r="D1137" s="90" t="s">
        <v>95</v>
      </c>
      <c r="E1137">
        <v>2266</v>
      </c>
      <c r="F1137">
        <v>2267</v>
      </c>
      <c r="G1137" s="93" t="s">
        <v>78</v>
      </c>
      <c r="H1137" t="s">
        <v>2699</v>
      </c>
      <c r="I1137">
        <v>1</v>
      </c>
      <c r="J1137">
        <v>128.36000000000001</v>
      </c>
      <c r="K1137">
        <f>I1137*J1137</f>
        <v>128.36000000000001</v>
      </c>
      <c r="L1137">
        <v>40</v>
      </c>
      <c r="M1137">
        <f>(1-(L1137/100))*K1137</f>
        <v>77.016000000000005</v>
      </c>
      <c r="N1137" s="90">
        <v>1137</v>
      </c>
      <c r="O1137" s="90" t="s">
        <v>2862</v>
      </c>
    </row>
    <row r="1138" spans="1:21" x14ac:dyDescent="0.25">
      <c r="A1138" s="90" t="s">
        <v>2863</v>
      </c>
      <c r="B1138" s="119">
        <v>4</v>
      </c>
      <c r="C1138" s="90" t="s">
        <v>2826</v>
      </c>
      <c r="D1138" s="90" t="s">
        <v>797</v>
      </c>
      <c r="E1138">
        <v>2269</v>
      </c>
      <c r="F1138">
        <v>2272</v>
      </c>
      <c r="G1138" s="93" t="s">
        <v>68</v>
      </c>
      <c r="H1138" t="s">
        <v>1256</v>
      </c>
      <c r="I1138">
        <v>1</v>
      </c>
      <c r="J1138">
        <f>SUM(K1139)</f>
        <v>9428.2439831899992</v>
      </c>
      <c r="K1138">
        <f>I1138*J1138</f>
        <v>9428.2439831899992</v>
      </c>
      <c r="L1138">
        <f>100*(1-(M1138/K1138))</f>
        <v>40</v>
      </c>
      <c r="M1138">
        <f>I1138*SUM(M1139)</f>
        <v>5656.9463899139992</v>
      </c>
      <c r="N1138" s="90">
        <v>1138</v>
      </c>
      <c r="O1138" s="90" t="s">
        <v>2864</v>
      </c>
      <c r="R1138" s="90" t="s">
        <v>4434</v>
      </c>
      <c r="S1138" s="90" t="s">
        <v>5498</v>
      </c>
      <c r="T1138" s="90" t="s">
        <v>5996</v>
      </c>
      <c r="U1138" s="90" t="s">
        <v>4974</v>
      </c>
    </row>
    <row r="1139" spans="1:21" x14ac:dyDescent="0.25">
      <c r="A1139" s="90" t="s">
        <v>2865</v>
      </c>
      <c r="B1139" s="119">
        <v>5</v>
      </c>
      <c r="C1139" s="90" t="s">
        <v>2863</v>
      </c>
      <c r="D1139" s="90" t="s">
        <v>78</v>
      </c>
      <c r="E1139">
        <v>2270</v>
      </c>
      <c r="F1139">
        <v>2271</v>
      </c>
      <c r="G1139" s="93" t="s">
        <v>78</v>
      </c>
      <c r="H1139" t="s">
        <v>1256</v>
      </c>
      <c r="I1139">
        <v>1</v>
      </c>
      <c r="J1139">
        <v>9428.2439831899992</v>
      </c>
      <c r="K1139">
        <f>I1139*J1139</f>
        <v>9428.2439831899992</v>
      </c>
      <c r="L1139">
        <v>40</v>
      </c>
      <c r="M1139">
        <f>(1-(L1139/100))*K1139</f>
        <v>5656.9463899139992</v>
      </c>
      <c r="N1139" s="90">
        <v>1139</v>
      </c>
      <c r="O1139" s="90" t="s">
        <v>2866</v>
      </c>
    </row>
    <row r="1140" spans="1:21" x14ac:dyDescent="0.25">
      <c r="A1140" s="90" t="s">
        <v>2867</v>
      </c>
      <c r="B1140" s="119">
        <v>4</v>
      </c>
      <c r="C1140" s="90" t="s">
        <v>2826</v>
      </c>
      <c r="D1140" s="90" t="s">
        <v>798</v>
      </c>
      <c r="E1140">
        <v>2273</v>
      </c>
      <c r="F1140">
        <v>2276</v>
      </c>
      <c r="G1140" s="93" t="s">
        <v>68</v>
      </c>
      <c r="H1140" t="s">
        <v>1261</v>
      </c>
      <c r="I1140">
        <v>1</v>
      </c>
      <c r="J1140">
        <f>SUM(K1141)</f>
        <v>10160.44823634</v>
      </c>
      <c r="K1140">
        <f>I1140*J1140</f>
        <v>10160.44823634</v>
      </c>
      <c r="L1140">
        <f>100*(1-(M1140/K1140))</f>
        <v>40</v>
      </c>
      <c r="M1140">
        <f>I1140*SUM(M1141)</f>
        <v>6096.268941804</v>
      </c>
      <c r="N1140" s="90">
        <v>1140</v>
      </c>
      <c r="O1140" s="90" t="s">
        <v>2868</v>
      </c>
      <c r="R1140" s="90" t="s">
        <v>4435</v>
      </c>
      <c r="S1140" s="90" t="s">
        <v>5499</v>
      </c>
      <c r="T1140" s="90" t="s">
        <v>5997</v>
      </c>
      <c r="U1140" s="90" t="s">
        <v>4975</v>
      </c>
    </row>
    <row r="1141" spans="1:21" x14ac:dyDescent="0.25">
      <c r="A1141" s="90" t="s">
        <v>2869</v>
      </c>
      <c r="B1141" s="119">
        <v>5</v>
      </c>
      <c r="C1141" s="90" t="s">
        <v>2867</v>
      </c>
      <c r="D1141" s="90" t="s">
        <v>78</v>
      </c>
      <c r="E1141">
        <v>2274</v>
      </c>
      <c r="F1141">
        <v>2275</v>
      </c>
      <c r="G1141" s="93" t="s">
        <v>78</v>
      </c>
      <c r="H1141" t="s">
        <v>1261</v>
      </c>
      <c r="I1141">
        <v>1</v>
      </c>
      <c r="J1141">
        <v>10160.44823634</v>
      </c>
      <c r="K1141">
        <f>I1141*J1141</f>
        <v>10160.44823634</v>
      </c>
      <c r="L1141">
        <v>40</v>
      </c>
      <c r="M1141">
        <f>(1-(L1141/100))*K1141</f>
        <v>6096.268941804</v>
      </c>
      <c r="N1141" s="90">
        <v>1141</v>
      </c>
      <c r="O1141" s="90" t="s">
        <v>2870</v>
      </c>
    </row>
    <row r="1142" spans="1:21" x14ac:dyDescent="0.25">
      <c r="A1142" s="90" t="s">
        <v>2871</v>
      </c>
      <c r="B1142" s="119">
        <v>4</v>
      </c>
      <c r="C1142" s="90" t="s">
        <v>2826</v>
      </c>
      <c r="D1142" s="90" t="s">
        <v>799</v>
      </c>
      <c r="E1142">
        <v>2277</v>
      </c>
      <c r="F1142">
        <v>2280</v>
      </c>
      <c r="G1142" s="93" t="s">
        <v>68</v>
      </c>
      <c r="H1142" t="s">
        <v>1266</v>
      </c>
      <c r="I1142">
        <v>1</v>
      </c>
      <c r="J1142">
        <f>SUM(K1143)</f>
        <v>9312.3647013900008</v>
      </c>
      <c r="K1142">
        <f>I1142*J1142</f>
        <v>9312.3647013900008</v>
      </c>
      <c r="L1142">
        <f>100*(1-(M1142/K1142))</f>
        <v>40</v>
      </c>
      <c r="M1142">
        <f>I1142*SUM(M1143)</f>
        <v>5587.4188208340001</v>
      </c>
      <c r="N1142" s="90">
        <v>1142</v>
      </c>
      <c r="O1142" s="90" t="s">
        <v>2872</v>
      </c>
      <c r="R1142" s="90" t="s">
        <v>4420</v>
      </c>
      <c r="S1142" s="90" t="s">
        <v>5484</v>
      </c>
      <c r="T1142" s="90" t="s">
        <v>5982</v>
      </c>
      <c r="U1142" s="90" t="s">
        <v>4960</v>
      </c>
    </row>
    <row r="1143" spans="1:21" x14ac:dyDescent="0.25">
      <c r="A1143" s="90" t="s">
        <v>2873</v>
      </c>
      <c r="B1143" s="119">
        <v>5</v>
      </c>
      <c r="C1143" s="90" t="s">
        <v>2871</v>
      </c>
      <c r="D1143" s="90" t="s">
        <v>78</v>
      </c>
      <c r="E1143">
        <v>2278</v>
      </c>
      <c r="F1143">
        <v>2279</v>
      </c>
      <c r="G1143" s="93" t="s">
        <v>78</v>
      </c>
      <c r="H1143" t="s">
        <v>1269</v>
      </c>
      <c r="I1143">
        <v>1</v>
      </c>
      <c r="J1143">
        <v>9312.3647013900008</v>
      </c>
      <c r="K1143">
        <f>I1143*J1143</f>
        <v>9312.3647013900008</v>
      </c>
      <c r="L1143">
        <v>40</v>
      </c>
      <c r="M1143">
        <f>(1-(L1143/100))*K1143</f>
        <v>5587.4188208340001</v>
      </c>
      <c r="N1143" s="90">
        <v>1143</v>
      </c>
      <c r="O1143" s="90" t="s">
        <v>2874</v>
      </c>
    </row>
    <row r="1144" spans="1:21" x14ac:dyDescent="0.25">
      <c r="A1144" s="90" t="s">
        <v>2875</v>
      </c>
      <c r="B1144" s="119">
        <v>4</v>
      </c>
      <c r="C1144" s="90" t="s">
        <v>2826</v>
      </c>
      <c r="D1144" s="90" t="s">
        <v>97</v>
      </c>
      <c r="E1144">
        <v>2281</v>
      </c>
      <c r="F1144">
        <v>2284</v>
      </c>
      <c r="G1144" s="93" t="s">
        <v>68</v>
      </c>
      <c r="H1144" t="s">
        <v>1272</v>
      </c>
      <c r="I1144">
        <v>2</v>
      </c>
      <c r="J1144">
        <f>SUM(K1145)</f>
        <v>1308.5572392700001</v>
      </c>
      <c r="K1144">
        <f>I1144*J1144</f>
        <v>2617.1144785400002</v>
      </c>
      <c r="L1144">
        <f>100*(1-(M1144/K1144))</f>
        <v>40</v>
      </c>
      <c r="M1144">
        <f>I1144*SUM(M1145)</f>
        <v>1570.2686871240001</v>
      </c>
      <c r="N1144" s="90">
        <v>1144</v>
      </c>
      <c r="O1144" s="90" t="s">
        <v>2876</v>
      </c>
      <c r="R1144" s="90" t="s">
        <v>4421</v>
      </c>
      <c r="S1144" s="90" t="s">
        <v>5485</v>
      </c>
      <c r="T1144" s="90" t="s">
        <v>5983</v>
      </c>
      <c r="U1144" s="90" t="s">
        <v>4961</v>
      </c>
    </row>
    <row r="1145" spans="1:21" x14ac:dyDescent="0.25">
      <c r="A1145" s="90" t="s">
        <v>2877</v>
      </c>
      <c r="B1145" s="119">
        <v>5</v>
      </c>
      <c r="C1145" s="90" t="s">
        <v>2875</v>
      </c>
      <c r="D1145" s="90" t="s">
        <v>78</v>
      </c>
      <c r="E1145">
        <v>2282</v>
      </c>
      <c r="F1145">
        <v>2283</v>
      </c>
      <c r="G1145" s="93" t="s">
        <v>78</v>
      </c>
      <c r="H1145" t="s">
        <v>1272</v>
      </c>
      <c r="I1145">
        <v>1</v>
      </c>
      <c r="J1145">
        <v>1308.5572392700001</v>
      </c>
      <c r="K1145">
        <f>I1145*J1145</f>
        <v>1308.5572392700001</v>
      </c>
      <c r="L1145">
        <v>40</v>
      </c>
      <c r="M1145">
        <f>(1-(L1145/100))*K1145</f>
        <v>785.13434356200003</v>
      </c>
      <c r="N1145" s="90">
        <v>1145</v>
      </c>
      <c r="O1145" s="90" t="s">
        <v>2878</v>
      </c>
    </row>
    <row r="1146" spans="1:21" x14ac:dyDescent="0.25">
      <c r="A1146" s="90" t="s">
        <v>2879</v>
      </c>
      <c r="B1146" s="119">
        <v>4</v>
      </c>
      <c r="C1146" s="90" t="s">
        <v>2826</v>
      </c>
      <c r="D1146" s="90" t="s">
        <v>98</v>
      </c>
      <c r="E1146">
        <v>2285</v>
      </c>
      <c r="F1146">
        <v>2288</v>
      </c>
      <c r="G1146" s="93" t="s">
        <v>68</v>
      </c>
      <c r="H1146" t="s">
        <v>2722</v>
      </c>
      <c r="I1146">
        <v>1</v>
      </c>
      <c r="J1146">
        <f>SUM(K1147)</f>
        <v>1500</v>
      </c>
      <c r="K1146">
        <f>I1146*J1146</f>
        <v>1500</v>
      </c>
      <c r="L1146">
        <f>100*(1-(M1146/K1146))</f>
        <v>40</v>
      </c>
      <c r="M1146">
        <f>I1146*SUM(M1147)</f>
        <v>900</v>
      </c>
      <c r="N1146" s="90">
        <v>1146</v>
      </c>
      <c r="O1146" s="90" t="s">
        <v>2880</v>
      </c>
      <c r="R1146" s="90" t="s">
        <v>4422</v>
      </c>
      <c r="S1146" s="90" t="s">
        <v>5486</v>
      </c>
      <c r="T1146" s="90" t="s">
        <v>5984</v>
      </c>
      <c r="U1146" s="90" t="s">
        <v>4962</v>
      </c>
    </row>
    <row r="1147" spans="1:21" x14ac:dyDescent="0.25">
      <c r="A1147" s="90" t="s">
        <v>2881</v>
      </c>
      <c r="B1147" s="119">
        <v>5</v>
      </c>
      <c r="C1147" s="90" t="s">
        <v>2879</v>
      </c>
      <c r="D1147" s="90" t="s">
        <v>78</v>
      </c>
      <c r="E1147">
        <v>2286</v>
      </c>
      <c r="F1147">
        <v>2287</v>
      </c>
      <c r="G1147" s="93" t="s">
        <v>78</v>
      </c>
      <c r="H1147" t="s">
        <v>2725</v>
      </c>
      <c r="I1147">
        <v>1</v>
      </c>
      <c r="J1147">
        <v>1500</v>
      </c>
      <c r="K1147">
        <f>I1147*J1147</f>
        <v>1500</v>
      </c>
      <c r="L1147">
        <v>40</v>
      </c>
      <c r="M1147">
        <f>(1-(L1147/100))*K1147</f>
        <v>900</v>
      </c>
      <c r="N1147" s="90">
        <v>1147</v>
      </c>
      <c r="O1147" s="90" t="s">
        <v>2882</v>
      </c>
    </row>
    <row r="1148" spans="1:21" x14ac:dyDescent="0.25">
      <c r="A1148" s="90" t="s">
        <v>2883</v>
      </c>
      <c r="B1148" s="119">
        <v>4</v>
      </c>
      <c r="C1148" s="90" t="s">
        <v>2826</v>
      </c>
      <c r="D1148" s="90" t="s">
        <v>99</v>
      </c>
      <c r="E1148">
        <v>2289</v>
      </c>
      <c r="F1148">
        <v>2292</v>
      </c>
      <c r="G1148" s="93" t="s">
        <v>68</v>
      </c>
      <c r="H1148" t="s">
        <v>145</v>
      </c>
      <c r="I1148">
        <v>4</v>
      </c>
      <c r="J1148">
        <f>SUM(K1149)</f>
        <v>28.6</v>
      </c>
      <c r="K1148">
        <f>I1148*J1148</f>
        <v>114.4</v>
      </c>
      <c r="L1148">
        <f>100*(1-(M1148/K1148))</f>
        <v>40</v>
      </c>
      <c r="M1148">
        <f>I1148*SUM(M1149)</f>
        <v>68.64</v>
      </c>
      <c r="N1148" s="90">
        <v>1148</v>
      </c>
      <c r="O1148" s="90" t="s">
        <v>2884</v>
      </c>
      <c r="R1148" s="90" t="s">
        <v>4423</v>
      </c>
      <c r="S1148" s="90" t="s">
        <v>5487</v>
      </c>
      <c r="T1148" s="90" t="s">
        <v>5985</v>
      </c>
      <c r="U1148" s="90" t="s">
        <v>4963</v>
      </c>
    </row>
    <row r="1149" spans="1:21" x14ac:dyDescent="0.25">
      <c r="A1149" s="90" t="s">
        <v>2885</v>
      </c>
      <c r="B1149" s="119">
        <v>5</v>
      </c>
      <c r="C1149" s="90" t="s">
        <v>2883</v>
      </c>
      <c r="D1149" s="90" t="s">
        <v>78</v>
      </c>
      <c r="E1149">
        <v>2290</v>
      </c>
      <c r="F1149">
        <v>2291</v>
      </c>
      <c r="G1149" s="93" t="s">
        <v>78</v>
      </c>
      <c r="H1149" t="s">
        <v>145</v>
      </c>
      <c r="I1149">
        <v>1</v>
      </c>
      <c r="J1149">
        <v>28.6</v>
      </c>
      <c r="K1149">
        <f>I1149*J1149</f>
        <v>28.6</v>
      </c>
      <c r="L1149">
        <v>40</v>
      </c>
      <c r="M1149">
        <f>(1-(L1149/100))*K1149</f>
        <v>17.16</v>
      </c>
      <c r="N1149" s="90">
        <v>1149</v>
      </c>
      <c r="O1149" s="90" t="s">
        <v>2886</v>
      </c>
    </row>
    <row r="1150" spans="1:21" x14ac:dyDescent="0.25">
      <c r="A1150" s="90" t="s">
        <v>2887</v>
      </c>
      <c r="B1150" s="119">
        <v>4</v>
      </c>
      <c r="C1150" s="90" t="s">
        <v>2826</v>
      </c>
      <c r="D1150" s="90" t="s">
        <v>100</v>
      </c>
      <c r="E1150">
        <v>2293</v>
      </c>
      <c r="F1150">
        <v>2296</v>
      </c>
      <c r="G1150" s="93" t="s">
        <v>68</v>
      </c>
      <c r="H1150" t="s">
        <v>143</v>
      </c>
      <c r="I1150">
        <v>2</v>
      </c>
      <c r="J1150">
        <f>SUM(K1151)</f>
        <v>27.17</v>
      </c>
      <c r="K1150">
        <f>I1150*J1150</f>
        <v>54.34</v>
      </c>
      <c r="L1150">
        <f>100*(1-(M1150/K1150))</f>
        <v>40</v>
      </c>
      <c r="M1150">
        <f>I1150*SUM(M1151)</f>
        <v>32.603999999999999</v>
      </c>
      <c r="N1150" s="90">
        <v>1150</v>
      </c>
      <c r="O1150" s="90" t="s">
        <v>2888</v>
      </c>
      <c r="R1150" s="90" t="s">
        <v>4424</v>
      </c>
      <c r="S1150" s="90" t="s">
        <v>5488</v>
      </c>
      <c r="T1150" s="90" t="s">
        <v>5986</v>
      </c>
      <c r="U1150" s="90" t="s">
        <v>4964</v>
      </c>
    </row>
    <row r="1151" spans="1:21" x14ac:dyDescent="0.25">
      <c r="A1151" s="90" t="s">
        <v>2889</v>
      </c>
      <c r="B1151" s="119">
        <v>5</v>
      </c>
      <c r="C1151" s="90" t="s">
        <v>2887</v>
      </c>
      <c r="D1151" s="90" t="s">
        <v>78</v>
      </c>
      <c r="E1151">
        <v>2294</v>
      </c>
      <c r="F1151">
        <v>2295</v>
      </c>
      <c r="G1151" s="93" t="s">
        <v>78</v>
      </c>
      <c r="H1151" t="s">
        <v>143</v>
      </c>
      <c r="I1151">
        <v>1</v>
      </c>
      <c r="J1151">
        <v>27.17</v>
      </c>
      <c r="K1151">
        <f>I1151*J1151</f>
        <v>27.17</v>
      </c>
      <c r="L1151">
        <v>40</v>
      </c>
      <c r="M1151">
        <f>(1-(L1151/100))*K1151</f>
        <v>16.302</v>
      </c>
      <c r="N1151" s="90">
        <v>1151</v>
      </c>
      <c r="O1151" s="90" t="s">
        <v>2890</v>
      </c>
    </row>
    <row r="1152" spans="1:21" x14ac:dyDescent="0.25">
      <c r="A1152" s="90" t="s">
        <v>2891</v>
      </c>
      <c r="B1152" s="119">
        <v>4</v>
      </c>
      <c r="C1152" s="90" t="s">
        <v>2826</v>
      </c>
      <c r="D1152" s="90" t="s">
        <v>81</v>
      </c>
      <c r="E1152">
        <v>2297</v>
      </c>
      <c r="F1152">
        <v>2316</v>
      </c>
      <c r="G1152" s="93" t="s">
        <v>68</v>
      </c>
      <c r="H1152" t="s">
        <v>2736</v>
      </c>
      <c r="I1152">
        <v>1</v>
      </c>
      <c r="J1152">
        <f>SUM(K1153,K1154,K1155,K1156,K1157,K1158,K1160,K1161)</f>
        <v>9294.1319788700021</v>
      </c>
      <c r="K1152">
        <f>I1152*J1152</f>
        <v>9294.1319788700021</v>
      </c>
      <c r="L1152">
        <f>100*(1-(M1152/K1152))</f>
        <v>40.000000000000021</v>
      </c>
      <c r="M1152">
        <f>I1152*SUM(M1153,M1154,M1155,M1156,M1157,M1158,M1160,M1161)</f>
        <v>5576.4791873219992</v>
      </c>
      <c r="N1152" s="90">
        <v>1152</v>
      </c>
      <c r="O1152" s="90" t="s">
        <v>2892</v>
      </c>
      <c r="R1152" s="90" t="s">
        <v>4425</v>
      </c>
      <c r="S1152" s="90" t="s">
        <v>5489</v>
      </c>
      <c r="T1152" s="90" t="s">
        <v>5987</v>
      </c>
      <c r="U1152" s="90" t="s">
        <v>4965</v>
      </c>
    </row>
    <row r="1153" spans="1:21" x14ac:dyDescent="0.25">
      <c r="A1153" s="90" t="s">
        <v>2893</v>
      </c>
      <c r="B1153" s="119">
        <v>5</v>
      </c>
      <c r="C1153" s="90" t="s">
        <v>2891</v>
      </c>
      <c r="D1153" s="90" t="s">
        <v>78</v>
      </c>
      <c r="E1153">
        <v>2298</v>
      </c>
      <c r="F1153">
        <v>2299</v>
      </c>
      <c r="G1153" s="93" t="s">
        <v>78</v>
      </c>
      <c r="H1153" t="s">
        <v>2739</v>
      </c>
      <c r="I1153">
        <v>1</v>
      </c>
      <c r="J1153">
        <v>5177.22</v>
      </c>
      <c r="K1153">
        <f>I1153*J1153</f>
        <v>5177.22</v>
      </c>
      <c r="L1153">
        <v>40</v>
      </c>
      <c r="M1153">
        <f>(1-(L1153/100))*K1153</f>
        <v>3106.3319999999999</v>
      </c>
      <c r="N1153" s="90">
        <v>1153</v>
      </c>
      <c r="O1153" s="90" t="s">
        <v>2894</v>
      </c>
    </row>
    <row r="1154" spans="1:21" x14ac:dyDescent="0.25">
      <c r="A1154" s="90" t="s">
        <v>2895</v>
      </c>
      <c r="B1154" s="119">
        <v>5</v>
      </c>
      <c r="C1154" s="90" t="s">
        <v>2891</v>
      </c>
      <c r="D1154" s="90" t="s">
        <v>79</v>
      </c>
      <c r="E1154">
        <v>2300</v>
      </c>
      <c r="F1154">
        <v>2301</v>
      </c>
      <c r="G1154" s="93" t="s">
        <v>78</v>
      </c>
      <c r="H1154" t="s">
        <v>2742</v>
      </c>
      <c r="I1154">
        <v>1</v>
      </c>
      <c r="J1154">
        <v>2577.83</v>
      </c>
      <c r="K1154">
        <f>I1154*J1154</f>
        <v>2577.83</v>
      </c>
      <c r="L1154">
        <v>40</v>
      </c>
      <c r="M1154">
        <f>(1-(L1154/100))*K1154</f>
        <v>1546.6979999999999</v>
      </c>
      <c r="N1154" s="90">
        <v>1154</v>
      </c>
      <c r="O1154" s="90" t="s">
        <v>2896</v>
      </c>
    </row>
    <row r="1155" spans="1:21" x14ac:dyDescent="0.25">
      <c r="A1155" s="90" t="s">
        <v>2897</v>
      </c>
      <c r="B1155" s="119">
        <v>5</v>
      </c>
      <c r="C1155" s="90" t="s">
        <v>2891</v>
      </c>
      <c r="D1155" s="90" t="s">
        <v>80</v>
      </c>
      <c r="E1155">
        <v>2302</v>
      </c>
      <c r="F1155">
        <v>2303</v>
      </c>
      <c r="G1155" s="93" t="s">
        <v>78</v>
      </c>
      <c r="H1155" t="s">
        <v>2745</v>
      </c>
      <c r="I1155">
        <v>1</v>
      </c>
      <c r="J1155">
        <v>243</v>
      </c>
      <c r="K1155">
        <f>I1155*J1155</f>
        <v>243</v>
      </c>
      <c r="L1155">
        <v>40</v>
      </c>
      <c r="M1155">
        <f>(1-(L1155/100))*K1155</f>
        <v>145.79999999999998</v>
      </c>
      <c r="N1155" s="90">
        <v>1155</v>
      </c>
      <c r="O1155" s="90" t="s">
        <v>2898</v>
      </c>
    </row>
    <row r="1156" spans="1:21" x14ac:dyDescent="0.25">
      <c r="A1156" s="90" t="s">
        <v>2899</v>
      </c>
      <c r="B1156" s="119">
        <v>5</v>
      </c>
      <c r="C1156" s="90" t="s">
        <v>2891</v>
      </c>
      <c r="D1156" s="90" t="s">
        <v>95</v>
      </c>
      <c r="E1156">
        <v>2304</v>
      </c>
      <c r="F1156">
        <v>2305</v>
      </c>
      <c r="G1156" s="93" t="s">
        <v>78</v>
      </c>
      <c r="H1156" t="s">
        <v>129</v>
      </c>
      <c r="I1156">
        <v>1</v>
      </c>
      <c r="J1156">
        <v>212.88679486000001</v>
      </c>
      <c r="K1156">
        <f>I1156*J1156</f>
        <v>212.88679486000001</v>
      </c>
      <c r="L1156">
        <v>40</v>
      </c>
      <c r="M1156">
        <f>(1-(L1156/100))*K1156</f>
        <v>127.732076916</v>
      </c>
      <c r="N1156" s="90">
        <v>1156</v>
      </c>
      <c r="O1156" s="90" t="s">
        <v>2900</v>
      </c>
    </row>
    <row r="1157" spans="1:21" x14ac:dyDescent="0.25">
      <c r="A1157" s="90" t="s">
        <v>2901</v>
      </c>
      <c r="B1157" s="119">
        <v>5</v>
      </c>
      <c r="C1157" s="90" t="s">
        <v>2891</v>
      </c>
      <c r="D1157" s="90" t="s">
        <v>96</v>
      </c>
      <c r="E1157">
        <v>2306</v>
      </c>
      <c r="F1157">
        <v>2307</v>
      </c>
      <c r="G1157" s="93" t="s">
        <v>78</v>
      </c>
      <c r="H1157" t="s">
        <v>130</v>
      </c>
      <c r="I1157">
        <v>1</v>
      </c>
      <c r="J1157">
        <v>206.87635298999999</v>
      </c>
      <c r="K1157">
        <f>I1157*J1157</f>
        <v>206.87635298999999</v>
      </c>
      <c r="L1157">
        <v>40</v>
      </c>
      <c r="M1157">
        <f>(1-(L1157/100))*K1157</f>
        <v>124.12581179399999</v>
      </c>
      <c r="N1157" s="90">
        <v>1157</v>
      </c>
      <c r="O1157" s="90" t="s">
        <v>2902</v>
      </c>
    </row>
    <row r="1158" spans="1:21" x14ac:dyDescent="0.25">
      <c r="A1158" s="90" t="s">
        <v>2903</v>
      </c>
      <c r="B1158" s="119">
        <v>5</v>
      </c>
      <c r="C1158" s="90" t="s">
        <v>2891</v>
      </c>
      <c r="D1158" s="90" t="s">
        <v>103</v>
      </c>
      <c r="E1158">
        <v>2308</v>
      </c>
      <c r="F1158">
        <v>2311</v>
      </c>
      <c r="G1158" s="93" t="s">
        <v>68</v>
      </c>
      <c r="H1158" t="s">
        <v>142</v>
      </c>
      <c r="I1158">
        <v>1</v>
      </c>
      <c r="J1158">
        <f>SUM(K1159)</f>
        <v>330.26</v>
      </c>
      <c r="K1158">
        <f>I1158*J1158</f>
        <v>330.26</v>
      </c>
      <c r="L1158">
        <f>100*(1-(M1158/K1158))</f>
        <v>40</v>
      </c>
      <c r="M1158">
        <f>I1158*SUM(M1159)</f>
        <v>198.15599999999998</v>
      </c>
      <c r="N1158" s="90">
        <v>1158</v>
      </c>
      <c r="O1158" s="90" t="s">
        <v>2904</v>
      </c>
      <c r="R1158" s="90" t="s">
        <v>4426</v>
      </c>
      <c r="S1158" s="90" t="s">
        <v>5490</v>
      </c>
      <c r="T1158" s="90" t="s">
        <v>5988</v>
      </c>
      <c r="U1158" s="90" t="s">
        <v>4966</v>
      </c>
    </row>
    <row r="1159" spans="1:21" x14ac:dyDescent="0.25">
      <c r="A1159" s="90" t="s">
        <v>2905</v>
      </c>
      <c r="B1159" s="119">
        <v>6</v>
      </c>
      <c r="C1159" s="90" t="s">
        <v>2903</v>
      </c>
      <c r="D1159" s="90" t="s">
        <v>78</v>
      </c>
      <c r="E1159">
        <v>2309</v>
      </c>
      <c r="F1159">
        <v>2310</v>
      </c>
      <c r="G1159" s="93" t="s">
        <v>78</v>
      </c>
      <c r="H1159" t="s">
        <v>2754</v>
      </c>
      <c r="I1159">
        <v>1</v>
      </c>
      <c r="J1159">
        <v>330.26</v>
      </c>
      <c r="K1159">
        <f>I1159*J1159</f>
        <v>330.26</v>
      </c>
      <c r="L1159">
        <v>40</v>
      </c>
      <c r="M1159">
        <f>(1-(L1159/100))*K1159</f>
        <v>198.15599999999998</v>
      </c>
      <c r="N1159" s="90">
        <v>1159</v>
      </c>
      <c r="O1159" s="90" t="s">
        <v>2906</v>
      </c>
    </row>
    <row r="1160" spans="1:21" x14ac:dyDescent="0.25">
      <c r="A1160" s="90" t="s">
        <v>2907</v>
      </c>
      <c r="B1160" s="119">
        <v>5</v>
      </c>
      <c r="C1160" s="90" t="s">
        <v>2891</v>
      </c>
      <c r="D1160" s="90" t="s">
        <v>796</v>
      </c>
      <c r="E1160">
        <v>2312</v>
      </c>
      <c r="F1160">
        <v>2313</v>
      </c>
      <c r="G1160" s="93" t="s">
        <v>78</v>
      </c>
      <c r="H1160" t="s">
        <v>127</v>
      </c>
      <c r="I1160">
        <v>1</v>
      </c>
      <c r="J1160">
        <v>275.43613906000002</v>
      </c>
      <c r="K1160">
        <f>I1160*J1160</f>
        <v>275.43613906000002</v>
      </c>
      <c r="L1160">
        <v>40</v>
      </c>
      <c r="M1160">
        <f>(1-(L1160/100))*K1160</f>
        <v>165.261683436</v>
      </c>
      <c r="N1160" s="90">
        <v>1160</v>
      </c>
      <c r="O1160" s="90" t="s">
        <v>2908</v>
      </c>
    </row>
    <row r="1161" spans="1:21" x14ac:dyDescent="0.25">
      <c r="A1161" s="90" t="s">
        <v>2909</v>
      </c>
      <c r="B1161" s="119">
        <v>5</v>
      </c>
      <c r="C1161" s="90" t="s">
        <v>2891</v>
      </c>
      <c r="D1161" s="90" t="s">
        <v>797</v>
      </c>
      <c r="E1161">
        <v>2314</v>
      </c>
      <c r="F1161">
        <v>2315</v>
      </c>
      <c r="G1161" s="93" t="s">
        <v>78</v>
      </c>
      <c r="H1161" t="s">
        <v>128</v>
      </c>
      <c r="I1161">
        <v>1</v>
      </c>
      <c r="J1161">
        <v>270.62269196</v>
      </c>
      <c r="K1161">
        <f>I1161*J1161</f>
        <v>270.62269196</v>
      </c>
      <c r="L1161">
        <v>40</v>
      </c>
      <c r="M1161">
        <f>(1-(L1161/100))*K1161</f>
        <v>162.37361517599999</v>
      </c>
      <c r="N1161" s="90">
        <v>1161</v>
      </c>
      <c r="O1161" s="90" t="s">
        <v>2910</v>
      </c>
    </row>
    <row r="1162" spans="1:21" x14ac:dyDescent="0.25">
      <c r="A1162" s="90" t="s">
        <v>2911</v>
      </c>
      <c r="B1162" s="119">
        <v>4</v>
      </c>
      <c r="C1162" s="90" t="s">
        <v>2826</v>
      </c>
      <c r="D1162" s="90" t="s">
        <v>83</v>
      </c>
      <c r="E1162">
        <v>2317</v>
      </c>
      <c r="F1162">
        <v>2320</v>
      </c>
      <c r="G1162" s="93" t="s">
        <v>68</v>
      </c>
      <c r="H1162" t="s">
        <v>2761</v>
      </c>
      <c r="I1162">
        <v>2</v>
      </c>
      <c r="J1162">
        <f>SUM(K1163)</f>
        <v>281.33</v>
      </c>
      <c r="K1162">
        <f>I1162*J1162</f>
        <v>562.66</v>
      </c>
      <c r="L1162">
        <f>100*(1-(M1162/K1162))</f>
        <v>40</v>
      </c>
      <c r="M1162">
        <f>I1162*SUM(M1163)</f>
        <v>337.59599999999995</v>
      </c>
      <c r="N1162" s="90">
        <v>1162</v>
      </c>
      <c r="O1162" s="90" t="s">
        <v>2912</v>
      </c>
      <c r="R1162" s="90" t="s">
        <v>4427</v>
      </c>
      <c r="S1162" s="90" t="s">
        <v>5491</v>
      </c>
      <c r="T1162" s="90" t="s">
        <v>5989</v>
      </c>
      <c r="U1162" s="90" t="s">
        <v>4967</v>
      </c>
    </row>
    <row r="1163" spans="1:21" x14ac:dyDescent="0.25">
      <c r="A1163" s="90" t="s">
        <v>2913</v>
      </c>
      <c r="B1163" s="119">
        <v>5</v>
      </c>
      <c r="C1163" s="90" t="s">
        <v>2911</v>
      </c>
      <c r="D1163" s="90" t="s">
        <v>78</v>
      </c>
      <c r="E1163">
        <v>2318</v>
      </c>
      <c r="F1163">
        <v>2319</v>
      </c>
      <c r="G1163" s="93" t="s">
        <v>78</v>
      </c>
      <c r="H1163" t="s">
        <v>2761</v>
      </c>
      <c r="I1163">
        <v>1</v>
      </c>
      <c r="J1163">
        <v>281.33</v>
      </c>
      <c r="K1163">
        <f>I1163*J1163</f>
        <v>281.33</v>
      </c>
      <c r="L1163">
        <v>40</v>
      </c>
      <c r="M1163">
        <f>(1-(L1163/100))*K1163</f>
        <v>168.79799999999997</v>
      </c>
      <c r="N1163" s="90">
        <v>1163</v>
      </c>
      <c r="O1163" s="90" t="s">
        <v>2914</v>
      </c>
    </row>
    <row r="1164" spans="1:21" x14ac:dyDescent="0.25">
      <c r="A1164" s="90" t="s">
        <v>2915</v>
      </c>
      <c r="B1164" s="119">
        <v>3</v>
      </c>
      <c r="C1164" s="90" t="s">
        <v>2823</v>
      </c>
      <c r="D1164" s="90" t="s">
        <v>79</v>
      </c>
      <c r="E1164">
        <v>2322</v>
      </c>
      <c r="F1164">
        <v>2343</v>
      </c>
      <c r="G1164" s="93" t="s">
        <v>68</v>
      </c>
      <c r="H1164" t="s">
        <v>2916</v>
      </c>
      <c r="I1164">
        <v>1</v>
      </c>
      <c r="J1164">
        <f>SUM(K1165)</f>
        <v>8864.2969081800002</v>
      </c>
      <c r="K1164">
        <f>I1164*J1164</f>
        <v>8864.2969081800002</v>
      </c>
      <c r="L1164">
        <f>100*(1-(M1164/K1164))</f>
        <v>39.999999999999993</v>
      </c>
      <c r="M1164">
        <f>I1164*SUM(M1165)</f>
        <v>5318.5781449080005</v>
      </c>
      <c r="N1164" s="90">
        <v>1164</v>
      </c>
      <c r="O1164" s="90" t="s">
        <v>2917</v>
      </c>
      <c r="R1164" s="90" t="s">
        <v>6936</v>
      </c>
      <c r="S1164" s="90" t="s">
        <v>7033</v>
      </c>
      <c r="T1164" s="90" t="s">
        <v>7079</v>
      </c>
      <c r="U1164" s="90" t="s">
        <v>6985</v>
      </c>
    </row>
    <row r="1165" spans="1:21" x14ac:dyDescent="0.25">
      <c r="A1165" s="90" t="s">
        <v>2918</v>
      </c>
      <c r="B1165" s="119">
        <v>4</v>
      </c>
      <c r="C1165" s="90" t="s">
        <v>2915</v>
      </c>
      <c r="D1165" s="90" t="s">
        <v>78</v>
      </c>
      <c r="E1165">
        <v>2323</v>
      </c>
      <c r="F1165">
        <v>2342</v>
      </c>
      <c r="G1165" s="93" t="s">
        <v>68</v>
      </c>
      <c r="H1165" t="s">
        <v>1394</v>
      </c>
      <c r="I1165">
        <v>1</v>
      </c>
      <c r="J1165">
        <f>SUM(K1166,K1171)</f>
        <v>8864.2969081800002</v>
      </c>
      <c r="K1165">
        <f>I1165*J1165</f>
        <v>8864.2969081800002</v>
      </c>
      <c r="L1165">
        <f>100*(1-(M1165/K1165))</f>
        <v>39.999999999999993</v>
      </c>
      <c r="M1165">
        <f>I1165*SUM(M1166,M1171)</f>
        <v>5318.5781449080005</v>
      </c>
      <c r="N1165" s="90">
        <v>1165</v>
      </c>
      <c r="O1165" s="90" t="s">
        <v>2919</v>
      </c>
      <c r="R1165" s="90" t="s">
        <v>6369</v>
      </c>
      <c r="S1165" s="90" t="s">
        <v>6672</v>
      </c>
      <c r="T1165" s="90" t="s">
        <v>6817</v>
      </c>
      <c r="U1165" s="90" t="s">
        <v>6521</v>
      </c>
    </row>
    <row r="1166" spans="1:21" x14ac:dyDescent="0.25">
      <c r="A1166" s="90" t="s">
        <v>2920</v>
      </c>
      <c r="B1166" s="119">
        <v>5</v>
      </c>
      <c r="C1166" s="90" t="s">
        <v>2918</v>
      </c>
      <c r="D1166" s="90" t="s">
        <v>78</v>
      </c>
      <c r="E1166">
        <v>2324</v>
      </c>
      <c r="F1166">
        <v>2333</v>
      </c>
      <c r="G1166" s="93" t="s">
        <v>68</v>
      </c>
      <c r="H1166" t="s">
        <v>1397</v>
      </c>
      <c r="I1166">
        <v>1</v>
      </c>
      <c r="J1166">
        <f>SUM(K1167,K1168,K1169,K1170)</f>
        <v>8719.9796256099999</v>
      </c>
      <c r="K1166">
        <f>I1166*J1166</f>
        <v>8719.9796256099999</v>
      </c>
      <c r="L1166">
        <f>100*(1-(M1166/K1166))</f>
        <v>39.999999999999993</v>
      </c>
      <c r="M1166">
        <f>I1166*SUM(M1167,M1168,M1169,M1170)</f>
        <v>5231.9877753660003</v>
      </c>
      <c r="N1166" s="90">
        <v>1166</v>
      </c>
      <c r="O1166" s="90" t="s">
        <v>2921</v>
      </c>
      <c r="R1166" s="90" t="s">
        <v>4436</v>
      </c>
      <c r="S1166" s="90" t="s">
        <v>5500</v>
      </c>
      <c r="T1166" s="90" t="s">
        <v>5998</v>
      </c>
      <c r="U1166" s="90" t="s">
        <v>4976</v>
      </c>
    </row>
    <row r="1167" spans="1:21" x14ac:dyDescent="0.25">
      <c r="A1167" s="90" t="s">
        <v>2922</v>
      </c>
      <c r="B1167" s="119">
        <v>6</v>
      </c>
      <c r="C1167" s="90" t="s">
        <v>2920</v>
      </c>
      <c r="D1167" s="90" t="s">
        <v>78</v>
      </c>
      <c r="E1167">
        <v>2325</v>
      </c>
      <c r="F1167">
        <v>2326</v>
      </c>
      <c r="G1167" s="93" t="s">
        <v>78</v>
      </c>
      <c r="H1167" t="s">
        <v>120</v>
      </c>
      <c r="I1167">
        <v>1</v>
      </c>
      <c r="J1167">
        <v>967.93582071000003</v>
      </c>
      <c r="K1167">
        <f>I1167*J1167</f>
        <v>967.93582071000003</v>
      </c>
      <c r="L1167">
        <v>40</v>
      </c>
      <c r="M1167">
        <f>(1-(L1167/100))*K1167</f>
        <v>580.76149242600002</v>
      </c>
      <c r="N1167" s="90">
        <v>1167</v>
      </c>
      <c r="O1167" s="90" t="s">
        <v>2923</v>
      </c>
    </row>
    <row r="1168" spans="1:21" x14ac:dyDescent="0.25">
      <c r="A1168" s="90" t="s">
        <v>2924</v>
      </c>
      <c r="B1168" s="119">
        <v>6</v>
      </c>
      <c r="C1168" s="90" t="s">
        <v>2920</v>
      </c>
      <c r="D1168" s="90" t="s">
        <v>79</v>
      </c>
      <c r="E1168">
        <v>2327</v>
      </c>
      <c r="F1168">
        <v>2328</v>
      </c>
      <c r="G1168" s="93" t="s">
        <v>78</v>
      </c>
      <c r="H1168" t="s">
        <v>125</v>
      </c>
      <c r="I1168">
        <v>1</v>
      </c>
      <c r="J1168">
        <v>967.93582071000003</v>
      </c>
      <c r="K1168">
        <f>I1168*J1168</f>
        <v>967.93582071000003</v>
      </c>
      <c r="L1168">
        <v>40</v>
      </c>
      <c r="M1168">
        <f>(1-(L1168/100))*K1168</f>
        <v>580.76149242600002</v>
      </c>
      <c r="N1168" s="90">
        <v>1168</v>
      </c>
      <c r="O1168" s="90" t="s">
        <v>2925</v>
      </c>
    </row>
    <row r="1169" spans="1:21" x14ac:dyDescent="0.25">
      <c r="A1169" s="90" t="s">
        <v>2926</v>
      </c>
      <c r="B1169" s="119">
        <v>6</v>
      </c>
      <c r="C1169" s="90" t="s">
        <v>2920</v>
      </c>
      <c r="D1169" s="90" t="s">
        <v>80</v>
      </c>
      <c r="E1169">
        <v>2329</v>
      </c>
      <c r="F1169">
        <v>2330</v>
      </c>
      <c r="G1169" s="93" t="s">
        <v>78</v>
      </c>
      <c r="H1169" t="s">
        <v>191</v>
      </c>
      <c r="I1169">
        <v>3</v>
      </c>
      <c r="J1169">
        <v>862.86769387000004</v>
      </c>
      <c r="K1169">
        <f>I1169*J1169</f>
        <v>2588.6030816100001</v>
      </c>
      <c r="L1169">
        <v>40</v>
      </c>
      <c r="M1169">
        <f>(1-(L1169/100))*K1169</f>
        <v>1553.161848966</v>
      </c>
      <c r="N1169" s="90">
        <v>1169</v>
      </c>
      <c r="O1169" s="90" t="s">
        <v>2927</v>
      </c>
    </row>
    <row r="1170" spans="1:21" x14ac:dyDescent="0.25">
      <c r="A1170" s="90" t="s">
        <v>2928</v>
      </c>
      <c r="B1170" s="119">
        <v>6</v>
      </c>
      <c r="C1170" s="90" t="s">
        <v>2920</v>
      </c>
      <c r="D1170" s="90" t="s">
        <v>95</v>
      </c>
      <c r="E1170">
        <v>2331</v>
      </c>
      <c r="F1170">
        <v>2332</v>
      </c>
      <c r="G1170" s="93" t="s">
        <v>78</v>
      </c>
      <c r="H1170" t="s">
        <v>299</v>
      </c>
      <c r="I1170">
        <v>1</v>
      </c>
      <c r="J1170">
        <v>4195.5049025799999</v>
      </c>
      <c r="K1170">
        <f>I1170*J1170</f>
        <v>4195.5049025799999</v>
      </c>
      <c r="L1170">
        <v>40</v>
      </c>
      <c r="M1170">
        <f>(1-(L1170/100))*K1170</f>
        <v>2517.302941548</v>
      </c>
      <c r="N1170" s="90">
        <v>1170</v>
      </c>
      <c r="O1170" s="90" t="s">
        <v>2929</v>
      </c>
    </row>
    <row r="1171" spans="1:21" x14ac:dyDescent="0.25">
      <c r="A1171" s="90" t="s">
        <v>2930</v>
      </c>
      <c r="B1171" s="119">
        <v>5</v>
      </c>
      <c r="C1171" s="90" t="s">
        <v>2918</v>
      </c>
      <c r="D1171" s="90" t="s">
        <v>79</v>
      </c>
      <c r="E1171">
        <v>2334</v>
      </c>
      <c r="F1171">
        <v>2341</v>
      </c>
      <c r="G1171" s="93" t="s">
        <v>68</v>
      </c>
      <c r="H1171" t="s">
        <v>142</v>
      </c>
      <c r="I1171">
        <v>1</v>
      </c>
      <c r="J1171">
        <f>SUM(K1172,K1173,K1174)</f>
        <v>144.31728257</v>
      </c>
      <c r="K1171">
        <f>I1171*J1171</f>
        <v>144.31728257</v>
      </c>
      <c r="L1171">
        <f>100*(1-(M1171/K1171))</f>
        <v>40.000000000000014</v>
      </c>
      <c r="M1171">
        <f>I1171*SUM(M1172,M1173,M1174)</f>
        <v>86.590369541999991</v>
      </c>
      <c r="N1171" s="90">
        <v>1171</v>
      </c>
      <c r="O1171" s="90" t="s">
        <v>2931</v>
      </c>
      <c r="R1171" s="90" t="s">
        <v>4437</v>
      </c>
      <c r="S1171" s="90" t="s">
        <v>5501</v>
      </c>
      <c r="T1171" s="90" t="s">
        <v>5999</v>
      </c>
      <c r="U1171" s="90" t="s">
        <v>4977</v>
      </c>
    </row>
    <row r="1172" spans="1:21" x14ac:dyDescent="0.25">
      <c r="A1172" s="90" t="s">
        <v>2932</v>
      </c>
      <c r="B1172" s="119">
        <v>6</v>
      </c>
      <c r="C1172" s="90" t="s">
        <v>2930</v>
      </c>
      <c r="D1172" s="90" t="s">
        <v>78</v>
      </c>
      <c r="E1172">
        <v>2335</v>
      </c>
      <c r="F1172">
        <v>2336</v>
      </c>
      <c r="G1172" s="93" t="s">
        <v>78</v>
      </c>
      <c r="H1172" t="s">
        <v>144</v>
      </c>
      <c r="I1172">
        <v>1</v>
      </c>
      <c r="J1172">
        <v>32.777282569999997</v>
      </c>
      <c r="K1172">
        <f>I1172*J1172</f>
        <v>32.777282569999997</v>
      </c>
      <c r="L1172">
        <v>40</v>
      </c>
      <c r="M1172">
        <f>(1-(L1172/100))*K1172</f>
        <v>19.666369541999998</v>
      </c>
      <c r="N1172" s="90">
        <v>1172</v>
      </c>
      <c r="O1172" s="90" t="s">
        <v>2933</v>
      </c>
    </row>
    <row r="1173" spans="1:21" x14ac:dyDescent="0.25">
      <c r="A1173" s="90" t="s">
        <v>2934</v>
      </c>
      <c r="B1173" s="119">
        <v>6</v>
      </c>
      <c r="C1173" s="90" t="s">
        <v>2930</v>
      </c>
      <c r="D1173" s="90" t="s">
        <v>79</v>
      </c>
      <c r="E1173">
        <v>2337</v>
      </c>
      <c r="F1173">
        <v>2338</v>
      </c>
      <c r="G1173" s="93" t="s">
        <v>78</v>
      </c>
      <c r="H1173" t="s">
        <v>145</v>
      </c>
      <c r="I1173">
        <v>2</v>
      </c>
      <c r="J1173">
        <v>28.6</v>
      </c>
      <c r="K1173">
        <f>I1173*J1173</f>
        <v>57.2</v>
      </c>
      <c r="L1173">
        <v>40</v>
      </c>
      <c r="M1173">
        <f>(1-(L1173/100))*K1173</f>
        <v>34.32</v>
      </c>
      <c r="N1173" s="90">
        <v>1173</v>
      </c>
      <c r="O1173" s="90" t="s">
        <v>2935</v>
      </c>
    </row>
    <row r="1174" spans="1:21" x14ac:dyDescent="0.25">
      <c r="A1174" s="90" t="s">
        <v>2936</v>
      </c>
      <c r="B1174" s="119">
        <v>6</v>
      </c>
      <c r="C1174" s="90" t="s">
        <v>2930</v>
      </c>
      <c r="D1174" s="90" t="s">
        <v>80</v>
      </c>
      <c r="E1174">
        <v>2339</v>
      </c>
      <c r="F1174">
        <v>2340</v>
      </c>
      <c r="G1174" s="93" t="s">
        <v>78</v>
      </c>
      <c r="H1174" t="s">
        <v>143</v>
      </c>
      <c r="I1174">
        <v>2</v>
      </c>
      <c r="J1174">
        <v>27.17</v>
      </c>
      <c r="K1174">
        <f>I1174*J1174</f>
        <v>54.34</v>
      </c>
      <c r="L1174">
        <v>40</v>
      </c>
      <c r="M1174">
        <f>(1-(L1174/100))*K1174</f>
        <v>32.603999999999999</v>
      </c>
      <c r="N1174" s="90">
        <v>1174</v>
      </c>
      <c r="O1174" s="90" t="s">
        <v>2937</v>
      </c>
    </row>
    <row r="1175" spans="1:21" x14ac:dyDescent="0.25">
      <c r="A1175" s="90" t="s">
        <v>2938</v>
      </c>
      <c r="B1175" s="119">
        <v>3</v>
      </c>
      <c r="C1175" s="90" t="s">
        <v>2823</v>
      </c>
      <c r="D1175" s="90" t="s">
        <v>80</v>
      </c>
      <c r="E1175">
        <v>2344</v>
      </c>
      <c r="F1175">
        <v>2363</v>
      </c>
      <c r="G1175" s="93" t="s">
        <v>68</v>
      </c>
      <c r="H1175" t="s">
        <v>2939</v>
      </c>
      <c r="I1175">
        <v>1</v>
      </c>
      <c r="J1175">
        <f>SUM(K1176,K1179,K1181,K1183)</f>
        <v>12677.74146186</v>
      </c>
      <c r="K1175">
        <f>I1175*J1175</f>
        <v>12677.74146186</v>
      </c>
      <c r="L1175">
        <f>100*(1-(M1175/K1175))</f>
        <v>85.6</v>
      </c>
      <c r="M1175">
        <f>I1175*SUM(M1176,M1179,M1181,M1183)</f>
        <v>1825.5947705078402</v>
      </c>
      <c r="N1175" s="90">
        <v>1175</v>
      </c>
      <c r="O1175" s="90" t="s">
        <v>2940</v>
      </c>
      <c r="R1175" s="90" t="s">
        <v>6370</v>
      </c>
      <c r="S1175" s="90" t="s">
        <v>6673</v>
      </c>
      <c r="T1175" s="90" t="s">
        <v>6818</v>
      </c>
      <c r="U1175" s="90" t="s">
        <v>6522</v>
      </c>
    </row>
    <row r="1176" spans="1:21" x14ac:dyDescent="0.25">
      <c r="A1176" s="90" t="s">
        <v>2941</v>
      </c>
      <c r="B1176" s="119">
        <v>4</v>
      </c>
      <c r="C1176" s="90" t="s">
        <v>2938</v>
      </c>
      <c r="D1176" s="90" t="s">
        <v>78</v>
      </c>
      <c r="E1176">
        <v>2345</v>
      </c>
      <c r="F1176">
        <v>2350</v>
      </c>
      <c r="G1176" s="93" t="s">
        <v>68</v>
      </c>
      <c r="H1176" t="s">
        <v>364</v>
      </c>
      <c r="I1176">
        <v>1</v>
      </c>
      <c r="J1176">
        <f>SUM(K1177,K1178)</f>
        <v>2292.1176620400001</v>
      </c>
      <c r="K1176">
        <f>I1176*J1176</f>
        <v>2292.1176620400001</v>
      </c>
      <c r="L1176">
        <f>100*(1-(M1176/K1176))</f>
        <v>85.6</v>
      </c>
      <c r="M1176">
        <f>I1176*SUM(M1177,M1178)</f>
        <v>330.06494333376008</v>
      </c>
      <c r="N1176" s="90">
        <v>1176</v>
      </c>
      <c r="O1176" s="90" t="s">
        <v>2942</v>
      </c>
      <c r="R1176" s="90" t="s">
        <v>4438</v>
      </c>
      <c r="S1176" s="90" t="s">
        <v>5502</v>
      </c>
      <c r="T1176" s="90" t="s">
        <v>6000</v>
      </c>
      <c r="U1176" s="90" t="s">
        <v>4978</v>
      </c>
    </row>
    <row r="1177" spans="1:21" x14ac:dyDescent="0.25">
      <c r="A1177" s="90" t="s">
        <v>2943</v>
      </c>
      <c r="B1177" s="119">
        <v>5</v>
      </c>
      <c r="C1177" s="90" t="s">
        <v>2941</v>
      </c>
      <c r="D1177" s="90" t="s">
        <v>78</v>
      </c>
      <c r="E1177">
        <v>2346</v>
      </c>
      <c r="F1177">
        <v>2347</v>
      </c>
      <c r="G1177" s="93" t="s">
        <v>78</v>
      </c>
      <c r="H1177" t="s">
        <v>366</v>
      </c>
      <c r="I1177">
        <v>1</v>
      </c>
      <c r="J1177">
        <v>509.35948044999998</v>
      </c>
      <c r="K1177">
        <f>I1177*J1177</f>
        <v>509.35948044999998</v>
      </c>
      <c r="L1177">
        <v>85.6</v>
      </c>
      <c r="M1177">
        <f>(1-(L1177/100))*K1177</f>
        <v>73.347765184800011</v>
      </c>
      <c r="N1177" s="90">
        <v>1177</v>
      </c>
      <c r="O1177" s="90" t="s">
        <v>2944</v>
      </c>
    </row>
    <row r="1178" spans="1:21" x14ac:dyDescent="0.25">
      <c r="A1178" s="90" t="s">
        <v>2945</v>
      </c>
      <c r="B1178" s="119">
        <v>5</v>
      </c>
      <c r="C1178" s="90" t="s">
        <v>2941</v>
      </c>
      <c r="D1178" s="90" t="s">
        <v>79</v>
      </c>
      <c r="E1178">
        <v>2348</v>
      </c>
      <c r="F1178">
        <v>2349</v>
      </c>
      <c r="G1178" s="93" t="s">
        <v>78</v>
      </c>
      <c r="H1178" t="s">
        <v>368</v>
      </c>
      <c r="I1178">
        <v>1</v>
      </c>
      <c r="J1178">
        <v>1782.75818159</v>
      </c>
      <c r="K1178">
        <f>I1178*J1178</f>
        <v>1782.75818159</v>
      </c>
      <c r="L1178">
        <v>85.6</v>
      </c>
      <c r="M1178">
        <f>(1-(L1178/100))*K1178</f>
        <v>256.71717814896004</v>
      </c>
      <c r="N1178" s="90">
        <v>1178</v>
      </c>
      <c r="O1178" s="90" t="s">
        <v>2946</v>
      </c>
    </row>
    <row r="1179" spans="1:21" x14ac:dyDescent="0.25">
      <c r="A1179" s="90" t="s">
        <v>2947</v>
      </c>
      <c r="B1179" s="119">
        <v>4</v>
      </c>
      <c r="C1179" s="90" t="s">
        <v>2938</v>
      </c>
      <c r="D1179" s="90" t="s">
        <v>79</v>
      </c>
      <c r="E1179">
        <v>2351</v>
      </c>
      <c r="F1179">
        <v>2354</v>
      </c>
      <c r="G1179" s="93" t="s">
        <v>68</v>
      </c>
      <c r="H1179" t="s">
        <v>379</v>
      </c>
      <c r="I1179">
        <v>1</v>
      </c>
      <c r="J1179">
        <f>SUM(K1180)</f>
        <v>303.06889087000002</v>
      </c>
      <c r="K1179">
        <f>I1179*J1179</f>
        <v>303.06889087000002</v>
      </c>
      <c r="L1179">
        <f>100*(1-(M1179/K1179))</f>
        <v>85.6</v>
      </c>
      <c r="M1179">
        <f>I1179*SUM(M1180)</f>
        <v>43.641920285280008</v>
      </c>
      <c r="N1179" s="90">
        <v>1179</v>
      </c>
      <c r="O1179" s="90" t="s">
        <v>2948</v>
      </c>
      <c r="R1179" s="90" t="s">
        <v>4439</v>
      </c>
      <c r="S1179" s="90" t="s">
        <v>5503</v>
      </c>
      <c r="T1179" s="90" t="s">
        <v>6001</v>
      </c>
      <c r="U1179" s="90" t="s">
        <v>4979</v>
      </c>
    </row>
    <row r="1180" spans="1:21" x14ac:dyDescent="0.25">
      <c r="A1180" s="90" t="s">
        <v>2949</v>
      </c>
      <c r="B1180" s="119">
        <v>5</v>
      </c>
      <c r="C1180" s="90" t="s">
        <v>2947</v>
      </c>
      <c r="D1180" s="90" t="s">
        <v>78</v>
      </c>
      <c r="E1180">
        <v>2352</v>
      </c>
      <c r="F1180">
        <v>2353</v>
      </c>
      <c r="G1180" s="93" t="s">
        <v>78</v>
      </c>
      <c r="H1180" t="s">
        <v>381</v>
      </c>
      <c r="I1180">
        <v>1</v>
      </c>
      <c r="J1180">
        <v>303.06889087000002</v>
      </c>
      <c r="K1180">
        <f>I1180*J1180</f>
        <v>303.06889087000002</v>
      </c>
      <c r="L1180">
        <v>85.6</v>
      </c>
      <c r="M1180">
        <f>(1-(L1180/100))*K1180</f>
        <v>43.641920285280008</v>
      </c>
      <c r="N1180" s="90">
        <v>1180</v>
      </c>
      <c r="O1180" s="90" t="s">
        <v>2950</v>
      </c>
    </row>
    <row r="1181" spans="1:21" x14ac:dyDescent="0.25">
      <c r="A1181" s="90" t="s">
        <v>2951</v>
      </c>
      <c r="B1181" s="119">
        <v>4</v>
      </c>
      <c r="C1181" s="90" t="s">
        <v>2938</v>
      </c>
      <c r="D1181" s="90" t="s">
        <v>80</v>
      </c>
      <c r="E1181">
        <v>2355</v>
      </c>
      <c r="F1181">
        <v>2358</v>
      </c>
      <c r="G1181" s="93" t="s">
        <v>68</v>
      </c>
      <c r="H1181" t="s">
        <v>383</v>
      </c>
      <c r="I1181">
        <v>1</v>
      </c>
      <c r="J1181">
        <f>SUM(K1182)</f>
        <v>1069.6549089499999</v>
      </c>
      <c r="K1181">
        <f>I1181*J1181</f>
        <v>1069.6549089499999</v>
      </c>
      <c r="L1181">
        <f>100*(1-(M1181/K1181))</f>
        <v>85.6</v>
      </c>
      <c r="M1181">
        <f>I1181*SUM(M1182)</f>
        <v>154.0303068888</v>
      </c>
      <c r="N1181" s="90">
        <v>1181</v>
      </c>
      <c r="O1181" s="90" t="s">
        <v>2952</v>
      </c>
      <c r="R1181" s="90" t="s">
        <v>4440</v>
      </c>
      <c r="S1181" s="90" t="s">
        <v>5504</v>
      </c>
      <c r="T1181" s="90" t="s">
        <v>6002</v>
      </c>
      <c r="U1181" s="90" t="s">
        <v>4980</v>
      </c>
    </row>
    <row r="1182" spans="1:21" x14ac:dyDescent="0.25">
      <c r="A1182" s="90" t="s">
        <v>2953</v>
      </c>
      <c r="B1182" s="119">
        <v>5</v>
      </c>
      <c r="C1182" s="90" t="s">
        <v>2951</v>
      </c>
      <c r="D1182" s="90" t="s">
        <v>78</v>
      </c>
      <c r="E1182">
        <v>2356</v>
      </c>
      <c r="F1182">
        <v>2357</v>
      </c>
      <c r="G1182" s="93" t="s">
        <v>78</v>
      </c>
      <c r="H1182" t="s">
        <v>385</v>
      </c>
      <c r="I1182">
        <v>1</v>
      </c>
      <c r="J1182">
        <v>1069.6549089499999</v>
      </c>
      <c r="K1182">
        <f>I1182*J1182</f>
        <v>1069.6549089499999</v>
      </c>
      <c r="L1182">
        <v>85.6</v>
      </c>
      <c r="M1182">
        <f>(1-(L1182/100))*K1182</f>
        <v>154.0303068888</v>
      </c>
      <c r="N1182" s="90">
        <v>1182</v>
      </c>
      <c r="O1182" s="90" t="s">
        <v>2954</v>
      </c>
    </row>
    <row r="1183" spans="1:21" x14ac:dyDescent="0.25">
      <c r="A1183" s="90" t="s">
        <v>2955</v>
      </c>
      <c r="B1183" s="119">
        <v>4</v>
      </c>
      <c r="C1183" s="90" t="s">
        <v>2938</v>
      </c>
      <c r="D1183" s="90" t="s">
        <v>95</v>
      </c>
      <c r="E1183">
        <v>2359</v>
      </c>
      <c r="F1183">
        <v>2362</v>
      </c>
      <c r="G1183" s="93" t="s">
        <v>68</v>
      </c>
      <c r="H1183" t="s">
        <v>387</v>
      </c>
      <c r="I1183">
        <v>1</v>
      </c>
      <c r="J1183">
        <f>SUM(K1184)</f>
        <v>9012.9</v>
      </c>
      <c r="K1183">
        <f>I1183*J1183</f>
        <v>9012.9</v>
      </c>
      <c r="L1183">
        <f>100*(1-(M1183/K1183))</f>
        <v>85.6</v>
      </c>
      <c r="M1183">
        <f>I1183*SUM(M1184)</f>
        <v>1297.8576</v>
      </c>
      <c r="N1183" s="90">
        <v>1183</v>
      </c>
      <c r="O1183" s="90" t="s">
        <v>2956</v>
      </c>
      <c r="R1183" s="90" t="s">
        <v>4441</v>
      </c>
      <c r="S1183" s="90" t="s">
        <v>5505</v>
      </c>
      <c r="T1183" s="90" t="s">
        <v>6003</v>
      </c>
      <c r="U1183" s="90" t="s">
        <v>4981</v>
      </c>
    </row>
    <row r="1184" spans="1:21" x14ac:dyDescent="0.25">
      <c r="A1184" s="90" t="s">
        <v>2957</v>
      </c>
      <c r="B1184" s="119">
        <v>5</v>
      </c>
      <c r="C1184" s="90" t="s">
        <v>2955</v>
      </c>
      <c r="D1184" s="90" t="s">
        <v>78</v>
      </c>
      <c r="E1184">
        <v>2360</v>
      </c>
      <c r="F1184">
        <v>2361</v>
      </c>
      <c r="G1184" s="93" t="s">
        <v>78</v>
      </c>
      <c r="H1184" t="s">
        <v>389</v>
      </c>
      <c r="I1184">
        <v>1</v>
      </c>
      <c r="J1184">
        <v>9012.9</v>
      </c>
      <c r="K1184">
        <f>I1184*J1184</f>
        <v>9012.9</v>
      </c>
      <c r="L1184">
        <v>85.6</v>
      </c>
      <c r="M1184">
        <f>(1-(L1184/100))*K1184</f>
        <v>1297.8576</v>
      </c>
      <c r="N1184" s="90">
        <v>1184</v>
      </c>
      <c r="O1184" s="90" t="s">
        <v>2958</v>
      </c>
    </row>
    <row r="1185" spans="1:21" x14ac:dyDescent="0.25">
      <c r="A1185" s="90" t="s">
        <v>2959</v>
      </c>
      <c r="B1185" s="119">
        <v>3</v>
      </c>
      <c r="C1185" s="90" t="s">
        <v>2823</v>
      </c>
      <c r="D1185" s="90" t="s">
        <v>95</v>
      </c>
      <c r="E1185">
        <v>2364</v>
      </c>
      <c r="F1185">
        <v>2369</v>
      </c>
      <c r="G1185" s="93" t="s">
        <v>68</v>
      </c>
      <c r="H1185" t="s">
        <v>2960</v>
      </c>
      <c r="I1185">
        <v>1</v>
      </c>
      <c r="J1185">
        <f>SUM(K1186)</f>
        <v>333.63045970000002</v>
      </c>
      <c r="K1185">
        <f>I1185*J1185</f>
        <v>333.63045970000002</v>
      </c>
      <c r="L1185">
        <f>100*(1-(M1185/K1185))</f>
        <v>85.6</v>
      </c>
      <c r="M1185">
        <f>I1185*SUM(M1186)</f>
        <v>48.042786196800009</v>
      </c>
      <c r="N1185" s="90">
        <v>1185</v>
      </c>
      <c r="O1185" s="90" t="s">
        <v>2961</v>
      </c>
      <c r="R1185" s="90" t="s">
        <v>6371</v>
      </c>
      <c r="S1185" s="90" t="s">
        <v>6674</v>
      </c>
      <c r="T1185" s="90" t="s">
        <v>6819</v>
      </c>
      <c r="U1185" s="90" t="s">
        <v>6523</v>
      </c>
    </row>
    <row r="1186" spans="1:21" x14ac:dyDescent="0.25">
      <c r="A1186" s="90" t="s">
        <v>2962</v>
      </c>
      <c r="B1186" s="119">
        <v>4</v>
      </c>
      <c r="C1186" s="90" t="s">
        <v>2959</v>
      </c>
      <c r="D1186" s="90" t="s">
        <v>78</v>
      </c>
      <c r="E1186">
        <v>2365</v>
      </c>
      <c r="F1186">
        <v>2368</v>
      </c>
      <c r="G1186" s="93" t="s">
        <v>68</v>
      </c>
      <c r="H1186" t="s">
        <v>399</v>
      </c>
      <c r="I1186">
        <v>1</v>
      </c>
      <c r="J1186">
        <f>SUM(K1187)</f>
        <v>333.63045970000002</v>
      </c>
      <c r="K1186">
        <f>I1186*J1186</f>
        <v>333.63045970000002</v>
      </c>
      <c r="L1186">
        <f>100*(1-(M1186/K1186))</f>
        <v>85.6</v>
      </c>
      <c r="M1186">
        <f>I1186*SUM(M1187)</f>
        <v>48.042786196800009</v>
      </c>
      <c r="N1186" s="90">
        <v>1186</v>
      </c>
      <c r="O1186" s="90" t="s">
        <v>2963</v>
      </c>
      <c r="R1186" s="90" t="s">
        <v>4442</v>
      </c>
      <c r="S1186" s="90" t="s">
        <v>5506</v>
      </c>
      <c r="T1186" s="90" t="s">
        <v>6004</v>
      </c>
      <c r="U1186" s="90" t="s">
        <v>4982</v>
      </c>
    </row>
    <row r="1187" spans="1:21" x14ac:dyDescent="0.25">
      <c r="A1187" s="90" t="s">
        <v>2964</v>
      </c>
      <c r="B1187" s="119">
        <v>5</v>
      </c>
      <c r="C1187" s="90" t="s">
        <v>2962</v>
      </c>
      <c r="D1187" s="90" t="s">
        <v>78</v>
      </c>
      <c r="E1187">
        <v>2366</v>
      </c>
      <c r="F1187">
        <v>2367</v>
      </c>
      <c r="G1187" s="93" t="s">
        <v>78</v>
      </c>
      <c r="H1187" t="s">
        <v>401</v>
      </c>
      <c r="I1187">
        <v>1</v>
      </c>
      <c r="J1187">
        <v>333.63045970000002</v>
      </c>
      <c r="K1187">
        <f>I1187*J1187</f>
        <v>333.63045970000002</v>
      </c>
      <c r="L1187">
        <v>85.6</v>
      </c>
      <c r="M1187">
        <f>(1-(L1187/100))*K1187</f>
        <v>48.042786196800009</v>
      </c>
      <c r="N1187" s="90">
        <v>1187</v>
      </c>
      <c r="O1187" s="90" t="s">
        <v>2965</v>
      </c>
    </row>
    <row r="1188" spans="1:21" x14ac:dyDescent="0.25">
      <c r="A1188" s="90" t="s">
        <v>2966</v>
      </c>
      <c r="B1188" s="119">
        <v>3</v>
      </c>
      <c r="C1188" s="90" t="s">
        <v>2823</v>
      </c>
      <c r="D1188" s="90" t="s">
        <v>96</v>
      </c>
      <c r="E1188">
        <v>2370</v>
      </c>
      <c r="F1188">
        <v>2375</v>
      </c>
      <c r="G1188" s="93" t="s">
        <v>68</v>
      </c>
      <c r="H1188" t="s">
        <v>2967</v>
      </c>
      <c r="I1188">
        <v>1</v>
      </c>
      <c r="J1188">
        <f>SUM(K1189)</f>
        <v>1324.33464918</v>
      </c>
      <c r="K1188">
        <f>I1188*J1188</f>
        <v>1324.33464918</v>
      </c>
      <c r="L1188">
        <f>100*(1-(M1188/K1188))</f>
        <v>85.6</v>
      </c>
      <c r="M1188">
        <f>I1188*SUM(M1189)</f>
        <v>190.70418948192003</v>
      </c>
      <c r="N1188" s="90">
        <v>1188</v>
      </c>
      <c r="O1188" s="90" t="s">
        <v>2968</v>
      </c>
      <c r="R1188" s="90" t="s">
        <v>6372</v>
      </c>
      <c r="S1188" s="90" t="s">
        <v>6675</v>
      </c>
      <c r="T1188" s="90" t="s">
        <v>6820</v>
      </c>
      <c r="U1188" s="90" t="s">
        <v>6524</v>
      </c>
    </row>
    <row r="1189" spans="1:21" x14ac:dyDescent="0.25">
      <c r="A1189" s="90" t="s">
        <v>2969</v>
      </c>
      <c r="B1189" s="119">
        <v>4</v>
      </c>
      <c r="C1189" s="90" t="s">
        <v>2966</v>
      </c>
      <c r="D1189" s="90" t="s">
        <v>78</v>
      </c>
      <c r="E1189">
        <v>2371</v>
      </c>
      <c r="F1189">
        <v>2374</v>
      </c>
      <c r="G1189" s="93" t="s">
        <v>68</v>
      </c>
      <c r="H1189" t="s">
        <v>418</v>
      </c>
      <c r="I1189">
        <v>1</v>
      </c>
      <c r="J1189">
        <f>SUM(K1190)</f>
        <v>1324.33464918</v>
      </c>
      <c r="K1189">
        <f>I1189*J1189</f>
        <v>1324.33464918</v>
      </c>
      <c r="L1189">
        <f>100*(1-(M1189/K1189))</f>
        <v>85.6</v>
      </c>
      <c r="M1189">
        <f>I1189*SUM(M1190)</f>
        <v>190.70418948192003</v>
      </c>
      <c r="N1189" s="90">
        <v>1189</v>
      </c>
      <c r="O1189" s="90" t="s">
        <v>2970</v>
      </c>
      <c r="R1189" s="90" t="s">
        <v>4443</v>
      </c>
      <c r="S1189" s="90" t="s">
        <v>5507</v>
      </c>
      <c r="T1189" s="90" t="s">
        <v>6005</v>
      </c>
      <c r="U1189" s="90" t="s">
        <v>4983</v>
      </c>
    </row>
    <row r="1190" spans="1:21" x14ac:dyDescent="0.25">
      <c r="A1190" s="90" t="s">
        <v>2971</v>
      </c>
      <c r="B1190" s="119">
        <v>5</v>
      </c>
      <c r="C1190" s="90" t="s">
        <v>2969</v>
      </c>
      <c r="D1190" s="90" t="s">
        <v>78</v>
      </c>
      <c r="E1190">
        <v>2372</v>
      </c>
      <c r="F1190">
        <v>2373</v>
      </c>
      <c r="G1190" s="93" t="s">
        <v>78</v>
      </c>
      <c r="H1190" t="s">
        <v>419</v>
      </c>
      <c r="I1190">
        <v>1</v>
      </c>
      <c r="J1190">
        <v>1324.33464918</v>
      </c>
      <c r="K1190">
        <f>I1190*J1190</f>
        <v>1324.33464918</v>
      </c>
      <c r="L1190">
        <v>85.6</v>
      </c>
      <c r="M1190">
        <f>(1-(L1190/100))*K1190</f>
        <v>190.70418948192003</v>
      </c>
      <c r="N1190" s="90">
        <v>1190</v>
      </c>
      <c r="O1190" s="90" t="s">
        <v>2972</v>
      </c>
    </row>
    <row r="1191" spans="1:21" x14ac:dyDescent="0.25">
      <c r="A1191" s="90" t="s">
        <v>2973</v>
      </c>
      <c r="B1191" s="119">
        <v>2</v>
      </c>
      <c r="C1191" s="90" t="s">
        <v>78</v>
      </c>
      <c r="D1191" s="90" t="s">
        <v>86</v>
      </c>
      <c r="E1191">
        <v>2377</v>
      </c>
      <c r="F1191">
        <v>2520</v>
      </c>
      <c r="G1191" s="93" t="s">
        <v>68</v>
      </c>
      <c r="H1191" t="s">
        <v>2974</v>
      </c>
      <c r="I1191">
        <v>1</v>
      </c>
      <c r="J1191">
        <f>SUM(K1192,K1236,K1247,K1257,K1260)</f>
        <v>74128.473871140013</v>
      </c>
      <c r="K1191">
        <f>I1191*J1191</f>
        <v>74128.473871140013</v>
      </c>
      <c r="L1191">
        <f>100*(1-(M1191/K1191))</f>
        <v>48.818584620561701</v>
      </c>
      <c r="M1191">
        <f>I1191*SUM(M1192,M1236,M1247,M1257,M1260)</f>
        <v>37940.00212642656</v>
      </c>
      <c r="N1191" s="90">
        <v>1191</v>
      </c>
      <c r="O1191" s="90" t="s">
        <v>2975</v>
      </c>
      <c r="R1191" s="90" t="s">
        <v>6937</v>
      </c>
      <c r="S1191" s="90" t="s">
        <v>7034</v>
      </c>
      <c r="T1191" s="90" t="s">
        <v>7080</v>
      </c>
      <c r="U1191" s="90" t="s">
        <v>6986</v>
      </c>
    </row>
    <row r="1192" spans="1:21" x14ac:dyDescent="0.25">
      <c r="A1192" s="90" t="s">
        <v>2976</v>
      </c>
      <c r="B1192" s="119">
        <v>3</v>
      </c>
      <c r="C1192" s="90" t="s">
        <v>2973</v>
      </c>
      <c r="D1192" s="90" t="s">
        <v>78</v>
      </c>
      <c r="E1192">
        <v>2378</v>
      </c>
      <c r="F1192">
        <v>2465</v>
      </c>
      <c r="G1192" s="93" t="s">
        <v>68</v>
      </c>
      <c r="H1192" t="s">
        <v>2977</v>
      </c>
      <c r="I1192">
        <v>1</v>
      </c>
      <c r="J1192">
        <f>SUM(K1193,K1195,K1197,K1199,K1201,K1203,K1205,K1210,K1212,K1214,K1216,K1218,K1220,K1222,K1224,K1234)</f>
        <v>50928.470392220013</v>
      </c>
      <c r="K1192">
        <f>I1192*J1192</f>
        <v>50928.470392220013</v>
      </c>
      <c r="L1192">
        <f>100*(1-(M1192/K1192))</f>
        <v>40.000000000000021</v>
      </c>
      <c r="M1192">
        <f>I1192*SUM(M1193,M1195,M1197,M1199,M1201,M1203,M1205,M1210,M1212,M1214,M1216,M1218,M1220,M1222,M1224,M1234)</f>
        <v>30557.082235331996</v>
      </c>
      <c r="N1192" s="90">
        <v>1192</v>
      </c>
      <c r="O1192" s="90" t="s">
        <v>2978</v>
      </c>
      <c r="R1192" s="90" t="s">
        <v>6373</v>
      </c>
      <c r="S1192" s="90" t="s">
        <v>6676</v>
      </c>
      <c r="T1192" s="90" t="s">
        <v>6821</v>
      </c>
      <c r="U1192" s="90" t="s">
        <v>6525</v>
      </c>
    </row>
    <row r="1193" spans="1:21" x14ac:dyDescent="0.25">
      <c r="A1193" s="90" t="s">
        <v>2979</v>
      </c>
      <c r="B1193" s="119">
        <v>4</v>
      </c>
      <c r="C1193" s="90" t="s">
        <v>2976</v>
      </c>
      <c r="D1193" s="90" t="s">
        <v>78</v>
      </c>
      <c r="E1193">
        <v>2379</v>
      </c>
      <c r="F1193">
        <v>2382</v>
      </c>
      <c r="G1193" s="93" t="s">
        <v>68</v>
      </c>
      <c r="H1193" t="s">
        <v>1815</v>
      </c>
      <c r="I1193">
        <v>1</v>
      </c>
      <c r="J1193">
        <f>SUM(K1194)</f>
        <v>491.93938622000002</v>
      </c>
      <c r="K1193">
        <f>I1193*J1193</f>
        <v>491.93938622000002</v>
      </c>
      <c r="L1193">
        <f>100*(1-(M1193/K1193))</f>
        <v>40</v>
      </c>
      <c r="M1193">
        <f>I1193*SUM(M1194)</f>
        <v>295.163631732</v>
      </c>
      <c r="N1193" s="90">
        <v>1193</v>
      </c>
      <c r="O1193" s="90" t="s">
        <v>2980</v>
      </c>
      <c r="R1193" s="90" t="s">
        <v>4444</v>
      </c>
      <c r="S1193" s="90" t="s">
        <v>5508</v>
      </c>
      <c r="T1193" s="90" t="s">
        <v>6006</v>
      </c>
      <c r="U1193" s="90" t="s">
        <v>4984</v>
      </c>
    </row>
    <row r="1194" spans="1:21" x14ac:dyDescent="0.25">
      <c r="A1194" s="90" t="s">
        <v>2981</v>
      </c>
      <c r="B1194" s="119">
        <v>5</v>
      </c>
      <c r="C1194" s="90" t="s">
        <v>2979</v>
      </c>
      <c r="D1194" s="90" t="s">
        <v>78</v>
      </c>
      <c r="E1194">
        <v>2380</v>
      </c>
      <c r="F1194">
        <v>2381</v>
      </c>
      <c r="G1194" s="93" t="s">
        <v>78</v>
      </c>
      <c r="H1194" t="s">
        <v>126</v>
      </c>
      <c r="I1194">
        <v>1</v>
      </c>
      <c r="J1194">
        <v>491.93938622000002</v>
      </c>
      <c r="K1194">
        <f>I1194*J1194</f>
        <v>491.93938622000002</v>
      </c>
      <c r="L1194">
        <v>40</v>
      </c>
      <c r="M1194">
        <f>(1-(L1194/100))*K1194</f>
        <v>295.163631732</v>
      </c>
      <c r="N1194" s="90">
        <v>1194</v>
      </c>
      <c r="O1194" s="90" t="s">
        <v>2982</v>
      </c>
    </row>
    <row r="1195" spans="1:21" x14ac:dyDescent="0.25">
      <c r="A1195" s="90" t="s">
        <v>2983</v>
      </c>
      <c r="B1195" s="119">
        <v>4</v>
      </c>
      <c r="C1195" s="90" t="s">
        <v>2976</v>
      </c>
      <c r="D1195" s="90" t="s">
        <v>79</v>
      </c>
      <c r="E1195">
        <v>2383</v>
      </c>
      <c r="F1195">
        <v>2386</v>
      </c>
      <c r="G1195" s="93" t="s">
        <v>68</v>
      </c>
      <c r="H1195" t="s">
        <v>1818</v>
      </c>
      <c r="I1195">
        <v>2</v>
      </c>
      <c r="J1195">
        <f>SUM(K1196)</f>
        <v>313.76543995999998</v>
      </c>
      <c r="K1195">
        <f>I1195*J1195</f>
        <v>627.53087991999996</v>
      </c>
      <c r="L1195">
        <f>100*(1-(M1195/K1195))</f>
        <v>40</v>
      </c>
      <c r="M1195">
        <f>I1195*SUM(M1196)</f>
        <v>376.51852795199994</v>
      </c>
      <c r="N1195" s="90">
        <v>1195</v>
      </c>
      <c r="O1195" s="90" t="s">
        <v>2984</v>
      </c>
      <c r="R1195" s="90" t="s">
        <v>4453</v>
      </c>
      <c r="S1195" s="90" t="s">
        <v>5517</v>
      </c>
      <c r="T1195" s="90" t="s">
        <v>6015</v>
      </c>
      <c r="U1195" s="90" t="s">
        <v>4993</v>
      </c>
    </row>
    <row r="1196" spans="1:21" x14ac:dyDescent="0.25">
      <c r="A1196" s="90" t="s">
        <v>2985</v>
      </c>
      <c r="B1196" s="119">
        <v>5</v>
      </c>
      <c r="C1196" s="90" t="s">
        <v>2983</v>
      </c>
      <c r="D1196" s="90" t="s">
        <v>78</v>
      </c>
      <c r="E1196">
        <v>2384</v>
      </c>
      <c r="F1196">
        <v>2385</v>
      </c>
      <c r="G1196" s="93" t="s">
        <v>78</v>
      </c>
      <c r="H1196" t="s">
        <v>123</v>
      </c>
      <c r="I1196">
        <v>1</v>
      </c>
      <c r="J1196">
        <v>313.76543995999998</v>
      </c>
      <c r="K1196">
        <f>I1196*J1196</f>
        <v>313.76543995999998</v>
      </c>
      <c r="L1196">
        <v>40</v>
      </c>
      <c r="M1196">
        <f>(1-(L1196/100))*K1196</f>
        <v>188.25926397599997</v>
      </c>
      <c r="N1196" s="90">
        <v>1196</v>
      </c>
      <c r="O1196" s="90" t="s">
        <v>2986</v>
      </c>
    </row>
    <row r="1197" spans="1:21" x14ac:dyDescent="0.25">
      <c r="A1197" s="90" t="s">
        <v>2987</v>
      </c>
      <c r="B1197" s="119">
        <v>4</v>
      </c>
      <c r="C1197" s="90" t="s">
        <v>2976</v>
      </c>
      <c r="D1197" s="90" t="s">
        <v>80</v>
      </c>
      <c r="E1197">
        <v>2387</v>
      </c>
      <c r="F1197">
        <v>2390</v>
      </c>
      <c r="G1197" s="93" t="s">
        <v>68</v>
      </c>
      <c r="H1197" t="s">
        <v>1235</v>
      </c>
      <c r="I1197">
        <v>2</v>
      </c>
      <c r="J1197">
        <f>SUM(K1198)</f>
        <v>37.44</v>
      </c>
      <c r="K1197">
        <f>I1197*J1197</f>
        <v>74.88</v>
      </c>
      <c r="L1197">
        <f>100*(1-(M1197/K1197))</f>
        <v>40</v>
      </c>
      <c r="M1197">
        <f>I1197*SUM(M1198)</f>
        <v>44.927999999999997</v>
      </c>
      <c r="N1197" s="90">
        <v>1197</v>
      </c>
      <c r="O1197" s="90" t="s">
        <v>2988</v>
      </c>
      <c r="R1197" s="90" t="s">
        <v>4454</v>
      </c>
      <c r="S1197" s="90" t="s">
        <v>5518</v>
      </c>
      <c r="T1197" s="90" t="s">
        <v>6016</v>
      </c>
      <c r="U1197" s="90" t="s">
        <v>4994</v>
      </c>
    </row>
    <row r="1198" spans="1:21" x14ac:dyDescent="0.25">
      <c r="A1198" s="90" t="s">
        <v>2989</v>
      </c>
      <c r="B1198" s="119">
        <v>5</v>
      </c>
      <c r="C1198" s="90" t="s">
        <v>2987</v>
      </c>
      <c r="D1198" s="90" t="s">
        <v>78</v>
      </c>
      <c r="E1198">
        <v>2388</v>
      </c>
      <c r="F1198">
        <v>2389</v>
      </c>
      <c r="G1198" s="93" t="s">
        <v>78</v>
      </c>
      <c r="H1198" t="s">
        <v>1235</v>
      </c>
      <c r="I1198">
        <v>1</v>
      </c>
      <c r="J1198">
        <v>37.44</v>
      </c>
      <c r="K1198">
        <f>I1198*J1198</f>
        <v>37.44</v>
      </c>
      <c r="L1198">
        <v>40</v>
      </c>
      <c r="M1198">
        <f>(1-(L1198/100))*K1198</f>
        <v>22.463999999999999</v>
      </c>
      <c r="N1198" s="90">
        <v>1198</v>
      </c>
      <c r="O1198" s="90" t="s">
        <v>2990</v>
      </c>
    </row>
    <row r="1199" spans="1:21" x14ac:dyDescent="0.25">
      <c r="A1199" s="90" t="s">
        <v>2991</v>
      </c>
      <c r="B1199" s="119">
        <v>4</v>
      </c>
      <c r="C1199" s="90" t="s">
        <v>2976</v>
      </c>
      <c r="D1199" s="90" t="s">
        <v>95</v>
      </c>
      <c r="E1199">
        <v>2391</v>
      </c>
      <c r="F1199">
        <v>2394</v>
      </c>
      <c r="G1199" s="93" t="s">
        <v>68</v>
      </c>
      <c r="H1199" t="s">
        <v>1240</v>
      </c>
      <c r="I1199">
        <v>1</v>
      </c>
      <c r="J1199">
        <f>SUM(K1200)</f>
        <v>700.36928562000003</v>
      </c>
      <c r="K1199">
        <f>I1199*J1199</f>
        <v>700.36928562000003</v>
      </c>
      <c r="L1199">
        <f>100*(1-(M1199/K1199))</f>
        <v>40</v>
      </c>
      <c r="M1199">
        <f>I1199*SUM(M1200)</f>
        <v>420.22157137200003</v>
      </c>
      <c r="N1199" s="90">
        <v>1199</v>
      </c>
      <c r="O1199" s="90" t="s">
        <v>2992</v>
      </c>
      <c r="R1199" s="90" t="s">
        <v>4455</v>
      </c>
      <c r="S1199" s="90" t="s">
        <v>5519</v>
      </c>
      <c r="T1199" s="90" t="s">
        <v>6017</v>
      </c>
      <c r="U1199" s="90" t="s">
        <v>4995</v>
      </c>
    </row>
    <row r="1200" spans="1:21" x14ac:dyDescent="0.25">
      <c r="A1200" s="90" t="s">
        <v>2993</v>
      </c>
      <c r="B1200" s="119">
        <v>5</v>
      </c>
      <c r="C1200" s="90" t="s">
        <v>2991</v>
      </c>
      <c r="D1200" s="90" t="s">
        <v>78</v>
      </c>
      <c r="E1200">
        <v>2392</v>
      </c>
      <c r="F1200">
        <v>2393</v>
      </c>
      <c r="G1200" s="93" t="s">
        <v>78</v>
      </c>
      <c r="H1200" t="s">
        <v>1243</v>
      </c>
      <c r="I1200">
        <v>1</v>
      </c>
      <c r="J1200">
        <v>700.36928562000003</v>
      </c>
      <c r="K1200">
        <f>I1200*J1200</f>
        <v>700.36928562000003</v>
      </c>
      <c r="L1200">
        <v>40</v>
      </c>
      <c r="M1200">
        <f>(1-(L1200/100))*K1200</f>
        <v>420.22157137200003</v>
      </c>
      <c r="N1200" s="90">
        <v>1200</v>
      </c>
      <c r="O1200" s="90" t="s">
        <v>2994</v>
      </c>
    </row>
    <row r="1201" spans="1:21" x14ac:dyDescent="0.25">
      <c r="A1201" s="90" t="s">
        <v>2995</v>
      </c>
      <c r="B1201" s="119">
        <v>4</v>
      </c>
      <c r="C1201" s="90" t="s">
        <v>2976</v>
      </c>
      <c r="D1201" s="90" t="s">
        <v>96</v>
      </c>
      <c r="E1201">
        <v>2395</v>
      </c>
      <c r="F1201">
        <v>2398</v>
      </c>
      <c r="G1201" s="93" t="s">
        <v>68</v>
      </c>
      <c r="H1201" t="s">
        <v>1246</v>
      </c>
      <c r="I1201">
        <v>2</v>
      </c>
      <c r="J1201">
        <f>SUM(K1202)</f>
        <v>967.93582071000003</v>
      </c>
      <c r="K1201">
        <f>I1201*J1201</f>
        <v>1935.8716414200001</v>
      </c>
      <c r="L1201">
        <f>100*(1-(M1201/K1201))</f>
        <v>40</v>
      </c>
      <c r="M1201">
        <f>I1201*SUM(M1202)</f>
        <v>1161.522984852</v>
      </c>
      <c r="N1201" s="90">
        <v>1201</v>
      </c>
      <c r="O1201" s="90" t="s">
        <v>2996</v>
      </c>
      <c r="R1201" s="90" t="s">
        <v>4456</v>
      </c>
      <c r="S1201" s="90" t="s">
        <v>5520</v>
      </c>
      <c r="T1201" s="90" t="s">
        <v>6018</v>
      </c>
      <c r="U1201" s="90" t="s">
        <v>4996</v>
      </c>
    </row>
    <row r="1202" spans="1:21" x14ac:dyDescent="0.25">
      <c r="A1202" s="90" t="s">
        <v>2997</v>
      </c>
      <c r="B1202" s="119">
        <v>5</v>
      </c>
      <c r="C1202" s="90" t="s">
        <v>2995</v>
      </c>
      <c r="D1202" s="90" t="s">
        <v>78</v>
      </c>
      <c r="E1202">
        <v>2396</v>
      </c>
      <c r="F1202">
        <v>2397</v>
      </c>
      <c r="G1202" s="93" t="s">
        <v>78</v>
      </c>
      <c r="H1202" t="s">
        <v>120</v>
      </c>
      <c r="I1202">
        <v>1</v>
      </c>
      <c r="J1202">
        <v>967.93582071000003</v>
      </c>
      <c r="K1202">
        <f>I1202*J1202</f>
        <v>967.93582071000003</v>
      </c>
      <c r="L1202">
        <v>40</v>
      </c>
      <c r="M1202">
        <f>(1-(L1202/100))*K1202</f>
        <v>580.76149242600002</v>
      </c>
      <c r="N1202" s="90">
        <v>1202</v>
      </c>
      <c r="O1202" s="90" t="s">
        <v>2998</v>
      </c>
    </row>
    <row r="1203" spans="1:21" x14ac:dyDescent="0.25">
      <c r="A1203" s="90" t="s">
        <v>2999</v>
      </c>
      <c r="B1203" s="119">
        <v>4</v>
      </c>
      <c r="C1203" s="90" t="s">
        <v>2976</v>
      </c>
      <c r="D1203" s="90" t="s">
        <v>103</v>
      </c>
      <c r="E1203">
        <v>2399</v>
      </c>
      <c r="F1203">
        <v>2402</v>
      </c>
      <c r="G1203" s="93" t="s">
        <v>68</v>
      </c>
      <c r="H1203" t="s">
        <v>1251</v>
      </c>
      <c r="I1203">
        <v>1</v>
      </c>
      <c r="J1203">
        <f>SUM(K1204)</f>
        <v>967.93582071000003</v>
      </c>
      <c r="K1203">
        <f>I1203*J1203</f>
        <v>967.93582071000003</v>
      </c>
      <c r="L1203">
        <f>100*(1-(M1203/K1203))</f>
        <v>40</v>
      </c>
      <c r="M1203">
        <f>I1203*SUM(M1204)</f>
        <v>580.76149242600002</v>
      </c>
      <c r="N1203" s="90">
        <v>1203</v>
      </c>
      <c r="O1203" s="90" t="s">
        <v>3000</v>
      </c>
      <c r="R1203" s="90" t="s">
        <v>4457</v>
      </c>
      <c r="S1203" s="90" t="s">
        <v>5521</v>
      </c>
      <c r="T1203" s="90" t="s">
        <v>6019</v>
      </c>
      <c r="U1203" s="90" t="s">
        <v>4997</v>
      </c>
    </row>
    <row r="1204" spans="1:21" x14ac:dyDescent="0.25">
      <c r="A1204" s="90" t="s">
        <v>3001</v>
      </c>
      <c r="B1204" s="119">
        <v>5</v>
      </c>
      <c r="C1204" s="90" t="s">
        <v>2999</v>
      </c>
      <c r="D1204" s="90" t="s">
        <v>78</v>
      </c>
      <c r="E1204">
        <v>2400</v>
      </c>
      <c r="F1204">
        <v>2401</v>
      </c>
      <c r="G1204" s="93" t="s">
        <v>78</v>
      </c>
      <c r="H1204" t="s">
        <v>125</v>
      </c>
      <c r="I1204">
        <v>1</v>
      </c>
      <c r="J1204">
        <v>967.93582071000003</v>
      </c>
      <c r="K1204">
        <f>I1204*J1204</f>
        <v>967.93582071000003</v>
      </c>
      <c r="L1204">
        <v>40</v>
      </c>
      <c r="M1204">
        <f>(1-(L1204/100))*K1204</f>
        <v>580.76149242600002</v>
      </c>
      <c r="N1204" s="90">
        <v>1204</v>
      </c>
      <c r="O1204" s="90" t="s">
        <v>3002</v>
      </c>
    </row>
    <row r="1205" spans="1:21" x14ac:dyDescent="0.25">
      <c r="A1205" s="90" t="s">
        <v>3003</v>
      </c>
      <c r="B1205" s="119">
        <v>4</v>
      </c>
      <c r="C1205" s="90" t="s">
        <v>2976</v>
      </c>
      <c r="D1205" s="90" t="s">
        <v>796</v>
      </c>
      <c r="E1205">
        <v>2403</v>
      </c>
      <c r="F1205">
        <v>2412</v>
      </c>
      <c r="G1205" s="93" t="s">
        <v>68</v>
      </c>
      <c r="H1205" t="s">
        <v>2687</v>
      </c>
      <c r="I1205">
        <v>1</v>
      </c>
      <c r="J1205">
        <f>SUM(K1206,K1207,K1208,K1209)</f>
        <v>3086.2400000000002</v>
      </c>
      <c r="K1205">
        <f>I1205*J1205</f>
        <v>3086.2400000000002</v>
      </c>
      <c r="L1205">
        <f>100*(1-(M1205/K1205))</f>
        <v>40</v>
      </c>
      <c r="M1205">
        <f>I1205*SUM(M1206,M1207,M1208,M1209)</f>
        <v>1851.7439999999999</v>
      </c>
      <c r="N1205" s="90">
        <v>1205</v>
      </c>
      <c r="O1205" s="90" t="s">
        <v>3004</v>
      </c>
      <c r="R1205" s="90" t="s">
        <v>4458</v>
      </c>
      <c r="S1205" s="90" t="s">
        <v>5522</v>
      </c>
      <c r="T1205" s="90" t="s">
        <v>6020</v>
      </c>
      <c r="U1205" s="90" t="s">
        <v>4998</v>
      </c>
    </row>
    <row r="1206" spans="1:21" x14ac:dyDescent="0.25">
      <c r="A1206" s="90" t="s">
        <v>3005</v>
      </c>
      <c r="B1206" s="119">
        <v>5</v>
      </c>
      <c r="C1206" s="90" t="s">
        <v>3003</v>
      </c>
      <c r="D1206" s="90" t="s">
        <v>78</v>
      </c>
      <c r="E1206">
        <v>2404</v>
      </c>
      <c r="F1206">
        <v>2405</v>
      </c>
      <c r="G1206" s="93" t="s">
        <v>78</v>
      </c>
      <c r="H1206" t="s">
        <v>2690</v>
      </c>
      <c r="I1206">
        <v>1</v>
      </c>
      <c r="J1206">
        <v>2879</v>
      </c>
      <c r="K1206">
        <f>I1206*J1206</f>
        <v>2879</v>
      </c>
      <c r="L1206">
        <v>40</v>
      </c>
      <c r="M1206">
        <f>(1-(L1206/100))*K1206</f>
        <v>1727.3999999999999</v>
      </c>
      <c r="N1206" s="90">
        <v>1206</v>
      </c>
      <c r="O1206" s="90" t="s">
        <v>3006</v>
      </c>
    </row>
    <row r="1207" spans="1:21" x14ac:dyDescent="0.25">
      <c r="A1207" s="90" t="s">
        <v>3007</v>
      </c>
      <c r="B1207" s="119">
        <v>5</v>
      </c>
      <c r="C1207" s="90" t="s">
        <v>3003</v>
      </c>
      <c r="D1207" s="90" t="s">
        <v>79</v>
      </c>
      <c r="E1207">
        <v>2406</v>
      </c>
      <c r="F1207">
        <v>2407</v>
      </c>
      <c r="G1207" s="93" t="s">
        <v>78</v>
      </c>
      <c r="H1207" t="s">
        <v>2693</v>
      </c>
      <c r="I1207">
        <v>1</v>
      </c>
      <c r="J1207">
        <v>53.48</v>
      </c>
      <c r="K1207">
        <f>I1207*J1207</f>
        <v>53.48</v>
      </c>
      <c r="L1207">
        <v>40</v>
      </c>
      <c r="M1207">
        <f>(1-(L1207/100))*K1207</f>
        <v>32.087999999999994</v>
      </c>
      <c r="N1207" s="90">
        <v>1207</v>
      </c>
      <c r="O1207" s="90" t="s">
        <v>3008</v>
      </c>
    </row>
    <row r="1208" spans="1:21" x14ac:dyDescent="0.25">
      <c r="A1208" s="90" t="s">
        <v>3009</v>
      </c>
      <c r="B1208" s="119">
        <v>5</v>
      </c>
      <c r="C1208" s="90" t="s">
        <v>3003</v>
      </c>
      <c r="D1208" s="90" t="s">
        <v>80</v>
      </c>
      <c r="E1208">
        <v>2408</v>
      </c>
      <c r="F1208">
        <v>2409</v>
      </c>
      <c r="G1208" s="93" t="s">
        <v>78</v>
      </c>
      <c r="H1208" t="s">
        <v>2696</v>
      </c>
      <c r="I1208">
        <v>1</v>
      </c>
      <c r="J1208">
        <v>25.4</v>
      </c>
      <c r="K1208">
        <f>I1208*J1208</f>
        <v>25.4</v>
      </c>
      <c r="L1208">
        <v>40</v>
      </c>
      <c r="M1208">
        <f>(1-(L1208/100))*K1208</f>
        <v>15.239999999999998</v>
      </c>
      <c r="N1208" s="90">
        <v>1208</v>
      </c>
      <c r="O1208" s="90" t="s">
        <v>3010</v>
      </c>
    </row>
    <row r="1209" spans="1:21" x14ac:dyDescent="0.25">
      <c r="A1209" s="90" t="s">
        <v>3011</v>
      </c>
      <c r="B1209" s="119">
        <v>5</v>
      </c>
      <c r="C1209" s="90" t="s">
        <v>3003</v>
      </c>
      <c r="D1209" s="90" t="s">
        <v>95</v>
      </c>
      <c r="E1209">
        <v>2410</v>
      </c>
      <c r="F1209">
        <v>2411</v>
      </c>
      <c r="G1209" s="93" t="s">
        <v>78</v>
      </c>
      <c r="H1209" t="s">
        <v>2699</v>
      </c>
      <c r="I1209">
        <v>1</v>
      </c>
      <c r="J1209">
        <v>128.36000000000001</v>
      </c>
      <c r="K1209">
        <f>I1209*J1209</f>
        <v>128.36000000000001</v>
      </c>
      <c r="L1209">
        <v>40</v>
      </c>
      <c r="M1209">
        <f>(1-(L1209/100))*K1209</f>
        <v>77.016000000000005</v>
      </c>
      <c r="N1209" s="90">
        <v>1209</v>
      </c>
      <c r="O1209" s="90" t="s">
        <v>3012</v>
      </c>
    </row>
    <row r="1210" spans="1:21" x14ac:dyDescent="0.25">
      <c r="A1210" s="90" t="s">
        <v>3013</v>
      </c>
      <c r="B1210" s="119">
        <v>4</v>
      </c>
      <c r="C1210" s="90" t="s">
        <v>2976</v>
      </c>
      <c r="D1210" s="90" t="s">
        <v>797</v>
      </c>
      <c r="E1210">
        <v>2413</v>
      </c>
      <c r="F1210">
        <v>2416</v>
      </c>
      <c r="G1210" s="93" t="s">
        <v>68</v>
      </c>
      <c r="H1210" t="s">
        <v>1256</v>
      </c>
      <c r="I1210">
        <v>1</v>
      </c>
      <c r="J1210">
        <f>SUM(K1211)</f>
        <v>9428.2439831899992</v>
      </c>
      <c r="K1210">
        <f>I1210*J1210</f>
        <v>9428.2439831899992</v>
      </c>
      <c r="L1210">
        <f>100*(1-(M1210/K1210))</f>
        <v>40</v>
      </c>
      <c r="M1210">
        <f>I1210*SUM(M1211)</f>
        <v>5656.9463899139992</v>
      </c>
      <c r="N1210" s="90">
        <v>1210</v>
      </c>
      <c r="O1210" s="90" t="s">
        <v>3014</v>
      </c>
      <c r="R1210" s="90" t="s">
        <v>4459</v>
      </c>
      <c r="S1210" s="90" t="s">
        <v>5523</v>
      </c>
      <c r="T1210" s="90" t="s">
        <v>6021</v>
      </c>
      <c r="U1210" s="90" t="s">
        <v>4999</v>
      </c>
    </row>
    <row r="1211" spans="1:21" x14ac:dyDescent="0.25">
      <c r="A1211" s="90" t="s">
        <v>3015</v>
      </c>
      <c r="B1211" s="119">
        <v>5</v>
      </c>
      <c r="C1211" s="90" t="s">
        <v>3013</v>
      </c>
      <c r="D1211" s="90" t="s">
        <v>78</v>
      </c>
      <c r="E1211">
        <v>2414</v>
      </c>
      <c r="F1211">
        <v>2415</v>
      </c>
      <c r="G1211" s="93" t="s">
        <v>78</v>
      </c>
      <c r="H1211" t="s">
        <v>1256</v>
      </c>
      <c r="I1211">
        <v>1</v>
      </c>
      <c r="J1211">
        <v>9428.2439831899992</v>
      </c>
      <c r="K1211">
        <f>I1211*J1211</f>
        <v>9428.2439831899992</v>
      </c>
      <c r="L1211">
        <v>40</v>
      </c>
      <c r="M1211">
        <f>(1-(L1211/100))*K1211</f>
        <v>5656.9463899139992</v>
      </c>
      <c r="N1211" s="90">
        <v>1211</v>
      </c>
      <c r="O1211" s="90" t="s">
        <v>3016</v>
      </c>
    </row>
    <row r="1212" spans="1:21" x14ac:dyDescent="0.25">
      <c r="A1212" s="90" t="s">
        <v>3017</v>
      </c>
      <c r="B1212" s="119">
        <v>4</v>
      </c>
      <c r="C1212" s="90" t="s">
        <v>2976</v>
      </c>
      <c r="D1212" s="90" t="s">
        <v>798</v>
      </c>
      <c r="E1212">
        <v>2417</v>
      </c>
      <c r="F1212">
        <v>2420</v>
      </c>
      <c r="G1212" s="93" t="s">
        <v>68</v>
      </c>
      <c r="H1212" t="s">
        <v>1261</v>
      </c>
      <c r="I1212">
        <v>1</v>
      </c>
      <c r="J1212">
        <f>SUM(K1213)</f>
        <v>10160.44823634</v>
      </c>
      <c r="K1212">
        <f>I1212*J1212</f>
        <v>10160.44823634</v>
      </c>
      <c r="L1212">
        <f>100*(1-(M1212/K1212))</f>
        <v>40</v>
      </c>
      <c r="M1212">
        <f>I1212*SUM(M1213)</f>
        <v>6096.268941804</v>
      </c>
      <c r="N1212" s="90">
        <v>1212</v>
      </c>
      <c r="O1212" s="90" t="s">
        <v>3018</v>
      </c>
      <c r="R1212" s="90" t="s">
        <v>4460</v>
      </c>
      <c r="S1212" s="90" t="s">
        <v>5524</v>
      </c>
      <c r="T1212" s="90" t="s">
        <v>6022</v>
      </c>
      <c r="U1212" s="90" t="s">
        <v>5000</v>
      </c>
    </row>
    <row r="1213" spans="1:21" x14ac:dyDescent="0.25">
      <c r="A1213" s="90" t="s">
        <v>3019</v>
      </c>
      <c r="B1213" s="119">
        <v>5</v>
      </c>
      <c r="C1213" s="90" t="s">
        <v>3017</v>
      </c>
      <c r="D1213" s="90" t="s">
        <v>78</v>
      </c>
      <c r="E1213">
        <v>2418</v>
      </c>
      <c r="F1213">
        <v>2419</v>
      </c>
      <c r="G1213" s="93" t="s">
        <v>78</v>
      </c>
      <c r="H1213" t="s">
        <v>1261</v>
      </c>
      <c r="I1213">
        <v>1</v>
      </c>
      <c r="J1213">
        <v>10160.44823634</v>
      </c>
      <c r="K1213">
        <f>I1213*J1213</f>
        <v>10160.44823634</v>
      </c>
      <c r="L1213">
        <v>40</v>
      </c>
      <c r="M1213">
        <f>(1-(L1213/100))*K1213</f>
        <v>6096.268941804</v>
      </c>
      <c r="N1213" s="90">
        <v>1213</v>
      </c>
      <c r="O1213" s="90" t="s">
        <v>3020</v>
      </c>
    </row>
    <row r="1214" spans="1:21" x14ac:dyDescent="0.25">
      <c r="A1214" s="90" t="s">
        <v>3021</v>
      </c>
      <c r="B1214" s="119">
        <v>4</v>
      </c>
      <c r="C1214" s="90" t="s">
        <v>2976</v>
      </c>
      <c r="D1214" s="90" t="s">
        <v>799</v>
      </c>
      <c r="E1214">
        <v>2421</v>
      </c>
      <c r="F1214">
        <v>2424</v>
      </c>
      <c r="G1214" s="93" t="s">
        <v>68</v>
      </c>
      <c r="H1214" t="s">
        <v>1266</v>
      </c>
      <c r="I1214">
        <v>1</v>
      </c>
      <c r="J1214">
        <f>SUM(K1215)</f>
        <v>9312.3647013900008</v>
      </c>
      <c r="K1214">
        <f>I1214*J1214</f>
        <v>9312.3647013900008</v>
      </c>
      <c r="L1214">
        <f>100*(1-(M1214/K1214))</f>
        <v>40</v>
      </c>
      <c r="M1214">
        <f>I1214*SUM(M1215)</f>
        <v>5587.4188208340001</v>
      </c>
      <c r="N1214" s="90">
        <v>1214</v>
      </c>
      <c r="O1214" s="90" t="s">
        <v>3022</v>
      </c>
      <c r="R1214" s="90" t="s">
        <v>4445</v>
      </c>
      <c r="S1214" s="90" t="s">
        <v>5509</v>
      </c>
      <c r="T1214" s="90" t="s">
        <v>6007</v>
      </c>
      <c r="U1214" s="90" t="s">
        <v>4985</v>
      </c>
    </row>
    <row r="1215" spans="1:21" x14ac:dyDescent="0.25">
      <c r="A1215" s="90" t="s">
        <v>3023</v>
      </c>
      <c r="B1215" s="119">
        <v>5</v>
      </c>
      <c r="C1215" s="90" t="s">
        <v>3021</v>
      </c>
      <c r="D1215" s="90" t="s">
        <v>78</v>
      </c>
      <c r="E1215">
        <v>2422</v>
      </c>
      <c r="F1215">
        <v>2423</v>
      </c>
      <c r="G1215" s="93" t="s">
        <v>78</v>
      </c>
      <c r="H1215" t="s">
        <v>1269</v>
      </c>
      <c r="I1215">
        <v>1</v>
      </c>
      <c r="J1215">
        <v>9312.3647013900008</v>
      </c>
      <c r="K1215">
        <f>I1215*J1215</f>
        <v>9312.3647013900008</v>
      </c>
      <c r="L1215">
        <v>40</v>
      </c>
      <c r="M1215">
        <f>(1-(L1215/100))*K1215</f>
        <v>5587.4188208340001</v>
      </c>
      <c r="N1215" s="90">
        <v>1215</v>
      </c>
      <c r="O1215" s="90" t="s">
        <v>3024</v>
      </c>
    </row>
    <row r="1216" spans="1:21" x14ac:dyDescent="0.25">
      <c r="A1216" s="90" t="s">
        <v>3025</v>
      </c>
      <c r="B1216" s="119">
        <v>4</v>
      </c>
      <c r="C1216" s="90" t="s">
        <v>2976</v>
      </c>
      <c r="D1216" s="90" t="s">
        <v>97</v>
      </c>
      <c r="E1216">
        <v>2425</v>
      </c>
      <c r="F1216">
        <v>2428</v>
      </c>
      <c r="G1216" s="93" t="s">
        <v>68</v>
      </c>
      <c r="H1216" t="s">
        <v>1272</v>
      </c>
      <c r="I1216">
        <v>2</v>
      </c>
      <c r="J1216">
        <f>SUM(K1217)</f>
        <v>1308.5572392700001</v>
      </c>
      <c r="K1216">
        <f>I1216*J1216</f>
        <v>2617.1144785400002</v>
      </c>
      <c r="L1216">
        <f>100*(1-(M1216/K1216))</f>
        <v>40</v>
      </c>
      <c r="M1216">
        <f>I1216*SUM(M1217)</f>
        <v>1570.2686871240001</v>
      </c>
      <c r="N1216" s="90">
        <v>1216</v>
      </c>
      <c r="O1216" s="90" t="s">
        <v>3026</v>
      </c>
      <c r="R1216" s="90" t="s">
        <v>4446</v>
      </c>
      <c r="S1216" s="90" t="s">
        <v>5510</v>
      </c>
      <c r="T1216" s="90" t="s">
        <v>6008</v>
      </c>
      <c r="U1216" s="90" t="s">
        <v>4986</v>
      </c>
    </row>
    <row r="1217" spans="1:21" x14ac:dyDescent="0.25">
      <c r="A1217" s="90" t="s">
        <v>3027</v>
      </c>
      <c r="B1217" s="119">
        <v>5</v>
      </c>
      <c r="C1217" s="90" t="s">
        <v>3025</v>
      </c>
      <c r="D1217" s="90" t="s">
        <v>78</v>
      </c>
      <c r="E1217">
        <v>2426</v>
      </c>
      <c r="F1217">
        <v>2427</v>
      </c>
      <c r="G1217" s="93" t="s">
        <v>78</v>
      </c>
      <c r="H1217" t="s">
        <v>1272</v>
      </c>
      <c r="I1217">
        <v>1</v>
      </c>
      <c r="J1217">
        <v>1308.5572392700001</v>
      </c>
      <c r="K1217">
        <f>I1217*J1217</f>
        <v>1308.5572392700001</v>
      </c>
      <c r="L1217">
        <v>40</v>
      </c>
      <c r="M1217">
        <f>(1-(L1217/100))*K1217</f>
        <v>785.13434356200003</v>
      </c>
      <c r="N1217" s="90">
        <v>1217</v>
      </c>
      <c r="O1217" s="90" t="s">
        <v>3028</v>
      </c>
    </row>
    <row r="1218" spans="1:21" x14ac:dyDescent="0.25">
      <c r="A1218" s="90" t="s">
        <v>3029</v>
      </c>
      <c r="B1218" s="119">
        <v>4</v>
      </c>
      <c r="C1218" s="90" t="s">
        <v>2976</v>
      </c>
      <c r="D1218" s="90" t="s">
        <v>98</v>
      </c>
      <c r="E1218">
        <v>2429</v>
      </c>
      <c r="F1218">
        <v>2432</v>
      </c>
      <c r="G1218" s="93" t="s">
        <v>68</v>
      </c>
      <c r="H1218" t="s">
        <v>2722</v>
      </c>
      <c r="I1218">
        <v>1</v>
      </c>
      <c r="J1218">
        <f>SUM(K1219)</f>
        <v>1500</v>
      </c>
      <c r="K1218">
        <f>I1218*J1218</f>
        <v>1500</v>
      </c>
      <c r="L1218">
        <f>100*(1-(M1218/K1218))</f>
        <v>40</v>
      </c>
      <c r="M1218">
        <f>I1218*SUM(M1219)</f>
        <v>900</v>
      </c>
      <c r="N1218" s="90">
        <v>1218</v>
      </c>
      <c r="O1218" s="90" t="s">
        <v>3030</v>
      </c>
      <c r="R1218" s="90" t="s">
        <v>4447</v>
      </c>
      <c r="S1218" s="90" t="s">
        <v>5511</v>
      </c>
      <c r="T1218" s="90" t="s">
        <v>6009</v>
      </c>
      <c r="U1218" s="90" t="s">
        <v>4987</v>
      </c>
    </row>
    <row r="1219" spans="1:21" x14ac:dyDescent="0.25">
      <c r="A1219" s="90" t="s">
        <v>3031</v>
      </c>
      <c r="B1219" s="119">
        <v>5</v>
      </c>
      <c r="C1219" s="90" t="s">
        <v>3029</v>
      </c>
      <c r="D1219" s="90" t="s">
        <v>78</v>
      </c>
      <c r="E1219">
        <v>2430</v>
      </c>
      <c r="F1219">
        <v>2431</v>
      </c>
      <c r="G1219" s="93" t="s">
        <v>78</v>
      </c>
      <c r="H1219" t="s">
        <v>2725</v>
      </c>
      <c r="I1219">
        <v>1</v>
      </c>
      <c r="J1219">
        <v>1500</v>
      </c>
      <c r="K1219">
        <f>I1219*J1219</f>
        <v>1500</v>
      </c>
      <c r="L1219">
        <v>40</v>
      </c>
      <c r="M1219">
        <f>(1-(L1219/100))*K1219</f>
        <v>900</v>
      </c>
      <c r="N1219" s="90">
        <v>1219</v>
      </c>
      <c r="O1219" s="90" t="s">
        <v>3032</v>
      </c>
    </row>
    <row r="1220" spans="1:21" x14ac:dyDescent="0.25">
      <c r="A1220" s="90" t="s">
        <v>3033</v>
      </c>
      <c r="B1220" s="119">
        <v>4</v>
      </c>
      <c r="C1220" s="90" t="s">
        <v>2976</v>
      </c>
      <c r="D1220" s="90" t="s">
        <v>99</v>
      </c>
      <c r="E1220">
        <v>2433</v>
      </c>
      <c r="F1220">
        <v>2436</v>
      </c>
      <c r="G1220" s="93" t="s">
        <v>68</v>
      </c>
      <c r="H1220" t="s">
        <v>145</v>
      </c>
      <c r="I1220">
        <v>4</v>
      </c>
      <c r="J1220">
        <f>SUM(K1221)</f>
        <v>28.6</v>
      </c>
      <c r="K1220">
        <f>I1220*J1220</f>
        <v>114.4</v>
      </c>
      <c r="L1220">
        <f>100*(1-(M1220/K1220))</f>
        <v>40</v>
      </c>
      <c r="M1220">
        <f>I1220*SUM(M1221)</f>
        <v>68.64</v>
      </c>
      <c r="N1220" s="90">
        <v>1220</v>
      </c>
      <c r="O1220" s="90" t="s">
        <v>3034</v>
      </c>
      <c r="R1220" s="90" t="s">
        <v>4448</v>
      </c>
      <c r="S1220" s="90" t="s">
        <v>5512</v>
      </c>
      <c r="T1220" s="90" t="s">
        <v>6010</v>
      </c>
      <c r="U1220" s="90" t="s">
        <v>4988</v>
      </c>
    </row>
    <row r="1221" spans="1:21" x14ac:dyDescent="0.25">
      <c r="A1221" s="90" t="s">
        <v>3035</v>
      </c>
      <c r="B1221" s="119">
        <v>5</v>
      </c>
      <c r="C1221" s="90" t="s">
        <v>3033</v>
      </c>
      <c r="D1221" s="90" t="s">
        <v>78</v>
      </c>
      <c r="E1221">
        <v>2434</v>
      </c>
      <c r="F1221">
        <v>2435</v>
      </c>
      <c r="G1221" s="93" t="s">
        <v>78</v>
      </c>
      <c r="H1221" t="s">
        <v>145</v>
      </c>
      <c r="I1221">
        <v>1</v>
      </c>
      <c r="J1221">
        <v>28.6</v>
      </c>
      <c r="K1221">
        <f>I1221*J1221</f>
        <v>28.6</v>
      </c>
      <c r="L1221">
        <v>40</v>
      </c>
      <c r="M1221">
        <f>(1-(L1221/100))*K1221</f>
        <v>17.16</v>
      </c>
      <c r="N1221" s="90">
        <v>1221</v>
      </c>
      <c r="O1221" s="90" t="s">
        <v>3036</v>
      </c>
    </row>
    <row r="1222" spans="1:21" x14ac:dyDescent="0.25">
      <c r="A1222" s="90" t="s">
        <v>3037</v>
      </c>
      <c r="B1222" s="119">
        <v>4</v>
      </c>
      <c r="C1222" s="90" t="s">
        <v>2976</v>
      </c>
      <c r="D1222" s="90" t="s">
        <v>100</v>
      </c>
      <c r="E1222">
        <v>2437</v>
      </c>
      <c r="F1222">
        <v>2440</v>
      </c>
      <c r="G1222" s="93" t="s">
        <v>68</v>
      </c>
      <c r="H1222" t="s">
        <v>143</v>
      </c>
      <c r="I1222">
        <v>2</v>
      </c>
      <c r="J1222">
        <f>SUM(K1223)</f>
        <v>27.17</v>
      </c>
      <c r="K1222">
        <f>I1222*J1222</f>
        <v>54.34</v>
      </c>
      <c r="L1222">
        <f>100*(1-(M1222/K1222))</f>
        <v>40</v>
      </c>
      <c r="M1222">
        <f>I1222*SUM(M1223)</f>
        <v>32.603999999999999</v>
      </c>
      <c r="N1222" s="90">
        <v>1222</v>
      </c>
      <c r="O1222" s="90" t="s">
        <v>3038</v>
      </c>
      <c r="R1222" s="90" t="s">
        <v>4449</v>
      </c>
      <c r="S1222" s="90" t="s">
        <v>5513</v>
      </c>
      <c r="T1222" s="90" t="s">
        <v>6011</v>
      </c>
      <c r="U1222" s="90" t="s">
        <v>4989</v>
      </c>
    </row>
    <row r="1223" spans="1:21" x14ac:dyDescent="0.25">
      <c r="A1223" s="90" t="s">
        <v>3039</v>
      </c>
      <c r="B1223" s="119">
        <v>5</v>
      </c>
      <c r="C1223" s="90" t="s">
        <v>3037</v>
      </c>
      <c r="D1223" s="90" t="s">
        <v>78</v>
      </c>
      <c r="E1223">
        <v>2438</v>
      </c>
      <c r="F1223">
        <v>2439</v>
      </c>
      <c r="G1223" s="93" t="s">
        <v>78</v>
      </c>
      <c r="H1223" t="s">
        <v>143</v>
      </c>
      <c r="I1223">
        <v>1</v>
      </c>
      <c r="J1223">
        <v>27.17</v>
      </c>
      <c r="K1223">
        <f>I1223*J1223</f>
        <v>27.17</v>
      </c>
      <c r="L1223">
        <v>40</v>
      </c>
      <c r="M1223">
        <f>(1-(L1223/100))*K1223</f>
        <v>16.302</v>
      </c>
      <c r="N1223" s="90">
        <v>1223</v>
      </c>
      <c r="O1223" s="90" t="s">
        <v>3040</v>
      </c>
    </row>
    <row r="1224" spans="1:21" x14ac:dyDescent="0.25">
      <c r="A1224" s="90" t="s">
        <v>3041</v>
      </c>
      <c r="B1224" s="119">
        <v>4</v>
      </c>
      <c r="C1224" s="90" t="s">
        <v>2976</v>
      </c>
      <c r="D1224" s="90" t="s">
        <v>81</v>
      </c>
      <c r="E1224">
        <v>2441</v>
      </c>
      <c r="F1224">
        <v>2460</v>
      </c>
      <c r="G1224" s="93" t="s">
        <v>68</v>
      </c>
      <c r="H1224" t="s">
        <v>2736</v>
      </c>
      <c r="I1224">
        <v>1</v>
      </c>
      <c r="J1224">
        <f>SUM(K1225,K1226,K1227,K1228,K1229,K1230,K1232,K1233)</f>
        <v>9294.1319788700021</v>
      </c>
      <c r="K1224">
        <f>I1224*J1224</f>
        <v>9294.1319788700021</v>
      </c>
      <c r="L1224">
        <f>100*(1-(M1224/K1224))</f>
        <v>40.000000000000021</v>
      </c>
      <c r="M1224">
        <f>I1224*SUM(M1225,M1226,M1227,M1228,M1229,M1230,M1232,M1233)</f>
        <v>5576.4791873219992</v>
      </c>
      <c r="N1224" s="90">
        <v>1224</v>
      </c>
      <c r="O1224" s="90" t="s">
        <v>3042</v>
      </c>
      <c r="R1224" s="90" t="s">
        <v>4450</v>
      </c>
      <c r="S1224" s="90" t="s">
        <v>5514</v>
      </c>
      <c r="T1224" s="90" t="s">
        <v>6012</v>
      </c>
      <c r="U1224" s="90" t="s">
        <v>4990</v>
      </c>
    </row>
    <row r="1225" spans="1:21" x14ac:dyDescent="0.25">
      <c r="A1225" s="90" t="s">
        <v>3043</v>
      </c>
      <c r="B1225" s="119">
        <v>5</v>
      </c>
      <c r="C1225" s="90" t="s">
        <v>3041</v>
      </c>
      <c r="D1225" s="90" t="s">
        <v>78</v>
      </c>
      <c r="E1225">
        <v>2442</v>
      </c>
      <c r="F1225">
        <v>2443</v>
      </c>
      <c r="G1225" s="93" t="s">
        <v>78</v>
      </c>
      <c r="H1225" t="s">
        <v>2739</v>
      </c>
      <c r="I1225">
        <v>1</v>
      </c>
      <c r="J1225">
        <v>5177.22</v>
      </c>
      <c r="K1225">
        <f>I1225*J1225</f>
        <v>5177.22</v>
      </c>
      <c r="L1225">
        <v>40</v>
      </c>
      <c r="M1225">
        <f>(1-(L1225/100))*K1225</f>
        <v>3106.3319999999999</v>
      </c>
      <c r="N1225" s="90">
        <v>1225</v>
      </c>
      <c r="O1225" s="90" t="s">
        <v>3044</v>
      </c>
    </row>
    <row r="1226" spans="1:21" x14ac:dyDescent="0.25">
      <c r="A1226" s="90" t="s">
        <v>3045</v>
      </c>
      <c r="B1226" s="119">
        <v>5</v>
      </c>
      <c r="C1226" s="90" t="s">
        <v>3041</v>
      </c>
      <c r="D1226" s="90" t="s">
        <v>79</v>
      </c>
      <c r="E1226">
        <v>2444</v>
      </c>
      <c r="F1226">
        <v>2445</v>
      </c>
      <c r="G1226" s="93" t="s">
        <v>78</v>
      </c>
      <c r="H1226" t="s">
        <v>2742</v>
      </c>
      <c r="I1226">
        <v>1</v>
      </c>
      <c r="J1226">
        <v>2577.83</v>
      </c>
      <c r="K1226">
        <f>I1226*J1226</f>
        <v>2577.83</v>
      </c>
      <c r="L1226">
        <v>40</v>
      </c>
      <c r="M1226">
        <f>(1-(L1226/100))*K1226</f>
        <v>1546.6979999999999</v>
      </c>
      <c r="N1226" s="90">
        <v>1226</v>
      </c>
      <c r="O1226" s="90" t="s">
        <v>3046</v>
      </c>
    </row>
    <row r="1227" spans="1:21" x14ac:dyDescent="0.25">
      <c r="A1227" s="90" t="s">
        <v>3047</v>
      </c>
      <c r="B1227" s="119">
        <v>5</v>
      </c>
      <c r="C1227" s="90" t="s">
        <v>3041</v>
      </c>
      <c r="D1227" s="90" t="s">
        <v>80</v>
      </c>
      <c r="E1227">
        <v>2446</v>
      </c>
      <c r="F1227">
        <v>2447</v>
      </c>
      <c r="G1227" s="93" t="s">
        <v>78</v>
      </c>
      <c r="H1227" t="s">
        <v>2745</v>
      </c>
      <c r="I1227">
        <v>1</v>
      </c>
      <c r="J1227">
        <v>243</v>
      </c>
      <c r="K1227">
        <f>I1227*J1227</f>
        <v>243</v>
      </c>
      <c r="L1227">
        <v>40</v>
      </c>
      <c r="M1227">
        <f>(1-(L1227/100))*K1227</f>
        <v>145.79999999999998</v>
      </c>
      <c r="N1227" s="90">
        <v>1227</v>
      </c>
      <c r="O1227" s="90" t="s">
        <v>3048</v>
      </c>
    </row>
    <row r="1228" spans="1:21" x14ac:dyDescent="0.25">
      <c r="A1228" s="90" t="s">
        <v>3049</v>
      </c>
      <c r="B1228" s="119">
        <v>5</v>
      </c>
      <c r="C1228" s="90" t="s">
        <v>3041</v>
      </c>
      <c r="D1228" s="90" t="s">
        <v>95</v>
      </c>
      <c r="E1228">
        <v>2448</v>
      </c>
      <c r="F1228">
        <v>2449</v>
      </c>
      <c r="G1228" s="93" t="s">
        <v>78</v>
      </c>
      <c r="H1228" t="s">
        <v>129</v>
      </c>
      <c r="I1228">
        <v>1</v>
      </c>
      <c r="J1228">
        <v>212.88679486000001</v>
      </c>
      <c r="K1228">
        <f>I1228*J1228</f>
        <v>212.88679486000001</v>
      </c>
      <c r="L1228">
        <v>40</v>
      </c>
      <c r="M1228">
        <f>(1-(L1228/100))*K1228</f>
        <v>127.732076916</v>
      </c>
      <c r="N1228" s="90">
        <v>1228</v>
      </c>
      <c r="O1228" s="90" t="s">
        <v>3050</v>
      </c>
    </row>
    <row r="1229" spans="1:21" x14ac:dyDescent="0.25">
      <c r="A1229" s="90" t="s">
        <v>3051</v>
      </c>
      <c r="B1229" s="119">
        <v>5</v>
      </c>
      <c r="C1229" s="90" t="s">
        <v>3041</v>
      </c>
      <c r="D1229" s="90" t="s">
        <v>96</v>
      </c>
      <c r="E1229">
        <v>2450</v>
      </c>
      <c r="F1229">
        <v>2451</v>
      </c>
      <c r="G1229" s="93" t="s">
        <v>78</v>
      </c>
      <c r="H1229" t="s">
        <v>130</v>
      </c>
      <c r="I1229">
        <v>1</v>
      </c>
      <c r="J1229">
        <v>206.87635298999999</v>
      </c>
      <c r="K1229">
        <f>I1229*J1229</f>
        <v>206.87635298999999</v>
      </c>
      <c r="L1229">
        <v>40</v>
      </c>
      <c r="M1229">
        <f>(1-(L1229/100))*K1229</f>
        <v>124.12581179399999</v>
      </c>
      <c r="N1229" s="90">
        <v>1229</v>
      </c>
      <c r="O1229" s="90" t="s">
        <v>3052</v>
      </c>
    </row>
    <row r="1230" spans="1:21" x14ac:dyDescent="0.25">
      <c r="A1230" s="90" t="s">
        <v>3053</v>
      </c>
      <c r="B1230" s="119">
        <v>5</v>
      </c>
      <c r="C1230" s="90" t="s">
        <v>3041</v>
      </c>
      <c r="D1230" s="90" t="s">
        <v>103</v>
      </c>
      <c r="E1230">
        <v>2452</v>
      </c>
      <c r="F1230">
        <v>2455</v>
      </c>
      <c r="G1230" s="93" t="s">
        <v>68</v>
      </c>
      <c r="H1230" t="s">
        <v>142</v>
      </c>
      <c r="I1230">
        <v>1</v>
      </c>
      <c r="J1230">
        <f>SUM(K1231)</f>
        <v>330.26</v>
      </c>
      <c r="K1230">
        <f>I1230*J1230</f>
        <v>330.26</v>
      </c>
      <c r="L1230">
        <f>100*(1-(M1230/K1230))</f>
        <v>40</v>
      </c>
      <c r="M1230">
        <f>I1230*SUM(M1231)</f>
        <v>198.15599999999998</v>
      </c>
      <c r="N1230" s="90">
        <v>1230</v>
      </c>
      <c r="O1230" s="90" t="s">
        <v>3054</v>
      </c>
      <c r="R1230" s="90" t="s">
        <v>4451</v>
      </c>
      <c r="S1230" s="90" t="s">
        <v>5515</v>
      </c>
      <c r="T1230" s="90" t="s">
        <v>6013</v>
      </c>
      <c r="U1230" s="90" t="s">
        <v>4991</v>
      </c>
    </row>
    <row r="1231" spans="1:21" x14ac:dyDescent="0.25">
      <c r="A1231" s="90" t="s">
        <v>3055</v>
      </c>
      <c r="B1231" s="119">
        <v>6</v>
      </c>
      <c r="C1231" s="90" t="s">
        <v>3053</v>
      </c>
      <c r="D1231" s="90" t="s">
        <v>78</v>
      </c>
      <c r="E1231">
        <v>2453</v>
      </c>
      <c r="F1231">
        <v>2454</v>
      </c>
      <c r="G1231" s="93" t="s">
        <v>78</v>
      </c>
      <c r="H1231" t="s">
        <v>2754</v>
      </c>
      <c r="I1231">
        <v>1</v>
      </c>
      <c r="J1231">
        <v>330.26</v>
      </c>
      <c r="K1231">
        <f>I1231*J1231</f>
        <v>330.26</v>
      </c>
      <c r="L1231">
        <v>40</v>
      </c>
      <c r="M1231">
        <f>(1-(L1231/100))*K1231</f>
        <v>198.15599999999998</v>
      </c>
      <c r="N1231" s="90">
        <v>1231</v>
      </c>
      <c r="O1231" s="90" t="s">
        <v>3056</v>
      </c>
    </row>
    <row r="1232" spans="1:21" x14ac:dyDescent="0.25">
      <c r="A1232" s="90" t="s">
        <v>3057</v>
      </c>
      <c r="B1232" s="119">
        <v>5</v>
      </c>
      <c r="C1232" s="90" t="s">
        <v>3041</v>
      </c>
      <c r="D1232" s="90" t="s">
        <v>796</v>
      </c>
      <c r="E1232">
        <v>2456</v>
      </c>
      <c r="F1232">
        <v>2457</v>
      </c>
      <c r="G1232" s="93" t="s">
        <v>78</v>
      </c>
      <c r="H1232" t="s">
        <v>127</v>
      </c>
      <c r="I1232">
        <v>1</v>
      </c>
      <c r="J1232">
        <v>275.43613906000002</v>
      </c>
      <c r="K1232">
        <f>I1232*J1232</f>
        <v>275.43613906000002</v>
      </c>
      <c r="L1232">
        <v>40</v>
      </c>
      <c r="M1232">
        <f>(1-(L1232/100))*K1232</f>
        <v>165.261683436</v>
      </c>
      <c r="N1232" s="90">
        <v>1232</v>
      </c>
      <c r="O1232" s="90" t="s">
        <v>3058</v>
      </c>
    </row>
    <row r="1233" spans="1:21" x14ac:dyDescent="0.25">
      <c r="A1233" s="90" t="s">
        <v>3059</v>
      </c>
      <c r="B1233" s="119">
        <v>5</v>
      </c>
      <c r="C1233" s="90" t="s">
        <v>3041</v>
      </c>
      <c r="D1233" s="90" t="s">
        <v>797</v>
      </c>
      <c r="E1233">
        <v>2458</v>
      </c>
      <c r="F1233">
        <v>2459</v>
      </c>
      <c r="G1233" s="93" t="s">
        <v>78</v>
      </c>
      <c r="H1233" t="s">
        <v>128</v>
      </c>
      <c r="I1233">
        <v>1</v>
      </c>
      <c r="J1233">
        <v>270.62269196</v>
      </c>
      <c r="K1233">
        <f>I1233*J1233</f>
        <v>270.62269196</v>
      </c>
      <c r="L1233">
        <v>40</v>
      </c>
      <c r="M1233">
        <f>(1-(L1233/100))*K1233</f>
        <v>162.37361517599999</v>
      </c>
      <c r="N1233" s="90">
        <v>1233</v>
      </c>
      <c r="O1233" s="90" t="s">
        <v>3060</v>
      </c>
    </row>
    <row r="1234" spans="1:21" x14ac:dyDescent="0.25">
      <c r="A1234" s="90" t="s">
        <v>3061</v>
      </c>
      <c r="B1234" s="119">
        <v>4</v>
      </c>
      <c r="C1234" s="90" t="s">
        <v>2976</v>
      </c>
      <c r="D1234" s="90" t="s">
        <v>83</v>
      </c>
      <c r="E1234">
        <v>2461</v>
      </c>
      <c r="F1234">
        <v>2464</v>
      </c>
      <c r="G1234" s="93" t="s">
        <v>68</v>
      </c>
      <c r="H1234" t="s">
        <v>2761</v>
      </c>
      <c r="I1234">
        <v>2</v>
      </c>
      <c r="J1234">
        <f>SUM(K1235)</f>
        <v>281.33</v>
      </c>
      <c r="K1234">
        <f>I1234*J1234</f>
        <v>562.66</v>
      </c>
      <c r="L1234">
        <f>100*(1-(M1234/K1234))</f>
        <v>40</v>
      </c>
      <c r="M1234">
        <f>I1234*SUM(M1235)</f>
        <v>337.59599999999995</v>
      </c>
      <c r="N1234" s="90">
        <v>1234</v>
      </c>
      <c r="O1234" s="90" t="s">
        <v>3062</v>
      </c>
      <c r="R1234" s="90" t="s">
        <v>4452</v>
      </c>
      <c r="S1234" s="90" t="s">
        <v>5516</v>
      </c>
      <c r="T1234" s="90" t="s">
        <v>6014</v>
      </c>
      <c r="U1234" s="90" t="s">
        <v>4992</v>
      </c>
    </row>
    <row r="1235" spans="1:21" x14ac:dyDescent="0.25">
      <c r="A1235" s="90" t="s">
        <v>3063</v>
      </c>
      <c r="B1235" s="119">
        <v>5</v>
      </c>
      <c r="C1235" s="90" t="s">
        <v>3061</v>
      </c>
      <c r="D1235" s="90" t="s">
        <v>78</v>
      </c>
      <c r="E1235">
        <v>2462</v>
      </c>
      <c r="F1235">
        <v>2463</v>
      </c>
      <c r="G1235" s="93" t="s">
        <v>78</v>
      </c>
      <c r="H1235" t="s">
        <v>2761</v>
      </c>
      <c r="I1235">
        <v>1</v>
      </c>
      <c r="J1235">
        <v>281.33</v>
      </c>
      <c r="K1235">
        <f>I1235*J1235</f>
        <v>281.33</v>
      </c>
      <c r="L1235">
        <v>40</v>
      </c>
      <c r="M1235">
        <f>(1-(L1235/100))*K1235</f>
        <v>168.79799999999997</v>
      </c>
      <c r="N1235" s="90">
        <v>1235</v>
      </c>
      <c r="O1235" s="90" t="s">
        <v>3064</v>
      </c>
    </row>
    <row r="1236" spans="1:21" x14ac:dyDescent="0.25">
      <c r="A1236" s="90" t="s">
        <v>3065</v>
      </c>
      <c r="B1236" s="119">
        <v>3</v>
      </c>
      <c r="C1236" s="90" t="s">
        <v>2973</v>
      </c>
      <c r="D1236" s="90" t="s">
        <v>79</v>
      </c>
      <c r="E1236">
        <v>2466</v>
      </c>
      <c r="F1236">
        <v>2487</v>
      </c>
      <c r="G1236" s="93" t="s">
        <v>68</v>
      </c>
      <c r="H1236" t="s">
        <v>3066</v>
      </c>
      <c r="I1236">
        <v>1</v>
      </c>
      <c r="J1236">
        <f>SUM(K1237)</f>
        <v>8864.2969081800002</v>
      </c>
      <c r="K1236">
        <f>I1236*J1236</f>
        <v>8864.2969081800002</v>
      </c>
      <c r="L1236">
        <f>100*(1-(M1236/K1236))</f>
        <v>39.999999999999993</v>
      </c>
      <c r="M1236">
        <f>I1236*SUM(M1237)</f>
        <v>5318.5781449080005</v>
      </c>
      <c r="N1236" s="90">
        <v>1236</v>
      </c>
      <c r="O1236" s="90" t="s">
        <v>3067</v>
      </c>
      <c r="R1236" s="90" t="s">
        <v>6938</v>
      </c>
      <c r="S1236" s="90" t="s">
        <v>7035</v>
      </c>
      <c r="T1236" s="90" t="s">
        <v>7081</v>
      </c>
      <c r="U1236" s="90" t="s">
        <v>6987</v>
      </c>
    </row>
    <row r="1237" spans="1:21" x14ac:dyDescent="0.25">
      <c r="A1237" s="90" t="s">
        <v>3068</v>
      </c>
      <c r="B1237" s="119">
        <v>4</v>
      </c>
      <c r="C1237" s="90" t="s">
        <v>3065</v>
      </c>
      <c r="D1237" s="90" t="s">
        <v>78</v>
      </c>
      <c r="E1237">
        <v>2467</v>
      </c>
      <c r="F1237">
        <v>2486</v>
      </c>
      <c r="G1237" s="93" t="s">
        <v>68</v>
      </c>
      <c r="H1237" t="s">
        <v>1394</v>
      </c>
      <c r="I1237">
        <v>1</v>
      </c>
      <c r="J1237">
        <f>SUM(K1238,K1243)</f>
        <v>8864.2969081800002</v>
      </c>
      <c r="K1237">
        <f>I1237*J1237</f>
        <v>8864.2969081800002</v>
      </c>
      <c r="L1237">
        <f>100*(1-(M1237/K1237))</f>
        <v>39.999999999999993</v>
      </c>
      <c r="M1237">
        <f>I1237*SUM(M1238,M1243)</f>
        <v>5318.5781449080005</v>
      </c>
      <c r="N1237" s="90">
        <v>1237</v>
      </c>
      <c r="O1237" s="90" t="s">
        <v>3069</v>
      </c>
      <c r="R1237" s="90" t="s">
        <v>6374</v>
      </c>
      <c r="S1237" s="90" t="s">
        <v>6677</v>
      </c>
      <c r="T1237" s="90" t="s">
        <v>6822</v>
      </c>
      <c r="U1237" s="90" t="s">
        <v>6526</v>
      </c>
    </row>
    <row r="1238" spans="1:21" x14ac:dyDescent="0.25">
      <c r="A1238" s="90" t="s">
        <v>3070</v>
      </c>
      <c r="B1238" s="119">
        <v>5</v>
      </c>
      <c r="C1238" s="90" t="s">
        <v>3068</v>
      </c>
      <c r="D1238" s="90" t="s">
        <v>78</v>
      </c>
      <c r="E1238">
        <v>2468</v>
      </c>
      <c r="F1238">
        <v>2477</v>
      </c>
      <c r="G1238" s="93" t="s">
        <v>68</v>
      </c>
      <c r="H1238" t="s">
        <v>1397</v>
      </c>
      <c r="I1238">
        <v>1</v>
      </c>
      <c r="J1238">
        <f>SUM(K1239,K1240,K1241,K1242)</f>
        <v>8719.9796256099999</v>
      </c>
      <c r="K1238">
        <f>I1238*J1238</f>
        <v>8719.9796256099999</v>
      </c>
      <c r="L1238">
        <f>100*(1-(M1238/K1238))</f>
        <v>39.999999999999993</v>
      </c>
      <c r="M1238">
        <f>I1238*SUM(M1239,M1240,M1241,M1242)</f>
        <v>5231.9877753660003</v>
      </c>
      <c r="N1238" s="90">
        <v>1238</v>
      </c>
      <c r="O1238" s="90" t="s">
        <v>3071</v>
      </c>
      <c r="R1238" s="90" t="s">
        <v>4461</v>
      </c>
      <c r="S1238" s="90" t="s">
        <v>5525</v>
      </c>
      <c r="T1238" s="90" t="s">
        <v>6023</v>
      </c>
      <c r="U1238" s="90" t="s">
        <v>5001</v>
      </c>
    </row>
    <row r="1239" spans="1:21" x14ac:dyDescent="0.25">
      <c r="A1239" s="90" t="s">
        <v>3072</v>
      </c>
      <c r="B1239" s="119">
        <v>6</v>
      </c>
      <c r="C1239" s="90" t="s">
        <v>3070</v>
      </c>
      <c r="D1239" s="90" t="s">
        <v>78</v>
      </c>
      <c r="E1239">
        <v>2469</v>
      </c>
      <c r="F1239">
        <v>2470</v>
      </c>
      <c r="G1239" s="93" t="s">
        <v>78</v>
      </c>
      <c r="H1239" t="s">
        <v>120</v>
      </c>
      <c r="I1239">
        <v>1</v>
      </c>
      <c r="J1239">
        <v>967.93582071000003</v>
      </c>
      <c r="K1239">
        <f>I1239*J1239</f>
        <v>967.93582071000003</v>
      </c>
      <c r="L1239">
        <v>40</v>
      </c>
      <c r="M1239">
        <f>(1-(L1239/100))*K1239</f>
        <v>580.76149242600002</v>
      </c>
      <c r="N1239" s="90">
        <v>1239</v>
      </c>
      <c r="O1239" s="90" t="s">
        <v>3073</v>
      </c>
    </row>
    <row r="1240" spans="1:21" x14ac:dyDescent="0.25">
      <c r="A1240" s="90" t="s">
        <v>3074</v>
      </c>
      <c r="B1240" s="119">
        <v>6</v>
      </c>
      <c r="C1240" s="90" t="s">
        <v>3070</v>
      </c>
      <c r="D1240" s="90" t="s">
        <v>79</v>
      </c>
      <c r="E1240">
        <v>2471</v>
      </c>
      <c r="F1240">
        <v>2472</v>
      </c>
      <c r="G1240" s="93" t="s">
        <v>78</v>
      </c>
      <c r="H1240" t="s">
        <v>125</v>
      </c>
      <c r="I1240">
        <v>1</v>
      </c>
      <c r="J1240">
        <v>967.93582071000003</v>
      </c>
      <c r="K1240">
        <f>I1240*J1240</f>
        <v>967.93582071000003</v>
      </c>
      <c r="L1240">
        <v>40</v>
      </c>
      <c r="M1240">
        <f>(1-(L1240/100))*K1240</f>
        <v>580.76149242600002</v>
      </c>
      <c r="N1240" s="90">
        <v>1240</v>
      </c>
      <c r="O1240" s="90" t="s">
        <v>3075</v>
      </c>
    </row>
    <row r="1241" spans="1:21" x14ac:dyDescent="0.25">
      <c r="A1241" s="90" t="s">
        <v>3076</v>
      </c>
      <c r="B1241" s="119">
        <v>6</v>
      </c>
      <c r="C1241" s="90" t="s">
        <v>3070</v>
      </c>
      <c r="D1241" s="90" t="s">
        <v>80</v>
      </c>
      <c r="E1241">
        <v>2473</v>
      </c>
      <c r="F1241">
        <v>2474</v>
      </c>
      <c r="G1241" s="93" t="s">
        <v>78</v>
      </c>
      <c r="H1241" t="s">
        <v>191</v>
      </c>
      <c r="I1241">
        <v>3</v>
      </c>
      <c r="J1241">
        <v>862.86769387000004</v>
      </c>
      <c r="K1241">
        <f>I1241*J1241</f>
        <v>2588.6030816100001</v>
      </c>
      <c r="L1241">
        <v>40</v>
      </c>
      <c r="M1241">
        <f>(1-(L1241/100))*K1241</f>
        <v>1553.161848966</v>
      </c>
      <c r="N1241" s="90">
        <v>1241</v>
      </c>
      <c r="O1241" s="90" t="s">
        <v>3077</v>
      </c>
    </row>
    <row r="1242" spans="1:21" x14ac:dyDescent="0.25">
      <c r="A1242" s="90" t="s">
        <v>3078</v>
      </c>
      <c r="B1242" s="119">
        <v>6</v>
      </c>
      <c r="C1242" s="90" t="s">
        <v>3070</v>
      </c>
      <c r="D1242" s="90" t="s">
        <v>95</v>
      </c>
      <c r="E1242">
        <v>2475</v>
      </c>
      <c r="F1242">
        <v>2476</v>
      </c>
      <c r="G1242" s="93" t="s">
        <v>78</v>
      </c>
      <c r="H1242" t="s">
        <v>299</v>
      </c>
      <c r="I1242">
        <v>1</v>
      </c>
      <c r="J1242">
        <v>4195.5049025799999</v>
      </c>
      <c r="K1242">
        <f>I1242*J1242</f>
        <v>4195.5049025799999</v>
      </c>
      <c r="L1242">
        <v>40</v>
      </c>
      <c r="M1242">
        <f>(1-(L1242/100))*K1242</f>
        <v>2517.302941548</v>
      </c>
      <c r="N1242" s="90">
        <v>1242</v>
      </c>
      <c r="O1242" s="90" t="s">
        <v>3079</v>
      </c>
    </row>
    <row r="1243" spans="1:21" x14ac:dyDescent="0.25">
      <c r="A1243" s="90" t="s">
        <v>3080</v>
      </c>
      <c r="B1243" s="119">
        <v>5</v>
      </c>
      <c r="C1243" s="90" t="s">
        <v>3068</v>
      </c>
      <c r="D1243" s="90" t="s">
        <v>79</v>
      </c>
      <c r="E1243">
        <v>2478</v>
      </c>
      <c r="F1243">
        <v>2485</v>
      </c>
      <c r="G1243" s="93" t="s">
        <v>68</v>
      </c>
      <c r="H1243" t="s">
        <v>142</v>
      </c>
      <c r="I1243">
        <v>1</v>
      </c>
      <c r="J1243">
        <f>SUM(K1244,K1245,K1246)</f>
        <v>144.31728257</v>
      </c>
      <c r="K1243">
        <f>I1243*J1243</f>
        <v>144.31728257</v>
      </c>
      <c r="L1243">
        <f>100*(1-(M1243/K1243))</f>
        <v>40.000000000000014</v>
      </c>
      <c r="M1243">
        <f>I1243*SUM(M1244,M1245,M1246)</f>
        <v>86.590369541999991</v>
      </c>
      <c r="N1243" s="90">
        <v>1243</v>
      </c>
      <c r="O1243" s="90" t="s">
        <v>3081</v>
      </c>
      <c r="R1243" s="90" t="s">
        <v>4462</v>
      </c>
      <c r="S1243" s="90" t="s">
        <v>5526</v>
      </c>
      <c r="T1243" s="90" t="s">
        <v>6024</v>
      </c>
      <c r="U1243" s="90" t="s">
        <v>5002</v>
      </c>
    </row>
    <row r="1244" spans="1:21" x14ac:dyDescent="0.25">
      <c r="A1244" s="90" t="s">
        <v>3082</v>
      </c>
      <c r="B1244" s="119">
        <v>6</v>
      </c>
      <c r="C1244" s="90" t="s">
        <v>3080</v>
      </c>
      <c r="D1244" s="90" t="s">
        <v>78</v>
      </c>
      <c r="E1244">
        <v>2479</v>
      </c>
      <c r="F1244">
        <v>2480</v>
      </c>
      <c r="G1244" s="93" t="s">
        <v>78</v>
      </c>
      <c r="H1244" t="s">
        <v>144</v>
      </c>
      <c r="I1244">
        <v>1</v>
      </c>
      <c r="J1244">
        <v>32.777282569999997</v>
      </c>
      <c r="K1244">
        <f>I1244*J1244</f>
        <v>32.777282569999997</v>
      </c>
      <c r="L1244">
        <v>40</v>
      </c>
      <c r="M1244">
        <f>(1-(L1244/100))*K1244</f>
        <v>19.666369541999998</v>
      </c>
      <c r="N1244" s="90">
        <v>1244</v>
      </c>
      <c r="O1244" s="90" t="s">
        <v>3083</v>
      </c>
    </row>
    <row r="1245" spans="1:21" x14ac:dyDescent="0.25">
      <c r="A1245" s="90" t="s">
        <v>3084</v>
      </c>
      <c r="B1245" s="119">
        <v>6</v>
      </c>
      <c r="C1245" s="90" t="s">
        <v>3080</v>
      </c>
      <c r="D1245" s="90" t="s">
        <v>79</v>
      </c>
      <c r="E1245">
        <v>2481</v>
      </c>
      <c r="F1245">
        <v>2482</v>
      </c>
      <c r="G1245" s="93" t="s">
        <v>78</v>
      </c>
      <c r="H1245" t="s">
        <v>145</v>
      </c>
      <c r="I1245">
        <v>2</v>
      </c>
      <c r="J1245">
        <v>28.6</v>
      </c>
      <c r="K1245">
        <f>I1245*J1245</f>
        <v>57.2</v>
      </c>
      <c r="L1245">
        <v>40</v>
      </c>
      <c r="M1245">
        <f>(1-(L1245/100))*K1245</f>
        <v>34.32</v>
      </c>
      <c r="N1245" s="90">
        <v>1245</v>
      </c>
      <c r="O1245" s="90" t="s">
        <v>3085</v>
      </c>
    </row>
    <row r="1246" spans="1:21" x14ac:dyDescent="0.25">
      <c r="A1246" s="90" t="s">
        <v>3086</v>
      </c>
      <c r="B1246" s="119">
        <v>6</v>
      </c>
      <c r="C1246" s="90" t="s">
        <v>3080</v>
      </c>
      <c r="D1246" s="90" t="s">
        <v>80</v>
      </c>
      <c r="E1246">
        <v>2483</v>
      </c>
      <c r="F1246">
        <v>2484</v>
      </c>
      <c r="G1246" s="93" t="s">
        <v>78</v>
      </c>
      <c r="H1246" t="s">
        <v>143</v>
      </c>
      <c r="I1246">
        <v>2</v>
      </c>
      <c r="J1246">
        <v>27.17</v>
      </c>
      <c r="K1246">
        <f>I1246*J1246</f>
        <v>54.34</v>
      </c>
      <c r="L1246">
        <v>40</v>
      </c>
      <c r="M1246">
        <f>(1-(L1246/100))*K1246</f>
        <v>32.603999999999999</v>
      </c>
      <c r="N1246" s="90">
        <v>1246</v>
      </c>
      <c r="O1246" s="90" t="s">
        <v>3087</v>
      </c>
    </row>
    <row r="1247" spans="1:21" x14ac:dyDescent="0.25">
      <c r="A1247" s="90" t="s">
        <v>3088</v>
      </c>
      <c r="B1247" s="119">
        <v>3</v>
      </c>
      <c r="C1247" s="90" t="s">
        <v>2973</v>
      </c>
      <c r="D1247" s="90" t="s">
        <v>80</v>
      </c>
      <c r="E1247">
        <v>2488</v>
      </c>
      <c r="F1247">
        <v>2507</v>
      </c>
      <c r="G1247" s="93" t="s">
        <v>68</v>
      </c>
      <c r="H1247" t="s">
        <v>3089</v>
      </c>
      <c r="I1247">
        <v>1</v>
      </c>
      <c r="J1247">
        <f>SUM(K1248,K1251,K1253,K1255)</f>
        <v>12677.74146186</v>
      </c>
      <c r="K1247">
        <f>I1247*J1247</f>
        <v>12677.74146186</v>
      </c>
      <c r="L1247">
        <f>100*(1-(M1247/K1247))</f>
        <v>85.6</v>
      </c>
      <c r="M1247">
        <f>I1247*SUM(M1248,M1251,M1253,M1255)</f>
        <v>1825.5947705078402</v>
      </c>
      <c r="N1247" s="90">
        <v>1247</v>
      </c>
      <c r="O1247" s="90" t="s">
        <v>3090</v>
      </c>
      <c r="R1247" s="90" t="s">
        <v>6375</v>
      </c>
      <c r="S1247" s="90" t="s">
        <v>6678</v>
      </c>
      <c r="T1247" s="90" t="s">
        <v>6823</v>
      </c>
      <c r="U1247" s="90" t="s">
        <v>6527</v>
      </c>
    </row>
    <row r="1248" spans="1:21" x14ac:dyDescent="0.25">
      <c r="A1248" s="90" t="s">
        <v>3091</v>
      </c>
      <c r="B1248" s="119">
        <v>4</v>
      </c>
      <c r="C1248" s="90" t="s">
        <v>3088</v>
      </c>
      <c r="D1248" s="90" t="s">
        <v>78</v>
      </c>
      <c r="E1248">
        <v>2489</v>
      </c>
      <c r="F1248">
        <v>2494</v>
      </c>
      <c r="G1248" s="93" t="s">
        <v>68</v>
      </c>
      <c r="H1248" t="s">
        <v>364</v>
      </c>
      <c r="I1248">
        <v>1</v>
      </c>
      <c r="J1248">
        <f>SUM(K1249,K1250)</f>
        <v>2292.1176620400001</v>
      </c>
      <c r="K1248">
        <f>I1248*J1248</f>
        <v>2292.1176620400001</v>
      </c>
      <c r="L1248">
        <f>100*(1-(M1248/K1248))</f>
        <v>85.6</v>
      </c>
      <c r="M1248">
        <f>I1248*SUM(M1249,M1250)</f>
        <v>330.06494333376008</v>
      </c>
      <c r="N1248" s="90">
        <v>1248</v>
      </c>
      <c r="O1248" s="90" t="s">
        <v>3092</v>
      </c>
      <c r="R1248" s="90" t="s">
        <v>4463</v>
      </c>
      <c r="S1248" s="90" t="s">
        <v>5527</v>
      </c>
      <c r="T1248" s="90" t="s">
        <v>6025</v>
      </c>
      <c r="U1248" s="90" t="s">
        <v>5003</v>
      </c>
    </row>
    <row r="1249" spans="1:21" x14ac:dyDescent="0.25">
      <c r="A1249" s="90" t="s">
        <v>3093</v>
      </c>
      <c r="B1249" s="119">
        <v>5</v>
      </c>
      <c r="C1249" s="90" t="s">
        <v>3091</v>
      </c>
      <c r="D1249" s="90" t="s">
        <v>78</v>
      </c>
      <c r="E1249">
        <v>2490</v>
      </c>
      <c r="F1249">
        <v>2491</v>
      </c>
      <c r="G1249" s="93" t="s">
        <v>78</v>
      </c>
      <c r="H1249" t="s">
        <v>366</v>
      </c>
      <c r="I1249">
        <v>1</v>
      </c>
      <c r="J1249">
        <v>509.35948044999998</v>
      </c>
      <c r="K1249">
        <f>I1249*J1249</f>
        <v>509.35948044999998</v>
      </c>
      <c r="L1249">
        <v>85.6</v>
      </c>
      <c r="M1249">
        <f>(1-(L1249/100))*K1249</f>
        <v>73.347765184800011</v>
      </c>
      <c r="N1249" s="90">
        <v>1249</v>
      </c>
      <c r="O1249" s="90" t="s">
        <v>3094</v>
      </c>
    </row>
    <row r="1250" spans="1:21" x14ac:dyDescent="0.25">
      <c r="A1250" s="90" t="s">
        <v>3095</v>
      </c>
      <c r="B1250" s="119">
        <v>5</v>
      </c>
      <c r="C1250" s="90" t="s">
        <v>3091</v>
      </c>
      <c r="D1250" s="90" t="s">
        <v>79</v>
      </c>
      <c r="E1250">
        <v>2492</v>
      </c>
      <c r="F1250">
        <v>2493</v>
      </c>
      <c r="G1250" s="93" t="s">
        <v>78</v>
      </c>
      <c r="H1250" t="s">
        <v>368</v>
      </c>
      <c r="I1250">
        <v>1</v>
      </c>
      <c r="J1250">
        <v>1782.75818159</v>
      </c>
      <c r="K1250">
        <f>I1250*J1250</f>
        <v>1782.75818159</v>
      </c>
      <c r="L1250">
        <v>85.6</v>
      </c>
      <c r="M1250">
        <f>(1-(L1250/100))*K1250</f>
        <v>256.71717814896004</v>
      </c>
      <c r="N1250" s="90">
        <v>1250</v>
      </c>
      <c r="O1250" s="90" t="s">
        <v>3096</v>
      </c>
    </row>
    <row r="1251" spans="1:21" x14ac:dyDescent="0.25">
      <c r="A1251" s="90" t="s">
        <v>3097</v>
      </c>
      <c r="B1251" s="119">
        <v>4</v>
      </c>
      <c r="C1251" s="90" t="s">
        <v>3088</v>
      </c>
      <c r="D1251" s="90" t="s">
        <v>79</v>
      </c>
      <c r="E1251">
        <v>2495</v>
      </c>
      <c r="F1251">
        <v>2498</v>
      </c>
      <c r="G1251" s="93" t="s">
        <v>68</v>
      </c>
      <c r="H1251" t="s">
        <v>379</v>
      </c>
      <c r="I1251">
        <v>1</v>
      </c>
      <c r="J1251">
        <f>SUM(K1252)</f>
        <v>303.06889087000002</v>
      </c>
      <c r="K1251">
        <f>I1251*J1251</f>
        <v>303.06889087000002</v>
      </c>
      <c r="L1251">
        <f>100*(1-(M1251/K1251))</f>
        <v>85.6</v>
      </c>
      <c r="M1251">
        <f>I1251*SUM(M1252)</f>
        <v>43.641920285280008</v>
      </c>
      <c r="N1251" s="90">
        <v>1251</v>
      </c>
      <c r="O1251" s="90" t="s">
        <v>3098</v>
      </c>
      <c r="R1251" s="90" t="s">
        <v>4464</v>
      </c>
      <c r="S1251" s="90" t="s">
        <v>5528</v>
      </c>
      <c r="T1251" s="90" t="s">
        <v>6026</v>
      </c>
      <c r="U1251" s="90" t="s">
        <v>5004</v>
      </c>
    </row>
    <row r="1252" spans="1:21" x14ac:dyDescent="0.25">
      <c r="A1252" s="90" t="s">
        <v>3099</v>
      </c>
      <c r="B1252" s="119">
        <v>5</v>
      </c>
      <c r="C1252" s="90" t="s">
        <v>3097</v>
      </c>
      <c r="D1252" s="90" t="s">
        <v>78</v>
      </c>
      <c r="E1252">
        <v>2496</v>
      </c>
      <c r="F1252">
        <v>2497</v>
      </c>
      <c r="G1252" s="93" t="s">
        <v>78</v>
      </c>
      <c r="H1252" t="s">
        <v>381</v>
      </c>
      <c r="I1252">
        <v>1</v>
      </c>
      <c r="J1252">
        <v>303.06889087000002</v>
      </c>
      <c r="K1252">
        <f>I1252*J1252</f>
        <v>303.06889087000002</v>
      </c>
      <c r="L1252">
        <v>85.6</v>
      </c>
      <c r="M1252">
        <f>(1-(L1252/100))*K1252</f>
        <v>43.641920285280008</v>
      </c>
      <c r="N1252" s="90">
        <v>1252</v>
      </c>
      <c r="O1252" s="90" t="s">
        <v>3100</v>
      </c>
    </row>
    <row r="1253" spans="1:21" x14ac:dyDescent="0.25">
      <c r="A1253" s="90" t="s">
        <v>3101</v>
      </c>
      <c r="B1253" s="119">
        <v>4</v>
      </c>
      <c r="C1253" s="90" t="s">
        <v>3088</v>
      </c>
      <c r="D1253" s="90" t="s">
        <v>80</v>
      </c>
      <c r="E1253">
        <v>2499</v>
      </c>
      <c r="F1253">
        <v>2502</v>
      </c>
      <c r="G1253" s="93" t="s">
        <v>68</v>
      </c>
      <c r="H1253" t="s">
        <v>383</v>
      </c>
      <c r="I1253">
        <v>1</v>
      </c>
      <c r="J1253">
        <f>SUM(K1254)</f>
        <v>1069.6549089499999</v>
      </c>
      <c r="K1253">
        <f>I1253*J1253</f>
        <v>1069.6549089499999</v>
      </c>
      <c r="L1253">
        <f>100*(1-(M1253/K1253))</f>
        <v>85.6</v>
      </c>
      <c r="M1253">
        <f>I1253*SUM(M1254)</f>
        <v>154.0303068888</v>
      </c>
      <c r="N1253" s="90">
        <v>1253</v>
      </c>
      <c r="O1253" s="90" t="s">
        <v>3102</v>
      </c>
      <c r="R1253" s="90" t="s">
        <v>4465</v>
      </c>
      <c r="S1253" s="90" t="s">
        <v>5529</v>
      </c>
      <c r="T1253" s="90" t="s">
        <v>6027</v>
      </c>
      <c r="U1253" s="90" t="s">
        <v>5005</v>
      </c>
    </row>
    <row r="1254" spans="1:21" x14ac:dyDescent="0.25">
      <c r="A1254" s="90" t="s">
        <v>3103</v>
      </c>
      <c r="B1254" s="119">
        <v>5</v>
      </c>
      <c r="C1254" s="90" t="s">
        <v>3101</v>
      </c>
      <c r="D1254" s="90" t="s">
        <v>78</v>
      </c>
      <c r="E1254">
        <v>2500</v>
      </c>
      <c r="F1254">
        <v>2501</v>
      </c>
      <c r="G1254" s="93" t="s">
        <v>78</v>
      </c>
      <c r="H1254" t="s">
        <v>385</v>
      </c>
      <c r="I1254">
        <v>1</v>
      </c>
      <c r="J1254">
        <v>1069.6549089499999</v>
      </c>
      <c r="K1254">
        <f>I1254*J1254</f>
        <v>1069.6549089499999</v>
      </c>
      <c r="L1254">
        <v>85.6</v>
      </c>
      <c r="M1254">
        <f>(1-(L1254/100))*K1254</f>
        <v>154.0303068888</v>
      </c>
      <c r="N1254" s="90">
        <v>1254</v>
      </c>
      <c r="O1254" s="90" t="s">
        <v>3104</v>
      </c>
    </row>
    <row r="1255" spans="1:21" x14ac:dyDescent="0.25">
      <c r="A1255" s="90" t="s">
        <v>3105</v>
      </c>
      <c r="B1255" s="119">
        <v>4</v>
      </c>
      <c r="C1255" s="90" t="s">
        <v>3088</v>
      </c>
      <c r="D1255" s="90" t="s">
        <v>95</v>
      </c>
      <c r="E1255">
        <v>2503</v>
      </c>
      <c r="F1255">
        <v>2506</v>
      </c>
      <c r="G1255" s="93" t="s">
        <v>68</v>
      </c>
      <c r="H1255" t="s">
        <v>387</v>
      </c>
      <c r="I1255">
        <v>1</v>
      </c>
      <c r="J1255">
        <f>SUM(K1256)</f>
        <v>9012.9</v>
      </c>
      <c r="K1255">
        <f>I1255*J1255</f>
        <v>9012.9</v>
      </c>
      <c r="L1255">
        <f>100*(1-(M1255/K1255))</f>
        <v>85.6</v>
      </c>
      <c r="M1255">
        <f>I1255*SUM(M1256)</f>
        <v>1297.8576</v>
      </c>
      <c r="N1255" s="90">
        <v>1255</v>
      </c>
      <c r="O1255" s="90" t="s">
        <v>3106</v>
      </c>
      <c r="R1255" s="90" t="s">
        <v>4466</v>
      </c>
      <c r="S1255" s="90" t="s">
        <v>5530</v>
      </c>
      <c r="T1255" s="90" t="s">
        <v>6028</v>
      </c>
      <c r="U1255" s="90" t="s">
        <v>5006</v>
      </c>
    </row>
    <row r="1256" spans="1:21" x14ac:dyDescent="0.25">
      <c r="A1256" s="90" t="s">
        <v>3107</v>
      </c>
      <c r="B1256" s="119">
        <v>5</v>
      </c>
      <c r="C1256" s="90" t="s">
        <v>3105</v>
      </c>
      <c r="D1256" s="90" t="s">
        <v>78</v>
      </c>
      <c r="E1256">
        <v>2504</v>
      </c>
      <c r="F1256">
        <v>2505</v>
      </c>
      <c r="G1256" s="93" t="s">
        <v>78</v>
      </c>
      <c r="H1256" t="s">
        <v>389</v>
      </c>
      <c r="I1256">
        <v>1</v>
      </c>
      <c r="J1256">
        <v>9012.9</v>
      </c>
      <c r="K1256">
        <f>I1256*J1256</f>
        <v>9012.9</v>
      </c>
      <c r="L1256">
        <v>85.6</v>
      </c>
      <c r="M1256">
        <f>(1-(L1256/100))*K1256</f>
        <v>1297.8576</v>
      </c>
      <c r="N1256" s="90">
        <v>1256</v>
      </c>
      <c r="O1256" s="90" t="s">
        <v>3108</v>
      </c>
    </row>
    <row r="1257" spans="1:21" x14ac:dyDescent="0.25">
      <c r="A1257" s="90" t="s">
        <v>3109</v>
      </c>
      <c r="B1257" s="119">
        <v>3</v>
      </c>
      <c r="C1257" s="90" t="s">
        <v>2973</v>
      </c>
      <c r="D1257" s="90" t="s">
        <v>95</v>
      </c>
      <c r="E1257">
        <v>2508</v>
      </c>
      <c r="F1257">
        <v>2513</v>
      </c>
      <c r="G1257" s="93" t="s">
        <v>68</v>
      </c>
      <c r="H1257" t="s">
        <v>3110</v>
      </c>
      <c r="I1257">
        <v>1</v>
      </c>
      <c r="J1257">
        <f>SUM(K1258)</f>
        <v>333.63045970000002</v>
      </c>
      <c r="K1257">
        <f>I1257*J1257</f>
        <v>333.63045970000002</v>
      </c>
      <c r="L1257">
        <f>100*(1-(M1257/K1257))</f>
        <v>85.6</v>
      </c>
      <c r="M1257">
        <f>I1257*SUM(M1258)</f>
        <v>48.042786196800009</v>
      </c>
      <c r="N1257" s="90">
        <v>1257</v>
      </c>
      <c r="O1257" s="90" t="s">
        <v>3111</v>
      </c>
      <c r="R1257" s="90" t="s">
        <v>6376</v>
      </c>
      <c r="S1257" s="90" t="s">
        <v>6679</v>
      </c>
      <c r="T1257" s="90" t="s">
        <v>6824</v>
      </c>
      <c r="U1257" s="90" t="s">
        <v>6528</v>
      </c>
    </row>
    <row r="1258" spans="1:21" x14ac:dyDescent="0.25">
      <c r="A1258" s="90" t="s">
        <v>3112</v>
      </c>
      <c r="B1258" s="119">
        <v>4</v>
      </c>
      <c r="C1258" s="90" t="s">
        <v>3109</v>
      </c>
      <c r="D1258" s="90" t="s">
        <v>78</v>
      </c>
      <c r="E1258">
        <v>2509</v>
      </c>
      <c r="F1258">
        <v>2512</v>
      </c>
      <c r="G1258" s="93" t="s">
        <v>68</v>
      </c>
      <c r="H1258" t="s">
        <v>399</v>
      </c>
      <c r="I1258">
        <v>1</v>
      </c>
      <c r="J1258">
        <f>SUM(K1259)</f>
        <v>333.63045970000002</v>
      </c>
      <c r="K1258">
        <f>I1258*J1258</f>
        <v>333.63045970000002</v>
      </c>
      <c r="L1258">
        <f>100*(1-(M1258/K1258))</f>
        <v>85.6</v>
      </c>
      <c r="M1258">
        <f>I1258*SUM(M1259)</f>
        <v>48.042786196800009</v>
      </c>
      <c r="N1258" s="90">
        <v>1258</v>
      </c>
      <c r="O1258" s="90" t="s">
        <v>3113</v>
      </c>
      <c r="R1258" s="90" t="s">
        <v>4467</v>
      </c>
      <c r="S1258" s="90" t="s">
        <v>5531</v>
      </c>
      <c r="T1258" s="90" t="s">
        <v>6029</v>
      </c>
      <c r="U1258" s="90" t="s">
        <v>5007</v>
      </c>
    </row>
    <row r="1259" spans="1:21" x14ac:dyDescent="0.25">
      <c r="A1259" s="90" t="s">
        <v>3114</v>
      </c>
      <c r="B1259" s="119">
        <v>5</v>
      </c>
      <c r="C1259" s="90" t="s">
        <v>3112</v>
      </c>
      <c r="D1259" s="90" t="s">
        <v>78</v>
      </c>
      <c r="E1259">
        <v>2510</v>
      </c>
      <c r="F1259">
        <v>2511</v>
      </c>
      <c r="G1259" s="93" t="s">
        <v>78</v>
      </c>
      <c r="H1259" t="s">
        <v>401</v>
      </c>
      <c r="I1259">
        <v>1</v>
      </c>
      <c r="J1259">
        <v>333.63045970000002</v>
      </c>
      <c r="K1259">
        <f>I1259*J1259</f>
        <v>333.63045970000002</v>
      </c>
      <c r="L1259">
        <v>85.6</v>
      </c>
      <c r="M1259">
        <f>(1-(L1259/100))*K1259</f>
        <v>48.042786196800009</v>
      </c>
      <c r="N1259" s="90">
        <v>1259</v>
      </c>
      <c r="O1259" s="90" t="s">
        <v>3115</v>
      </c>
    </row>
    <row r="1260" spans="1:21" x14ac:dyDescent="0.25">
      <c r="A1260" s="90" t="s">
        <v>3116</v>
      </c>
      <c r="B1260" s="119">
        <v>3</v>
      </c>
      <c r="C1260" s="90" t="s">
        <v>2973</v>
      </c>
      <c r="D1260" s="90" t="s">
        <v>96</v>
      </c>
      <c r="E1260">
        <v>2514</v>
      </c>
      <c r="F1260">
        <v>2519</v>
      </c>
      <c r="G1260" s="93" t="s">
        <v>68</v>
      </c>
      <c r="H1260" t="s">
        <v>3117</v>
      </c>
      <c r="I1260">
        <v>1</v>
      </c>
      <c r="J1260">
        <f>SUM(K1261)</f>
        <v>1324.33464918</v>
      </c>
      <c r="K1260">
        <f>I1260*J1260</f>
        <v>1324.33464918</v>
      </c>
      <c r="L1260">
        <f>100*(1-(M1260/K1260))</f>
        <v>85.6</v>
      </c>
      <c r="M1260">
        <f>I1260*SUM(M1261)</f>
        <v>190.70418948192003</v>
      </c>
      <c r="N1260" s="90">
        <v>1260</v>
      </c>
      <c r="O1260" s="90" t="s">
        <v>3118</v>
      </c>
      <c r="R1260" s="90" t="s">
        <v>6377</v>
      </c>
      <c r="S1260" s="90" t="s">
        <v>6680</v>
      </c>
      <c r="T1260" s="90" t="s">
        <v>6825</v>
      </c>
      <c r="U1260" s="90" t="s">
        <v>6529</v>
      </c>
    </row>
    <row r="1261" spans="1:21" x14ac:dyDescent="0.25">
      <c r="A1261" s="90" t="s">
        <v>3119</v>
      </c>
      <c r="B1261" s="119">
        <v>4</v>
      </c>
      <c r="C1261" s="90" t="s">
        <v>3116</v>
      </c>
      <c r="D1261" s="90" t="s">
        <v>78</v>
      </c>
      <c r="E1261">
        <v>2515</v>
      </c>
      <c r="F1261">
        <v>2518</v>
      </c>
      <c r="G1261" s="93" t="s">
        <v>68</v>
      </c>
      <c r="H1261" t="s">
        <v>418</v>
      </c>
      <c r="I1261">
        <v>1</v>
      </c>
      <c r="J1261">
        <f>SUM(K1262)</f>
        <v>1324.33464918</v>
      </c>
      <c r="K1261">
        <f>I1261*J1261</f>
        <v>1324.33464918</v>
      </c>
      <c r="L1261">
        <f>100*(1-(M1261/K1261))</f>
        <v>85.6</v>
      </c>
      <c r="M1261">
        <f>I1261*SUM(M1262)</f>
        <v>190.70418948192003</v>
      </c>
      <c r="N1261" s="90">
        <v>1261</v>
      </c>
      <c r="O1261" s="90" t="s">
        <v>3120</v>
      </c>
      <c r="R1261" s="90" t="s">
        <v>4468</v>
      </c>
      <c r="S1261" s="90" t="s">
        <v>5532</v>
      </c>
      <c r="T1261" s="90" t="s">
        <v>6030</v>
      </c>
      <c r="U1261" s="90" t="s">
        <v>5008</v>
      </c>
    </row>
    <row r="1262" spans="1:21" x14ac:dyDescent="0.25">
      <c r="A1262" s="90" t="s">
        <v>3121</v>
      </c>
      <c r="B1262" s="119">
        <v>5</v>
      </c>
      <c r="C1262" s="90" t="s">
        <v>3119</v>
      </c>
      <c r="D1262" s="90" t="s">
        <v>78</v>
      </c>
      <c r="E1262">
        <v>2516</v>
      </c>
      <c r="F1262">
        <v>2517</v>
      </c>
      <c r="G1262" s="93" t="s">
        <v>78</v>
      </c>
      <c r="H1262" t="s">
        <v>419</v>
      </c>
      <c r="I1262">
        <v>1</v>
      </c>
      <c r="J1262">
        <v>1324.33464918</v>
      </c>
      <c r="K1262">
        <f>I1262*J1262</f>
        <v>1324.33464918</v>
      </c>
      <c r="L1262">
        <v>85.6</v>
      </c>
      <c r="M1262">
        <f>(1-(L1262/100))*K1262</f>
        <v>190.70418948192003</v>
      </c>
      <c r="N1262" s="90">
        <v>1262</v>
      </c>
      <c r="O1262" s="90" t="s">
        <v>3122</v>
      </c>
    </row>
    <row r="1263" spans="1:21" x14ac:dyDescent="0.25">
      <c r="A1263" s="90" t="s">
        <v>3123</v>
      </c>
      <c r="B1263" s="119">
        <v>2</v>
      </c>
      <c r="C1263" s="90" t="s">
        <v>78</v>
      </c>
      <c r="D1263" s="90" t="s">
        <v>87</v>
      </c>
      <c r="E1263">
        <v>2521</v>
      </c>
      <c r="F1263">
        <v>2664</v>
      </c>
      <c r="G1263" s="93" t="s">
        <v>68</v>
      </c>
      <c r="H1263" t="s">
        <v>3124</v>
      </c>
      <c r="I1263">
        <v>1</v>
      </c>
      <c r="J1263">
        <f>SUM(K1264,K1308,K1319,K1329,K1332)</f>
        <v>74128.473871140013</v>
      </c>
      <c r="K1263">
        <f>I1263*J1263</f>
        <v>74128.473871140013</v>
      </c>
      <c r="L1263">
        <f>100*(1-(M1263/K1263))</f>
        <v>48.818584620561701</v>
      </c>
      <c r="M1263">
        <f>I1263*SUM(M1264,M1308,M1319,M1329,M1332)</f>
        <v>37940.00212642656</v>
      </c>
      <c r="N1263" s="90">
        <v>1263</v>
      </c>
      <c r="O1263" s="90" t="s">
        <v>3125</v>
      </c>
      <c r="R1263" s="90" t="s">
        <v>6941</v>
      </c>
      <c r="S1263" s="90" t="s">
        <v>7038</v>
      </c>
      <c r="T1263" s="90" t="s">
        <v>7084</v>
      </c>
      <c r="U1263" s="90" t="s">
        <v>6990</v>
      </c>
    </row>
    <row r="1264" spans="1:21" x14ac:dyDescent="0.25">
      <c r="A1264" s="90" t="s">
        <v>3126</v>
      </c>
      <c r="B1264" s="119">
        <v>3</v>
      </c>
      <c r="C1264" s="90" t="s">
        <v>3123</v>
      </c>
      <c r="D1264" s="90" t="s">
        <v>78</v>
      </c>
      <c r="E1264">
        <v>2522</v>
      </c>
      <c r="F1264">
        <v>2609</v>
      </c>
      <c r="G1264" s="93" t="s">
        <v>68</v>
      </c>
      <c r="H1264" t="s">
        <v>3127</v>
      </c>
      <c r="I1264">
        <v>1</v>
      </c>
      <c r="J1264">
        <f>SUM(K1265,K1267,K1269,K1271,K1273,K1275,K1277,K1282,K1284,K1286,K1288,K1290,K1292,K1294,K1296,K1306)</f>
        <v>50928.470392220013</v>
      </c>
      <c r="K1264">
        <f>I1264*J1264</f>
        <v>50928.470392220013</v>
      </c>
      <c r="L1264">
        <f>100*(1-(M1264/K1264))</f>
        <v>40.000000000000021</v>
      </c>
      <c r="M1264">
        <f>I1264*SUM(M1265,M1267,M1269,M1271,M1273,M1275,M1277,M1282,M1284,M1286,M1288,M1290,M1292,M1294,M1296,M1306)</f>
        <v>30557.082235331996</v>
      </c>
      <c r="N1264" s="90">
        <v>1264</v>
      </c>
      <c r="O1264" s="90" t="s">
        <v>3128</v>
      </c>
      <c r="R1264" s="90" t="s">
        <v>6390</v>
      </c>
      <c r="S1264" s="90" t="s">
        <v>6693</v>
      </c>
      <c r="T1264" s="90" t="s">
        <v>6838</v>
      </c>
      <c r="U1264" s="90" t="s">
        <v>6542</v>
      </c>
    </row>
    <row r="1265" spans="1:21" x14ac:dyDescent="0.25">
      <c r="A1265" s="90" t="s">
        <v>3129</v>
      </c>
      <c r="B1265" s="119">
        <v>4</v>
      </c>
      <c r="C1265" s="90" t="s">
        <v>3126</v>
      </c>
      <c r="D1265" s="90" t="s">
        <v>78</v>
      </c>
      <c r="E1265">
        <v>2523</v>
      </c>
      <c r="F1265">
        <v>2526</v>
      </c>
      <c r="G1265" s="93" t="s">
        <v>68</v>
      </c>
      <c r="H1265" t="s">
        <v>1815</v>
      </c>
      <c r="I1265">
        <v>1</v>
      </c>
      <c r="J1265">
        <f>SUM(K1266)</f>
        <v>491.93938622000002</v>
      </c>
      <c r="K1265">
        <f>I1265*J1265</f>
        <v>491.93938622000002</v>
      </c>
      <c r="L1265">
        <f>100*(1-(M1265/K1265))</f>
        <v>40</v>
      </c>
      <c r="M1265">
        <f>I1265*SUM(M1266)</f>
        <v>295.163631732</v>
      </c>
      <c r="N1265" s="90">
        <v>1265</v>
      </c>
      <c r="O1265" s="90" t="s">
        <v>3130</v>
      </c>
      <c r="R1265" s="90" t="s">
        <v>4497</v>
      </c>
      <c r="S1265" s="90" t="s">
        <v>5561</v>
      </c>
      <c r="T1265" s="90" t="s">
        <v>6059</v>
      </c>
      <c r="U1265" s="90" t="s">
        <v>5037</v>
      </c>
    </row>
    <row r="1266" spans="1:21" x14ac:dyDescent="0.25">
      <c r="A1266" s="90" t="s">
        <v>3131</v>
      </c>
      <c r="B1266" s="119">
        <v>5</v>
      </c>
      <c r="C1266" s="90" t="s">
        <v>3129</v>
      </c>
      <c r="D1266" s="90" t="s">
        <v>78</v>
      </c>
      <c r="E1266">
        <v>2524</v>
      </c>
      <c r="F1266">
        <v>2525</v>
      </c>
      <c r="G1266" s="93" t="s">
        <v>78</v>
      </c>
      <c r="H1266" t="s">
        <v>126</v>
      </c>
      <c r="I1266">
        <v>1</v>
      </c>
      <c r="J1266">
        <v>491.93938622000002</v>
      </c>
      <c r="K1266">
        <f>I1266*J1266</f>
        <v>491.93938622000002</v>
      </c>
      <c r="L1266">
        <v>40</v>
      </c>
      <c r="M1266">
        <f>(1-(L1266/100))*K1266</f>
        <v>295.163631732</v>
      </c>
      <c r="N1266" s="90">
        <v>1266</v>
      </c>
      <c r="O1266" s="90" t="s">
        <v>3132</v>
      </c>
    </row>
    <row r="1267" spans="1:21" x14ac:dyDescent="0.25">
      <c r="A1267" s="90" t="s">
        <v>3133</v>
      </c>
      <c r="B1267" s="119">
        <v>4</v>
      </c>
      <c r="C1267" s="90" t="s">
        <v>3126</v>
      </c>
      <c r="D1267" s="90" t="s">
        <v>79</v>
      </c>
      <c r="E1267">
        <v>2527</v>
      </c>
      <c r="F1267">
        <v>2530</v>
      </c>
      <c r="G1267" s="93" t="s">
        <v>68</v>
      </c>
      <c r="H1267" t="s">
        <v>1818</v>
      </c>
      <c r="I1267">
        <v>2</v>
      </c>
      <c r="J1267">
        <f>SUM(K1268)</f>
        <v>313.76543995999998</v>
      </c>
      <c r="K1267">
        <f>I1267*J1267</f>
        <v>627.53087991999996</v>
      </c>
      <c r="L1267">
        <f>100*(1-(M1267/K1267))</f>
        <v>40</v>
      </c>
      <c r="M1267">
        <f>I1267*SUM(M1268)</f>
        <v>376.51852795199994</v>
      </c>
      <c r="N1267" s="90">
        <v>1267</v>
      </c>
      <c r="O1267" s="90" t="s">
        <v>3134</v>
      </c>
      <c r="R1267" s="90" t="s">
        <v>4506</v>
      </c>
      <c r="S1267" s="90" t="s">
        <v>5570</v>
      </c>
      <c r="T1267" s="90" t="s">
        <v>6068</v>
      </c>
      <c r="U1267" s="90" t="s">
        <v>5046</v>
      </c>
    </row>
    <row r="1268" spans="1:21" x14ac:dyDescent="0.25">
      <c r="A1268" s="90" t="s">
        <v>3135</v>
      </c>
      <c r="B1268" s="119">
        <v>5</v>
      </c>
      <c r="C1268" s="90" t="s">
        <v>3133</v>
      </c>
      <c r="D1268" s="90" t="s">
        <v>78</v>
      </c>
      <c r="E1268">
        <v>2528</v>
      </c>
      <c r="F1268">
        <v>2529</v>
      </c>
      <c r="G1268" s="93" t="s">
        <v>78</v>
      </c>
      <c r="H1268" t="s">
        <v>123</v>
      </c>
      <c r="I1268">
        <v>1</v>
      </c>
      <c r="J1268">
        <v>313.76543995999998</v>
      </c>
      <c r="K1268">
        <f>I1268*J1268</f>
        <v>313.76543995999998</v>
      </c>
      <c r="L1268">
        <v>40</v>
      </c>
      <c r="M1268">
        <f>(1-(L1268/100))*K1268</f>
        <v>188.25926397599997</v>
      </c>
      <c r="N1268" s="90">
        <v>1268</v>
      </c>
      <c r="O1268" s="90" t="s">
        <v>3136</v>
      </c>
    </row>
    <row r="1269" spans="1:21" x14ac:dyDescent="0.25">
      <c r="A1269" s="90" t="s">
        <v>3137</v>
      </c>
      <c r="B1269" s="119">
        <v>4</v>
      </c>
      <c r="C1269" s="90" t="s">
        <v>3126</v>
      </c>
      <c r="D1269" s="90" t="s">
        <v>80</v>
      </c>
      <c r="E1269">
        <v>2531</v>
      </c>
      <c r="F1269">
        <v>2534</v>
      </c>
      <c r="G1269" s="93" t="s">
        <v>68</v>
      </c>
      <c r="H1269" t="s">
        <v>1235</v>
      </c>
      <c r="I1269">
        <v>2</v>
      </c>
      <c r="J1269">
        <f>SUM(K1270)</f>
        <v>37.44</v>
      </c>
      <c r="K1269">
        <f>I1269*J1269</f>
        <v>74.88</v>
      </c>
      <c r="L1269">
        <f>100*(1-(M1269/K1269))</f>
        <v>40</v>
      </c>
      <c r="M1269">
        <f>I1269*SUM(M1270)</f>
        <v>44.927999999999997</v>
      </c>
      <c r="N1269" s="90">
        <v>1269</v>
      </c>
      <c r="O1269" s="90" t="s">
        <v>3138</v>
      </c>
      <c r="R1269" s="90" t="s">
        <v>4507</v>
      </c>
      <c r="S1269" s="90" t="s">
        <v>5571</v>
      </c>
      <c r="T1269" s="90" t="s">
        <v>6069</v>
      </c>
      <c r="U1269" s="90" t="s">
        <v>5047</v>
      </c>
    </row>
    <row r="1270" spans="1:21" x14ac:dyDescent="0.25">
      <c r="A1270" s="90" t="s">
        <v>3139</v>
      </c>
      <c r="B1270" s="119">
        <v>5</v>
      </c>
      <c r="C1270" s="90" t="s">
        <v>3137</v>
      </c>
      <c r="D1270" s="90" t="s">
        <v>78</v>
      </c>
      <c r="E1270">
        <v>2532</v>
      </c>
      <c r="F1270">
        <v>2533</v>
      </c>
      <c r="G1270" s="93" t="s">
        <v>78</v>
      </c>
      <c r="H1270" t="s">
        <v>1235</v>
      </c>
      <c r="I1270">
        <v>1</v>
      </c>
      <c r="J1270">
        <v>37.44</v>
      </c>
      <c r="K1270">
        <f>I1270*J1270</f>
        <v>37.44</v>
      </c>
      <c r="L1270">
        <v>40</v>
      </c>
      <c r="M1270">
        <f>(1-(L1270/100))*K1270</f>
        <v>22.463999999999999</v>
      </c>
      <c r="N1270" s="90">
        <v>1270</v>
      </c>
      <c r="O1270" s="90" t="s">
        <v>3140</v>
      </c>
    </row>
    <row r="1271" spans="1:21" x14ac:dyDescent="0.25">
      <c r="A1271" s="90" t="s">
        <v>3141</v>
      </c>
      <c r="B1271" s="119">
        <v>4</v>
      </c>
      <c r="C1271" s="90" t="s">
        <v>3126</v>
      </c>
      <c r="D1271" s="90" t="s">
        <v>95</v>
      </c>
      <c r="E1271">
        <v>2535</v>
      </c>
      <c r="F1271">
        <v>2538</v>
      </c>
      <c r="G1271" s="93" t="s">
        <v>68</v>
      </c>
      <c r="H1271" t="s">
        <v>1240</v>
      </c>
      <c r="I1271">
        <v>1</v>
      </c>
      <c r="J1271">
        <f>SUM(K1272)</f>
        <v>700.36928562000003</v>
      </c>
      <c r="K1271">
        <f>I1271*J1271</f>
        <v>700.36928562000003</v>
      </c>
      <c r="L1271">
        <f>100*(1-(M1271/K1271))</f>
        <v>40</v>
      </c>
      <c r="M1271">
        <f>I1271*SUM(M1272)</f>
        <v>420.22157137200003</v>
      </c>
      <c r="N1271" s="90">
        <v>1271</v>
      </c>
      <c r="O1271" s="90" t="s">
        <v>3142</v>
      </c>
      <c r="R1271" s="90" t="s">
        <v>4508</v>
      </c>
      <c r="S1271" s="90" t="s">
        <v>5572</v>
      </c>
      <c r="T1271" s="90" t="s">
        <v>6070</v>
      </c>
      <c r="U1271" s="90" t="s">
        <v>5048</v>
      </c>
    </row>
    <row r="1272" spans="1:21" x14ac:dyDescent="0.25">
      <c r="A1272" s="90" t="s">
        <v>3143</v>
      </c>
      <c r="B1272" s="119">
        <v>5</v>
      </c>
      <c r="C1272" s="90" t="s">
        <v>3141</v>
      </c>
      <c r="D1272" s="90" t="s">
        <v>78</v>
      </c>
      <c r="E1272">
        <v>2536</v>
      </c>
      <c r="F1272">
        <v>2537</v>
      </c>
      <c r="G1272" s="93" t="s">
        <v>78</v>
      </c>
      <c r="H1272" t="s">
        <v>1243</v>
      </c>
      <c r="I1272">
        <v>1</v>
      </c>
      <c r="J1272">
        <v>700.36928562000003</v>
      </c>
      <c r="K1272">
        <f>I1272*J1272</f>
        <v>700.36928562000003</v>
      </c>
      <c r="L1272">
        <v>40</v>
      </c>
      <c r="M1272">
        <f>(1-(L1272/100))*K1272</f>
        <v>420.22157137200003</v>
      </c>
      <c r="N1272" s="90">
        <v>1272</v>
      </c>
      <c r="O1272" s="90" t="s">
        <v>3144</v>
      </c>
    </row>
    <row r="1273" spans="1:21" x14ac:dyDescent="0.25">
      <c r="A1273" s="90" t="s">
        <v>3145</v>
      </c>
      <c r="B1273" s="119">
        <v>4</v>
      </c>
      <c r="C1273" s="90" t="s">
        <v>3126</v>
      </c>
      <c r="D1273" s="90" t="s">
        <v>96</v>
      </c>
      <c r="E1273">
        <v>2539</v>
      </c>
      <c r="F1273">
        <v>2542</v>
      </c>
      <c r="G1273" s="93" t="s">
        <v>68</v>
      </c>
      <c r="H1273" t="s">
        <v>1246</v>
      </c>
      <c r="I1273">
        <v>2</v>
      </c>
      <c r="J1273">
        <f>SUM(K1274)</f>
        <v>967.93582071000003</v>
      </c>
      <c r="K1273">
        <f>I1273*J1273</f>
        <v>1935.8716414200001</v>
      </c>
      <c r="L1273">
        <f>100*(1-(M1273/K1273))</f>
        <v>40</v>
      </c>
      <c r="M1273">
        <f>I1273*SUM(M1274)</f>
        <v>1161.522984852</v>
      </c>
      <c r="N1273" s="90">
        <v>1273</v>
      </c>
      <c r="O1273" s="90" t="s">
        <v>3146</v>
      </c>
      <c r="R1273" s="90" t="s">
        <v>4509</v>
      </c>
      <c r="S1273" s="90" t="s">
        <v>5573</v>
      </c>
      <c r="T1273" s="90" t="s">
        <v>6071</v>
      </c>
      <c r="U1273" s="90" t="s">
        <v>5049</v>
      </c>
    </row>
    <row r="1274" spans="1:21" x14ac:dyDescent="0.25">
      <c r="A1274" s="90" t="s">
        <v>3147</v>
      </c>
      <c r="B1274" s="119">
        <v>5</v>
      </c>
      <c r="C1274" s="90" t="s">
        <v>3145</v>
      </c>
      <c r="D1274" s="90" t="s">
        <v>78</v>
      </c>
      <c r="E1274">
        <v>2540</v>
      </c>
      <c r="F1274">
        <v>2541</v>
      </c>
      <c r="G1274" s="93" t="s">
        <v>78</v>
      </c>
      <c r="H1274" t="s">
        <v>120</v>
      </c>
      <c r="I1274">
        <v>1</v>
      </c>
      <c r="J1274">
        <v>967.93582071000003</v>
      </c>
      <c r="K1274">
        <f>I1274*J1274</f>
        <v>967.93582071000003</v>
      </c>
      <c r="L1274">
        <v>40</v>
      </c>
      <c r="M1274">
        <f>(1-(L1274/100))*K1274</f>
        <v>580.76149242600002</v>
      </c>
      <c r="N1274" s="90">
        <v>1274</v>
      </c>
      <c r="O1274" s="90" t="s">
        <v>3148</v>
      </c>
    </row>
    <row r="1275" spans="1:21" x14ac:dyDescent="0.25">
      <c r="A1275" s="90" t="s">
        <v>3149</v>
      </c>
      <c r="B1275" s="119">
        <v>4</v>
      </c>
      <c r="C1275" s="90" t="s">
        <v>3126</v>
      </c>
      <c r="D1275" s="90" t="s">
        <v>103</v>
      </c>
      <c r="E1275">
        <v>2543</v>
      </c>
      <c r="F1275">
        <v>2546</v>
      </c>
      <c r="G1275" s="93" t="s">
        <v>68</v>
      </c>
      <c r="H1275" t="s">
        <v>1251</v>
      </c>
      <c r="I1275">
        <v>1</v>
      </c>
      <c r="J1275">
        <f>SUM(K1276)</f>
        <v>967.93582071000003</v>
      </c>
      <c r="K1275">
        <f>I1275*J1275</f>
        <v>967.93582071000003</v>
      </c>
      <c r="L1275">
        <f>100*(1-(M1275/K1275))</f>
        <v>40</v>
      </c>
      <c r="M1275">
        <f>I1275*SUM(M1276)</f>
        <v>580.76149242600002</v>
      </c>
      <c r="N1275" s="90">
        <v>1275</v>
      </c>
      <c r="O1275" s="90" t="s">
        <v>3150</v>
      </c>
      <c r="R1275" s="90" t="s">
        <v>4510</v>
      </c>
      <c r="S1275" s="90" t="s">
        <v>5574</v>
      </c>
      <c r="T1275" s="90" t="s">
        <v>6072</v>
      </c>
      <c r="U1275" s="90" t="s">
        <v>5050</v>
      </c>
    </row>
    <row r="1276" spans="1:21" x14ac:dyDescent="0.25">
      <c r="A1276" s="90" t="s">
        <v>3151</v>
      </c>
      <c r="B1276" s="119">
        <v>5</v>
      </c>
      <c r="C1276" s="90" t="s">
        <v>3149</v>
      </c>
      <c r="D1276" s="90" t="s">
        <v>78</v>
      </c>
      <c r="E1276">
        <v>2544</v>
      </c>
      <c r="F1276">
        <v>2545</v>
      </c>
      <c r="G1276" s="93" t="s">
        <v>78</v>
      </c>
      <c r="H1276" t="s">
        <v>125</v>
      </c>
      <c r="I1276">
        <v>1</v>
      </c>
      <c r="J1276">
        <v>967.93582071000003</v>
      </c>
      <c r="K1276">
        <f>I1276*J1276</f>
        <v>967.93582071000003</v>
      </c>
      <c r="L1276">
        <v>40</v>
      </c>
      <c r="M1276">
        <f>(1-(L1276/100))*K1276</f>
        <v>580.76149242600002</v>
      </c>
      <c r="N1276" s="90">
        <v>1276</v>
      </c>
      <c r="O1276" s="90" t="s">
        <v>3152</v>
      </c>
    </row>
    <row r="1277" spans="1:21" x14ac:dyDescent="0.25">
      <c r="A1277" s="90" t="s">
        <v>3153</v>
      </c>
      <c r="B1277" s="119">
        <v>4</v>
      </c>
      <c r="C1277" s="90" t="s">
        <v>3126</v>
      </c>
      <c r="D1277" s="90" t="s">
        <v>796</v>
      </c>
      <c r="E1277">
        <v>2547</v>
      </c>
      <c r="F1277">
        <v>2556</v>
      </c>
      <c r="G1277" s="93" t="s">
        <v>68</v>
      </c>
      <c r="H1277" t="s">
        <v>2687</v>
      </c>
      <c r="I1277">
        <v>1</v>
      </c>
      <c r="J1277">
        <f>SUM(K1278,K1279,K1280,K1281)</f>
        <v>3086.2400000000002</v>
      </c>
      <c r="K1277">
        <f>I1277*J1277</f>
        <v>3086.2400000000002</v>
      </c>
      <c r="L1277">
        <f>100*(1-(M1277/K1277))</f>
        <v>40</v>
      </c>
      <c r="M1277">
        <f>I1277*SUM(M1278,M1279,M1280,M1281)</f>
        <v>1851.7439999999999</v>
      </c>
      <c r="N1277" s="90">
        <v>1277</v>
      </c>
      <c r="O1277" s="90" t="s">
        <v>3154</v>
      </c>
      <c r="R1277" s="90" t="s">
        <v>4511</v>
      </c>
      <c r="S1277" s="90" t="s">
        <v>5575</v>
      </c>
      <c r="T1277" s="90" t="s">
        <v>6073</v>
      </c>
      <c r="U1277" s="90" t="s">
        <v>5051</v>
      </c>
    </row>
    <row r="1278" spans="1:21" x14ac:dyDescent="0.25">
      <c r="A1278" s="90" t="s">
        <v>3155</v>
      </c>
      <c r="B1278" s="119">
        <v>5</v>
      </c>
      <c r="C1278" s="90" t="s">
        <v>3153</v>
      </c>
      <c r="D1278" s="90" t="s">
        <v>78</v>
      </c>
      <c r="E1278">
        <v>2548</v>
      </c>
      <c r="F1278">
        <v>2549</v>
      </c>
      <c r="G1278" s="93" t="s">
        <v>78</v>
      </c>
      <c r="H1278" t="s">
        <v>2690</v>
      </c>
      <c r="I1278">
        <v>1</v>
      </c>
      <c r="J1278">
        <v>2879</v>
      </c>
      <c r="K1278">
        <f>I1278*J1278</f>
        <v>2879</v>
      </c>
      <c r="L1278">
        <v>40</v>
      </c>
      <c r="M1278">
        <f>(1-(L1278/100))*K1278</f>
        <v>1727.3999999999999</v>
      </c>
      <c r="N1278" s="90">
        <v>1278</v>
      </c>
      <c r="O1278" s="90" t="s">
        <v>3156</v>
      </c>
    </row>
    <row r="1279" spans="1:21" x14ac:dyDescent="0.25">
      <c r="A1279" s="90" t="s">
        <v>3157</v>
      </c>
      <c r="B1279" s="119">
        <v>5</v>
      </c>
      <c r="C1279" s="90" t="s">
        <v>3153</v>
      </c>
      <c r="D1279" s="90" t="s">
        <v>79</v>
      </c>
      <c r="E1279">
        <v>2550</v>
      </c>
      <c r="F1279">
        <v>2551</v>
      </c>
      <c r="G1279" s="93" t="s">
        <v>78</v>
      </c>
      <c r="H1279" t="s">
        <v>2693</v>
      </c>
      <c r="I1279">
        <v>1</v>
      </c>
      <c r="J1279">
        <v>53.48</v>
      </c>
      <c r="K1279">
        <f>I1279*J1279</f>
        <v>53.48</v>
      </c>
      <c r="L1279">
        <v>40</v>
      </c>
      <c r="M1279">
        <f>(1-(L1279/100))*K1279</f>
        <v>32.087999999999994</v>
      </c>
      <c r="N1279" s="90">
        <v>1279</v>
      </c>
      <c r="O1279" s="90" t="s">
        <v>3158</v>
      </c>
    </row>
    <row r="1280" spans="1:21" x14ac:dyDescent="0.25">
      <c r="A1280" s="90" t="s">
        <v>3159</v>
      </c>
      <c r="B1280" s="119">
        <v>5</v>
      </c>
      <c r="C1280" s="90" t="s">
        <v>3153</v>
      </c>
      <c r="D1280" s="90" t="s">
        <v>80</v>
      </c>
      <c r="E1280">
        <v>2552</v>
      </c>
      <c r="F1280">
        <v>2553</v>
      </c>
      <c r="G1280" s="93" t="s">
        <v>78</v>
      </c>
      <c r="H1280" t="s">
        <v>2696</v>
      </c>
      <c r="I1280">
        <v>1</v>
      </c>
      <c r="J1280">
        <v>25.4</v>
      </c>
      <c r="K1280">
        <f>I1280*J1280</f>
        <v>25.4</v>
      </c>
      <c r="L1280">
        <v>40</v>
      </c>
      <c r="M1280">
        <f>(1-(L1280/100))*K1280</f>
        <v>15.239999999999998</v>
      </c>
      <c r="N1280" s="90">
        <v>1280</v>
      </c>
      <c r="O1280" s="90" t="s">
        <v>3160</v>
      </c>
    </row>
    <row r="1281" spans="1:21" x14ac:dyDescent="0.25">
      <c r="A1281" s="90" t="s">
        <v>3161</v>
      </c>
      <c r="B1281" s="119">
        <v>5</v>
      </c>
      <c r="C1281" s="90" t="s">
        <v>3153</v>
      </c>
      <c r="D1281" s="90" t="s">
        <v>95</v>
      </c>
      <c r="E1281">
        <v>2554</v>
      </c>
      <c r="F1281">
        <v>2555</v>
      </c>
      <c r="G1281" s="93" t="s">
        <v>78</v>
      </c>
      <c r="H1281" t="s">
        <v>2699</v>
      </c>
      <c r="I1281">
        <v>1</v>
      </c>
      <c r="J1281">
        <v>128.36000000000001</v>
      </c>
      <c r="K1281">
        <f>I1281*J1281</f>
        <v>128.36000000000001</v>
      </c>
      <c r="L1281">
        <v>40</v>
      </c>
      <c r="M1281">
        <f>(1-(L1281/100))*K1281</f>
        <v>77.016000000000005</v>
      </c>
      <c r="N1281" s="90">
        <v>1281</v>
      </c>
      <c r="O1281" s="90" t="s">
        <v>3162</v>
      </c>
    </row>
    <row r="1282" spans="1:21" x14ac:dyDescent="0.25">
      <c r="A1282" s="90" t="s">
        <v>3163</v>
      </c>
      <c r="B1282" s="119">
        <v>4</v>
      </c>
      <c r="C1282" s="90" t="s">
        <v>3126</v>
      </c>
      <c r="D1282" s="90" t="s">
        <v>797</v>
      </c>
      <c r="E1282">
        <v>2557</v>
      </c>
      <c r="F1282">
        <v>2560</v>
      </c>
      <c r="G1282" s="93" t="s">
        <v>68</v>
      </c>
      <c r="H1282" t="s">
        <v>1256</v>
      </c>
      <c r="I1282">
        <v>1</v>
      </c>
      <c r="J1282">
        <f>SUM(K1283)</f>
        <v>9428.2439831899992</v>
      </c>
      <c r="K1282">
        <f>I1282*J1282</f>
        <v>9428.2439831899992</v>
      </c>
      <c r="L1282">
        <f>100*(1-(M1282/K1282))</f>
        <v>40</v>
      </c>
      <c r="M1282">
        <f>I1282*SUM(M1283)</f>
        <v>5656.9463899139992</v>
      </c>
      <c r="N1282" s="90">
        <v>1282</v>
      </c>
      <c r="O1282" s="90" t="s">
        <v>3164</v>
      </c>
      <c r="R1282" s="90" t="s">
        <v>4512</v>
      </c>
      <c r="S1282" s="90" t="s">
        <v>5576</v>
      </c>
      <c r="T1282" s="90" t="s">
        <v>6074</v>
      </c>
      <c r="U1282" s="90" t="s">
        <v>5052</v>
      </c>
    </row>
    <row r="1283" spans="1:21" x14ac:dyDescent="0.25">
      <c r="A1283" s="90" t="s">
        <v>3165</v>
      </c>
      <c r="B1283" s="119">
        <v>5</v>
      </c>
      <c r="C1283" s="90" t="s">
        <v>3163</v>
      </c>
      <c r="D1283" s="90" t="s">
        <v>78</v>
      </c>
      <c r="E1283">
        <v>2558</v>
      </c>
      <c r="F1283">
        <v>2559</v>
      </c>
      <c r="G1283" s="93" t="s">
        <v>78</v>
      </c>
      <c r="H1283" t="s">
        <v>1256</v>
      </c>
      <c r="I1283">
        <v>1</v>
      </c>
      <c r="J1283">
        <v>9428.2439831899992</v>
      </c>
      <c r="K1283">
        <f>I1283*J1283</f>
        <v>9428.2439831899992</v>
      </c>
      <c r="L1283">
        <v>40</v>
      </c>
      <c r="M1283">
        <f>(1-(L1283/100))*K1283</f>
        <v>5656.9463899139992</v>
      </c>
      <c r="N1283" s="90">
        <v>1283</v>
      </c>
      <c r="O1283" s="90" t="s">
        <v>3166</v>
      </c>
    </row>
    <row r="1284" spans="1:21" x14ac:dyDescent="0.25">
      <c r="A1284" s="90" t="s">
        <v>3167</v>
      </c>
      <c r="B1284" s="119">
        <v>4</v>
      </c>
      <c r="C1284" s="90" t="s">
        <v>3126</v>
      </c>
      <c r="D1284" s="90" t="s">
        <v>798</v>
      </c>
      <c r="E1284">
        <v>2561</v>
      </c>
      <c r="F1284">
        <v>2564</v>
      </c>
      <c r="G1284" s="93" t="s">
        <v>68</v>
      </c>
      <c r="H1284" t="s">
        <v>1261</v>
      </c>
      <c r="I1284">
        <v>1</v>
      </c>
      <c r="J1284">
        <f>SUM(K1285)</f>
        <v>10160.44823634</v>
      </c>
      <c r="K1284">
        <f>I1284*J1284</f>
        <v>10160.44823634</v>
      </c>
      <c r="L1284">
        <f>100*(1-(M1284/K1284))</f>
        <v>40</v>
      </c>
      <c r="M1284">
        <f>I1284*SUM(M1285)</f>
        <v>6096.268941804</v>
      </c>
      <c r="N1284" s="90">
        <v>1284</v>
      </c>
      <c r="O1284" s="90" t="s">
        <v>3168</v>
      </c>
      <c r="R1284" s="90" t="s">
        <v>4513</v>
      </c>
      <c r="S1284" s="90" t="s">
        <v>5577</v>
      </c>
      <c r="T1284" s="90" t="s">
        <v>6075</v>
      </c>
      <c r="U1284" s="90" t="s">
        <v>5053</v>
      </c>
    </row>
    <row r="1285" spans="1:21" x14ac:dyDescent="0.25">
      <c r="A1285" s="90" t="s">
        <v>3169</v>
      </c>
      <c r="B1285" s="119">
        <v>5</v>
      </c>
      <c r="C1285" s="90" t="s">
        <v>3167</v>
      </c>
      <c r="D1285" s="90" t="s">
        <v>78</v>
      </c>
      <c r="E1285">
        <v>2562</v>
      </c>
      <c r="F1285">
        <v>2563</v>
      </c>
      <c r="G1285" s="93" t="s">
        <v>78</v>
      </c>
      <c r="H1285" t="s">
        <v>1261</v>
      </c>
      <c r="I1285">
        <v>1</v>
      </c>
      <c r="J1285">
        <v>10160.44823634</v>
      </c>
      <c r="K1285">
        <f>I1285*J1285</f>
        <v>10160.44823634</v>
      </c>
      <c r="L1285">
        <v>40</v>
      </c>
      <c r="M1285">
        <f>(1-(L1285/100))*K1285</f>
        <v>6096.268941804</v>
      </c>
      <c r="N1285" s="90">
        <v>1285</v>
      </c>
      <c r="O1285" s="90" t="s">
        <v>3170</v>
      </c>
    </row>
    <row r="1286" spans="1:21" x14ac:dyDescent="0.25">
      <c r="A1286" s="90" t="s">
        <v>3171</v>
      </c>
      <c r="B1286" s="119">
        <v>4</v>
      </c>
      <c r="C1286" s="90" t="s">
        <v>3126</v>
      </c>
      <c r="D1286" s="90" t="s">
        <v>799</v>
      </c>
      <c r="E1286">
        <v>2565</v>
      </c>
      <c r="F1286">
        <v>2568</v>
      </c>
      <c r="G1286" s="93" t="s">
        <v>68</v>
      </c>
      <c r="H1286" t="s">
        <v>1266</v>
      </c>
      <c r="I1286">
        <v>1</v>
      </c>
      <c r="J1286">
        <f>SUM(K1287)</f>
        <v>9312.3647013900008</v>
      </c>
      <c r="K1286">
        <f>I1286*J1286</f>
        <v>9312.3647013900008</v>
      </c>
      <c r="L1286">
        <f>100*(1-(M1286/K1286))</f>
        <v>40</v>
      </c>
      <c r="M1286">
        <f>I1286*SUM(M1287)</f>
        <v>5587.4188208340001</v>
      </c>
      <c r="N1286" s="90">
        <v>1286</v>
      </c>
      <c r="O1286" s="90" t="s">
        <v>3172</v>
      </c>
      <c r="R1286" s="90" t="s">
        <v>4498</v>
      </c>
      <c r="S1286" s="90" t="s">
        <v>5562</v>
      </c>
      <c r="T1286" s="90" t="s">
        <v>6060</v>
      </c>
      <c r="U1286" s="90" t="s">
        <v>5038</v>
      </c>
    </row>
    <row r="1287" spans="1:21" x14ac:dyDescent="0.25">
      <c r="A1287" s="90" t="s">
        <v>3173</v>
      </c>
      <c r="B1287" s="119">
        <v>5</v>
      </c>
      <c r="C1287" s="90" t="s">
        <v>3171</v>
      </c>
      <c r="D1287" s="90" t="s">
        <v>78</v>
      </c>
      <c r="E1287">
        <v>2566</v>
      </c>
      <c r="F1287">
        <v>2567</v>
      </c>
      <c r="G1287" s="93" t="s">
        <v>78</v>
      </c>
      <c r="H1287" t="s">
        <v>1269</v>
      </c>
      <c r="I1287">
        <v>1</v>
      </c>
      <c r="J1287">
        <v>9312.3647013900008</v>
      </c>
      <c r="K1287">
        <f>I1287*J1287</f>
        <v>9312.3647013900008</v>
      </c>
      <c r="L1287">
        <v>40</v>
      </c>
      <c r="M1287">
        <f>(1-(L1287/100))*K1287</f>
        <v>5587.4188208340001</v>
      </c>
      <c r="N1287" s="90">
        <v>1287</v>
      </c>
      <c r="O1287" s="90" t="s">
        <v>3174</v>
      </c>
    </row>
    <row r="1288" spans="1:21" x14ac:dyDescent="0.25">
      <c r="A1288" s="90" t="s">
        <v>3175</v>
      </c>
      <c r="B1288" s="119">
        <v>4</v>
      </c>
      <c r="C1288" s="90" t="s">
        <v>3126</v>
      </c>
      <c r="D1288" s="90" t="s">
        <v>97</v>
      </c>
      <c r="E1288">
        <v>2569</v>
      </c>
      <c r="F1288">
        <v>2572</v>
      </c>
      <c r="G1288" s="93" t="s">
        <v>68</v>
      </c>
      <c r="H1288" t="s">
        <v>1272</v>
      </c>
      <c r="I1288">
        <v>2</v>
      </c>
      <c r="J1288">
        <f>SUM(K1289)</f>
        <v>1308.5572392700001</v>
      </c>
      <c r="K1288">
        <f>I1288*J1288</f>
        <v>2617.1144785400002</v>
      </c>
      <c r="L1288">
        <f>100*(1-(M1288/K1288))</f>
        <v>40</v>
      </c>
      <c r="M1288">
        <f>I1288*SUM(M1289)</f>
        <v>1570.2686871240001</v>
      </c>
      <c r="N1288" s="90">
        <v>1288</v>
      </c>
      <c r="O1288" s="90" t="s">
        <v>3176</v>
      </c>
      <c r="R1288" s="90" t="s">
        <v>4499</v>
      </c>
      <c r="S1288" s="90" t="s">
        <v>5563</v>
      </c>
      <c r="T1288" s="90" t="s">
        <v>6061</v>
      </c>
      <c r="U1288" s="90" t="s">
        <v>5039</v>
      </c>
    </row>
    <row r="1289" spans="1:21" x14ac:dyDescent="0.25">
      <c r="A1289" s="90" t="s">
        <v>3177</v>
      </c>
      <c r="B1289" s="119">
        <v>5</v>
      </c>
      <c r="C1289" s="90" t="s">
        <v>3175</v>
      </c>
      <c r="D1289" s="90" t="s">
        <v>78</v>
      </c>
      <c r="E1289">
        <v>2570</v>
      </c>
      <c r="F1289">
        <v>2571</v>
      </c>
      <c r="G1289" s="93" t="s">
        <v>78</v>
      </c>
      <c r="H1289" t="s">
        <v>1272</v>
      </c>
      <c r="I1289">
        <v>1</v>
      </c>
      <c r="J1289">
        <v>1308.5572392700001</v>
      </c>
      <c r="K1289">
        <f>I1289*J1289</f>
        <v>1308.5572392700001</v>
      </c>
      <c r="L1289">
        <v>40</v>
      </c>
      <c r="M1289">
        <f>(1-(L1289/100))*K1289</f>
        <v>785.13434356200003</v>
      </c>
      <c r="N1289" s="90">
        <v>1289</v>
      </c>
      <c r="O1289" s="90" t="s">
        <v>3178</v>
      </c>
    </row>
    <row r="1290" spans="1:21" x14ac:dyDescent="0.25">
      <c r="A1290" s="90" t="s">
        <v>3179</v>
      </c>
      <c r="B1290" s="119">
        <v>4</v>
      </c>
      <c r="C1290" s="90" t="s">
        <v>3126</v>
      </c>
      <c r="D1290" s="90" t="s">
        <v>98</v>
      </c>
      <c r="E1290">
        <v>2573</v>
      </c>
      <c r="F1290">
        <v>2576</v>
      </c>
      <c r="G1290" s="93" t="s">
        <v>68</v>
      </c>
      <c r="H1290" t="s">
        <v>2722</v>
      </c>
      <c r="I1290">
        <v>1</v>
      </c>
      <c r="J1290">
        <f>SUM(K1291)</f>
        <v>1500</v>
      </c>
      <c r="K1290">
        <f>I1290*J1290</f>
        <v>1500</v>
      </c>
      <c r="L1290">
        <f>100*(1-(M1290/K1290))</f>
        <v>40</v>
      </c>
      <c r="M1290">
        <f>I1290*SUM(M1291)</f>
        <v>900</v>
      </c>
      <c r="N1290" s="90">
        <v>1290</v>
      </c>
      <c r="O1290" s="90" t="s">
        <v>3180</v>
      </c>
      <c r="R1290" s="90" t="s">
        <v>4500</v>
      </c>
      <c r="S1290" s="90" t="s">
        <v>5564</v>
      </c>
      <c r="T1290" s="90" t="s">
        <v>6062</v>
      </c>
      <c r="U1290" s="90" t="s">
        <v>5040</v>
      </c>
    </row>
    <row r="1291" spans="1:21" x14ac:dyDescent="0.25">
      <c r="A1291" s="90" t="s">
        <v>3181</v>
      </c>
      <c r="B1291" s="119">
        <v>5</v>
      </c>
      <c r="C1291" s="90" t="s">
        <v>3179</v>
      </c>
      <c r="D1291" s="90" t="s">
        <v>78</v>
      </c>
      <c r="E1291">
        <v>2574</v>
      </c>
      <c r="F1291">
        <v>2575</v>
      </c>
      <c r="G1291" s="93" t="s">
        <v>78</v>
      </c>
      <c r="H1291" t="s">
        <v>2725</v>
      </c>
      <c r="I1291">
        <v>1</v>
      </c>
      <c r="J1291">
        <v>1500</v>
      </c>
      <c r="K1291">
        <f>I1291*J1291</f>
        <v>1500</v>
      </c>
      <c r="L1291">
        <v>40</v>
      </c>
      <c r="M1291">
        <f>(1-(L1291/100))*K1291</f>
        <v>900</v>
      </c>
      <c r="N1291" s="90">
        <v>1291</v>
      </c>
      <c r="O1291" s="90" t="s">
        <v>3182</v>
      </c>
    </row>
    <row r="1292" spans="1:21" x14ac:dyDescent="0.25">
      <c r="A1292" s="90" t="s">
        <v>3183</v>
      </c>
      <c r="B1292" s="119">
        <v>4</v>
      </c>
      <c r="C1292" s="90" t="s">
        <v>3126</v>
      </c>
      <c r="D1292" s="90" t="s">
        <v>99</v>
      </c>
      <c r="E1292">
        <v>2577</v>
      </c>
      <c r="F1292">
        <v>2580</v>
      </c>
      <c r="G1292" s="93" t="s">
        <v>68</v>
      </c>
      <c r="H1292" t="s">
        <v>145</v>
      </c>
      <c r="I1292">
        <v>4</v>
      </c>
      <c r="J1292">
        <f>SUM(K1293)</f>
        <v>28.6</v>
      </c>
      <c r="K1292">
        <f>I1292*J1292</f>
        <v>114.4</v>
      </c>
      <c r="L1292">
        <f>100*(1-(M1292/K1292))</f>
        <v>40</v>
      </c>
      <c r="M1292">
        <f>I1292*SUM(M1293)</f>
        <v>68.64</v>
      </c>
      <c r="N1292" s="90">
        <v>1292</v>
      </c>
      <c r="O1292" s="90" t="s">
        <v>3184</v>
      </c>
      <c r="R1292" s="90" t="s">
        <v>4501</v>
      </c>
      <c r="S1292" s="90" t="s">
        <v>5565</v>
      </c>
      <c r="T1292" s="90" t="s">
        <v>6063</v>
      </c>
      <c r="U1292" s="90" t="s">
        <v>5041</v>
      </c>
    </row>
    <row r="1293" spans="1:21" x14ac:dyDescent="0.25">
      <c r="A1293" s="90" t="s">
        <v>3185</v>
      </c>
      <c r="B1293" s="119">
        <v>5</v>
      </c>
      <c r="C1293" s="90" t="s">
        <v>3183</v>
      </c>
      <c r="D1293" s="90" t="s">
        <v>78</v>
      </c>
      <c r="E1293">
        <v>2578</v>
      </c>
      <c r="F1293">
        <v>2579</v>
      </c>
      <c r="G1293" s="93" t="s">
        <v>78</v>
      </c>
      <c r="H1293" t="s">
        <v>145</v>
      </c>
      <c r="I1293">
        <v>1</v>
      </c>
      <c r="J1293">
        <v>28.6</v>
      </c>
      <c r="K1293">
        <f>I1293*J1293</f>
        <v>28.6</v>
      </c>
      <c r="L1293">
        <v>40</v>
      </c>
      <c r="M1293">
        <f>(1-(L1293/100))*K1293</f>
        <v>17.16</v>
      </c>
      <c r="N1293" s="90">
        <v>1293</v>
      </c>
      <c r="O1293" s="90" t="s">
        <v>3186</v>
      </c>
    </row>
    <row r="1294" spans="1:21" x14ac:dyDescent="0.25">
      <c r="A1294" s="90" t="s">
        <v>3187</v>
      </c>
      <c r="B1294" s="119">
        <v>4</v>
      </c>
      <c r="C1294" s="90" t="s">
        <v>3126</v>
      </c>
      <c r="D1294" s="90" t="s">
        <v>100</v>
      </c>
      <c r="E1294">
        <v>2581</v>
      </c>
      <c r="F1294">
        <v>2584</v>
      </c>
      <c r="G1294" s="93" t="s">
        <v>68</v>
      </c>
      <c r="H1294" t="s">
        <v>143</v>
      </c>
      <c r="I1294">
        <v>2</v>
      </c>
      <c r="J1294">
        <f>SUM(K1295)</f>
        <v>27.17</v>
      </c>
      <c r="K1294">
        <f>I1294*J1294</f>
        <v>54.34</v>
      </c>
      <c r="L1294">
        <f>100*(1-(M1294/K1294))</f>
        <v>40</v>
      </c>
      <c r="M1294">
        <f>I1294*SUM(M1295)</f>
        <v>32.603999999999999</v>
      </c>
      <c r="N1294" s="90">
        <v>1294</v>
      </c>
      <c r="O1294" s="90" t="s">
        <v>3188</v>
      </c>
      <c r="R1294" s="90" t="s">
        <v>4502</v>
      </c>
      <c r="S1294" s="90" t="s">
        <v>5566</v>
      </c>
      <c r="T1294" s="90" t="s">
        <v>6064</v>
      </c>
      <c r="U1294" s="90" t="s">
        <v>5042</v>
      </c>
    </row>
    <row r="1295" spans="1:21" x14ac:dyDescent="0.25">
      <c r="A1295" s="90" t="s">
        <v>3189</v>
      </c>
      <c r="B1295" s="119">
        <v>5</v>
      </c>
      <c r="C1295" s="90" t="s">
        <v>3187</v>
      </c>
      <c r="D1295" s="90" t="s">
        <v>78</v>
      </c>
      <c r="E1295">
        <v>2582</v>
      </c>
      <c r="F1295">
        <v>2583</v>
      </c>
      <c r="G1295" s="93" t="s">
        <v>78</v>
      </c>
      <c r="H1295" t="s">
        <v>143</v>
      </c>
      <c r="I1295">
        <v>1</v>
      </c>
      <c r="J1295">
        <v>27.17</v>
      </c>
      <c r="K1295">
        <f>I1295*J1295</f>
        <v>27.17</v>
      </c>
      <c r="L1295">
        <v>40</v>
      </c>
      <c r="M1295">
        <f>(1-(L1295/100))*K1295</f>
        <v>16.302</v>
      </c>
      <c r="N1295" s="90">
        <v>1295</v>
      </c>
      <c r="O1295" s="90" t="s">
        <v>3190</v>
      </c>
    </row>
    <row r="1296" spans="1:21" x14ac:dyDescent="0.25">
      <c r="A1296" s="90" t="s">
        <v>3191</v>
      </c>
      <c r="B1296" s="119">
        <v>4</v>
      </c>
      <c r="C1296" s="90" t="s">
        <v>3126</v>
      </c>
      <c r="D1296" s="90" t="s">
        <v>81</v>
      </c>
      <c r="E1296">
        <v>2585</v>
      </c>
      <c r="F1296">
        <v>2604</v>
      </c>
      <c r="G1296" s="93" t="s">
        <v>68</v>
      </c>
      <c r="H1296" t="s">
        <v>2736</v>
      </c>
      <c r="I1296">
        <v>1</v>
      </c>
      <c r="J1296">
        <f>SUM(K1297,K1298,K1299,K1300,K1301,K1302,K1304,K1305)</f>
        <v>9294.1319788700021</v>
      </c>
      <c r="K1296">
        <f>I1296*J1296</f>
        <v>9294.1319788700021</v>
      </c>
      <c r="L1296">
        <f>100*(1-(M1296/K1296))</f>
        <v>40.000000000000021</v>
      </c>
      <c r="M1296">
        <f>I1296*SUM(M1297,M1298,M1299,M1300,M1301,M1302,M1304,M1305)</f>
        <v>5576.4791873219992</v>
      </c>
      <c r="N1296" s="90">
        <v>1296</v>
      </c>
      <c r="O1296" s="90" t="s">
        <v>3192</v>
      </c>
      <c r="R1296" s="90" t="s">
        <v>4503</v>
      </c>
      <c r="S1296" s="90" t="s">
        <v>5567</v>
      </c>
      <c r="T1296" s="90" t="s">
        <v>6065</v>
      </c>
      <c r="U1296" s="90" t="s">
        <v>5043</v>
      </c>
    </row>
    <row r="1297" spans="1:21" x14ac:dyDescent="0.25">
      <c r="A1297" s="90" t="s">
        <v>3193</v>
      </c>
      <c r="B1297" s="119">
        <v>5</v>
      </c>
      <c r="C1297" s="90" t="s">
        <v>3191</v>
      </c>
      <c r="D1297" s="90" t="s">
        <v>78</v>
      </c>
      <c r="E1297">
        <v>2586</v>
      </c>
      <c r="F1297">
        <v>2587</v>
      </c>
      <c r="G1297" s="93" t="s">
        <v>78</v>
      </c>
      <c r="H1297" t="s">
        <v>2739</v>
      </c>
      <c r="I1297">
        <v>1</v>
      </c>
      <c r="J1297">
        <v>5177.22</v>
      </c>
      <c r="K1297">
        <f>I1297*J1297</f>
        <v>5177.22</v>
      </c>
      <c r="L1297">
        <v>40</v>
      </c>
      <c r="M1297">
        <f>(1-(L1297/100))*K1297</f>
        <v>3106.3319999999999</v>
      </c>
      <c r="N1297" s="90">
        <v>1297</v>
      </c>
      <c r="O1297" s="90" t="s">
        <v>3194</v>
      </c>
    </row>
    <row r="1298" spans="1:21" x14ac:dyDescent="0.25">
      <c r="A1298" s="90" t="s">
        <v>3195</v>
      </c>
      <c r="B1298" s="119">
        <v>5</v>
      </c>
      <c r="C1298" s="90" t="s">
        <v>3191</v>
      </c>
      <c r="D1298" s="90" t="s">
        <v>79</v>
      </c>
      <c r="E1298">
        <v>2588</v>
      </c>
      <c r="F1298">
        <v>2589</v>
      </c>
      <c r="G1298" s="93" t="s">
        <v>78</v>
      </c>
      <c r="H1298" t="s">
        <v>2742</v>
      </c>
      <c r="I1298">
        <v>1</v>
      </c>
      <c r="J1298">
        <v>2577.83</v>
      </c>
      <c r="K1298">
        <f>I1298*J1298</f>
        <v>2577.83</v>
      </c>
      <c r="L1298">
        <v>40</v>
      </c>
      <c r="M1298">
        <f>(1-(L1298/100))*K1298</f>
        <v>1546.6979999999999</v>
      </c>
      <c r="N1298" s="90">
        <v>1298</v>
      </c>
      <c r="O1298" s="90" t="s">
        <v>3196</v>
      </c>
    </row>
    <row r="1299" spans="1:21" x14ac:dyDescent="0.25">
      <c r="A1299" s="90" t="s">
        <v>3197</v>
      </c>
      <c r="B1299" s="119">
        <v>5</v>
      </c>
      <c r="C1299" s="90" t="s">
        <v>3191</v>
      </c>
      <c r="D1299" s="90" t="s">
        <v>80</v>
      </c>
      <c r="E1299">
        <v>2590</v>
      </c>
      <c r="F1299">
        <v>2591</v>
      </c>
      <c r="G1299" s="93" t="s">
        <v>78</v>
      </c>
      <c r="H1299" t="s">
        <v>2745</v>
      </c>
      <c r="I1299">
        <v>1</v>
      </c>
      <c r="J1299">
        <v>243</v>
      </c>
      <c r="K1299">
        <f>I1299*J1299</f>
        <v>243</v>
      </c>
      <c r="L1299">
        <v>40</v>
      </c>
      <c r="M1299">
        <f>(1-(L1299/100))*K1299</f>
        <v>145.79999999999998</v>
      </c>
      <c r="N1299" s="90">
        <v>1299</v>
      </c>
      <c r="O1299" s="90" t="s">
        <v>3198</v>
      </c>
    </row>
    <row r="1300" spans="1:21" x14ac:dyDescent="0.25">
      <c r="A1300" s="90" t="s">
        <v>3199</v>
      </c>
      <c r="B1300" s="119">
        <v>5</v>
      </c>
      <c r="C1300" s="90" t="s">
        <v>3191</v>
      </c>
      <c r="D1300" s="90" t="s">
        <v>95</v>
      </c>
      <c r="E1300">
        <v>2592</v>
      </c>
      <c r="F1300">
        <v>2593</v>
      </c>
      <c r="G1300" s="93" t="s">
        <v>78</v>
      </c>
      <c r="H1300" t="s">
        <v>129</v>
      </c>
      <c r="I1300">
        <v>1</v>
      </c>
      <c r="J1300">
        <v>212.88679486000001</v>
      </c>
      <c r="K1300">
        <f>I1300*J1300</f>
        <v>212.88679486000001</v>
      </c>
      <c r="L1300">
        <v>40</v>
      </c>
      <c r="M1300">
        <f>(1-(L1300/100))*K1300</f>
        <v>127.732076916</v>
      </c>
      <c r="N1300" s="90">
        <v>1300</v>
      </c>
      <c r="O1300" s="90" t="s">
        <v>3200</v>
      </c>
    </row>
    <row r="1301" spans="1:21" x14ac:dyDescent="0.25">
      <c r="A1301" s="90" t="s">
        <v>3201</v>
      </c>
      <c r="B1301" s="119">
        <v>5</v>
      </c>
      <c r="C1301" s="90" t="s">
        <v>3191</v>
      </c>
      <c r="D1301" s="90" t="s">
        <v>96</v>
      </c>
      <c r="E1301">
        <v>2594</v>
      </c>
      <c r="F1301">
        <v>2595</v>
      </c>
      <c r="G1301" s="93" t="s">
        <v>78</v>
      </c>
      <c r="H1301" t="s">
        <v>130</v>
      </c>
      <c r="I1301">
        <v>1</v>
      </c>
      <c r="J1301">
        <v>206.87635298999999</v>
      </c>
      <c r="K1301">
        <f>I1301*J1301</f>
        <v>206.87635298999999</v>
      </c>
      <c r="L1301">
        <v>40</v>
      </c>
      <c r="M1301">
        <f>(1-(L1301/100))*K1301</f>
        <v>124.12581179399999</v>
      </c>
      <c r="N1301" s="90">
        <v>1301</v>
      </c>
      <c r="O1301" s="90" t="s">
        <v>3202</v>
      </c>
    </row>
    <row r="1302" spans="1:21" x14ac:dyDescent="0.25">
      <c r="A1302" s="90" t="s">
        <v>3203</v>
      </c>
      <c r="B1302" s="119">
        <v>5</v>
      </c>
      <c r="C1302" s="90" t="s">
        <v>3191</v>
      </c>
      <c r="D1302" s="90" t="s">
        <v>103</v>
      </c>
      <c r="E1302">
        <v>2596</v>
      </c>
      <c r="F1302">
        <v>2599</v>
      </c>
      <c r="G1302" s="93" t="s">
        <v>68</v>
      </c>
      <c r="H1302" t="s">
        <v>142</v>
      </c>
      <c r="I1302">
        <v>1</v>
      </c>
      <c r="J1302">
        <f>SUM(K1303)</f>
        <v>330.26</v>
      </c>
      <c r="K1302">
        <f>I1302*J1302</f>
        <v>330.26</v>
      </c>
      <c r="L1302">
        <f>100*(1-(M1302/K1302))</f>
        <v>40</v>
      </c>
      <c r="M1302">
        <f>I1302*SUM(M1303)</f>
        <v>198.15599999999998</v>
      </c>
      <c r="N1302" s="90">
        <v>1302</v>
      </c>
      <c r="O1302" s="90" t="s">
        <v>3204</v>
      </c>
      <c r="R1302" s="90" t="s">
        <v>4504</v>
      </c>
      <c r="S1302" s="90" t="s">
        <v>5568</v>
      </c>
      <c r="T1302" s="90" t="s">
        <v>6066</v>
      </c>
      <c r="U1302" s="90" t="s">
        <v>5044</v>
      </c>
    </row>
    <row r="1303" spans="1:21" x14ac:dyDescent="0.25">
      <c r="A1303" s="90" t="s">
        <v>3205</v>
      </c>
      <c r="B1303" s="119">
        <v>6</v>
      </c>
      <c r="C1303" s="90" t="s">
        <v>3203</v>
      </c>
      <c r="D1303" s="90" t="s">
        <v>78</v>
      </c>
      <c r="E1303">
        <v>2597</v>
      </c>
      <c r="F1303">
        <v>2598</v>
      </c>
      <c r="G1303" s="93" t="s">
        <v>78</v>
      </c>
      <c r="H1303" t="s">
        <v>2754</v>
      </c>
      <c r="I1303">
        <v>1</v>
      </c>
      <c r="J1303">
        <v>330.26</v>
      </c>
      <c r="K1303">
        <f>I1303*J1303</f>
        <v>330.26</v>
      </c>
      <c r="L1303">
        <v>40</v>
      </c>
      <c r="M1303">
        <f>(1-(L1303/100))*K1303</f>
        <v>198.15599999999998</v>
      </c>
      <c r="N1303" s="90">
        <v>1303</v>
      </c>
      <c r="O1303" s="90" t="s">
        <v>3206</v>
      </c>
    </row>
    <row r="1304" spans="1:21" x14ac:dyDescent="0.25">
      <c r="A1304" s="90" t="s">
        <v>3207</v>
      </c>
      <c r="B1304" s="119">
        <v>5</v>
      </c>
      <c r="C1304" s="90" t="s">
        <v>3191</v>
      </c>
      <c r="D1304" s="90" t="s">
        <v>796</v>
      </c>
      <c r="E1304">
        <v>2600</v>
      </c>
      <c r="F1304">
        <v>2601</v>
      </c>
      <c r="G1304" s="93" t="s">
        <v>78</v>
      </c>
      <c r="H1304" t="s">
        <v>127</v>
      </c>
      <c r="I1304">
        <v>1</v>
      </c>
      <c r="J1304">
        <v>275.43613906000002</v>
      </c>
      <c r="K1304">
        <f>I1304*J1304</f>
        <v>275.43613906000002</v>
      </c>
      <c r="L1304">
        <v>40</v>
      </c>
      <c r="M1304">
        <f>(1-(L1304/100))*K1304</f>
        <v>165.261683436</v>
      </c>
      <c r="N1304" s="90">
        <v>1304</v>
      </c>
      <c r="O1304" s="90" t="s">
        <v>3208</v>
      </c>
    </row>
    <row r="1305" spans="1:21" x14ac:dyDescent="0.25">
      <c r="A1305" s="90" t="s">
        <v>3209</v>
      </c>
      <c r="B1305" s="119">
        <v>5</v>
      </c>
      <c r="C1305" s="90" t="s">
        <v>3191</v>
      </c>
      <c r="D1305" s="90" t="s">
        <v>797</v>
      </c>
      <c r="E1305">
        <v>2602</v>
      </c>
      <c r="F1305">
        <v>2603</v>
      </c>
      <c r="G1305" s="93" t="s">
        <v>78</v>
      </c>
      <c r="H1305" t="s">
        <v>128</v>
      </c>
      <c r="I1305">
        <v>1</v>
      </c>
      <c r="J1305">
        <v>270.62269196</v>
      </c>
      <c r="K1305">
        <f>I1305*J1305</f>
        <v>270.62269196</v>
      </c>
      <c r="L1305">
        <v>40</v>
      </c>
      <c r="M1305">
        <f>(1-(L1305/100))*K1305</f>
        <v>162.37361517599999</v>
      </c>
      <c r="N1305" s="90">
        <v>1305</v>
      </c>
      <c r="O1305" s="90" t="s">
        <v>3210</v>
      </c>
    </row>
    <row r="1306" spans="1:21" x14ac:dyDescent="0.25">
      <c r="A1306" s="90" t="s">
        <v>3211</v>
      </c>
      <c r="B1306" s="119">
        <v>4</v>
      </c>
      <c r="C1306" s="90" t="s">
        <v>3126</v>
      </c>
      <c r="D1306" s="90" t="s">
        <v>83</v>
      </c>
      <c r="E1306">
        <v>2605</v>
      </c>
      <c r="F1306">
        <v>2608</v>
      </c>
      <c r="G1306" s="93" t="s">
        <v>68</v>
      </c>
      <c r="H1306" t="s">
        <v>2761</v>
      </c>
      <c r="I1306">
        <v>2</v>
      </c>
      <c r="J1306">
        <f>SUM(K1307)</f>
        <v>281.33</v>
      </c>
      <c r="K1306">
        <f>I1306*J1306</f>
        <v>562.66</v>
      </c>
      <c r="L1306">
        <f>100*(1-(M1306/K1306))</f>
        <v>40</v>
      </c>
      <c r="M1306">
        <f>I1306*SUM(M1307)</f>
        <v>337.59599999999995</v>
      </c>
      <c r="N1306" s="90">
        <v>1306</v>
      </c>
      <c r="O1306" s="90" t="s">
        <v>3212</v>
      </c>
      <c r="R1306" s="90" t="s">
        <v>4505</v>
      </c>
      <c r="S1306" s="90" t="s">
        <v>5569</v>
      </c>
      <c r="T1306" s="90" t="s">
        <v>6067</v>
      </c>
      <c r="U1306" s="90" t="s">
        <v>5045</v>
      </c>
    </row>
    <row r="1307" spans="1:21" x14ac:dyDescent="0.25">
      <c r="A1307" s="90" t="s">
        <v>3213</v>
      </c>
      <c r="B1307" s="119">
        <v>5</v>
      </c>
      <c r="C1307" s="90" t="s">
        <v>3211</v>
      </c>
      <c r="D1307" s="90" t="s">
        <v>78</v>
      </c>
      <c r="E1307">
        <v>2606</v>
      </c>
      <c r="F1307">
        <v>2607</v>
      </c>
      <c r="G1307" s="93" t="s">
        <v>78</v>
      </c>
      <c r="H1307" t="s">
        <v>2761</v>
      </c>
      <c r="I1307">
        <v>1</v>
      </c>
      <c r="J1307">
        <v>281.33</v>
      </c>
      <c r="K1307">
        <f>I1307*J1307</f>
        <v>281.33</v>
      </c>
      <c r="L1307">
        <v>40</v>
      </c>
      <c r="M1307">
        <f>(1-(L1307/100))*K1307</f>
        <v>168.79799999999997</v>
      </c>
      <c r="N1307" s="90">
        <v>1307</v>
      </c>
      <c r="O1307" s="90" t="s">
        <v>3214</v>
      </c>
    </row>
    <row r="1308" spans="1:21" x14ac:dyDescent="0.25">
      <c r="A1308" s="90" t="s">
        <v>3215</v>
      </c>
      <c r="B1308" s="119">
        <v>3</v>
      </c>
      <c r="C1308" s="90" t="s">
        <v>3123</v>
      </c>
      <c r="D1308" s="90" t="s">
        <v>79</v>
      </c>
      <c r="E1308">
        <v>2610</v>
      </c>
      <c r="F1308">
        <v>2631</v>
      </c>
      <c r="G1308" s="93" t="s">
        <v>68</v>
      </c>
      <c r="H1308" t="s">
        <v>3216</v>
      </c>
      <c r="I1308">
        <v>1</v>
      </c>
      <c r="J1308">
        <f>SUM(K1309)</f>
        <v>8864.2969081800002</v>
      </c>
      <c r="K1308">
        <f>I1308*J1308</f>
        <v>8864.2969081800002</v>
      </c>
      <c r="L1308">
        <f>100*(1-(M1308/K1308))</f>
        <v>39.999999999999993</v>
      </c>
      <c r="M1308">
        <f>I1308*SUM(M1309)</f>
        <v>5318.5781449080005</v>
      </c>
      <c r="N1308" s="90">
        <v>1308</v>
      </c>
      <c r="O1308" s="90" t="s">
        <v>3217</v>
      </c>
      <c r="R1308" s="90" t="s">
        <v>6942</v>
      </c>
      <c r="S1308" s="90" t="s">
        <v>7039</v>
      </c>
      <c r="T1308" s="90" t="s">
        <v>7085</v>
      </c>
      <c r="U1308" s="90" t="s">
        <v>6991</v>
      </c>
    </row>
    <row r="1309" spans="1:21" x14ac:dyDescent="0.25">
      <c r="A1309" s="90" t="s">
        <v>3218</v>
      </c>
      <c r="B1309" s="119">
        <v>4</v>
      </c>
      <c r="C1309" s="90" t="s">
        <v>3215</v>
      </c>
      <c r="D1309" s="90" t="s">
        <v>78</v>
      </c>
      <c r="E1309">
        <v>2611</v>
      </c>
      <c r="F1309">
        <v>2630</v>
      </c>
      <c r="G1309" s="93" t="s">
        <v>68</v>
      </c>
      <c r="H1309" t="s">
        <v>1394</v>
      </c>
      <c r="I1309">
        <v>1</v>
      </c>
      <c r="J1309">
        <f>SUM(K1310,K1315)</f>
        <v>8864.2969081800002</v>
      </c>
      <c r="K1309">
        <f>I1309*J1309</f>
        <v>8864.2969081800002</v>
      </c>
      <c r="L1309">
        <f>100*(1-(M1309/K1309))</f>
        <v>39.999999999999993</v>
      </c>
      <c r="M1309">
        <f>I1309*SUM(M1310,M1315)</f>
        <v>5318.5781449080005</v>
      </c>
      <c r="N1309" s="90">
        <v>1309</v>
      </c>
      <c r="O1309" s="90" t="s">
        <v>3219</v>
      </c>
      <c r="R1309" s="90" t="s">
        <v>6391</v>
      </c>
      <c r="S1309" s="90" t="s">
        <v>6694</v>
      </c>
      <c r="T1309" s="90" t="s">
        <v>6839</v>
      </c>
      <c r="U1309" s="90" t="s">
        <v>6543</v>
      </c>
    </row>
    <row r="1310" spans="1:21" x14ac:dyDescent="0.25">
      <c r="A1310" s="90" t="s">
        <v>3220</v>
      </c>
      <c r="B1310" s="119">
        <v>5</v>
      </c>
      <c r="C1310" s="90" t="s">
        <v>3218</v>
      </c>
      <c r="D1310" s="90" t="s">
        <v>78</v>
      </c>
      <c r="E1310">
        <v>2612</v>
      </c>
      <c r="F1310">
        <v>2621</v>
      </c>
      <c r="G1310" s="93" t="s">
        <v>68</v>
      </c>
      <c r="H1310" t="s">
        <v>1397</v>
      </c>
      <c r="I1310">
        <v>1</v>
      </c>
      <c r="J1310">
        <f>SUM(K1311,K1312,K1313,K1314)</f>
        <v>8719.9796256099999</v>
      </c>
      <c r="K1310">
        <f>I1310*J1310</f>
        <v>8719.9796256099999</v>
      </c>
      <c r="L1310">
        <f>100*(1-(M1310/K1310))</f>
        <v>39.999999999999993</v>
      </c>
      <c r="M1310">
        <f>I1310*SUM(M1311,M1312,M1313,M1314)</f>
        <v>5231.9877753660003</v>
      </c>
      <c r="N1310" s="90">
        <v>1310</v>
      </c>
      <c r="O1310" s="90" t="s">
        <v>3221</v>
      </c>
      <c r="R1310" s="90" t="s">
        <v>4514</v>
      </c>
      <c r="S1310" s="90" t="s">
        <v>5578</v>
      </c>
      <c r="T1310" s="90" t="s">
        <v>6076</v>
      </c>
      <c r="U1310" s="90" t="s">
        <v>5054</v>
      </c>
    </row>
    <row r="1311" spans="1:21" x14ac:dyDescent="0.25">
      <c r="A1311" s="90" t="s">
        <v>3222</v>
      </c>
      <c r="B1311" s="119">
        <v>6</v>
      </c>
      <c r="C1311" s="90" t="s">
        <v>3220</v>
      </c>
      <c r="D1311" s="90" t="s">
        <v>78</v>
      </c>
      <c r="E1311">
        <v>2613</v>
      </c>
      <c r="F1311">
        <v>2614</v>
      </c>
      <c r="G1311" s="93" t="s">
        <v>78</v>
      </c>
      <c r="H1311" t="s">
        <v>120</v>
      </c>
      <c r="I1311">
        <v>1</v>
      </c>
      <c r="J1311">
        <v>967.93582071000003</v>
      </c>
      <c r="K1311">
        <f>I1311*J1311</f>
        <v>967.93582071000003</v>
      </c>
      <c r="L1311">
        <v>40</v>
      </c>
      <c r="M1311">
        <f>(1-(L1311/100))*K1311</f>
        <v>580.76149242600002</v>
      </c>
      <c r="N1311" s="90">
        <v>1311</v>
      </c>
      <c r="O1311" s="90" t="s">
        <v>3223</v>
      </c>
    </row>
    <row r="1312" spans="1:21" x14ac:dyDescent="0.25">
      <c r="A1312" s="90" t="s">
        <v>3224</v>
      </c>
      <c r="B1312" s="119">
        <v>6</v>
      </c>
      <c r="C1312" s="90" t="s">
        <v>3220</v>
      </c>
      <c r="D1312" s="90" t="s">
        <v>79</v>
      </c>
      <c r="E1312">
        <v>2615</v>
      </c>
      <c r="F1312">
        <v>2616</v>
      </c>
      <c r="G1312" s="93" t="s">
        <v>78</v>
      </c>
      <c r="H1312" t="s">
        <v>125</v>
      </c>
      <c r="I1312">
        <v>1</v>
      </c>
      <c r="J1312">
        <v>967.93582071000003</v>
      </c>
      <c r="K1312">
        <f>I1312*J1312</f>
        <v>967.93582071000003</v>
      </c>
      <c r="L1312">
        <v>40</v>
      </c>
      <c r="M1312">
        <f>(1-(L1312/100))*K1312</f>
        <v>580.76149242600002</v>
      </c>
      <c r="N1312" s="90">
        <v>1312</v>
      </c>
      <c r="O1312" s="90" t="s">
        <v>3225</v>
      </c>
    </row>
    <row r="1313" spans="1:21" x14ac:dyDescent="0.25">
      <c r="A1313" s="90" t="s">
        <v>3226</v>
      </c>
      <c r="B1313" s="119">
        <v>6</v>
      </c>
      <c r="C1313" s="90" t="s">
        <v>3220</v>
      </c>
      <c r="D1313" s="90" t="s">
        <v>80</v>
      </c>
      <c r="E1313">
        <v>2617</v>
      </c>
      <c r="F1313">
        <v>2618</v>
      </c>
      <c r="G1313" s="93" t="s">
        <v>78</v>
      </c>
      <c r="H1313" t="s">
        <v>191</v>
      </c>
      <c r="I1313">
        <v>3</v>
      </c>
      <c r="J1313">
        <v>862.86769387000004</v>
      </c>
      <c r="K1313">
        <f>I1313*J1313</f>
        <v>2588.6030816100001</v>
      </c>
      <c r="L1313">
        <v>40</v>
      </c>
      <c r="M1313">
        <f>(1-(L1313/100))*K1313</f>
        <v>1553.161848966</v>
      </c>
      <c r="N1313" s="90">
        <v>1313</v>
      </c>
      <c r="O1313" s="90" t="s">
        <v>3227</v>
      </c>
    </row>
    <row r="1314" spans="1:21" x14ac:dyDescent="0.25">
      <c r="A1314" s="90" t="s">
        <v>3228</v>
      </c>
      <c r="B1314" s="119">
        <v>6</v>
      </c>
      <c r="C1314" s="90" t="s">
        <v>3220</v>
      </c>
      <c r="D1314" s="90" t="s">
        <v>95</v>
      </c>
      <c r="E1314">
        <v>2619</v>
      </c>
      <c r="F1314">
        <v>2620</v>
      </c>
      <c r="G1314" s="93" t="s">
        <v>78</v>
      </c>
      <c r="H1314" t="s">
        <v>299</v>
      </c>
      <c r="I1314">
        <v>1</v>
      </c>
      <c r="J1314">
        <v>4195.5049025799999</v>
      </c>
      <c r="K1314">
        <f>I1314*J1314</f>
        <v>4195.5049025799999</v>
      </c>
      <c r="L1314">
        <v>40</v>
      </c>
      <c r="M1314">
        <f>(1-(L1314/100))*K1314</f>
        <v>2517.302941548</v>
      </c>
      <c r="N1314" s="90">
        <v>1314</v>
      </c>
      <c r="O1314" s="90" t="s">
        <v>3229</v>
      </c>
    </row>
    <row r="1315" spans="1:21" x14ac:dyDescent="0.25">
      <c r="A1315" s="90" t="s">
        <v>3230</v>
      </c>
      <c r="B1315" s="119">
        <v>5</v>
      </c>
      <c r="C1315" s="90" t="s">
        <v>3218</v>
      </c>
      <c r="D1315" s="90" t="s">
        <v>79</v>
      </c>
      <c r="E1315">
        <v>2622</v>
      </c>
      <c r="F1315">
        <v>2629</v>
      </c>
      <c r="G1315" s="93" t="s">
        <v>68</v>
      </c>
      <c r="H1315" t="s">
        <v>142</v>
      </c>
      <c r="I1315">
        <v>1</v>
      </c>
      <c r="J1315">
        <f>SUM(K1316,K1317,K1318)</f>
        <v>144.31728257</v>
      </c>
      <c r="K1315">
        <f>I1315*J1315</f>
        <v>144.31728257</v>
      </c>
      <c r="L1315">
        <f>100*(1-(M1315/K1315))</f>
        <v>40.000000000000014</v>
      </c>
      <c r="M1315">
        <f>I1315*SUM(M1316,M1317,M1318)</f>
        <v>86.590369541999991</v>
      </c>
      <c r="N1315" s="90">
        <v>1315</v>
      </c>
      <c r="O1315" s="90" t="s">
        <v>3231</v>
      </c>
      <c r="R1315" s="90" t="s">
        <v>4515</v>
      </c>
      <c r="S1315" s="90" t="s">
        <v>5579</v>
      </c>
      <c r="T1315" s="90" t="s">
        <v>6077</v>
      </c>
      <c r="U1315" s="90" t="s">
        <v>5055</v>
      </c>
    </row>
    <row r="1316" spans="1:21" x14ac:dyDescent="0.25">
      <c r="A1316" s="90" t="s">
        <v>3232</v>
      </c>
      <c r="B1316" s="119">
        <v>6</v>
      </c>
      <c r="C1316" s="90" t="s">
        <v>3230</v>
      </c>
      <c r="D1316" s="90" t="s">
        <v>78</v>
      </c>
      <c r="E1316">
        <v>2623</v>
      </c>
      <c r="F1316">
        <v>2624</v>
      </c>
      <c r="G1316" s="93" t="s">
        <v>78</v>
      </c>
      <c r="H1316" t="s">
        <v>144</v>
      </c>
      <c r="I1316">
        <v>1</v>
      </c>
      <c r="J1316">
        <v>32.777282569999997</v>
      </c>
      <c r="K1316">
        <f>I1316*J1316</f>
        <v>32.777282569999997</v>
      </c>
      <c r="L1316">
        <v>40</v>
      </c>
      <c r="M1316">
        <f>(1-(L1316/100))*K1316</f>
        <v>19.666369541999998</v>
      </c>
      <c r="N1316" s="90">
        <v>1316</v>
      </c>
      <c r="O1316" s="90" t="s">
        <v>3233</v>
      </c>
    </row>
    <row r="1317" spans="1:21" x14ac:dyDescent="0.25">
      <c r="A1317" s="90" t="s">
        <v>3234</v>
      </c>
      <c r="B1317" s="119">
        <v>6</v>
      </c>
      <c r="C1317" s="90" t="s">
        <v>3230</v>
      </c>
      <c r="D1317" s="90" t="s">
        <v>79</v>
      </c>
      <c r="E1317">
        <v>2625</v>
      </c>
      <c r="F1317">
        <v>2626</v>
      </c>
      <c r="G1317" s="93" t="s">
        <v>78</v>
      </c>
      <c r="H1317" t="s">
        <v>145</v>
      </c>
      <c r="I1317">
        <v>2</v>
      </c>
      <c r="J1317">
        <v>28.6</v>
      </c>
      <c r="K1317">
        <f>I1317*J1317</f>
        <v>57.2</v>
      </c>
      <c r="L1317">
        <v>40</v>
      </c>
      <c r="M1317">
        <f>(1-(L1317/100))*K1317</f>
        <v>34.32</v>
      </c>
      <c r="N1317" s="90">
        <v>1317</v>
      </c>
      <c r="O1317" s="90" t="s">
        <v>3235</v>
      </c>
    </row>
    <row r="1318" spans="1:21" x14ac:dyDescent="0.25">
      <c r="A1318" s="90" t="s">
        <v>3236</v>
      </c>
      <c r="B1318" s="119">
        <v>6</v>
      </c>
      <c r="C1318" s="90" t="s">
        <v>3230</v>
      </c>
      <c r="D1318" s="90" t="s">
        <v>80</v>
      </c>
      <c r="E1318">
        <v>2627</v>
      </c>
      <c r="F1318">
        <v>2628</v>
      </c>
      <c r="G1318" s="93" t="s">
        <v>78</v>
      </c>
      <c r="H1318" t="s">
        <v>143</v>
      </c>
      <c r="I1318">
        <v>2</v>
      </c>
      <c r="J1318">
        <v>27.17</v>
      </c>
      <c r="K1318">
        <f>I1318*J1318</f>
        <v>54.34</v>
      </c>
      <c r="L1318">
        <v>40</v>
      </c>
      <c r="M1318">
        <f>(1-(L1318/100))*K1318</f>
        <v>32.603999999999999</v>
      </c>
      <c r="N1318" s="90">
        <v>1318</v>
      </c>
      <c r="O1318" s="90" t="s">
        <v>3237</v>
      </c>
    </row>
    <row r="1319" spans="1:21" x14ac:dyDescent="0.25">
      <c r="A1319" s="90" t="s">
        <v>3238</v>
      </c>
      <c r="B1319" s="119">
        <v>3</v>
      </c>
      <c r="C1319" s="90" t="s">
        <v>3123</v>
      </c>
      <c r="D1319" s="90" t="s">
        <v>80</v>
      </c>
      <c r="E1319">
        <v>2632</v>
      </c>
      <c r="F1319">
        <v>2651</v>
      </c>
      <c r="G1319" s="93" t="s">
        <v>68</v>
      </c>
      <c r="H1319" t="s">
        <v>3239</v>
      </c>
      <c r="I1319">
        <v>1</v>
      </c>
      <c r="J1319">
        <f>SUM(K1320,K1323,K1325,K1327)</f>
        <v>12677.74146186</v>
      </c>
      <c r="K1319">
        <f>I1319*J1319</f>
        <v>12677.74146186</v>
      </c>
      <c r="L1319">
        <f>100*(1-(M1319/K1319))</f>
        <v>85.6</v>
      </c>
      <c r="M1319">
        <f>I1319*SUM(M1320,M1323,M1325,M1327)</f>
        <v>1825.5947705078402</v>
      </c>
      <c r="N1319" s="90">
        <v>1319</v>
      </c>
      <c r="O1319" s="90" t="s">
        <v>3240</v>
      </c>
      <c r="R1319" s="90" t="s">
        <v>6392</v>
      </c>
      <c r="S1319" s="90" t="s">
        <v>6695</v>
      </c>
      <c r="T1319" s="90" t="s">
        <v>6840</v>
      </c>
      <c r="U1319" s="90" t="s">
        <v>6544</v>
      </c>
    </row>
    <row r="1320" spans="1:21" x14ac:dyDescent="0.25">
      <c r="A1320" s="90" t="s">
        <v>3241</v>
      </c>
      <c r="B1320" s="119">
        <v>4</v>
      </c>
      <c r="C1320" s="90" t="s">
        <v>3238</v>
      </c>
      <c r="D1320" s="90" t="s">
        <v>78</v>
      </c>
      <c r="E1320">
        <v>2633</v>
      </c>
      <c r="F1320">
        <v>2638</v>
      </c>
      <c r="G1320" s="93" t="s">
        <v>68</v>
      </c>
      <c r="H1320" t="s">
        <v>364</v>
      </c>
      <c r="I1320">
        <v>1</v>
      </c>
      <c r="J1320">
        <f>SUM(K1321,K1322)</f>
        <v>2292.1176620400001</v>
      </c>
      <c r="K1320">
        <f>I1320*J1320</f>
        <v>2292.1176620400001</v>
      </c>
      <c r="L1320">
        <f>100*(1-(M1320/K1320))</f>
        <v>85.6</v>
      </c>
      <c r="M1320">
        <f>I1320*SUM(M1321,M1322)</f>
        <v>330.06494333376008</v>
      </c>
      <c r="N1320" s="90">
        <v>1320</v>
      </c>
      <c r="O1320" s="90" t="s">
        <v>3242</v>
      </c>
      <c r="R1320" s="90" t="s">
        <v>4516</v>
      </c>
      <c r="S1320" s="90" t="s">
        <v>5580</v>
      </c>
      <c r="T1320" s="90" t="s">
        <v>6078</v>
      </c>
      <c r="U1320" s="90" t="s">
        <v>5056</v>
      </c>
    </row>
    <row r="1321" spans="1:21" x14ac:dyDescent="0.25">
      <c r="A1321" s="90" t="s">
        <v>3243</v>
      </c>
      <c r="B1321" s="119">
        <v>5</v>
      </c>
      <c r="C1321" s="90" t="s">
        <v>3241</v>
      </c>
      <c r="D1321" s="90" t="s">
        <v>78</v>
      </c>
      <c r="E1321">
        <v>2634</v>
      </c>
      <c r="F1321">
        <v>2635</v>
      </c>
      <c r="G1321" s="93" t="s">
        <v>78</v>
      </c>
      <c r="H1321" t="s">
        <v>366</v>
      </c>
      <c r="I1321">
        <v>1</v>
      </c>
      <c r="J1321">
        <v>509.35948044999998</v>
      </c>
      <c r="K1321">
        <f>I1321*J1321</f>
        <v>509.35948044999998</v>
      </c>
      <c r="L1321">
        <v>85.6</v>
      </c>
      <c r="M1321">
        <f>(1-(L1321/100))*K1321</f>
        <v>73.347765184800011</v>
      </c>
      <c r="N1321" s="90">
        <v>1321</v>
      </c>
      <c r="O1321" s="90" t="s">
        <v>3244</v>
      </c>
    </row>
    <row r="1322" spans="1:21" x14ac:dyDescent="0.25">
      <c r="A1322" s="90" t="s">
        <v>3245</v>
      </c>
      <c r="B1322" s="119">
        <v>5</v>
      </c>
      <c r="C1322" s="90" t="s">
        <v>3241</v>
      </c>
      <c r="D1322" s="90" t="s">
        <v>79</v>
      </c>
      <c r="E1322">
        <v>2636</v>
      </c>
      <c r="F1322">
        <v>2637</v>
      </c>
      <c r="G1322" s="93" t="s">
        <v>78</v>
      </c>
      <c r="H1322" t="s">
        <v>368</v>
      </c>
      <c r="I1322">
        <v>1</v>
      </c>
      <c r="J1322">
        <v>1782.75818159</v>
      </c>
      <c r="K1322">
        <f>I1322*J1322</f>
        <v>1782.75818159</v>
      </c>
      <c r="L1322">
        <v>85.6</v>
      </c>
      <c r="M1322">
        <f>(1-(L1322/100))*K1322</f>
        <v>256.71717814896004</v>
      </c>
      <c r="N1322" s="90">
        <v>1322</v>
      </c>
      <c r="O1322" s="90" t="s">
        <v>3246</v>
      </c>
    </row>
    <row r="1323" spans="1:21" x14ac:dyDescent="0.25">
      <c r="A1323" s="90" t="s">
        <v>3247</v>
      </c>
      <c r="B1323" s="119">
        <v>4</v>
      </c>
      <c r="C1323" s="90" t="s">
        <v>3238</v>
      </c>
      <c r="D1323" s="90" t="s">
        <v>79</v>
      </c>
      <c r="E1323">
        <v>2639</v>
      </c>
      <c r="F1323">
        <v>2642</v>
      </c>
      <c r="G1323" s="93" t="s">
        <v>68</v>
      </c>
      <c r="H1323" t="s">
        <v>379</v>
      </c>
      <c r="I1323">
        <v>1</v>
      </c>
      <c r="J1323">
        <f>SUM(K1324)</f>
        <v>303.06889087000002</v>
      </c>
      <c r="K1323">
        <f>I1323*J1323</f>
        <v>303.06889087000002</v>
      </c>
      <c r="L1323">
        <f>100*(1-(M1323/K1323))</f>
        <v>85.6</v>
      </c>
      <c r="M1323">
        <f>I1323*SUM(M1324)</f>
        <v>43.641920285280008</v>
      </c>
      <c r="N1323" s="90">
        <v>1323</v>
      </c>
      <c r="O1323" s="90" t="s">
        <v>3248</v>
      </c>
      <c r="R1323" s="90" t="s">
        <v>4517</v>
      </c>
      <c r="S1323" s="90" t="s">
        <v>5581</v>
      </c>
      <c r="T1323" s="90" t="s">
        <v>6079</v>
      </c>
      <c r="U1323" s="90" t="s">
        <v>5057</v>
      </c>
    </row>
    <row r="1324" spans="1:21" x14ac:dyDescent="0.25">
      <c r="A1324" s="90" t="s">
        <v>3249</v>
      </c>
      <c r="B1324" s="119">
        <v>5</v>
      </c>
      <c r="C1324" s="90" t="s">
        <v>3247</v>
      </c>
      <c r="D1324" s="90" t="s">
        <v>78</v>
      </c>
      <c r="E1324">
        <v>2640</v>
      </c>
      <c r="F1324">
        <v>2641</v>
      </c>
      <c r="G1324" s="93" t="s">
        <v>78</v>
      </c>
      <c r="H1324" t="s">
        <v>381</v>
      </c>
      <c r="I1324">
        <v>1</v>
      </c>
      <c r="J1324">
        <v>303.06889087000002</v>
      </c>
      <c r="K1324">
        <f>I1324*J1324</f>
        <v>303.06889087000002</v>
      </c>
      <c r="L1324">
        <v>85.6</v>
      </c>
      <c r="M1324">
        <f>(1-(L1324/100))*K1324</f>
        <v>43.641920285280008</v>
      </c>
      <c r="N1324" s="90">
        <v>1324</v>
      </c>
      <c r="O1324" s="90" t="s">
        <v>3250</v>
      </c>
    </row>
    <row r="1325" spans="1:21" x14ac:dyDescent="0.25">
      <c r="A1325" s="90" t="s">
        <v>3251</v>
      </c>
      <c r="B1325" s="119">
        <v>4</v>
      </c>
      <c r="C1325" s="90" t="s">
        <v>3238</v>
      </c>
      <c r="D1325" s="90" t="s">
        <v>80</v>
      </c>
      <c r="E1325">
        <v>2643</v>
      </c>
      <c r="F1325">
        <v>2646</v>
      </c>
      <c r="G1325" s="93" t="s">
        <v>68</v>
      </c>
      <c r="H1325" t="s">
        <v>383</v>
      </c>
      <c r="I1325">
        <v>1</v>
      </c>
      <c r="J1325">
        <f>SUM(K1326)</f>
        <v>1069.6549089499999</v>
      </c>
      <c r="K1325">
        <f>I1325*J1325</f>
        <v>1069.6549089499999</v>
      </c>
      <c r="L1325">
        <f>100*(1-(M1325/K1325))</f>
        <v>85.6</v>
      </c>
      <c r="M1325">
        <f>I1325*SUM(M1326)</f>
        <v>154.0303068888</v>
      </c>
      <c r="N1325" s="90">
        <v>1325</v>
      </c>
      <c r="O1325" s="90" t="s">
        <v>3252</v>
      </c>
      <c r="R1325" s="90" t="s">
        <v>4518</v>
      </c>
      <c r="S1325" s="90" t="s">
        <v>5582</v>
      </c>
      <c r="T1325" s="90" t="s">
        <v>6080</v>
      </c>
      <c r="U1325" s="90" t="s">
        <v>5058</v>
      </c>
    </row>
    <row r="1326" spans="1:21" x14ac:dyDescent="0.25">
      <c r="A1326" s="90" t="s">
        <v>3253</v>
      </c>
      <c r="B1326" s="119">
        <v>5</v>
      </c>
      <c r="C1326" s="90" t="s">
        <v>3251</v>
      </c>
      <c r="D1326" s="90" t="s">
        <v>78</v>
      </c>
      <c r="E1326">
        <v>2644</v>
      </c>
      <c r="F1326">
        <v>2645</v>
      </c>
      <c r="G1326" s="93" t="s">
        <v>78</v>
      </c>
      <c r="H1326" t="s">
        <v>385</v>
      </c>
      <c r="I1326">
        <v>1</v>
      </c>
      <c r="J1326">
        <v>1069.6549089499999</v>
      </c>
      <c r="K1326">
        <f>I1326*J1326</f>
        <v>1069.6549089499999</v>
      </c>
      <c r="L1326">
        <v>85.6</v>
      </c>
      <c r="M1326">
        <f>(1-(L1326/100))*K1326</f>
        <v>154.0303068888</v>
      </c>
      <c r="N1326" s="90">
        <v>1326</v>
      </c>
      <c r="O1326" s="90" t="s">
        <v>3254</v>
      </c>
    </row>
    <row r="1327" spans="1:21" x14ac:dyDescent="0.25">
      <c r="A1327" s="90" t="s">
        <v>3255</v>
      </c>
      <c r="B1327" s="119">
        <v>4</v>
      </c>
      <c r="C1327" s="90" t="s">
        <v>3238</v>
      </c>
      <c r="D1327" s="90" t="s">
        <v>95</v>
      </c>
      <c r="E1327">
        <v>2647</v>
      </c>
      <c r="F1327">
        <v>2650</v>
      </c>
      <c r="G1327" s="93" t="s">
        <v>68</v>
      </c>
      <c r="H1327" t="s">
        <v>387</v>
      </c>
      <c r="I1327">
        <v>1</v>
      </c>
      <c r="J1327">
        <f>SUM(K1328)</f>
        <v>9012.9</v>
      </c>
      <c r="K1327">
        <f>I1327*J1327</f>
        <v>9012.9</v>
      </c>
      <c r="L1327">
        <f>100*(1-(M1327/K1327))</f>
        <v>85.6</v>
      </c>
      <c r="M1327">
        <f>I1327*SUM(M1328)</f>
        <v>1297.8576</v>
      </c>
      <c r="N1327" s="90">
        <v>1327</v>
      </c>
      <c r="O1327" s="90" t="s">
        <v>3256</v>
      </c>
      <c r="R1327" s="90" t="s">
        <v>4519</v>
      </c>
      <c r="S1327" s="90" t="s">
        <v>5583</v>
      </c>
      <c r="T1327" s="90" t="s">
        <v>6081</v>
      </c>
      <c r="U1327" s="90" t="s">
        <v>5059</v>
      </c>
    </row>
    <row r="1328" spans="1:21" x14ac:dyDescent="0.25">
      <c r="A1328" s="90" t="s">
        <v>3257</v>
      </c>
      <c r="B1328" s="119">
        <v>5</v>
      </c>
      <c r="C1328" s="90" t="s">
        <v>3255</v>
      </c>
      <c r="D1328" s="90" t="s">
        <v>78</v>
      </c>
      <c r="E1328">
        <v>2648</v>
      </c>
      <c r="F1328">
        <v>2649</v>
      </c>
      <c r="G1328" s="93" t="s">
        <v>78</v>
      </c>
      <c r="H1328" t="s">
        <v>389</v>
      </c>
      <c r="I1328">
        <v>1</v>
      </c>
      <c r="J1328">
        <v>9012.9</v>
      </c>
      <c r="K1328">
        <f>I1328*J1328</f>
        <v>9012.9</v>
      </c>
      <c r="L1328">
        <v>85.6</v>
      </c>
      <c r="M1328">
        <f>(1-(L1328/100))*K1328</f>
        <v>1297.8576</v>
      </c>
      <c r="N1328" s="90">
        <v>1328</v>
      </c>
      <c r="O1328" s="90" t="s">
        <v>3258</v>
      </c>
    </row>
    <row r="1329" spans="1:21" x14ac:dyDescent="0.25">
      <c r="A1329" s="90" t="s">
        <v>3259</v>
      </c>
      <c r="B1329" s="119">
        <v>3</v>
      </c>
      <c r="C1329" s="90" t="s">
        <v>3123</v>
      </c>
      <c r="D1329" s="90" t="s">
        <v>95</v>
      </c>
      <c r="E1329">
        <v>2652</v>
      </c>
      <c r="F1329">
        <v>2657</v>
      </c>
      <c r="G1329" s="93" t="s">
        <v>68</v>
      </c>
      <c r="H1329" t="s">
        <v>3260</v>
      </c>
      <c r="I1329">
        <v>1</v>
      </c>
      <c r="J1329">
        <f>SUM(K1330)</f>
        <v>333.63045970000002</v>
      </c>
      <c r="K1329">
        <f>I1329*J1329</f>
        <v>333.63045970000002</v>
      </c>
      <c r="L1329">
        <f>100*(1-(M1329/K1329))</f>
        <v>85.6</v>
      </c>
      <c r="M1329">
        <f>I1329*SUM(M1330)</f>
        <v>48.042786196800009</v>
      </c>
      <c r="N1329" s="90">
        <v>1329</v>
      </c>
      <c r="O1329" s="90" t="s">
        <v>3261</v>
      </c>
      <c r="R1329" s="90" t="s">
        <v>6393</v>
      </c>
      <c r="S1329" s="90" t="s">
        <v>6696</v>
      </c>
      <c r="T1329" s="90" t="s">
        <v>6841</v>
      </c>
      <c r="U1329" s="90" t="s">
        <v>6545</v>
      </c>
    </row>
    <row r="1330" spans="1:21" x14ac:dyDescent="0.25">
      <c r="A1330" s="90" t="s">
        <v>3262</v>
      </c>
      <c r="B1330" s="119">
        <v>4</v>
      </c>
      <c r="C1330" s="90" t="s">
        <v>3259</v>
      </c>
      <c r="D1330" s="90" t="s">
        <v>78</v>
      </c>
      <c r="E1330">
        <v>2653</v>
      </c>
      <c r="F1330">
        <v>2656</v>
      </c>
      <c r="G1330" s="93" t="s">
        <v>68</v>
      </c>
      <c r="H1330" t="s">
        <v>399</v>
      </c>
      <c r="I1330">
        <v>1</v>
      </c>
      <c r="J1330">
        <f>SUM(K1331)</f>
        <v>333.63045970000002</v>
      </c>
      <c r="K1330">
        <f>I1330*J1330</f>
        <v>333.63045970000002</v>
      </c>
      <c r="L1330">
        <f>100*(1-(M1330/K1330))</f>
        <v>85.6</v>
      </c>
      <c r="M1330">
        <f>I1330*SUM(M1331)</f>
        <v>48.042786196800009</v>
      </c>
      <c r="N1330" s="90">
        <v>1330</v>
      </c>
      <c r="O1330" s="90" t="s">
        <v>3263</v>
      </c>
      <c r="R1330" s="90" t="s">
        <v>4520</v>
      </c>
      <c r="S1330" s="90" t="s">
        <v>5584</v>
      </c>
      <c r="T1330" s="90" t="s">
        <v>6082</v>
      </c>
      <c r="U1330" s="90" t="s">
        <v>5060</v>
      </c>
    </row>
    <row r="1331" spans="1:21" x14ac:dyDescent="0.25">
      <c r="A1331" s="90" t="s">
        <v>3264</v>
      </c>
      <c r="B1331" s="119">
        <v>5</v>
      </c>
      <c r="C1331" s="90" t="s">
        <v>3262</v>
      </c>
      <c r="D1331" s="90" t="s">
        <v>78</v>
      </c>
      <c r="E1331">
        <v>2654</v>
      </c>
      <c r="F1331">
        <v>2655</v>
      </c>
      <c r="G1331" s="93" t="s">
        <v>78</v>
      </c>
      <c r="H1331" t="s">
        <v>401</v>
      </c>
      <c r="I1331">
        <v>1</v>
      </c>
      <c r="J1331">
        <v>333.63045970000002</v>
      </c>
      <c r="K1331">
        <f>I1331*J1331</f>
        <v>333.63045970000002</v>
      </c>
      <c r="L1331">
        <v>85.6</v>
      </c>
      <c r="M1331">
        <f>(1-(L1331/100))*K1331</f>
        <v>48.042786196800009</v>
      </c>
      <c r="N1331" s="90">
        <v>1331</v>
      </c>
      <c r="O1331" s="90" t="s">
        <v>3265</v>
      </c>
    </row>
    <row r="1332" spans="1:21" x14ac:dyDescent="0.25">
      <c r="A1332" s="90" t="s">
        <v>3266</v>
      </c>
      <c r="B1332" s="119">
        <v>3</v>
      </c>
      <c r="C1332" s="90" t="s">
        <v>3123</v>
      </c>
      <c r="D1332" s="90" t="s">
        <v>96</v>
      </c>
      <c r="E1332">
        <v>2658</v>
      </c>
      <c r="F1332">
        <v>2663</v>
      </c>
      <c r="G1332" s="93" t="s">
        <v>68</v>
      </c>
      <c r="H1332" t="s">
        <v>3267</v>
      </c>
      <c r="I1332">
        <v>1</v>
      </c>
      <c r="J1332">
        <f>SUM(K1333)</f>
        <v>1324.33464918</v>
      </c>
      <c r="K1332">
        <f>I1332*J1332</f>
        <v>1324.33464918</v>
      </c>
      <c r="L1332">
        <f>100*(1-(M1332/K1332))</f>
        <v>85.6</v>
      </c>
      <c r="M1332">
        <f>I1332*SUM(M1333)</f>
        <v>190.70418948192003</v>
      </c>
      <c r="N1332" s="90">
        <v>1332</v>
      </c>
      <c r="O1332" s="90" t="s">
        <v>3268</v>
      </c>
      <c r="R1332" s="90" t="s">
        <v>6394</v>
      </c>
      <c r="S1332" s="90" t="s">
        <v>6697</v>
      </c>
      <c r="T1332" s="90" t="s">
        <v>6842</v>
      </c>
      <c r="U1332" s="90" t="s">
        <v>6546</v>
      </c>
    </row>
    <row r="1333" spans="1:21" x14ac:dyDescent="0.25">
      <c r="A1333" s="90" t="s">
        <v>3269</v>
      </c>
      <c r="B1333" s="119">
        <v>4</v>
      </c>
      <c r="C1333" s="90" t="s">
        <v>3266</v>
      </c>
      <c r="D1333" s="90" t="s">
        <v>78</v>
      </c>
      <c r="E1333">
        <v>2659</v>
      </c>
      <c r="F1333">
        <v>2662</v>
      </c>
      <c r="G1333" s="93" t="s">
        <v>68</v>
      </c>
      <c r="H1333" t="s">
        <v>418</v>
      </c>
      <c r="I1333">
        <v>1</v>
      </c>
      <c r="J1333">
        <f>SUM(K1334)</f>
        <v>1324.33464918</v>
      </c>
      <c r="K1333">
        <f>I1333*J1333</f>
        <v>1324.33464918</v>
      </c>
      <c r="L1333">
        <f>100*(1-(M1333/K1333))</f>
        <v>85.6</v>
      </c>
      <c r="M1333">
        <f>I1333*SUM(M1334)</f>
        <v>190.70418948192003</v>
      </c>
      <c r="N1333" s="90">
        <v>1333</v>
      </c>
      <c r="O1333" s="90" t="s">
        <v>3270</v>
      </c>
      <c r="R1333" s="90" t="s">
        <v>4521</v>
      </c>
      <c r="S1333" s="90" t="s">
        <v>5585</v>
      </c>
      <c r="T1333" s="90" t="s">
        <v>6083</v>
      </c>
      <c r="U1333" s="90" t="s">
        <v>5061</v>
      </c>
    </row>
    <row r="1334" spans="1:21" x14ac:dyDescent="0.25">
      <c r="A1334" s="90" t="s">
        <v>3271</v>
      </c>
      <c r="B1334" s="119">
        <v>5</v>
      </c>
      <c r="C1334" s="90" t="s">
        <v>3269</v>
      </c>
      <c r="D1334" s="90" t="s">
        <v>78</v>
      </c>
      <c r="E1334">
        <v>2660</v>
      </c>
      <c r="F1334">
        <v>2661</v>
      </c>
      <c r="G1334" s="93" t="s">
        <v>78</v>
      </c>
      <c r="H1334" t="s">
        <v>419</v>
      </c>
      <c r="I1334">
        <v>1</v>
      </c>
      <c r="J1334">
        <v>1324.33464918</v>
      </c>
      <c r="K1334">
        <f>I1334*J1334</f>
        <v>1324.33464918</v>
      </c>
      <c r="L1334">
        <v>85.6</v>
      </c>
      <c r="M1334">
        <f>(1-(L1334/100))*K1334</f>
        <v>190.70418948192003</v>
      </c>
      <c r="N1334" s="90">
        <v>1334</v>
      </c>
      <c r="O1334" s="90" t="s">
        <v>3272</v>
      </c>
    </row>
    <row r="1335" spans="1:21" x14ac:dyDescent="0.25">
      <c r="A1335" s="90" t="s">
        <v>3273</v>
      </c>
      <c r="B1335" s="119">
        <v>2</v>
      </c>
      <c r="C1335" s="90" t="s">
        <v>78</v>
      </c>
      <c r="D1335" s="90" t="s">
        <v>101</v>
      </c>
      <c r="E1335">
        <v>2665</v>
      </c>
      <c r="F1335">
        <v>2898</v>
      </c>
      <c r="G1335" s="93" t="s">
        <v>68</v>
      </c>
      <c r="H1335" t="s">
        <v>3274</v>
      </c>
      <c r="I1335">
        <v>1</v>
      </c>
      <c r="J1335">
        <f>SUM(K1336,K1351,K1372,K1377,K1385,K1392,K1415,K1424,K1427,K1430,K1442)</f>
        <v>122437.42933278999</v>
      </c>
      <c r="K1335">
        <f>I1335*J1335</f>
        <v>122437.42933278999</v>
      </c>
      <c r="L1335">
        <f>100*(1-(M1335/K1335))</f>
        <v>50.440059700912833</v>
      </c>
      <c r="M1335">
        <f>I1335*SUM(M1336,M1351,M1372,M1377,M1385,M1392,M1415,M1424,M1427,M1430,M1442)</f>
        <v>60679.916881067758</v>
      </c>
      <c r="N1335" s="90">
        <v>1335</v>
      </c>
      <c r="O1335" s="90" t="s">
        <v>3275</v>
      </c>
      <c r="R1335" s="90" t="s">
        <v>6943</v>
      </c>
      <c r="S1335" s="90" t="s">
        <v>7040</v>
      </c>
      <c r="T1335" s="90" t="s">
        <v>7086</v>
      </c>
      <c r="U1335" s="90" t="s">
        <v>6992</v>
      </c>
    </row>
    <row r="1336" spans="1:21" x14ac:dyDescent="0.25">
      <c r="A1336" s="90" t="s">
        <v>3276</v>
      </c>
      <c r="B1336" s="119">
        <v>3</v>
      </c>
      <c r="C1336" s="90" t="s">
        <v>3273</v>
      </c>
      <c r="D1336" s="90" t="s">
        <v>78</v>
      </c>
      <c r="E1336">
        <v>2666</v>
      </c>
      <c r="F1336">
        <v>2695</v>
      </c>
      <c r="G1336" s="93" t="s">
        <v>68</v>
      </c>
      <c r="H1336" t="s">
        <v>3277</v>
      </c>
      <c r="I1336">
        <v>1</v>
      </c>
      <c r="J1336">
        <f>SUM(K1337,K1339,K1341,K1343,K1345,K1347,K1349)</f>
        <v>37278.122118949999</v>
      </c>
      <c r="K1336">
        <f>I1336*J1336</f>
        <v>37278.122118949999</v>
      </c>
      <c r="L1336">
        <f>100*(1-(M1336/K1336))</f>
        <v>39.999999999999993</v>
      </c>
      <c r="M1336">
        <f>I1336*SUM(M1337,M1339,M1341,M1343,M1345,M1347,M1349)</f>
        <v>22366.873271370001</v>
      </c>
      <c r="N1336" s="90">
        <v>1336</v>
      </c>
      <c r="O1336" s="90" t="s">
        <v>3278</v>
      </c>
      <c r="R1336" s="90" t="s">
        <v>6395</v>
      </c>
      <c r="S1336" s="90" t="s">
        <v>6698</v>
      </c>
      <c r="T1336" s="90" t="s">
        <v>6843</v>
      </c>
      <c r="U1336" s="90" t="s">
        <v>6547</v>
      </c>
    </row>
    <row r="1337" spans="1:21" x14ac:dyDescent="0.25">
      <c r="A1337" s="90" t="s">
        <v>3279</v>
      </c>
      <c r="B1337" s="119">
        <v>4</v>
      </c>
      <c r="C1337" s="90" t="s">
        <v>3276</v>
      </c>
      <c r="D1337" s="90" t="s">
        <v>78</v>
      </c>
      <c r="E1337">
        <v>2667</v>
      </c>
      <c r="F1337">
        <v>2670</v>
      </c>
      <c r="G1337" s="93" t="s">
        <v>68</v>
      </c>
      <c r="H1337" t="s">
        <v>3280</v>
      </c>
      <c r="I1337">
        <v>1</v>
      </c>
      <c r="J1337">
        <f>SUM(K1338)</f>
        <v>81</v>
      </c>
      <c r="K1337">
        <f>I1337*J1337</f>
        <v>81</v>
      </c>
      <c r="L1337">
        <f>100*(1-(M1337/K1337))</f>
        <v>40</v>
      </c>
      <c r="M1337">
        <f>I1337*SUM(M1338)</f>
        <v>48.6</v>
      </c>
      <c r="N1337" s="90">
        <v>1337</v>
      </c>
      <c r="O1337" s="90" t="s">
        <v>3281</v>
      </c>
      <c r="R1337" s="90" t="s">
        <v>4522</v>
      </c>
      <c r="S1337" s="90" t="s">
        <v>5586</v>
      </c>
      <c r="T1337" s="90" t="s">
        <v>6084</v>
      </c>
      <c r="U1337" s="90" t="s">
        <v>5062</v>
      </c>
    </row>
    <row r="1338" spans="1:21" x14ac:dyDescent="0.25">
      <c r="A1338" s="90" t="s">
        <v>3282</v>
      </c>
      <c r="B1338" s="119">
        <v>5</v>
      </c>
      <c r="C1338" s="90" t="s">
        <v>3279</v>
      </c>
      <c r="D1338" s="90" t="s">
        <v>78</v>
      </c>
      <c r="E1338">
        <v>2668</v>
      </c>
      <c r="F1338">
        <v>2669</v>
      </c>
      <c r="G1338" s="93" t="s">
        <v>78</v>
      </c>
      <c r="H1338" t="s">
        <v>3283</v>
      </c>
      <c r="I1338">
        <v>1</v>
      </c>
      <c r="J1338">
        <v>81</v>
      </c>
      <c r="K1338">
        <f>I1338*J1338</f>
        <v>81</v>
      </c>
      <c r="L1338">
        <v>40</v>
      </c>
      <c r="M1338">
        <f>(1-(L1338/100))*K1338</f>
        <v>48.6</v>
      </c>
      <c r="N1338" s="90">
        <v>1338</v>
      </c>
      <c r="O1338" s="90" t="s">
        <v>3284</v>
      </c>
    </row>
    <row r="1339" spans="1:21" x14ac:dyDescent="0.25">
      <c r="A1339" s="90" t="s">
        <v>3285</v>
      </c>
      <c r="B1339" s="119">
        <v>4</v>
      </c>
      <c r="C1339" s="90" t="s">
        <v>3276</v>
      </c>
      <c r="D1339" s="90" t="s">
        <v>79</v>
      </c>
      <c r="E1339">
        <v>2671</v>
      </c>
      <c r="F1339">
        <v>2674</v>
      </c>
      <c r="G1339" s="93" t="s">
        <v>68</v>
      </c>
      <c r="H1339" t="s">
        <v>1240</v>
      </c>
      <c r="I1339">
        <v>2</v>
      </c>
      <c r="J1339">
        <f>SUM(K1340)</f>
        <v>700.36928562000003</v>
      </c>
      <c r="K1339">
        <f>I1339*J1339</f>
        <v>1400.7385712400001</v>
      </c>
      <c r="L1339">
        <f>100*(1-(M1339/K1339))</f>
        <v>40</v>
      </c>
      <c r="M1339">
        <f>I1339*SUM(M1340)</f>
        <v>840.44314274400006</v>
      </c>
      <c r="N1339" s="90">
        <v>1339</v>
      </c>
      <c r="O1339" s="90" t="s">
        <v>3286</v>
      </c>
      <c r="R1339" s="90" t="s">
        <v>4523</v>
      </c>
      <c r="S1339" s="90" t="s">
        <v>5587</v>
      </c>
      <c r="T1339" s="90" t="s">
        <v>6085</v>
      </c>
      <c r="U1339" s="90" t="s">
        <v>5063</v>
      </c>
    </row>
    <row r="1340" spans="1:21" x14ac:dyDescent="0.25">
      <c r="A1340" s="90" t="s">
        <v>3287</v>
      </c>
      <c r="B1340" s="119">
        <v>5</v>
      </c>
      <c r="C1340" s="90" t="s">
        <v>3285</v>
      </c>
      <c r="D1340" s="90" t="s">
        <v>78</v>
      </c>
      <c r="E1340">
        <v>2672</v>
      </c>
      <c r="F1340">
        <v>2673</v>
      </c>
      <c r="G1340" s="93" t="s">
        <v>78</v>
      </c>
      <c r="H1340" t="s">
        <v>1243</v>
      </c>
      <c r="I1340">
        <v>1</v>
      </c>
      <c r="J1340">
        <v>700.36928562000003</v>
      </c>
      <c r="K1340">
        <f>I1340*J1340</f>
        <v>700.36928562000003</v>
      </c>
      <c r="L1340">
        <v>40</v>
      </c>
      <c r="M1340">
        <f>(1-(L1340/100))*K1340</f>
        <v>420.22157137200003</v>
      </c>
      <c r="N1340" s="90">
        <v>1340</v>
      </c>
      <c r="O1340" s="90" t="s">
        <v>3288</v>
      </c>
    </row>
    <row r="1341" spans="1:21" x14ac:dyDescent="0.25">
      <c r="A1341" s="90" t="s">
        <v>3289</v>
      </c>
      <c r="B1341" s="119">
        <v>4</v>
      </c>
      <c r="C1341" s="90" t="s">
        <v>3276</v>
      </c>
      <c r="D1341" s="90" t="s">
        <v>80</v>
      </c>
      <c r="E1341">
        <v>2675</v>
      </c>
      <c r="F1341">
        <v>2678</v>
      </c>
      <c r="G1341" s="93" t="s">
        <v>68</v>
      </c>
      <c r="H1341" t="s">
        <v>1246</v>
      </c>
      <c r="I1341">
        <v>4</v>
      </c>
      <c r="J1341">
        <f>SUM(K1342)</f>
        <v>967.93582071000003</v>
      </c>
      <c r="K1341">
        <f>I1341*J1341</f>
        <v>3871.7432828400001</v>
      </c>
      <c r="L1341">
        <f>100*(1-(M1341/K1341))</f>
        <v>40</v>
      </c>
      <c r="M1341">
        <f>I1341*SUM(M1342)</f>
        <v>2323.0459697040001</v>
      </c>
      <c r="N1341" s="90">
        <v>1341</v>
      </c>
      <c r="O1341" s="90" t="s">
        <v>3290</v>
      </c>
      <c r="R1341" s="90" t="s">
        <v>4524</v>
      </c>
      <c r="S1341" s="90" t="s">
        <v>5588</v>
      </c>
      <c r="T1341" s="90" t="s">
        <v>6086</v>
      </c>
      <c r="U1341" s="90" t="s">
        <v>5064</v>
      </c>
    </row>
    <row r="1342" spans="1:21" x14ac:dyDescent="0.25">
      <c r="A1342" s="90" t="s">
        <v>3291</v>
      </c>
      <c r="B1342" s="119">
        <v>5</v>
      </c>
      <c r="C1342" s="90" t="s">
        <v>3289</v>
      </c>
      <c r="D1342" s="90" t="s">
        <v>78</v>
      </c>
      <c r="E1342">
        <v>2676</v>
      </c>
      <c r="F1342">
        <v>2677</v>
      </c>
      <c r="G1342" s="93" t="s">
        <v>78</v>
      </c>
      <c r="H1342" t="s">
        <v>120</v>
      </c>
      <c r="I1342">
        <v>1</v>
      </c>
      <c r="J1342">
        <v>967.93582071000003</v>
      </c>
      <c r="K1342">
        <f>I1342*J1342</f>
        <v>967.93582071000003</v>
      </c>
      <c r="L1342">
        <v>40</v>
      </c>
      <c r="M1342">
        <f>(1-(L1342/100))*K1342</f>
        <v>580.76149242600002</v>
      </c>
      <c r="N1342" s="90">
        <v>1342</v>
      </c>
      <c r="O1342" s="90" t="s">
        <v>3292</v>
      </c>
    </row>
    <row r="1343" spans="1:21" x14ac:dyDescent="0.25">
      <c r="A1343" s="90" t="s">
        <v>3293</v>
      </c>
      <c r="B1343" s="119">
        <v>4</v>
      </c>
      <c r="C1343" s="90" t="s">
        <v>3276</v>
      </c>
      <c r="D1343" s="90" t="s">
        <v>95</v>
      </c>
      <c r="E1343">
        <v>2679</v>
      </c>
      <c r="F1343">
        <v>2682</v>
      </c>
      <c r="G1343" s="93" t="s">
        <v>68</v>
      </c>
      <c r="H1343" t="s">
        <v>1266</v>
      </c>
      <c r="I1343">
        <v>1</v>
      </c>
      <c r="J1343">
        <f>SUM(K1344)</f>
        <v>9312.3647013900008</v>
      </c>
      <c r="K1343">
        <f>I1343*J1343</f>
        <v>9312.3647013900008</v>
      </c>
      <c r="L1343">
        <f>100*(1-(M1343/K1343))</f>
        <v>40</v>
      </c>
      <c r="M1343">
        <f>I1343*SUM(M1344)</f>
        <v>5587.4188208340001</v>
      </c>
      <c r="N1343" s="90">
        <v>1343</v>
      </c>
      <c r="O1343" s="90" t="s">
        <v>3294</v>
      </c>
      <c r="R1343" s="90" t="s">
        <v>4525</v>
      </c>
      <c r="S1343" s="90" t="s">
        <v>5589</v>
      </c>
      <c r="T1343" s="90" t="s">
        <v>6087</v>
      </c>
      <c r="U1343" s="90" t="s">
        <v>5065</v>
      </c>
    </row>
    <row r="1344" spans="1:21" x14ac:dyDescent="0.25">
      <c r="A1344" s="90" t="s">
        <v>3295</v>
      </c>
      <c r="B1344" s="119">
        <v>5</v>
      </c>
      <c r="C1344" s="90" t="s">
        <v>3293</v>
      </c>
      <c r="D1344" s="90" t="s">
        <v>78</v>
      </c>
      <c r="E1344">
        <v>2680</v>
      </c>
      <c r="F1344">
        <v>2681</v>
      </c>
      <c r="G1344" s="93" t="s">
        <v>78</v>
      </c>
      <c r="H1344" t="s">
        <v>1269</v>
      </c>
      <c r="I1344">
        <v>1</v>
      </c>
      <c r="J1344">
        <v>9312.3647013900008</v>
      </c>
      <c r="K1344">
        <f>I1344*J1344</f>
        <v>9312.3647013900008</v>
      </c>
      <c r="L1344">
        <v>40</v>
      </c>
      <c r="M1344">
        <f>(1-(L1344/100))*K1344</f>
        <v>5587.4188208340001</v>
      </c>
      <c r="N1344" s="90">
        <v>1344</v>
      </c>
      <c r="O1344" s="90" t="s">
        <v>3296</v>
      </c>
    </row>
    <row r="1345" spans="1:21" x14ac:dyDescent="0.25">
      <c r="A1345" s="90" t="s">
        <v>3297</v>
      </c>
      <c r="B1345" s="119">
        <v>4</v>
      </c>
      <c r="C1345" s="90" t="s">
        <v>3276</v>
      </c>
      <c r="D1345" s="90" t="s">
        <v>96</v>
      </c>
      <c r="E1345">
        <v>2683</v>
      </c>
      <c r="F1345">
        <v>2686</v>
      </c>
      <c r="G1345" s="93" t="s">
        <v>68</v>
      </c>
      <c r="H1345" t="s">
        <v>1272</v>
      </c>
      <c r="I1345">
        <v>4</v>
      </c>
      <c r="J1345">
        <f>SUM(K1346)</f>
        <v>1308.5572392700001</v>
      </c>
      <c r="K1345">
        <f>I1345*J1345</f>
        <v>5234.2289570800003</v>
      </c>
      <c r="L1345">
        <f>100*(1-(M1345/K1345))</f>
        <v>40</v>
      </c>
      <c r="M1345">
        <f>I1345*SUM(M1346)</f>
        <v>3140.5373742480001</v>
      </c>
      <c r="N1345" s="90">
        <v>1345</v>
      </c>
      <c r="O1345" s="90" t="s">
        <v>3298</v>
      </c>
      <c r="R1345" s="90" t="s">
        <v>4526</v>
      </c>
      <c r="S1345" s="90" t="s">
        <v>5590</v>
      </c>
      <c r="T1345" s="90" t="s">
        <v>6088</v>
      </c>
      <c r="U1345" s="90" t="s">
        <v>5066</v>
      </c>
    </row>
    <row r="1346" spans="1:21" x14ac:dyDescent="0.25">
      <c r="A1346" s="90" t="s">
        <v>3299</v>
      </c>
      <c r="B1346" s="119">
        <v>5</v>
      </c>
      <c r="C1346" s="90" t="s">
        <v>3297</v>
      </c>
      <c r="D1346" s="90" t="s">
        <v>78</v>
      </c>
      <c r="E1346">
        <v>2684</v>
      </c>
      <c r="F1346">
        <v>2685</v>
      </c>
      <c r="G1346" s="93" t="s">
        <v>78</v>
      </c>
      <c r="H1346" t="s">
        <v>1272</v>
      </c>
      <c r="I1346">
        <v>1</v>
      </c>
      <c r="J1346">
        <v>1308.5572392700001</v>
      </c>
      <c r="K1346">
        <f>I1346*J1346</f>
        <v>1308.5572392700001</v>
      </c>
      <c r="L1346">
        <v>40</v>
      </c>
      <c r="M1346">
        <f>(1-(L1346/100))*K1346</f>
        <v>785.13434356200003</v>
      </c>
      <c r="N1346" s="90">
        <v>1346</v>
      </c>
      <c r="O1346" s="90" t="s">
        <v>3300</v>
      </c>
    </row>
    <row r="1347" spans="1:21" x14ac:dyDescent="0.25">
      <c r="A1347" s="90" t="s">
        <v>3301</v>
      </c>
      <c r="B1347" s="119">
        <v>4</v>
      </c>
      <c r="C1347" s="90" t="s">
        <v>3276</v>
      </c>
      <c r="D1347" s="90" t="s">
        <v>103</v>
      </c>
      <c r="E1347">
        <v>2687</v>
      </c>
      <c r="F1347">
        <v>2690</v>
      </c>
      <c r="G1347" s="93" t="s">
        <v>68</v>
      </c>
      <c r="H1347" t="s">
        <v>1714</v>
      </c>
      <c r="I1347">
        <v>2</v>
      </c>
      <c r="J1347">
        <f>SUM(K1348)</f>
        <v>5389.0233031999996</v>
      </c>
      <c r="K1347">
        <f>I1347*J1347</f>
        <v>10778.046606399999</v>
      </c>
      <c r="L1347">
        <f>100*(1-(M1347/K1347))</f>
        <v>40</v>
      </c>
      <c r="M1347">
        <f>I1347*SUM(M1348)</f>
        <v>6466.827963839999</v>
      </c>
      <c r="N1347" s="90">
        <v>1347</v>
      </c>
      <c r="O1347" s="90" t="s">
        <v>3302</v>
      </c>
      <c r="R1347" s="90" t="s">
        <v>4527</v>
      </c>
      <c r="S1347" s="90" t="s">
        <v>5591</v>
      </c>
      <c r="T1347" s="90" t="s">
        <v>6089</v>
      </c>
      <c r="U1347" s="90" t="s">
        <v>5067</v>
      </c>
    </row>
    <row r="1348" spans="1:21" x14ac:dyDescent="0.25">
      <c r="A1348" s="90" t="s">
        <v>3303</v>
      </c>
      <c r="B1348" s="119">
        <v>5</v>
      </c>
      <c r="C1348" s="90" t="s">
        <v>3301</v>
      </c>
      <c r="D1348" s="90" t="s">
        <v>78</v>
      </c>
      <c r="E1348">
        <v>2688</v>
      </c>
      <c r="F1348">
        <v>2689</v>
      </c>
      <c r="G1348" s="93" t="s">
        <v>78</v>
      </c>
      <c r="H1348" t="s">
        <v>1714</v>
      </c>
      <c r="I1348">
        <v>1</v>
      </c>
      <c r="J1348">
        <v>5389.0233031999996</v>
      </c>
      <c r="K1348">
        <f>I1348*J1348</f>
        <v>5389.0233031999996</v>
      </c>
      <c r="L1348">
        <v>40</v>
      </c>
      <c r="M1348">
        <f>(1-(L1348/100))*K1348</f>
        <v>3233.4139819199995</v>
      </c>
      <c r="N1348" s="90">
        <v>1348</v>
      </c>
      <c r="O1348" s="90" t="s">
        <v>3304</v>
      </c>
    </row>
    <row r="1349" spans="1:21" x14ac:dyDescent="0.25">
      <c r="A1349" s="90" t="s">
        <v>3305</v>
      </c>
      <c r="B1349" s="119">
        <v>4</v>
      </c>
      <c r="C1349" s="90" t="s">
        <v>3276</v>
      </c>
      <c r="D1349" s="90" t="s">
        <v>796</v>
      </c>
      <c r="E1349">
        <v>2691</v>
      </c>
      <c r="F1349">
        <v>2694</v>
      </c>
      <c r="G1349" s="93" t="s">
        <v>68</v>
      </c>
      <c r="H1349" t="s">
        <v>1509</v>
      </c>
      <c r="I1349">
        <v>2</v>
      </c>
      <c r="J1349">
        <f>SUM(K1350)</f>
        <v>3300</v>
      </c>
      <c r="K1349">
        <f>I1349*J1349</f>
        <v>6600</v>
      </c>
      <c r="L1349">
        <f>100*(1-(M1349/K1349))</f>
        <v>40</v>
      </c>
      <c r="M1349">
        <f>I1349*SUM(M1350)</f>
        <v>3960</v>
      </c>
      <c r="N1349" s="90">
        <v>1349</v>
      </c>
      <c r="O1349" s="90" t="s">
        <v>3306</v>
      </c>
      <c r="R1349" s="90" t="s">
        <v>4528</v>
      </c>
      <c r="S1349" s="90" t="s">
        <v>5592</v>
      </c>
      <c r="T1349" s="90" t="s">
        <v>6090</v>
      </c>
      <c r="U1349" s="90" t="s">
        <v>5068</v>
      </c>
    </row>
    <row r="1350" spans="1:21" x14ac:dyDescent="0.25">
      <c r="A1350" s="90" t="s">
        <v>3307</v>
      </c>
      <c r="B1350" s="119">
        <v>5</v>
      </c>
      <c r="C1350" s="90" t="s">
        <v>3305</v>
      </c>
      <c r="D1350" s="90" t="s">
        <v>78</v>
      </c>
      <c r="E1350">
        <v>2692</v>
      </c>
      <c r="F1350">
        <v>2693</v>
      </c>
      <c r="G1350" s="93" t="s">
        <v>78</v>
      </c>
      <c r="H1350" t="s">
        <v>1509</v>
      </c>
      <c r="I1350">
        <v>1</v>
      </c>
      <c r="J1350">
        <v>3300</v>
      </c>
      <c r="K1350">
        <f>I1350*J1350</f>
        <v>3300</v>
      </c>
      <c r="L1350">
        <v>40</v>
      </c>
      <c r="M1350">
        <f>(1-(L1350/100))*K1350</f>
        <v>1980</v>
      </c>
      <c r="N1350" s="90">
        <v>1350</v>
      </c>
      <c r="O1350" s="90" t="s">
        <v>3308</v>
      </c>
    </row>
    <row r="1351" spans="1:21" x14ac:dyDescent="0.25">
      <c r="A1351" s="90" t="s">
        <v>3309</v>
      </c>
      <c r="B1351" s="119">
        <v>3</v>
      </c>
      <c r="C1351" s="90" t="s">
        <v>3273</v>
      </c>
      <c r="D1351" s="90" t="s">
        <v>79</v>
      </c>
      <c r="E1351">
        <v>2696</v>
      </c>
      <c r="F1351">
        <v>2737</v>
      </c>
      <c r="G1351" s="93" t="s">
        <v>68</v>
      </c>
      <c r="H1351" t="s">
        <v>3310</v>
      </c>
      <c r="I1351">
        <v>1</v>
      </c>
      <c r="J1351">
        <f>SUM(K1352,K1357,K1369)</f>
        <v>10433.939721129998</v>
      </c>
      <c r="K1351">
        <f>I1351*J1351</f>
        <v>10433.939721129998</v>
      </c>
      <c r="L1351">
        <f>100*(1-(M1351/K1351))</f>
        <v>39.999999999999993</v>
      </c>
      <c r="M1351">
        <f>I1351*SUM(M1352,M1357,M1369)</f>
        <v>6260.3638326780001</v>
      </c>
      <c r="N1351" s="90">
        <v>1351</v>
      </c>
      <c r="O1351" s="90" t="s">
        <v>3311</v>
      </c>
      <c r="R1351" s="90" t="s">
        <v>6398</v>
      </c>
      <c r="S1351" s="90" t="s">
        <v>6701</v>
      </c>
      <c r="T1351" s="90" t="s">
        <v>6846</v>
      </c>
      <c r="U1351" s="90" t="s">
        <v>6550</v>
      </c>
    </row>
    <row r="1352" spans="1:21" x14ac:dyDescent="0.25">
      <c r="A1352" s="90" t="s">
        <v>3312</v>
      </c>
      <c r="B1352" s="119">
        <v>4</v>
      </c>
      <c r="C1352" s="90" t="s">
        <v>3309</v>
      </c>
      <c r="D1352" s="90" t="s">
        <v>78</v>
      </c>
      <c r="E1352">
        <v>2697</v>
      </c>
      <c r="F1352">
        <v>2706</v>
      </c>
      <c r="G1352" s="93" t="s">
        <v>68</v>
      </c>
      <c r="H1352" t="s">
        <v>3313</v>
      </c>
      <c r="I1352">
        <v>1</v>
      </c>
      <c r="J1352">
        <f>SUM(K1353)</f>
        <v>709.71</v>
      </c>
      <c r="K1352">
        <f>I1352*J1352</f>
        <v>709.71</v>
      </c>
      <c r="L1352">
        <f>100*(1-(M1352/K1352))</f>
        <v>40.000000000000014</v>
      </c>
      <c r="M1352">
        <f>I1352*SUM(M1353)</f>
        <v>425.82599999999996</v>
      </c>
      <c r="N1352" s="90">
        <v>1352</v>
      </c>
      <c r="O1352" s="90" t="s">
        <v>3314</v>
      </c>
      <c r="R1352" s="90" t="s">
        <v>6399</v>
      </c>
      <c r="S1352" s="90" t="s">
        <v>6702</v>
      </c>
      <c r="T1352" s="90" t="s">
        <v>6847</v>
      </c>
      <c r="U1352" s="90" t="s">
        <v>6551</v>
      </c>
    </row>
    <row r="1353" spans="1:21" x14ac:dyDescent="0.25">
      <c r="A1353" s="90" t="s">
        <v>3315</v>
      </c>
      <c r="B1353" s="119">
        <v>5</v>
      </c>
      <c r="C1353" s="90" t="s">
        <v>3312</v>
      </c>
      <c r="D1353" s="90" t="s">
        <v>78</v>
      </c>
      <c r="E1353">
        <v>2698</v>
      </c>
      <c r="F1353">
        <v>2705</v>
      </c>
      <c r="G1353" s="93" t="s">
        <v>68</v>
      </c>
      <c r="H1353" t="s">
        <v>3316</v>
      </c>
      <c r="I1353">
        <v>1</v>
      </c>
      <c r="J1353">
        <f>SUM(K1354,K1355,K1356)</f>
        <v>709.71</v>
      </c>
      <c r="K1353">
        <f>I1353*J1353</f>
        <v>709.71</v>
      </c>
      <c r="L1353">
        <f>100*(1-(M1353/K1353))</f>
        <v>40.000000000000014</v>
      </c>
      <c r="M1353">
        <f>I1353*SUM(M1354,M1355,M1356)</f>
        <v>425.82599999999996</v>
      </c>
      <c r="N1353" s="90">
        <v>1353</v>
      </c>
      <c r="O1353" s="90" t="s">
        <v>3317</v>
      </c>
      <c r="R1353" s="90" t="s">
        <v>4538</v>
      </c>
      <c r="S1353" s="90" t="s">
        <v>5602</v>
      </c>
      <c r="T1353" s="90" t="s">
        <v>6100</v>
      </c>
      <c r="U1353" s="90" t="s">
        <v>5078</v>
      </c>
    </row>
    <row r="1354" spans="1:21" x14ac:dyDescent="0.25">
      <c r="A1354" s="90" t="s">
        <v>3318</v>
      </c>
      <c r="B1354" s="119">
        <v>6</v>
      </c>
      <c r="C1354" s="90" t="s">
        <v>3315</v>
      </c>
      <c r="D1354" s="90" t="s">
        <v>78</v>
      </c>
      <c r="E1354">
        <v>2699</v>
      </c>
      <c r="F1354">
        <v>2700</v>
      </c>
      <c r="G1354" s="93" t="s">
        <v>78</v>
      </c>
      <c r="H1354" t="s">
        <v>3319</v>
      </c>
      <c r="I1354">
        <v>1</v>
      </c>
      <c r="J1354">
        <v>96.1</v>
      </c>
      <c r="K1354">
        <f>I1354*J1354</f>
        <v>96.1</v>
      </c>
      <c r="L1354">
        <v>40</v>
      </c>
      <c r="M1354">
        <f>(1-(L1354/100))*K1354</f>
        <v>57.66</v>
      </c>
      <c r="N1354" s="90">
        <v>1354</v>
      </c>
      <c r="O1354" s="90" t="s">
        <v>3320</v>
      </c>
    </row>
    <row r="1355" spans="1:21" x14ac:dyDescent="0.25">
      <c r="A1355" s="90" t="s">
        <v>3321</v>
      </c>
      <c r="B1355" s="119">
        <v>6</v>
      </c>
      <c r="C1355" s="90" t="s">
        <v>3315</v>
      </c>
      <c r="D1355" s="90" t="s">
        <v>79</v>
      </c>
      <c r="E1355">
        <v>2701</v>
      </c>
      <c r="F1355">
        <v>2702</v>
      </c>
      <c r="G1355" s="93" t="s">
        <v>78</v>
      </c>
      <c r="H1355" t="s">
        <v>3322</v>
      </c>
      <c r="I1355">
        <v>1</v>
      </c>
      <c r="J1355">
        <v>84.08</v>
      </c>
      <c r="K1355">
        <f>I1355*J1355</f>
        <v>84.08</v>
      </c>
      <c r="L1355">
        <v>40</v>
      </c>
      <c r="M1355">
        <f>(1-(L1355/100))*K1355</f>
        <v>50.448</v>
      </c>
      <c r="N1355" s="90">
        <v>1355</v>
      </c>
      <c r="O1355" s="90" t="s">
        <v>3323</v>
      </c>
    </row>
    <row r="1356" spans="1:21" x14ac:dyDescent="0.25">
      <c r="A1356" s="90" t="s">
        <v>3324</v>
      </c>
      <c r="B1356" s="119">
        <v>6</v>
      </c>
      <c r="C1356" s="90" t="s">
        <v>3315</v>
      </c>
      <c r="D1356" s="90" t="s">
        <v>80</v>
      </c>
      <c r="E1356">
        <v>2703</v>
      </c>
      <c r="F1356">
        <v>2704</v>
      </c>
      <c r="G1356" s="93" t="s">
        <v>78</v>
      </c>
      <c r="H1356" t="s">
        <v>3325</v>
      </c>
      <c r="I1356">
        <v>1</v>
      </c>
      <c r="J1356">
        <v>529.53</v>
      </c>
      <c r="K1356">
        <f>I1356*J1356</f>
        <v>529.53</v>
      </c>
      <c r="L1356">
        <v>40</v>
      </c>
      <c r="M1356">
        <f>(1-(L1356/100))*K1356</f>
        <v>317.71799999999996</v>
      </c>
      <c r="N1356" s="90">
        <v>1356</v>
      </c>
      <c r="O1356" s="90" t="s">
        <v>3326</v>
      </c>
    </row>
    <row r="1357" spans="1:21" x14ac:dyDescent="0.25">
      <c r="A1357" s="90" t="s">
        <v>3327</v>
      </c>
      <c r="B1357" s="119">
        <v>4</v>
      </c>
      <c r="C1357" s="90" t="s">
        <v>3309</v>
      </c>
      <c r="D1357" s="90" t="s">
        <v>79</v>
      </c>
      <c r="E1357">
        <v>2707</v>
      </c>
      <c r="F1357">
        <v>2730</v>
      </c>
      <c r="G1357" s="93" t="s">
        <v>68</v>
      </c>
      <c r="H1357" t="s">
        <v>3328</v>
      </c>
      <c r="I1357">
        <v>1</v>
      </c>
      <c r="J1357">
        <f>SUM(K1358,K1359,K1360,K1361,K1362,K1363,K1364,K1365,K1366,K1367,K1368)</f>
        <v>9132.2297211299992</v>
      </c>
      <c r="K1357">
        <f>I1357*J1357</f>
        <v>9132.2297211299992</v>
      </c>
      <c r="L1357">
        <f>100*(1-(M1357/K1357))</f>
        <v>39.999999999999993</v>
      </c>
      <c r="M1357">
        <f>I1357*SUM(M1358,M1359,M1360,M1361,M1362,M1363,M1364,M1365,M1366,M1367,M1368)</f>
        <v>5479.3378326780003</v>
      </c>
      <c r="N1357" s="90">
        <v>1357</v>
      </c>
      <c r="O1357" s="90" t="s">
        <v>3329</v>
      </c>
      <c r="R1357" s="90" t="s">
        <v>4539</v>
      </c>
      <c r="S1357" s="90" t="s">
        <v>5603</v>
      </c>
      <c r="T1357" s="90" t="s">
        <v>6101</v>
      </c>
      <c r="U1357" s="90" t="s">
        <v>5079</v>
      </c>
    </row>
    <row r="1358" spans="1:21" x14ac:dyDescent="0.25">
      <c r="A1358" s="90" t="s">
        <v>3330</v>
      </c>
      <c r="B1358" s="119">
        <v>5</v>
      </c>
      <c r="C1358" s="90" t="s">
        <v>3327</v>
      </c>
      <c r="D1358" s="90" t="s">
        <v>78</v>
      </c>
      <c r="E1358">
        <v>2708</v>
      </c>
      <c r="F1358">
        <v>2709</v>
      </c>
      <c r="G1358" s="93" t="s">
        <v>78</v>
      </c>
      <c r="H1358" t="s">
        <v>119</v>
      </c>
      <c r="I1358">
        <v>1</v>
      </c>
      <c r="J1358">
        <v>594.85546925000006</v>
      </c>
      <c r="K1358">
        <f>I1358*J1358</f>
        <v>594.85546925000006</v>
      </c>
      <c r="L1358">
        <v>40</v>
      </c>
      <c r="M1358">
        <f>(1-(L1358/100))*K1358</f>
        <v>356.91328155000002</v>
      </c>
      <c r="N1358" s="90">
        <v>1358</v>
      </c>
      <c r="O1358" s="90" t="s">
        <v>3331</v>
      </c>
    </row>
    <row r="1359" spans="1:21" x14ac:dyDescent="0.25">
      <c r="A1359" s="90" t="s">
        <v>3332</v>
      </c>
      <c r="B1359" s="119">
        <v>5</v>
      </c>
      <c r="C1359" s="90" t="s">
        <v>3327</v>
      </c>
      <c r="D1359" s="90" t="s">
        <v>79</v>
      </c>
      <c r="E1359">
        <v>2710</v>
      </c>
      <c r="F1359">
        <v>2711</v>
      </c>
      <c r="G1359" s="93" t="s">
        <v>78</v>
      </c>
      <c r="H1359" t="s">
        <v>137</v>
      </c>
      <c r="I1359">
        <v>0</v>
      </c>
      <c r="J1359">
        <v>36.08811919</v>
      </c>
      <c r="K1359">
        <f>I1359*J1359</f>
        <v>0</v>
      </c>
      <c r="L1359">
        <v>40</v>
      </c>
      <c r="M1359">
        <f>(1-(L1359/100))*K1359</f>
        <v>0</v>
      </c>
      <c r="N1359" s="90">
        <v>1359</v>
      </c>
      <c r="O1359" s="90" t="s">
        <v>3333</v>
      </c>
    </row>
    <row r="1360" spans="1:21" x14ac:dyDescent="0.25">
      <c r="A1360" s="90" t="s">
        <v>3334</v>
      </c>
      <c r="B1360" s="119">
        <v>5</v>
      </c>
      <c r="C1360" s="90" t="s">
        <v>3327</v>
      </c>
      <c r="D1360" s="90" t="s">
        <v>80</v>
      </c>
      <c r="E1360">
        <v>2712</v>
      </c>
      <c r="F1360">
        <v>2713</v>
      </c>
      <c r="G1360" s="93" t="s">
        <v>78</v>
      </c>
      <c r="H1360" t="s">
        <v>138</v>
      </c>
      <c r="I1360">
        <v>1</v>
      </c>
      <c r="J1360">
        <v>227.32713613000001</v>
      </c>
      <c r="K1360">
        <f>I1360*J1360</f>
        <v>227.32713613000001</v>
      </c>
      <c r="L1360">
        <v>40</v>
      </c>
      <c r="M1360">
        <f>(1-(L1360/100))*K1360</f>
        <v>136.39628167800001</v>
      </c>
      <c r="N1360" s="90">
        <v>1360</v>
      </c>
      <c r="O1360" s="90" t="s">
        <v>3335</v>
      </c>
    </row>
    <row r="1361" spans="1:21" x14ac:dyDescent="0.25">
      <c r="A1361" s="90" t="s">
        <v>3336</v>
      </c>
      <c r="B1361" s="119">
        <v>5</v>
      </c>
      <c r="C1361" s="90" t="s">
        <v>3327</v>
      </c>
      <c r="D1361" s="90" t="s">
        <v>95</v>
      </c>
      <c r="E1361">
        <v>2714</v>
      </c>
      <c r="F1361">
        <v>2715</v>
      </c>
      <c r="G1361" s="93" t="s">
        <v>78</v>
      </c>
      <c r="H1361" t="s">
        <v>139</v>
      </c>
      <c r="I1361">
        <v>1</v>
      </c>
      <c r="J1361">
        <v>2631.3510760200002</v>
      </c>
      <c r="K1361">
        <f>I1361*J1361</f>
        <v>2631.3510760200002</v>
      </c>
      <c r="L1361">
        <v>40</v>
      </c>
      <c r="M1361">
        <f>(1-(L1361/100))*K1361</f>
        <v>1578.8106456120001</v>
      </c>
      <c r="N1361" s="90">
        <v>1361</v>
      </c>
      <c r="O1361" s="90" t="s">
        <v>3337</v>
      </c>
    </row>
    <row r="1362" spans="1:21" x14ac:dyDescent="0.25">
      <c r="A1362" s="90" t="s">
        <v>3338</v>
      </c>
      <c r="B1362" s="119">
        <v>5</v>
      </c>
      <c r="C1362" s="90" t="s">
        <v>3327</v>
      </c>
      <c r="D1362" s="90" t="s">
        <v>96</v>
      </c>
      <c r="E1362">
        <v>2716</v>
      </c>
      <c r="F1362">
        <v>2717</v>
      </c>
      <c r="G1362" s="93" t="s">
        <v>78</v>
      </c>
      <c r="H1362" t="s">
        <v>120</v>
      </c>
      <c r="I1362">
        <v>0</v>
      </c>
      <c r="J1362">
        <v>967.93582071000003</v>
      </c>
      <c r="K1362">
        <f>I1362*J1362</f>
        <v>0</v>
      </c>
      <c r="L1362">
        <v>40</v>
      </c>
      <c r="M1362">
        <f>(1-(L1362/100))*K1362</f>
        <v>0</v>
      </c>
      <c r="N1362" s="90">
        <v>1362</v>
      </c>
      <c r="O1362" s="90" t="s">
        <v>3339</v>
      </c>
    </row>
    <row r="1363" spans="1:21" x14ac:dyDescent="0.25">
      <c r="A1363" s="90" t="s">
        <v>3340</v>
      </c>
      <c r="B1363" s="119">
        <v>5</v>
      </c>
      <c r="C1363" s="90" t="s">
        <v>3327</v>
      </c>
      <c r="D1363" s="90" t="s">
        <v>103</v>
      </c>
      <c r="E1363">
        <v>2718</v>
      </c>
      <c r="F1363">
        <v>2719</v>
      </c>
      <c r="G1363" s="93" t="s">
        <v>78</v>
      </c>
      <c r="H1363" t="s">
        <v>123</v>
      </c>
      <c r="I1363">
        <v>2</v>
      </c>
      <c r="J1363">
        <v>313.76543995999998</v>
      </c>
      <c r="K1363">
        <f>I1363*J1363</f>
        <v>627.53087991999996</v>
      </c>
      <c r="L1363">
        <v>40</v>
      </c>
      <c r="M1363">
        <f>(1-(L1363/100))*K1363</f>
        <v>376.51852795199994</v>
      </c>
      <c r="N1363" s="90">
        <v>1363</v>
      </c>
      <c r="O1363" s="90" t="s">
        <v>3341</v>
      </c>
    </row>
    <row r="1364" spans="1:21" x14ac:dyDescent="0.25">
      <c r="A1364" s="90" t="s">
        <v>3342</v>
      </c>
      <c r="B1364" s="119">
        <v>5</v>
      </c>
      <c r="C1364" s="90" t="s">
        <v>3327</v>
      </c>
      <c r="D1364" s="90" t="s">
        <v>796</v>
      </c>
      <c r="E1364">
        <v>2720</v>
      </c>
      <c r="F1364">
        <v>2721</v>
      </c>
      <c r="G1364" s="93" t="s">
        <v>78</v>
      </c>
      <c r="H1364" t="s">
        <v>3343</v>
      </c>
      <c r="I1364">
        <v>1</v>
      </c>
      <c r="J1364">
        <v>3158.4872023399998</v>
      </c>
      <c r="K1364">
        <f>I1364*J1364</f>
        <v>3158.4872023399998</v>
      </c>
      <c r="L1364">
        <v>40</v>
      </c>
      <c r="M1364">
        <f>(1-(L1364/100))*K1364</f>
        <v>1895.0923214039999</v>
      </c>
      <c r="N1364" s="90">
        <v>1364</v>
      </c>
      <c r="O1364" s="90" t="s">
        <v>3344</v>
      </c>
    </row>
    <row r="1365" spans="1:21" x14ac:dyDescent="0.25">
      <c r="A1365" s="90" t="s">
        <v>3345</v>
      </c>
      <c r="B1365" s="119">
        <v>5</v>
      </c>
      <c r="C1365" s="90" t="s">
        <v>3327</v>
      </c>
      <c r="D1365" s="90" t="s">
        <v>797</v>
      </c>
      <c r="E1365">
        <v>2722</v>
      </c>
      <c r="F1365">
        <v>2723</v>
      </c>
      <c r="G1365" s="93" t="s">
        <v>78</v>
      </c>
      <c r="H1365" t="s">
        <v>125</v>
      </c>
      <c r="I1365">
        <v>0</v>
      </c>
      <c r="J1365">
        <v>967.93582071000003</v>
      </c>
      <c r="K1365">
        <f>I1365*J1365</f>
        <v>0</v>
      </c>
      <c r="L1365">
        <v>40</v>
      </c>
      <c r="M1365">
        <f>(1-(L1365/100))*K1365</f>
        <v>0</v>
      </c>
      <c r="N1365" s="90">
        <v>1365</v>
      </c>
      <c r="O1365" s="90" t="s">
        <v>3346</v>
      </c>
    </row>
    <row r="1366" spans="1:21" x14ac:dyDescent="0.25">
      <c r="A1366" s="90" t="s">
        <v>3347</v>
      </c>
      <c r="B1366" s="119">
        <v>5</v>
      </c>
      <c r="C1366" s="90" t="s">
        <v>3327</v>
      </c>
      <c r="D1366" s="90" t="s">
        <v>798</v>
      </c>
      <c r="E1366">
        <v>2724</v>
      </c>
      <c r="F1366">
        <v>2725</v>
      </c>
      <c r="G1366" s="93" t="s">
        <v>78</v>
      </c>
      <c r="H1366" t="s">
        <v>3348</v>
      </c>
      <c r="I1366">
        <v>1</v>
      </c>
      <c r="J1366">
        <v>1400.7385712499999</v>
      </c>
      <c r="K1366">
        <f>I1366*J1366</f>
        <v>1400.7385712499999</v>
      </c>
      <c r="L1366">
        <v>40</v>
      </c>
      <c r="M1366">
        <f>(1-(L1366/100))*K1366</f>
        <v>840.44314274999999</v>
      </c>
      <c r="N1366" s="90">
        <v>1366</v>
      </c>
      <c r="O1366" s="90" t="s">
        <v>3349</v>
      </c>
    </row>
    <row r="1367" spans="1:21" x14ac:dyDescent="0.25">
      <c r="A1367" s="90" t="s">
        <v>3350</v>
      </c>
      <c r="B1367" s="119">
        <v>5</v>
      </c>
      <c r="C1367" s="90" t="s">
        <v>3327</v>
      </c>
      <c r="D1367" s="90" t="s">
        <v>799</v>
      </c>
      <c r="E1367">
        <v>2726</v>
      </c>
      <c r="F1367">
        <v>2727</v>
      </c>
      <c r="G1367" s="93" t="s">
        <v>78</v>
      </c>
      <c r="H1367" t="s">
        <v>126</v>
      </c>
      <c r="I1367">
        <v>1</v>
      </c>
      <c r="J1367">
        <v>491.93938622000002</v>
      </c>
      <c r="K1367">
        <f>I1367*J1367</f>
        <v>491.93938622000002</v>
      </c>
      <c r="L1367">
        <v>40</v>
      </c>
      <c r="M1367">
        <f>(1-(L1367/100))*K1367</f>
        <v>295.163631732</v>
      </c>
      <c r="N1367" s="90">
        <v>1367</v>
      </c>
      <c r="O1367" s="90" t="s">
        <v>3351</v>
      </c>
    </row>
    <row r="1368" spans="1:21" x14ac:dyDescent="0.25">
      <c r="A1368" s="90" t="s">
        <v>3352</v>
      </c>
      <c r="B1368" s="119">
        <v>5</v>
      </c>
      <c r="C1368" s="90" t="s">
        <v>3327</v>
      </c>
      <c r="D1368" s="90" t="s">
        <v>97</v>
      </c>
      <c r="E1368">
        <v>2728</v>
      </c>
      <c r="F1368">
        <v>2729</v>
      </c>
      <c r="G1368" s="93" t="s">
        <v>78</v>
      </c>
      <c r="H1368" t="s">
        <v>3353</v>
      </c>
      <c r="I1368">
        <v>0</v>
      </c>
      <c r="J1368">
        <v>508.08608175000001</v>
      </c>
      <c r="K1368">
        <f>I1368*J1368</f>
        <v>0</v>
      </c>
      <c r="L1368">
        <v>40</v>
      </c>
      <c r="M1368">
        <f>(1-(L1368/100))*K1368</f>
        <v>0</v>
      </c>
      <c r="N1368" s="90">
        <v>1368</v>
      </c>
      <c r="O1368" s="90" t="s">
        <v>3354</v>
      </c>
    </row>
    <row r="1369" spans="1:21" x14ac:dyDescent="0.25">
      <c r="A1369" s="90" t="s">
        <v>3355</v>
      </c>
      <c r="B1369" s="119">
        <v>4</v>
      </c>
      <c r="C1369" s="90" t="s">
        <v>3309</v>
      </c>
      <c r="D1369" s="90" t="s">
        <v>80</v>
      </c>
      <c r="E1369">
        <v>2731</v>
      </c>
      <c r="F1369">
        <v>2736</v>
      </c>
      <c r="G1369" s="93" t="s">
        <v>68</v>
      </c>
      <c r="H1369" t="s">
        <v>3356</v>
      </c>
      <c r="I1369">
        <v>1</v>
      </c>
      <c r="J1369">
        <f>SUM(K1370)</f>
        <v>592</v>
      </c>
      <c r="K1369">
        <f>I1369*J1369</f>
        <v>592</v>
      </c>
      <c r="L1369">
        <f>100*(1-(M1369/K1369))</f>
        <v>40</v>
      </c>
      <c r="M1369">
        <f>I1369*SUM(M1370)</f>
        <v>355.2</v>
      </c>
      <c r="N1369" s="90">
        <v>1369</v>
      </c>
      <c r="O1369" s="90" t="s">
        <v>3357</v>
      </c>
      <c r="R1369" s="90" t="s">
        <v>6400</v>
      </c>
      <c r="S1369" s="90" t="s">
        <v>6703</v>
      </c>
      <c r="T1369" s="90" t="s">
        <v>6848</v>
      </c>
      <c r="U1369" s="90" t="s">
        <v>6552</v>
      </c>
    </row>
    <row r="1370" spans="1:21" x14ac:dyDescent="0.25">
      <c r="A1370" s="90" t="s">
        <v>3358</v>
      </c>
      <c r="B1370" s="119">
        <v>5</v>
      </c>
      <c r="C1370" s="90" t="s">
        <v>3355</v>
      </c>
      <c r="D1370" s="90" t="s">
        <v>78</v>
      </c>
      <c r="E1370">
        <v>2732</v>
      </c>
      <c r="F1370">
        <v>2735</v>
      </c>
      <c r="G1370" s="93" t="s">
        <v>68</v>
      </c>
      <c r="H1370" t="s">
        <v>3359</v>
      </c>
      <c r="I1370">
        <v>1</v>
      </c>
      <c r="J1370">
        <f>SUM(K1371)</f>
        <v>592</v>
      </c>
      <c r="K1370">
        <f>I1370*J1370</f>
        <v>592</v>
      </c>
      <c r="L1370">
        <f>100*(1-(M1370/K1370))</f>
        <v>40</v>
      </c>
      <c r="M1370">
        <f>I1370*SUM(M1371)</f>
        <v>355.2</v>
      </c>
      <c r="N1370" s="90">
        <v>1370</v>
      </c>
      <c r="O1370" s="90" t="s">
        <v>3360</v>
      </c>
      <c r="R1370" s="90" t="s">
        <v>4540</v>
      </c>
      <c r="S1370" s="90" t="s">
        <v>5604</v>
      </c>
      <c r="T1370" s="90" t="s">
        <v>6102</v>
      </c>
      <c r="U1370" s="90" t="s">
        <v>5080</v>
      </c>
    </row>
    <row r="1371" spans="1:21" x14ac:dyDescent="0.25">
      <c r="A1371" s="90" t="s">
        <v>3361</v>
      </c>
      <c r="B1371" s="119">
        <v>6</v>
      </c>
      <c r="C1371" s="90" t="s">
        <v>3358</v>
      </c>
      <c r="D1371" s="90" t="s">
        <v>78</v>
      </c>
      <c r="E1371">
        <v>2733</v>
      </c>
      <c r="F1371">
        <v>2734</v>
      </c>
      <c r="G1371" s="93" t="s">
        <v>78</v>
      </c>
      <c r="H1371" t="s">
        <v>3362</v>
      </c>
      <c r="I1371">
        <v>1</v>
      </c>
      <c r="J1371">
        <v>592</v>
      </c>
      <c r="K1371">
        <f>I1371*J1371</f>
        <v>592</v>
      </c>
      <c r="L1371">
        <v>40</v>
      </c>
      <c r="M1371">
        <f>(1-(L1371/100))*K1371</f>
        <v>355.2</v>
      </c>
      <c r="N1371" s="90">
        <v>1371</v>
      </c>
      <c r="O1371" s="90" t="s">
        <v>3363</v>
      </c>
    </row>
    <row r="1372" spans="1:21" x14ac:dyDescent="0.25">
      <c r="A1372" s="90" t="s">
        <v>3364</v>
      </c>
      <c r="B1372" s="119">
        <v>3</v>
      </c>
      <c r="C1372" s="90" t="s">
        <v>3273</v>
      </c>
      <c r="D1372" s="90" t="s">
        <v>80</v>
      </c>
      <c r="E1372">
        <v>2738</v>
      </c>
      <c r="F1372">
        <v>2747</v>
      </c>
      <c r="G1372" s="93" t="s">
        <v>68</v>
      </c>
      <c r="H1372" t="s">
        <v>3365</v>
      </c>
      <c r="I1372">
        <v>1</v>
      </c>
      <c r="J1372">
        <f>SUM(K1373,K1375)</f>
        <v>1984.10798421</v>
      </c>
      <c r="K1372">
        <f>I1372*J1372</f>
        <v>1984.10798421</v>
      </c>
      <c r="L1372">
        <f>100*(1-(M1372/K1372))</f>
        <v>40</v>
      </c>
      <c r="M1372">
        <f>I1372*SUM(M1373,M1375)</f>
        <v>1190.4647905259999</v>
      </c>
      <c r="N1372" s="90">
        <v>1372</v>
      </c>
      <c r="O1372" s="90" t="s">
        <v>3366</v>
      </c>
      <c r="R1372" s="90" t="s">
        <v>6401</v>
      </c>
      <c r="S1372" s="90" t="s">
        <v>6704</v>
      </c>
      <c r="T1372" s="90" t="s">
        <v>6849</v>
      </c>
      <c r="U1372" s="90" t="s">
        <v>6553</v>
      </c>
    </row>
    <row r="1373" spans="1:21" x14ac:dyDescent="0.25">
      <c r="A1373" s="90" t="s">
        <v>3367</v>
      </c>
      <c r="B1373" s="119">
        <v>4</v>
      </c>
      <c r="C1373" s="90" t="s">
        <v>3364</v>
      </c>
      <c r="D1373" s="90" t="s">
        <v>78</v>
      </c>
      <c r="E1373">
        <v>2739</v>
      </c>
      <c r="F1373">
        <v>2742</v>
      </c>
      <c r="G1373" s="93" t="s">
        <v>68</v>
      </c>
      <c r="H1373" t="s">
        <v>1246</v>
      </c>
      <c r="I1373">
        <v>1</v>
      </c>
      <c r="J1373">
        <f>SUM(K1374)</f>
        <v>967.93582071000003</v>
      </c>
      <c r="K1373">
        <f>I1373*J1373</f>
        <v>967.93582071000003</v>
      </c>
      <c r="L1373">
        <f>100*(1-(M1373/K1373))</f>
        <v>40</v>
      </c>
      <c r="M1373">
        <f>I1373*SUM(M1374)</f>
        <v>580.76149242600002</v>
      </c>
      <c r="N1373" s="90">
        <v>1373</v>
      </c>
      <c r="O1373" s="90" t="s">
        <v>3368</v>
      </c>
      <c r="R1373" s="90" t="s">
        <v>4541</v>
      </c>
      <c r="S1373" s="90" t="s">
        <v>5605</v>
      </c>
      <c r="T1373" s="90" t="s">
        <v>6103</v>
      </c>
      <c r="U1373" s="90" t="s">
        <v>5081</v>
      </c>
    </row>
    <row r="1374" spans="1:21" x14ac:dyDescent="0.25">
      <c r="A1374" s="90" t="s">
        <v>3369</v>
      </c>
      <c r="B1374" s="119">
        <v>5</v>
      </c>
      <c r="C1374" s="90" t="s">
        <v>3367</v>
      </c>
      <c r="D1374" s="90" t="s">
        <v>78</v>
      </c>
      <c r="E1374">
        <v>2740</v>
      </c>
      <c r="F1374">
        <v>2741</v>
      </c>
      <c r="G1374" s="93" t="s">
        <v>78</v>
      </c>
      <c r="H1374" t="s">
        <v>120</v>
      </c>
      <c r="I1374">
        <v>1</v>
      </c>
      <c r="J1374">
        <v>967.93582071000003</v>
      </c>
      <c r="K1374">
        <f>I1374*J1374</f>
        <v>967.93582071000003</v>
      </c>
      <c r="L1374">
        <v>40</v>
      </c>
      <c r="M1374">
        <f>(1-(L1374/100))*K1374</f>
        <v>580.76149242600002</v>
      </c>
      <c r="N1374" s="90">
        <v>1374</v>
      </c>
      <c r="O1374" s="90" t="s">
        <v>3370</v>
      </c>
    </row>
    <row r="1375" spans="1:21" x14ac:dyDescent="0.25">
      <c r="A1375" s="90" t="s">
        <v>3371</v>
      </c>
      <c r="B1375" s="119">
        <v>4</v>
      </c>
      <c r="C1375" s="90" t="s">
        <v>3364</v>
      </c>
      <c r="D1375" s="90" t="s">
        <v>79</v>
      </c>
      <c r="E1375">
        <v>2743</v>
      </c>
      <c r="F1375">
        <v>2746</v>
      </c>
      <c r="G1375" s="93" t="s">
        <v>68</v>
      </c>
      <c r="H1375" t="s">
        <v>3372</v>
      </c>
      <c r="I1375">
        <v>2</v>
      </c>
      <c r="J1375">
        <f>SUM(K1376)</f>
        <v>508.08608175000001</v>
      </c>
      <c r="K1375">
        <f>I1375*J1375</f>
        <v>1016.1721635</v>
      </c>
      <c r="L1375">
        <f>100*(1-(M1375/K1375))</f>
        <v>40</v>
      </c>
      <c r="M1375">
        <f>I1375*SUM(M1376)</f>
        <v>609.70329809999998</v>
      </c>
      <c r="N1375" s="90">
        <v>1375</v>
      </c>
      <c r="O1375" s="90" t="s">
        <v>3373</v>
      </c>
      <c r="R1375" s="90" t="s">
        <v>4542</v>
      </c>
      <c r="S1375" s="90" t="s">
        <v>5606</v>
      </c>
      <c r="T1375" s="90" t="s">
        <v>6104</v>
      </c>
      <c r="U1375" s="90" t="s">
        <v>5082</v>
      </c>
    </row>
    <row r="1376" spans="1:21" x14ac:dyDescent="0.25">
      <c r="A1376" s="90" t="s">
        <v>3374</v>
      </c>
      <c r="B1376" s="119">
        <v>5</v>
      </c>
      <c r="C1376" s="90" t="s">
        <v>3371</v>
      </c>
      <c r="D1376" s="90" t="s">
        <v>78</v>
      </c>
      <c r="E1376">
        <v>2744</v>
      </c>
      <c r="F1376">
        <v>2745</v>
      </c>
      <c r="G1376" s="93" t="s">
        <v>78</v>
      </c>
      <c r="H1376" t="s">
        <v>3353</v>
      </c>
      <c r="I1376">
        <v>1</v>
      </c>
      <c r="J1376">
        <v>508.08608175000001</v>
      </c>
      <c r="K1376">
        <f>I1376*J1376</f>
        <v>508.08608175000001</v>
      </c>
      <c r="L1376">
        <v>40</v>
      </c>
      <c r="M1376">
        <f>(1-(L1376/100))*K1376</f>
        <v>304.85164904999999</v>
      </c>
      <c r="N1376" s="90">
        <v>1376</v>
      </c>
      <c r="O1376" s="90" t="s">
        <v>3375</v>
      </c>
    </row>
    <row r="1377" spans="1:21" x14ac:dyDescent="0.25">
      <c r="A1377" s="90" t="s">
        <v>3376</v>
      </c>
      <c r="B1377" s="119">
        <v>3</v>
      </c>
      <c r="C1377" s="90" t="s">
        <v>3273</v>
      </c>
      <c r="D1377" s="90" t="s">
        <v>95</v>
      </c>
      <c r="E1377">
        <v>2748</v>
      </c>
      <c r="F1377">
        <v>2763</v>
      </c>
      <c r="G1377" s="93" t="s">
        <v>68</v>
      </c>
      <c r="H1377" t="s">
        <v>3377</v>
      </c>
      <c r="I1377">
        <v>1</v>
      </c>
      <c r="J1377">
        <f>SUM(K1378,K1380)</f>
        <v>2719.84</v>
      </c>
      <c r="K1377">
        <f>I1377*J1377</f>
        <v>2719.84</v>
      </c>
      <c r="L1377">
        <f>100*(1-(M1377/K1377))</f>
        <v>40</v>
      </c>
      <c r="M1377">
        <f>I1377*SUM(M1378,M1380)</f>
        <v>1631.904</v>
      </c>
      <c r="N1377" s="90">
        <v>1377</v>
      </c>
      <c r="O1377" s="90" t="s">
        <v>3378</v>
      </c>
      <c r="R1377" s="90" t="s">
        <v>6402</v>
      </c>
      <c r="S1377" s="90" t="s">
        <v>6705</v>
      </c>
      <c r="T1377" s="90" t="s">
        <v>6850</v>
      </c>
      <c r="U1377" s="90" t="s">
        <v>6554</v>
      </c>
    </row>
    <row r="1378" spans="1:21" x14ac:dyDescent="0.25">
      <c r="A1378" s="90" t="s">
        <v>3379</v>
      </c>
      <c r="B1378" s="119">
        <v>4</v>
      </c>
      <c r="C1378" s="90" t="s">
        <v>3376</v>
      </c>
      <c r="D1378" s="90" t="s">
        <v>78</v>
      </c>
      <c r="E1378">
        <v>2749</v>
      </c>
      <c r="F1378">
        <v>2752</v>
      </c>
      <c r="G1378" s="93" t="s">
        <v>68</v>
      </c>
      <c r="H1378" t="s">
        <v>104</v>
      </c>
      <c r="I1378">
        <v>1</v>
      </c>
      <c r="J1378">
        <f>SUM(K1379)</f>
        <v>1419</v>
      </c>
      <c r="K1378">
        <f>I1378*J1378</f>
        <v>1419</v>
      </c>
      <c r="L1378">
        <f>100*(1-(M1378/K1378))</f>
        <v>40</v>
      </c>
      <c r="M1378">
        <f>I1378*SUM(M1379)</f>
        <v>851.4</v>
      </c>
      <c r="N1378" s="90">
        <v>1378</v>
      </c>
      <c r="O1378" s="90" t="s">
        <v>3380</v>
      </c>
      <c r="R1378" s="90" t="s">
        <v>4543</v>
      </c>
      <c r="S1378" s="90" t="s">
        <v>5607</v>
      </c>
      <c r="T1378" s="90" t="s">
        <v>6105</v>
      </c>
      <c r="U1378" s="90" t="s">
        <v>5083</v>
      </c>
    </row>
    <row r="1379" spans="1:21" x14ac:dyDescent="0.25">
      <c r="A1379" s="90" t="s">
        <v>3381</v>
      </c>
      <c r="B1379" s="119">
        <v>5</v>
      </c>
      <c r="C1379" s="90" t="s">
        <v>3379</v>
      </c>
      <c r="D1379" s="90" t="s">
        <v>78</v>
      </c>
      <c r="E1379">
        <v>2750</v>
      </c>
      <c r="F1379">
        <v>2751</v>
      </c>
      <c r="G1379" s="93" t="s">
        <v>78</v>
      </c>
      <c r="H1379" t="s">
        <v>105</v>
      </c>
      <c r="I1379">
        <v>1</v>
      </c>
      <c r="J1379">
        <v>1419</v>
      </c>
      <c r="K1379">
        <f>I1379*J1379</f>
        <v>1419</v>
      </c>
      <c r="L1379">
        <v>40</v>
      </c>
      <c r="M1379">
        <f>(1-(L1379/100))*K1379</f>
        <v>851.4</v>
      </c>
      <c r="N1379" s="90">
        <v>1379</v>
      </c>
      <c r="O1379" s="90" t="s">
        <v>3382</v>
      </c>
    </row>
    <row r="1380" spans="1:21" x14ac:dyDescent="0.25">
      <c r="A1380" s="90" t="s">
        <v>3383</v>
      </c>
      <c r="B1380" s="119">
        <v>4</v>
      </c>
      <c r="C1380" s="90" t="s">
        <v>3376</v>
      </c>
      <c r="D1380" s="90" t="s">
        <v>79</v>
      </c>
      <c r="E1380">
        <v>2753</v>
      </c>
      <c r="F1380">
        <v>2762</v>
      </c>
      <c r="G1380" s="93" t="s">
        <v>68</v>
      </c>
      <c r="H1380" t="s">
        <v>108</v>
      </c>
      <c r="I1380">
        <v>1</v>
      </c>
      <c r="J1380">
        <f>SUM(K1381,K1382,K1383,K1384)</f>
        <v>1300.8400000000001</v>
      </c>
      <c r="K1380">
        <f>I1380*J1380</f>
        <v>1300.8400000000001</v>
      </c>
      <c r="L1380">
        <f>100*(1-(M1380/K1380))</f>
        <v>40.000000000000014</v>
      </c>
      <c r="M1380">
        <f>I1380*SUM(M1381,M1382,M1383,M1384)</f>
        <v>780.50399999999991</v>
      </c>
      <c r="N1380" s="90">
        <v>1380</v>
      </c>
      <c r="O1380" s="90" t="s">
        <v>3384</v>
      </c>
      <c r="R1380" s="90" t="s">
        <v>4544</v>
      </c>
      <c r="S1380" s="90" t="s">
        <v>5608</v>
      </c>
      <c r="T1380" s="90" t="s">
        <v>6106</v>
      </c>
      <c r="U1380" s="90" t="s">
        <v>5084</v>
      </c>
    </row>
    <row r="1381" spans="1:21" x14ac:dyDescent="0.25">
      <c r="A1381" s="90" t="s">
        <v>3385</v>
      </c>
      <c r="B1381" s="119">
        <v>5</v>
      </c>
      <c r="C1381" s="90" t="s">
        <v>3383</v>
      </c>
      <c r="D1381" s="90" t="s">
        <v>78</v>
      </c>
      <c r="E1381">
        <v>2754</v>
      </c>
      <c r="F1381">
        <v>2755</v>
      </c>
      <c r="G1381" s="93" t="s">
        <v>78</v>
      </c>
      <c r="H1381" t="s">
        <v>109</v>
      </c>
      <c r="I1381">
        <v>1</v>
      </c>
      <c r="J1381">
        <v>290.63</v>
      </c>
      <c r="K1381">
        <f>I1381*J1381</f>
        <v>290.63</v>
      </c>
      <c r="L1381">
        <v>40</v>
      </c>
      <c r="M1381">
        <f>(1-(L1381/100))*K1381</f>
        <v>174.37799999999999</v>
      </c>
      <c r="N1381" s="90">
        <v>1381</v>
      </c>
      <c r="O1381" s="90" t="s">
        <v>3386</v>
      </c>
    </row>
    <row r="1382" spans="1:21" x14ac:dyDescent="0.25">
      <c r="A1382" s="90" t="s">
        <v>3387</v>
      </c>
      <c r="B1382" s="119">
        <v>5</v>
      </c>
      <c r="C1382" s="90" t="s">
        <v>3383</v>
      </c>
      <c r="D1382" s="90" t="s">
        <v>79</v>
      </c>
      <c r="E1382">
        <v>2756</v>
      </c>
      <c r="F1382">
        <v>2757</v>
      </c>
      <c r="G1382" s="93" t="s">
        <v>78</v>
      </c>
      <c r="H1382" t="s">
        <v>110</v>
      </c>
      <c r="I1382">
        <v>1</v>
      </c>
      <c r="J1382">
        <v>297</v>
      </c>
      <c r="K1382">
        <f>I1382*J1382</f>
        <v>297</v>
      </c>
      <c r="L1382">
        <v>40</v>
      </c>
      <c r="M1382">
        <f>(1-(L1382/100))*K1382</f>
        <v>178.2</v>
      </c>
      <c r="N1382" s="90">
        <v>1382</v>
      </c>
      <c r="O1382" s="90" t="s">
        <v>3388</v>
      </c>
    </row>
    <row r="1383" spans="1:21" x14ac:dyDescent="0.25">
      <c r="A1383" s="90" t="s">
        <v>3389</v>
      </c>
      <c r="B1383" s="119">
        <v>5</v>
      </c>
      <c r="C1383" s="90" t="s">
        <v>3383</v>
      </c>
      <c r="D1383" s="90" t="s">
        <v>80</v>
      </c>
      <c r="E1383">
        <v>2758</v>
      </c>
      <c r="F1383">
        <v>2759</v>
      </c>
      <c r="G1383" s="93" t="s">
        <v>78</v>
      </c>
      <c r="H1383" t="s">
        <v>105</v>
      </c>
      <c r="I1383">
        <v>0</v>
      </c>
      <c r="J1383">
        <v>1419</v>
      </c>
      <c r="K1383">
        <f>I1383*J1383</f>
        <v>0</v>
      </c>
      <c r="L1383">
        <v>40</v>
      </c>
      <c r="M1383">
        <f>(1-(L1383/100))*K1383</f>
        <v>0</v>
      </c>
      <c r="N1383" s="90">
        <v>1383</v>
      </c>
      <c r="O1383" s="90" t="s">
        <v>3390</v>
      </c>
    </row>
    <row r="1384" spans="1:21" x14ac:dyDescent="0.25">
      <c r="A1384" s="90" t="s">
        <v>3391</v>
      </c>
      <c r="B1384" s="119">
        <v>5</v>
      </c>
      <c r="C1384" s="90" t="s">
        <v>3383</v>
      </c>
      <c r="D1384" s="90" t="s">
        <v>95</v>
      </c>
      <c r="E1384">
        <v>2760</v>
      </c>
      <c r="F1384">
        <v>2761</v>
      </c>
      <c r="G1384" s="93" t="s">
        <v>78</v>
      </c>
      <c r="H1384" t="s">
        <v>111</v>
      </c>
      <c r="I1384">
        <v>1</v>
      </c>
      <c r="J1384">
        <v>713.21</v>
      </c>
      <c r="K1384">
        <f>I1384*J1384</f>
        <v>713.21</v>
      </c>
      <c r="L1384">
        <v>40</v>
      </c>
      <c r="M1384">
        <f>(1-(L1384/100))*K1384</f>
        <v>427.92599999999999</v>
      </c>
      <c r="N1384" s="90">
        <v>1384</v>
      </c>
      <c r="O1384" s="90" t="s">
        <v>3392</v>
      </c>
    </row>
    <row r="1385" spans="1:21" x14ac:dyDescent="0.25">
      <c r="A1385" s="90" t="s">
        <v>3393</v>
      </c>
      <c r="B1385" s="119">
        <v>3</v>
      </c>
      <c r="C1385" s="90" t="s">
        <v>3273</v>
      </c>
      <c r="D1385" s="90" t="s">
        <v>96</v>
      </c>
      <c r="E1385">
        <v>2764</v>
      </c>
      <c r="F1385">
        <v>2777</v>
      </c>
      <c r="G1385" s="93" t="s">
        <v>68</v>
      </c>
      <c r="H1385" t="s">
        <v>261</v>
      </c>
      <c r="I1385">
        <v>1</v>
      </c>
      <c r="J1385">
        <f>SUM(K1386,K1388)</f>
        <v>13283.713230629997</v>
      </c>
      <c r="K1385">
        <f>I1385*J1385</f>
        <v>13283.713230629997</v>
      </c>
      <c r="L1385">
        <f>100*(1-(M1385/K1385))</f>
        <v>39.999999999999993</v>
      </c>
      <c r="M1385">
        <f>I1385*SUM(M1386,M1388)</f>
        <v>7970.2279383779996</v>
      </c>
      <c r="N1385" s="90">
        <v>1385</v>
      </c>
      <c r="O1385" s="90" t="s">
        <v>3394</v>
      </c>
      <c r="R1385" s="90" t="s">
        <v>6403</v>
      </c>
      <c r="S1385" s="90" t="s">
        <v>6706</v>
      </c>
      <c r="T1385" s="90" t="s">
        <v>6851</v>
      </c>
      <c r="U1385" s="90" t="s">
        <v>6555</v>
      </c>
    </row>
    <row r="1386" spans="1:21" x14ac:dyDescent="0.25">
      <c r="A1386" s="90" t="s">
        <v>3395</v>
      </c>
      <c r="B1386" s="119">
        <v>4</v>
      </c>
      <c r="C1386" s="90" t="s">
        <v>3393</v>
      </c>
      <c r="D1386" s="90" t="s">
        <v>78</v>
      </c>
      <c r="E1386">
        <v>2765</v>
      </c>
      <c r="F1386">
        <v>2768</v>
      </c>
      <c r="G1386" s="93" t="s">
        <v>68</v>
      </c>
      <c r="H1386" t="s">
        <v>186</v>
      </c>
      <c r="I1386">
        <v>3</v>
      </c>
      <c r="J1386">
        <f>SUM(K1387)</f>
        <v>256.72991214000001</v>
      </c>
      <c r="K1386">
        <f>I1386*J1386</f>
        <v>770.18973642000003</v>
      </c>
      <c r="L1386">
        <f>100*(1-(M1386/K1386))</f>
        <v>39.999999999999993</v>
      </c>
      <c r="M1386">
        <f>I1386*SUM(M1387)</f>
        <v>462.11384185200006</v>
      </c>
      <c r="N1386" s="90">
        <v>1386</v>
      </c>
      <c r="O1386" s="90" t="s">
        <v>3396</v>
      </c>
      <c r="R1386" s="90" t="s">
        <v>4545</v>
      </c>
      <c r="S1386" s="90" t="s">
        <v>5609</v>
      </c>
      <c r="T1386" s="90" t="s">
        <v>6107</v>
      </c>
      <c r="U1386" s="90" t="s">
        <v>5085</v>
      </c>
    </row>
    <row r="1387" spans="1:21" x14ac:dyDescent="0.25">
      <c r="A1387" s="90" t="s">
        <v>3397</v>
      </c>
      <c r="B1387" s="119">
        <v>5</v>
      </c>
      <c r="C1387" s="90" t="s">
        <v>3395</v>
      </c>
      <c r="D1387" s="90" t="s">
        <v>78</v>
      </c>
      <c r="E1387">
        <v>2766</v>
      </c>
      <c r="F1387">
        <v>2767</v>
      </c>
      <c r="G1387" s="93" t="s">
        <v>78</v>
      </c>
      <c r="H1387" t="s">
        <v>187</v>
      </c>
      <c r="I1387">
        <v>1</v>
      </c>
      <c r="J1387">
        <v>256.72991214000001</v>
      </c>
      <c r="K1387">
        <f>I1387*J1387</f>
        <v>256.72991214000001</v>
      </c>
      <c r="L1387">
        <v>40</v>
      </c>
      <c r="M1387">
        <f>(1-(L1387/100))*K1387</f>
        <v>154.03794728400001</v>
      </c>
      <c r="N1387" s="90">
        <v>1387</v>
      </c>
      <c r="O1387" s="90" t="s">
        <v>3398</v>
      </c>
    </row>
    <row r="1388" spans="1:21" x14ac:dyDescent="0.25">
      <c r="A1388" s="90" t="s">
        <v>3399</v>
      </c>
      <c r="B1388" s="119">
        <v>4</v>
      </c>
      <c r="C1388" s="90" t="s">
        <v>3393</v>
      </c>
      <c r="D1388" s="90" t="s">
        <v>79</v>
      </c>
      <c r="E1388">
        <v>2769</v>
      </c>
      <c r="F1388">
        <v>2776</v>
      </c>
      <c r="G1388" s="93" t="s">
        <v>68</v>
      </c>
      <c r="H1388" t="s">
        <v>264</v>
      </c>
      <c r="I1388">
        <v>1</v>
      </c>
      <c r="J1388">
        <f>SUM(K1389,K1390,K1391)</f>
        <v>12513.523494209998</v>
      </c>
      <c r="K1388">
        <f>I1388*J1388</f>
        <v>12513.523494209998</v>
      </c>
      <c r="L1388">
        <f>100*(1-(M1388/K1388))</f>
        <v>39.999999999999993</v>
      </c>
      <c r="M1388">
        <f>I1388*SUM(M1389,M1390,M1391)</f>
        <v>7508.1140965259992</v>
      </c>
      <c r="N1388" s="90">
        <v>1388</v>
      </c>
      <c r="O1388" s="90" t="s">
        <v>3400</v>
      </c>
      <c r="R1388" s="90" t="s">
        <v>4546</v>
      </c>
      <c r="S1388" s="90" t="s">
        <v>5610</v>
      </c>
      <c r="T1388" s="90" t="s">
        <v>6108</v>
      </c>
      <c r="U1388" s="90" t="s">
        <v>5086</v>
      </c>
    </row>
    <row r="1389" spans="1:21" x14ac:dyDescent="0.25">
      <c r="A1389" s="90" t="s">
        <v>3401</v>
      </c>
      <c r="B1389" s="119">
        <v>5</v>
      </c>
      <c r="C1389" s="90" t="s">
        <v>3399</v>
      </c>
      <c r="D1389" s="90" t="s">
        <v>78</v>
      </c>
      <c r="E1389">
        <v>2770</v>
      </c>
      <c r="F1389">
        <v>2771</v>
      </c>
      <c r="G1389" s="93" t="s">
        <v>78</v>
      </c>
      <c r="H1389" t="s">
        <v>189</v>
      </c>
      <c r="I1389">
        <v>1</v>
      </c>
      <c r="J1389">
        <v>10880.466063919999</v>
      </c>
      <c r="K1389">
        <f>I1389*J1389</f>
        <v>10880.466063919999</v>
      </c>
      <c r="L1389">
        <v>40</v>
      </c>
      <c r="M1389">
        <f>(1-(L1389/100))*K1389</f>
        <v>6528.279638351999</v>
      </c>
      <c r="N1389" s="90">
        <v>1389</v>
      </c>
      <c r="O1389" s="90" t="s">
        <v>3402</v>
      </c>
    </row>
    <row r="1390" spans="1:21" x14ac:dyDescent="0.25">
      <c r="A1390" s="90" t="s">
        <v>3403</v>
      </c>
      <c r="B1390" s="119">
        <v>5</v>
      </c>
      <c r="C1390" s="90" t="s">
        <v>3399</v>
      </c>
      <c r="D1390" s="90" t="s">
        <v>79</v>
      </c>
      <c r="E1390">
        <v>2772</v>
      </c>
      <c r="F1390">
        <v>2773</v>
      </c>
      <c r="G1390" s="93" t="s">
        <v>78</v>
      </c>
      <c r="H1390" t="s">
        <v>191</v>
      </c>
      <c r="I1390">
        <v>1</v>
      </c>
      <c r="J1390">
        <v>862.86769387000004</v>
      </c>
      <c r="K1390">
        <f>I1390*J1390</f>
        <v>862.86769387000004</v>
      </c>
      <c r="L1390">
        <v>40</v>
      </c>
      <c r="M1390">
        <f>(1-(L1390/100))*K1390</f>
        <v>517.72061632199996</v>
      </c>
      <c r="N1390" s="90">
        <v>1390</v>
      </c>
      <c r="O1390" s="90" t="s">
        <v>3404</v>
      </c>
    </row>
    <row r="1391" spans="1:21" x14ac:dyDescent="0.25">
      <c r="A1391" s="90" t="s">
        <v>3405</v>
      </c>
      <c r="B1391" s="119">
        <v>5</v>
      </c>
      <c r="C1391" s="90" t="s">
        <v>3399</v>
      </c>
      <c r="D1391" s="90" t="s">
        <v>80</v>
      </c>
      <c r="E1391">
        <v>2774</v>
      </c>
      <c r="F1391">
        <v>2775</v>
      </c>
      <c r="G1391" s="93" t="s">
        <v>78</v>
      </c>
      <c r="H1391" t="s">
        <v>187</v>
      </c>
      <c r="I1391">
        <v>3</v>
      </c>
      <c r="J1391">
        <v>256.72991214000001</v>
      </c>
      <c r="K1391">
        <f>I1391*J1391</f>
        <v>770.18973642000003</v>
      </c>
      <c r="L1391">
        <v>40</v>
      </c>
      <c r="M1391">
        <f>(1-(L1391/100))*K1391</f>
        <v>462.11384185200001</v>
      </c>
      <c r="N1391" s="90">
        <v>1391</v>
      </c>
      <c r="O1391" s="90" t="s">
        <v>3406</v>
      </c>
    </row>
    <row r="1392" spans="1:21" x14ac:dyDescent="0.25">
      <c r="A1392" s="90" t="s">
        <v>3407</v>
      </c>
      <c r="B1392" s="119">
        <v>3</v>
      </c>
      <c r="C1392" s="90" t="s">
        <v>3273</v>
      </c>
      <c r="D1392" s="90" t="s">
        <v>103</v>
      </c>
      <c r="E1392">
        <v>2778</v>
      </c>
      <c r="F1392">
        <v>2823</v>
      </c>
      <c r="G1392" s="93" t="s">
        <v>68</v>
      </c>
      <c r="H1392" t="s">
        <v>715</v>
      </c>
      <c r="I1392">
        <v>1</v>
      </c>
      <c r="J1392">
        <f>SUM(K1393,K1395,K1397)</f>
        <v>19932.446198919999</v>
      </c>
      <c r="K1392">
        <f>I1392*J1392</f>
        <v>19932.446198919999</v>
      </c>
      <c r="L1392">
        <f>100*(1-(M1392/K1392))</f>
        <v>39.999999999999993</v>
      </c>
      <c r="M1392">
        <f>I1392*SUM(M1393,M1395,M1397)</f>
        <v>11959.467719352</v>
      </c>
      <c r="N1392" s="90">
        <v>1392</v>
      </c>
      <c r="O1392" s="90" t="s">
        <v>3408</v>
      </c>
      <c r="R1392" s="90" t="s">
        <v>6404</v>
      </c>
      <c r="S1392" s="90" t="s">
        <v>6707</v>
      </c>
      <c r="T1392" s="90" t="s">
        <v>6852</v>
      </c>
      <c r="U1392" s="90" t="s">
        <v>6556</v>
      </c>
    </row>
    <row r="1393" spans="1:21" x14ac:dyDescent="0.25">
      <c r="A1393" s="90" t="s">
        <v>3409</v>
      </c>
      <c r="B1393" s="119">
        <v>4</v>
      </c>
      <c r="C1393" s="90" t="s">
        <v>3407</v>
      </c>
      <c r="D1393" s="90" t="s">
        <v>78</v>
      </c>
      <c r="E1393">
        <v>2779</v>
      </c>
      <c r="F1393">
        <v>2782</v>
      </c>
      <c r="G1393" s="93" t="s">
        <v>68</v>
      </c>
      <c r="H1393" t="s">
        <v>449</v>
      </c>
      <c r="I1393">
        <v>3</v>
      </c>
      <c r="J1393">
        <f>SUM(K1394)</f>
        <v>214.52947918000001</v>
      </c>
      <c r="K1393">
        <f>I1393*J1393</f>
        <v>643.58843754000009</v>
      </c>
      <c r="L1393">
        <f>100*(1-(M1393/K1393))</f>
        <v>40</v>
      </c>
      <c r="M1393">
        <f>I1393*SUM(M1394)</f>
        <v>386.15306252400001</v>
      </c>
      <c r="N1393" s="90">
        <v>1393</v>
      </c>
      <c r="O1393" s="90" t="s">
        <v>3410</v>
      </c>
      <c r="R1393" s="90" t="s">
        <v>4547</v>
      </c>
      <c r="S1393" s="90" t="s">
        <v>5611</v>
      </c>
      <c r="T1393" s="90" t="s">
        <v>6109</v>
      </c>
      <c r="U1393" s="90" t="s">
        <v>5087</v>
      </c>
    </row>
    <row r="1394" spans="1:21" x14ac:dyDescent="0.25">
      <c r="A1394" s="90" t="s">
        <v>3411</v>
      </c>
      <c r="B1394" s="119">
        <v>5</v>
      </c>
      <c r="C1394" s="90" t="s">
        <v>3409</v>
      </c>
      <c r="D1394" s="90" t="s">
        <v>78</v>
      </c>
      <c r="E1394">
        <v>2780</v>
      </c>
      <c r="F1394">
        <v>2781</v>
      </c>
      <c r="G1394" s="93" t="s">
        <v>78</v>
      </c>
      <c r="H1394" t="s">
        <v>194</v>
      </c>
      <c r="I1394">
        <v>1</v>
      </c>
      <c r="J1394">
        <v>214.52947918000001</v>
      </c>
      <c r="K1394">
        <f>I1394*J1394</f>
        <v>214.52947918000001</v>
      </c>
      <c r="L1394">
        <v>40</v>
      </c>
      <c r="M1394">
        <f>(1-(L1394/100))*K1394</f>
        <v>128.71768750800001</v>
      </c>
      <c r="N1394" s="90">
        <v>1394</v>
      </c>
      <c r="O1394" s="90" t="s">
        <v>3412</v>
      </c>
    </row>
    <row r="1395" spans="1:21" x14ac:dyDescent="0.25">
      <c r="A1395" s="90" t="s">
        <v>3413</v>
      </c>
      <c r="B1395" s="119">
        <v>4</v>
      </c>
      <c r="C1395" s="90" t="s">
        <v>3407</v>
      </c>
      <c r="D1395" s="90" t="s">
        <v>79</v>
      </c>
      <c r="E1395">
        <v>2783</v>
      </c>
      <c r="F1395">
        <v>2786</v>
      </c>
      <c r="G1395" s="93" t="s">
        <v>68</v>
      </c>
      <c r="H1395" t="s">
        <v>452</v>
      </c>
      <c r="I1395">
        <v>12</v>
      </c>
      <c r="J1395">
        <f>SUM(K1396)</f>
        <v>214.52947918000001</v>
      </c>
      <c r="K1395">
        <f>I1395*J1395</f>
        <v>2574.3537501600003</v>
      </c>
      <c r="L1395">
        <f>100*(1-(M1395/K1395))</f>
        <v>40</v>
      </c>
      <c r="M1395">
        <f>I1395*SUM(M1396)</f>
        <v>1544.612250096</v>
      </c>
      <c r="N1395" s="90">
        <v>1395</v>
      </c>
      <c r="O1395" s="90" t="s">
        <v>3414</v>
      </c>
      <c r="R1395" s="90" t="s">
        <v>4548</v>
      </c>
      <c r="S1395" s="90" t="s">
        <v>5612</v>
      </c>
      <c r="T1395" s="90" t="s">
        <v>6110</v>
      </c>
      <c r="U1395" s="90" t="s">
        <v>5088</v>
      </c>
    </row>
    <row r="1396" spans="1:21" x14ac:dyDescent="0.25">
      <c r="A1396" s="90" t="s">
        <v>3415</v>
      </c>
      <c r="B1396" s="119">
        <v>5</v>
      </c>
      <c r="C1396" s="90" t="s">
        <v>3413</v>
      </c>
      <c r="D1396" s="90" t="s">
        <v>78</v>
      </c>
      <c r="E1396">
        <v>2784</v>
      </c>
      <c r="F1396">
        <v>2785</v>
      </c>
      <c r="G1396" s="93" t="s">
        <v>78</v>
      </c>
      <c r="H1396" t="s">
        <v>196</v>
      </c>
      <c r="I1396">
        <v>1</v>
      </c>
      <c r="J1396">
        <v>214.52947918000001</v>
      </c>
      <c r="K1396">
        <f>I1396*J1396</f>
        <v>214.52947918000001</v>
      </c>
      <c r="L1396">
        <v>40</v>
      </c>
      <c r="M1396">
        <f>(1-(L1396/100))*K1396</f>
        <v>128.71768750800001</v>
      </c>
      <c r="N1396" s="90">
        <v>1396</v>
      </c>
      <c r="O1396" s="90" t="s">
        <v>3416</v>
      </c>
    </row>
    <row r="1397" spans="1:21" x14ac:dyDescent="0.25">
      <c r="A1397" s="90" t="s">
        <v>3417</v>
      </c>
      <c r="B1397" s="119">
        <v>4</v>
      </c>
      <c r="C1397" s="90" t="s">
        <v>3407</v>
      </c>
      <c r="D1397" s="90" t="s">
        <v>80</v>
      </c>
      <c r="E1397">
        <v>2787</v>
      </c>
      <c r="F1397">
        <v>2822</v>
      </c>
      <c r="G1397" s="93" t="s">
        <v>68</v>
      </c>
      <c r="H1397" t="s">
        <v>720</v>
      </c>
      <c r="I1397">
        <v>1</v>
      </c>
      <c r="J1397">
        <f>SUM(K1398,K1399,K1400,K1401,K1402,K1403,K1404,K1405,K1406,K1407,K1408,K1409,K1410,K1411,K1412,K1413,K1414)</f>
        <v>16714.50401122</v>
      </c>
      <c r="K1397">
        <f>I1397*J1397</f>
        <v>16714.50401122</v>
      </c>
      <c r="L1397">
        <f>100*(1-(M1397/K1397))</f>
        <v>40</v>
      </c>
      <c r="M1397">
        <f>I1397*SUM(M1398,M1399,M1400,M1401,M1402,M1403,M1404,M1405,M1406,M1407,M1408,M1409,M1410,M1411,M1412,M1413,M1414)</f>
        <v>10028.702406732</v>
      </c>
      <c r="N1397" s="90">
        <v>1397</v>
      </c>
      <c r="O1397" s="90" t="s">
        <v>3418</v>
      </c>
      <c r="R1397" s="90" t="s">
        <v>4549</v>
      </c>
      <c r="S1397" s="90" t="s">
        <v>5613</v>
      </c>
      <c r="T1397" s="90" t="s">
        <v>6111</v>
      </c>
      <c r="U1397" s="90" t="s">
        <v>5089</v>
      </c>
    </row>
    <row r="1398" spans="1:21" x14ac:dyDescent="0.25">
      <c r="A1398" s="90" t="s">
        <v>3419</v>
      </c>
      <c r="B1398" s="119">
        <v>5</v>
      </c>
      <c r="C1398" s="90" t="s">
        <v>3417</v>
      </c>
      <c r="D1398" s="90" t="s">
        <v>78</v>
      </c>
      <c r="E1398">
        <v>2788</v>
      </c>
      <c r="F1398">
        <v>2789</v>
      </c>
      <c r="G1398" s="93" t="s">
        <v>78</v>
      </c>
      <c r="H1398" t="s">
        <v>139</v>
      </c>
      <c r="I1398">
        <v>0</v>
      </c>
      <c r="J1398">
        <v>2631.3510760200002</v>
      </c>
      <c r="K1398">
        <f>I1398*J1398</f>
        <v>0</v>
      </c>
      <c r="L1398">
        <v>40</v>
      </c>
      <c r="M1398">
        <f>(1-(L1398/100))*K1398</f>
        <v>0</v>
      </c>
      <c r="N1398" s="90">
        <v>1398</v>
      </c>
      <c r="O1398" s="90" t="s">
        <v>3420</v>
      </c>
    </row>
    <row r="1399" spans="1:21" x14ac:dyDescent="0.25">
      <c r="A1399" s="90" t="s">
        <v>3421</v>
      </c>
      <c r="B1399" s="119">
        <v>5</v>
      </c>
      <c r="C1399" s="90" t="s">
        <v>3417</v>
      </c>
      <c r="D1399" s="90" t="s">
        <v>79</v>
      </c>
      <c r="E1399">
        <v>2790</v>
      </c>
      <c r="F1399">
        <v>2791</v>
      </c>
      <c r="G1399" s="93" t="s">
        <v>78</v>
      </c>
      <c r="H1399" t="s">
        <v>126</v>
      </c>
      <c r="I1399">
        <v>1</v>
      </c>
      <c r="J1399">
        <v>491.93938622000002</v>
      </c>
      <c r="K1399">
        <f>I1399*J1399</f>
        <v>491.93938622000002</v>
      </c>
      <c r="L1399">
        <v>40</v>
      </c>
      <c r="M1399">
        <f>(1-(L1399/100))*K1399</f>
        <v>295.163631732</v>
      </c>
      <c r="N1399" s="90">
        <v>1399</v>
      </c>
      <c r="O1399" s="90" t="s">
        <v>3422</v>
      </c>
    </row>
    <row r="1400" spans="1:21" x14ac:dyDescent="0.25">
      <c r="A1400" s="90" t="s">
        <v>3423</v>
      </c>
      <c r="B1400" s="119">
        <v>5</v>
      </c>
      <c r="C1400" s="90" t="s">
        <v>3417</v>
      </c>
      <c r="D1400" s="90" t="s">
        <v>80</v>
      </c>
      <c r="E1400">
        <v>2792</v>
      </c>
      <c r="F1400">
        <v>2793</v>
      </c>
      <c r="G1400" s="93" t="s">
        <v>78</v>
      </c>
      <c r="H1400" t="s">
        <v>137</v>
      </c>
      <c r="I1400">
        <v>0</v>
      </c>
      <c r="J1400">
        <v>36.08811919</v>
      </c>
      <c r="K1400">
        <f>I1400*J1400</f>
        <v>0</v>
      </c>
      <c r="L1400">
        <v>40</v>
      </c>
      <c r="M1400">
        <f>(1-(L1400/100))*K1400</f>
        <v>0</v>
      </c>
      <c r="N1400" s="90">
        <v>1400</v>
      </c>
      <c r="O1400" s="90" t="s">
        <v>3424</v>
      </c>
    </row>
    <row r="1401" spans="1:21" x14ac:dyDescent="0.25">
      <c r="A1401" s="90" t="s">
        <v>3425</v>
      </c>
      <c r="B1401" s="119">
        <v>5</v>
      </c>
      <c r="C1401" s="90" t="s">
        <v>3417</v>
      </c>
      <c r="D1401" s="90" t="s">
        <v>95</v>
      </c>
      <c r="E1401">
        <v>2794</v>
      </c>
      <c r="F1401">
        <v>2795</v>
      </c>
      <c r="G1401" s="93" t="s">
        <v>78</v>
      </c>
      <c r="H1401" t="s">
        <v>458</v>
      </c>
      <c r="I1401">
        <v>1</v>
      </c>
      <c r="J1401">
        <v>537.64166561000002</v>
      </c>
      <c r="K1401">
        <f>I1401*J1401</f>
        <v>537.64166561000002</v>
      </c>
      <c r="L1401">
        <v>40</v>
      </c>
      <c r="M1401">
        <f>(1-(L1401/100))*K1401</f>
        <v>322.58499936599998</v>
      </c>
      <c r="N1401" s="90">
        <v>1401</v>
      </c>
      <c r="O1401" s="90" t="s">
        <v>3426</v>
      </c>
    </row>
    <row r="1402" spans="1:21" x14ac:dyDescent="0.25">
      <c r="A1402" s="90" t="s">
        <v>3427</v>
      </c>
      <c r="B1402" s="119">
        <v>5</v>
      </c>
      <c r="C1402" s="90" t="s">
        <v>3417</v>
      </c>
      <c r="D1402" s="90" t="s">
        <v>96</v>
      </c>
      <c r="E1402">
        <v>2796</v>
      </c>
      <c r="F1402">
        <v>2797</v>
      </c>
      <c r="G1402" s="93" t="s">
        <v>78</v>
      </c>
      <c r="H1402" t="s">
        <v>123</v>
      </c>
      <c r="I1402">
        <v>1</v>
      </c>
      <c r="J1402">
        <v>313.76543995999998</v>
      </c>
      <c r="K1402">
        <f>I1402*J1402</f>
        <v>313.76543995999998</v>
      </c>
      <c r="L1402">
        <v>40</v>
      </c>
      <c r="M1402">
        <f>(1-(L1402/100))*K1402</f>
        <v>188.25926397599997</v>
      </c>
      <c r="N1402" s="90">
        <v>1402</v>
      </c>
      <c r="O1402" s="90" t="s">
        <v>3428</v>
      </c>
    </row>
    <row r="1403" spans="1:21" x14ac:dyDescent="0.25">
      <c r="A1403" s="90" t="s">
        <v>3429</v>
      </c>
      <c r="B1403" s="119">
        <v>5</v>
      </c>
      <c r="C1403" s="90" t="s">
        <v>3417</v>
      </c>
      <c r="D1403" s="90" t="s">
        <v>103</v>
      </c>
      <c r="E1403">
        <v>2798</v>
      </c>
      <c r="F1403">
        <v>2799</v>
      </c>
      <c r="G1403" s="93" t="s">
        <v>78</v>
      </c>
      <c r="H1403" t="s">
        <v>698</v>
      </c>
      <c r="I1403">
        <v>1</v>
      </c>
      <c r="J1403">
        <v>666.34407233000002</v>
      </c>
      <c r="K1403">
        <f>I1403*J1403</f>
        <v>666.34407233000002</v>
      </c>
      <c r="L1403">
        <v>40</v>
      </c>
      <c r="M1403">
        <f>(1-(L1403/100))*K1403</f>
        <v>399.806443398</v>
      </c>
      <c r="N1403" s="90">
        <v>1403</v>
      </c>
      <c r="O1403" s="90" t="s">
        <v>3430</v>
      </c>
    </row>
    <row r="1404" spans="1:21" x14ac:dyDescent="0.25">
      <c r="A1404" s="90" t="s">
        <v>3431</v>
      </c>
      <c r="B1404" s="119">
        <v>5</v>
      </c>
      <c r="C1404" s="90" t="s">
        <v>3417</v>
      </c>
      <c r="D1404" s="90" t="s">
        <v>796</v>
      </c>
      <c r="E1404">
        <v>2800</v>
      </c>
      <c r="F1404">
        <v>2801</v>
      </c>
      <c r="G1404" s="93" t="s">
        <v>78</v>
      </c>
      <c r="H1404" t="s">
        <v>120</v>
      </c>
      <c r="I1404">
        <v>1</v>
      </c>
      <c r="J1404">
        <v>967.93582071000003</v>
      </c>
      <c r="K1404">
        <f>I1404*J1404</f>
        <v>967.93582071000003</v>
      </c>
      <c r="L1404">
        <v>40</v>
      </c>
      <c r="M1404">
        <f>(1-(L1404/100))*K1404</f>
        <v>580.76149242600002</v>
      </c>
      <c r="N1404" s="90">
        <v>1404</v>
      </c>
      <c r="O1404" s="90" t="s">
        <v>3432</v>
      </c>
    </row>
    <row r="1405" spans="1:21" x14ac:dyDescent="0.25">
      <c r="A1405" s="90" t="s">
        <v>3433</v>
      </c>
      <c r="B1405" s="119">
        <v>5</v>
      </c>
      <c r="C1405" s="90" t="s">
        <v>3417</v>
      </c>
      <c r="D1405" s="90" t="s">
        <v>797</v>
      </c>
      <c r="E1405">
        <v>2802</v>
      </c>
      <c r="F1405">
        <v>2803</v>
      </c>
      <c r="G1405" s="93" t="s">
        <v>78</v>
      </c>
      <c r="H1405" t="s">
        <v>125</v>
      </c>
      <c r="I1405">
        <v>1</v>
      </c>
      <c r="J1405">
        <v>967.93582071000003</v>
      </c>
      <c r="K1405">
        <f>I1405*J1405</f>
        <v>967.93582071000003</v>
      </c>
      <c r="L1405">
        <v>40</v>
      </c>
      <c r="M1405">
        <f>(1-(L1405/100))*K1405</f>
        <v>580.76149242600002</v>
      </c>
      <c r="N1405" s="90">
        <v>1405</v>
      </c>
      <c r="O1405" s="90" t="s">
        <v>3434</v>
      </c>
    </row>
    <row r="1406" spans="1:21" x14ac:dyDescent="0.25">
      <c r="A1406" s="90" t="s">
        <v>3435</v>
      </c>
      <c r="B1406" s="119">
        <v>5</v>
      </c>
      <c r="C1406" s="90" t="s">
        <v>3417</v>
      </c>
      <c r="D1406" s="90" t="s">
        <v>798</v>
      </c>
      <c r="E1406">
        <v>2804</v>
      </c>
      <c r="F1406">
        <v>2805</v>
      </c>
      <c r="G1406" s="93" t="s">
        <v>78</v>
      </c>
      <c r="H1406" t="s">
        <v>191</v>
      </c>
      <c r="I1406">
        <v>2</v>
      </c>
      <c r="J1406">
        <v>862.86769387000004</v>
      </c>
      <c r="K1406">
        <f>I1406*J1406</f>
        <v>1725.7353877400001</v>
      </c>
      <c r="L1406">
        <v>40</v>
      </c>
      <c r="M1406">
        <f>(1-(L1406/100))*K1406</f>
        <v>1035.4412326439999</v>
      </c>
      <c r="N1406" s="90">
        <v>1406</v>
      </c>
      <c r="O1406" s="90" t="s">
        <v>3436</v>
      </c>
    </row>
    <row r="1407" spans="1:21" x14ac:dyDescent="0.25">
      <c r="A1407" s="90" t="s">
        <v>3437</v>
      </c>
      <c r="B1407" s="119">
        <v>5</v>
      </c>
      <c r="C1407" s="90" t="s">
        <v>3417</v>
      </c>
      <c r="D1407" s="90" t="s">
        <v>799</v>
      </c>
      <c r="E1407">
        <v>2806</v>
      </c>
      <c r="F1407">
        <v>2807</v>
      </c>
      <c r="G1407" s="93" t="s">
        <v>78</v>
      </c>
      <c r="H1407" t="s">
        <v>203</v>
      </c>
      <c r="I1407">
        <v>1</v>
      </c>
      <c r="J1407">
        <v>2064.00101872</v>
      </c>
      <c r="K1407">
        <f>I1407*J1407</f>
        <v>2064.00101872</v>
      </c>
      <c r="L1407">
        <v>40</v>
      </c>
      <c r="M1407">
        <f>(1-(L1407/100))*K1407</f>
        <v>1238.4006112320001</v>
      </c>
      <c r="N1407" s="90">
        <v>1407</v>
      </c>
      <c r="O1407" s="90" t="s">
        <v>3438</v>
      </c>
    </row>
    <row r="1408" spans="1:21" x14ac:dyDescent="0.25">
      <c r="A1408" s="90" t="s">
        <v>3439</v>
      </c>
      <c r="B1408" s="119">
        <v>5</v>
      </c>
      <c r="C1408" s="90" t="s">
        <v>3417</v>
      </c>
      <c r="D1408" s="90" t="s">
        <v>97</v>
      </c>
      <c r="E1408">
        <v>2808</v>
      </c>
      <c r="F1408">
        <v>2809</v>
      </c>
      <c r="G1408" s="93" t="s">
        <v>78</v>
      </c>
      <c r="H1408" t="s">
        <v>193</v>
      </c>
      <c r="I1408">
        <v>1</v>
      </c>
      <c r="J1408">
        <v>7211.7152680500003</v>
      </c>
      <c r="K1408">
        <f>I1408*J1408</f>
        <v>7211.7152680500003</v>
      </c>
      <c r="L1408">
        <v>40</v>
      </c>
      <c r="M1408">
        <f>(1-(L1408/100))*K1408</f>
        <v>4327.0291608300004</v>
      </c>
      <c r="N1408" s="90">
        <v>1408</v>
      </c>
      <c r="O1408" s="90" t="s">
        <v>3440</v>
      </c>
    </row>
    <row r="1409" spans="1:21" x14ac:dyDescent="0.25">
      <c r="A1409" s="90" t="s">
        <v>3441</v>
      </c>
      <c r="B1409" s="119">
        <v>5</v>
      </c>
      <c r="C1409" s="90" t="s">
        <v>3417</v>
      </c>
      <c r="D1409" s="90" t="s">
        <v>98</v>
      </c>
      <c r="E1409">
        <v>2810</v>
      </c>
      <c r="F1409">
        <v>2811</v>
      </c>
      <c r="G1409" s="93" t="s">
        <v>78</v>
      </c>
      <c r="H1409" t="s">
        <v>194</v>
      </c>
      <c r="I1409">
        <v>0</v>
      </c>
      <c r="J1409">
        <v>214.52947918000001</v>
      </c>
      <c r="K1409">
        <f>I1409*J1409</f>
        <v>0</v>
      </c>
      <c r="L1409">
        <v>40</v>
      </c>
      <c r="M1409">
        <f>(1-(L1409/100))*K1409</f>
        <v>0</v>
      </c>
      <c r="N1409" s="90">
        <v>1409</v>
      </c>
      <c r="O1409" s="90" t="s">
        <v>3442</v>
      </c>
    </row>
    <row r="1410" spans="1:21" x14ac:dyDescent="0.25">
      <c r="A1410" s="90" t="s">
        <v>3443</v>
      </c>
      <c r="B1410" s="119">
        <v>5</v>
      </c>
      <c r="C1410" s="90" t="s">
        <v>3417</v>
      </c>
      <c r="D1410" s="90" t="s">
        <v>99</v>
      </c>
      <c r="E1410">
        <v>2812</v>
      </c>
      <c r="F1410">
        <v>2813</v>
      </c>
      <c r="G1410" s="93" t="s">
        <v>78</v>
      </c>
      <c r="H1410" t="s">
        <v>196</v>
      </c>
      <c r="I1410">
        <v>0</v>
      </c>
      <c r="J1410">
        <v>214.52947918000001</v>
      </c>
      <c r="K1410">
        <f>I1410*J1410</f>
        <v>0</v>
      </c>
      <c r="L1410">
        <v>40</v>
      </c>
      <c r="M1410">
        <f>(1-(L1410/100))*K1410</f>
        <v>0</v>
      </c>
      <c r="N1410" s="90">
        <v>1410</v>
      </c>
      <c r="O1410" s="90" t="s">
        <v>3444</v>
      </c>
    </row>
    <row r="1411" spans="1:21" x14ac:dyDescent="0.25">
      <c r="A1411" s="90" t="s">
        <v>3445</v>
      </c>
      <c r="B1411" s="119">
        <v>5</v>
      </c>
      <c r="C1411" s="90" t="s">
        <v>3417</v>
      </c>
      <c r="D1411" s="90" t="s">
        <v>100</v>
      </c>
      <c r="E1411">
        <v>2814</v>
      </c>
      <c r="F1411">
        <v>2815</v>
      </c>
      <c r="G1411" s="93" t="s">
        <v>78</v>
      </c>
      <c r="H1411" t="s">
        <v>187</v>
      </c>
      <c r="I1411">
        <v>3</v>
      </c>
      <c r="J1411">
        <v>256.72991214000001</v>
      </c>
      <c r="K1411">
        <f>I1411*J1411</f>
        <v>770.18973642000003</v>
      </c>
      <c r="L1411">
        <v>40</v>
      </c>
      <c r="M1411">
        <f>(1-(L1411/100))*K1411</f>
        <v>462.11384185200001</v>
      </c>
      <c r="N1411" s="90">
        <v>1411</v>
      </c>
      <c r="O1411" s="90" t="s">
        <v>3446</v>
      </c>
    </row>
    <row r="1412" spans="1:21" x14ac:dyDescent="0.25">
      <c r="A1412" s="90" t="s">
        <v>3447</v>
      </c>
      <c r="B1412" s="119">
        <v>5</v>
      </c>
      <c r="C1412" s="90" t="s">
        <v>3417</v>
      </c>
      <c r="D1412" s="90" t="s">
        <v>81</v>
      </c>
      <c r="E1412">
        <v>2816</v>
      </c>
      <c r="F1412">
        <v>2817</v>
      </c>
      <c r="G1412" s="93" t="s">
        <v>78</v>
      </c>
      <c r="H1412" t="s">
        <v>468</v>
      </c>
      <c r="I1412">
        <v>1</v>
      </c>
      <c r="J1412">
        <v>997.30039475000001</v>
      </c>
      <c r="K1412">
        <f>I1412*J1412</f>
        <v>997.30039475000001</v>
      </c>
      <c r="L1412">
        <v>40</v>
      </c>
      <c r="M1412">
        <f>(1-(L1412/100))*K1412</f>
        <v>598.38023684999996</v>
      </c>
      <c r="N1412" s="90">
        <v>1412</v>
      </c>
      <c r="O1412" s="90" t="s">
        <v>3448</v>
      </c>
    </row>
    <row r="1413" spans="1:21" x14ac:dyDescent="0.25">
      <c r="A1413" s="90" t="s">
        <v>3449</v>
      </c>
      <c r="B1413" s="119">
        <v>5</v>
      </c>
      <c r="C1413" s="90" t="s">
        <v>3417</v>
      </c>
      <c r="D1413" s="90" t="s">
        <v>83</v>
      </c>
      <c r="E1413">
        <v>2818</v>
      </c>
      <c r="F1413">
        <v>2819</v>
      </c>
      <c r="G1413" s="93" t="s">
        <v>78</v>
      </c>
      <c r="H1413" t="s">
        <v>119</v>
      </c>
      <c r="I1413">
        <v>0</v>
      </c>
      <c r="J1413">
        <v>594.85546925000006</v>
      </c>
      <c r="K1413">
        <f>I1413*J1413</f>
        <v>0</v>
      </c>
      <c r="L1413">
        <v>40</v>
      </c>
      <c r="M1413">
        <f>(1-(L1413/100))*K1413</f>
        <v>0</v>
      </c>
      <c r="N1413" s="90">
        <v>1413</v>
      </c>
      <c r="O1413" s="90" t="s">
        <v>3450</v>
      </c>
    </row>
    <row r="1414" spans="1:21" x14ac:dyDescent="0.25">
      <c r="A1414" s="90" t="s">
        <v>3451</v>
      </c>
      <c r="B1414" s="119">
        <v>5</v>
      </c>
      <c r="C1414" s="90" t="s">
        <v>3417</v>
      </c>
      <c r="D1414" s="90" t="s">
        <v>84</v>
      </c>
      <c r="E1414">
        <v>2820</v>
      </c>
      <c r="F1414">
        <v>2821</v>
      </c>
      <c r="G1414" s="93" t="s">
        <v>78</v>
      </c>
      <c r="H1414" t="s">
        <v>138</v>
      </c>
      <c r="I1414">
        <v>0</v>
      </c>
      <c r="J1414">
        <v>227.32713613000001</v>
      </c>
      <c r="K1414">
        <f>I1414*J1414</f>
        <v>0</v>
      </c>
      <c r="L1414">
        <v>40</v>
      </c>
      <c r="M1414">
        <f>(1-(L1414/100))*K1414</f>
        <v>0</v>
      </c>
      <c r="N1414" s="90">
        <v>1414</v>
      </c>
      <c r="O1414" s="90" t="s">
        <v>3452</v>
      </c>
    </row>
    <row r="1415" spans="1:21" x14ac:dyDescent="0.25">
      <c r="A1415" s="90" t="s">
        <v>3453</v>
      </c>
      <c r="B1415" s="119">
        <v>3</v>
      </c>
      <c r="C1415" s="90" t="s">
        <v>3273</v>
      </c>
      <c r="D1415" s="90" t="s">
        <v>796</v>
      </c>
      <c r="E1415">
        <v>2824</v>
      </c>
      <c r="F1415">
        <v>2841</v>
      </c>
      <c r="G1415" s="93" t="s">
        <v>68</v>
      </c>
      <c r="H1415" t="s">
        <v>3454</v>
      </c>
      <c r="I1415">
        <v>1</v>
      </c>
      <c r="J1415">
        <f>SUM(K1416)</f>
        <v>9458.1815866500001</v>
      </c>
      <c r="K1415">
        <f>I1415*J1415</f>
        <v>9458.1815866500001</v>
      </c>
      <c r="L1415">
        <f>100*(1-(M1415/K1415))</f>
        <v>39.999999999999993</v>
      </c>
      <c r="M1415">
        <f>I1415*SUM(M1416)</f>
        <v>5674.9089519900008</v>
      </c>
      <c r="N1415" s="90">
        <v>1415</v>
      </c>
      <c r="O1415" s="90" t="s">
        <v>3455</v>
      </c>
      <c r="R1415" s="90" t="s">
        <v>6944</v>
      </c>
      <c r="S1415" s="90" t="s">
        <v>7041</v>
      </c>
      <c r="T1415" s="90" t="s">
        <v>7087</v>
      </c>
      <c r="U1415" s="90" t="s">
        <v>6993</v>
      </c>
    </row>
    <row r="1416" spans="1:21" x14ac:dyDescent="0.25">
      <c r="A1416" s="90" t="s">
        <v>3456</v>
      </c>
      <c r="B1416" s="119">
        <v>4</v>
      </c>
      <c r="C1416" s="90" t="s">
        <v>3453</v>
      </c>
      <c r="D1416" s="90" t="s">
        <v>78</v>
      </c>
      <c r="E1416">
        <v>2825</v>
      </c>
      <c r="F1416">
        <v>2840</v>
      </c>
      <c r="G1416" s="93" t="s">
        <v>68</v>
      </c>
      <c r="H1416" t="s">
        <v>3457</v>
      </c>
      <c r="I1416">
        <v>1</v>
      </c>
      <c r="J1416">
        <f>SUM(K1417)</f>
        <v>9458.1815866500001</v>
      </c>
      <c r="K1416">
        <f>I1416*J1416</f>
        <v>9458.1815866500001</v>
      </c>
      <c r="L1416">
        <f>100*(1-(M1416/K1416))</f>
        <v>39.999999999999993</v>
      </c>
      <c r="M1416">
        <f>I1416*SUM(M1417)</f>
        <v>5674.9089519900008</v>
      </c>
      <c r="N1416" s="90">
        <v>1416</v>
      </c>
      <c r="O1416" s="90" t="s">
        <v>3458</v>
      </c>
      <c r="R1416" s="90" t="s">
        <v>6405</v>
      </c>
      <c r="S1416" s="90" t="s">
        <v>6708</v>
      </c>
      <c r="T1416" s="90" t="s">
        <v>6853</v>
      </c>
      <c r="U1416" s="90" t="s">
        <v>6557</v>
      </c>
    </row>
    <row r="1417" spans="1:21" x14ac:dyDescent="0.25">
      <c r="A1417" s="90" t="s">
        <v>3459</v>
      </c>
      <c r="B1417" s="119">
        <v>5</v>
      </c>
      <c r="C1417" s="90" t="s">
        <v>3456</v>
      </c>
      <c r="D1417" s="90" t="s">
        <v>78</v>
      </c>
      <c r="E1417">
        <v>2826</v>
      </c>
      <c r="F1417">
        <v>2839</v>
      </c>
      <c r="G1417" s="93" t="s">
        <v>68</v>
      </c>
      <c r="H1417" t="s">
        <v>1397</v>
      </c>
      <c r="I1417">
        <v>1</v>
      </c>
      <c r="J1417">
        <f>SUM(K1418,K1419,K1420,K1421,K1422,K1423)</f>
        <v>9458.1815866500001</v>
      </c>
      <c r="K1417">
        <f>I1417*J1417</f>
        <v>9458.1815866500001</v>
      </c>
      <c r="L1417">
        <f>100*(1-(M1417/K1417))</f>
        <v>39.999999999999993</v>
      </c>
      <c r="M1417">
        <f>I1417*SUM(M1418,M1419,M1420,M1421,M1422,M1423)</f>
        <v>5674.9089519900008</v>
      </c>
      <c r="N1417" s="90">
        <v>1417</v>
      </c>
      <c r="O1417" s="90" t="s">
        <v>3460</v>
      </c>
      <c r="R1417" s="90" t="s">
        <v>4550</v>
      </c>
      <c r="S1417" s="90" t="s">
        <v>5614</v>
      </c>
      <c r="T1417" s="90" t="s">
        <v>6112</v>
      </c>
      <c r="U1417" s="90" t="s">
        <v>5090</v>
      </c>
    </row>
    <row r="1418" spans="1:21" x14ac:dyDescent="0.25">
      <c r="A1418" s="90" t="s">
        <v>3461</v>
      </c>
      <c r="B1418" s="119">
        <v>6</v>
      </c>
      <c r="C1418" s="90" t="s">
        <v>3459</v>
      </c>
      <c r="D1418" s="90" t="s">
        <v>78</v>
      </c>
      <c r="E1418">
        <v>2827</v>
      </c>
      <c r="F1418">
        <v>2828</v>
      </c>
      <c r="G1418" s="93" t="s">
        <v>78</v>
      </c>
      <c r="H1418" t="s">
        <v>126</v>
      </c>
      <c r="I1418">
        <v>1</v>
      </c>
      <c r="J1418">
        <v>491.93938622000002</v>
      </c>
      <c r="K1418">
        <f>I1418*J1418</f>
        <v>491.93938622000002</v>
      </c>
      <c r="L1418">
        <v>40</v>
      </c>
      <c r="M1418">
        <f>(1-(L1418/100))*K1418</f>
        <v>295.163631732</v>
      </c>
      <c r="N1418" s="90">
        <v>1418</v>
      </c>
      <c r="O1418" s="90" t="s">
        <v>3462</v>
      </c>
    </row>
    <row r="1419" spans="1:21" x14ac:dyDescent="0.25">
      <c r="A1419" s="90" t="s">
        <v>3463</v>
      </c>
      <c r="B1419" s="119">
        <v>6</v>
      </c>
      <c r="C1419" s="90" t="s">
        <v>3459</v>
      </c>
      <c r="D1419" s="90" t="s">
        <v>79</v>
      </c>
      <c r="E1419">
        <v>2829</v>
      </c>
      <c r="F1419">
        <v>2830</v>
      </c>
      <c r="G1419" s="93" t="s">
        <v>78</v>
      </c>
      <c r="H1419" t="s">
        <v>120</v>
      </c>
      <c r="I1419">
        <v>1</v>
      </c>
      <c r="J1419">
        <v>967.93582071000003</v>
      </c>
      <c r="K1419">
        <f>I1419*J1419</f>
        <v>967.93582071000003</v>
      </c>
      <c r="L1419">
        <v>40</v>
      </c>
      <c r="M1419">
        <f>(1-(L1419/100))*K1419</f>
        <v>580.76149242600002</v>
      </c>
      <c r="N1419" s="90">
        <v>1419</v>
      </c>
      <c r="O1419" s="90" t="s">
        <v>3464</v>
      </c>
    </row>
    <row r="1420" spans="1:21" x14ac:dyDescent="0.25">
      <c r="A1420" s="90" t="s">
        <v>3465</v>
      </c>
      <c r="B1420" s="119">
        <v>6</v>
      </c>
      <c r="C1420" s="90" t="s">
        <v>3459</v>
      </c>
      <c r="D1420" s="90" t="s">
        <v>80</v>
      </c>
      <c r="E1420">
        <v>2831</v>
      </c>
      <c r="F1420">
        <v>2832</v>
      </c>
      <c r="G1420" s="93" t="s">
        <v>78</v>
      </c>
      <c r="H1420" t="s">
        <v>125</v>
      </c>
      <c r="I1420">
        <v>1</v>
      </c>
      <c r="J1420">
        <v>967.93582071000003</v>
      </c>
      <c r="K1420">
        <f>I1420*J1420</f>
        <v>967.93582071000003</v>
      </c>
      <c r="L1420">
        <v>40</v>
      </c>
      <c r="M1420">
        <f>(1-(L1420/100))*K1420</f>
        <v>580.76149242600002</v>
      </c>
      <c r="N1420" s="90">
        <v>1420</v>
      </c>
      <c r="O1420" s="90" t="s">
        <v>3466</v>
      </c>
    </row>
    <row r="1421" spans="1:21" x14ac:dyDescent="0.25">
      <c r="A1421" s="90" t="s">
        <v>3467</v>
      </c>
      <c r="B1421" s="119">
        <v>6</v>
      </c>
      <c r="C1421" s="90" t="s">
        <v>3459</v>
      </c>
      <c r="D1421" s="90" t="s">
        <v>95</v>
      </c>
      <c r="E1421">
        <v>2833</v>
      </c>
      <c r="F1421">
        <v>2834</v>
      </c>
      <c r="G1421" s="93" t="s">
        <v>78</v>
      </c>
      <c r="H1421" t="s">
        <v>123</v>
      </c>
      <c r="I1421">
        <v>1</v>
      </c>
      <c r="J1421">
        <v>313.76543995999998</v>
      </c>
      <c r="K1421">
        <f>I1421*J1421</f>
        <v>313.76543995999998</v>
      </c>
      <c r="L1421">
        <v>40</v>
      </c>
      <c r="M1421">
        <f>(1-(L1421/100))*K1421</f>
        <v>188.25926397599997</v>
      </c>
      <c r="N1421" s="90">
        <v>1421</v>
      </c>
      <c r="O1421" s="90" t="s">
        <v>3468</v>
      </c>
    </row>
    <row r="1422" spans="1:21" x14ac:dyDescent="0.25">
      <c r="A1422" s="90" t="s">
        <v>3469</v>
      </c>
      <c r="B1422" s="119">
        <v>6</v>
      </c>
      <c r="C1422" s="90" t="s">
        <v>3459</v>
      </c>
      <c r="D1422" s="90" t="s">
        <v>96</v>
      </c>
      <c r="E1422">
        <v>2835</v>
      </c>
      <c r="F1422">
        <v>2836</v>
      </c>
      <c r="G1422" s="93" t="s">
        <v>78</v>
      </c>
      <c r="H1422" t="s">
        <v>203</v>
      </c>
      <c r="I1422">
        <v>2</v>
      </c>
      <c r="J1422">
        <v>2064.00101872</v>
      </c>
      <c r="K1422">
        <f>I1422*J1422</f>
        <v>4128.0020374400001</v>
      </c>
      <c r="L1422">
        <v>40</v>
      </c>
      <c r="M1422">
        <f>(1-(L1422/100))*K1422</f>
        <v>2476.8012224640001</v>
      </c>
      <c r="N1422" s="90">
        <v>1422</v>
      </c>
      <c r="O1422" s="90" t="s">
        <v>3470</v>
      </c>
    </row>
    <row r="1423" spans="1:21" x14ac:dyDescent="0.25">
      <c r="A1423" s="90" t="s">
        <v>3471</v>
      </c>
      <c r="B1423" s="119">
        <v>6</v>
      </c>
      <c r="C1423" s="90" t="s">
        <v>3459</v>
      </c>
      <c r="D1423" s="90" t="s">
        <v>103</v>
      </c>
      <c r="E1423">
        <v>2837</v>
      </c>
      <c r="F1423">
        <v>2838</v>
      </c>
      <c r="G1423" s="93" t="s">
        <v>78</v>
      </c>
      <c r="H1423" t="s">
        <v>191</v>
      </c>
      <c r="I1423">
        <v>3</v>
      </c>
      <c r="J1423">
        <v>862.86769387000004</v>
      </c>
      <c r="K1423">
        <f>I1423*J1423</f>
        <v>2588.6030816100001</v>
      </c>
      <c r="L1423">
        <v>40</v>
      </c>
      <c r="M1423">
        <f>(1-(L1423/100))*K1423</f>
        <v>1553.161848966</v>
      </c>
      <c r="N1423" s="90">
        <v>1423</v>
      </c>
      <c r="O1423" s="90" t="s">
        <v>3472</v>
      </c>
    </row>
    <row r="1424" spans="1:21" x14ac:dyDescent="0.25">
      <c r="A1424" s="90" t="s">
        <v>3473</v>
      </c>
      <c r="B1424" s="119">
        <v>3</v>
      </c>
      <c r="C1424" s="90" t="s">
        <v>3273</v>
      </c>
      <c r="D1424" s="90" t="s">
        <v>797</v>
      </c>
      <c r="E1424">
        <v>2842</v>
      </c>
      <c r="F1424">
        <v>2847</v>
      </c>
      <c r="G1424" s="93" t="s">
        <v>68</v>
      </c>
      <c r="H1424" t="s">
        <v>3474</v>
      </c>
      <c r="I1424">
        <v>1</v>
      </c>
      <c r="J1424">
        <f>SUM(K1425)</f>
        <v>1324.33464918</v>
      </c>
      <c r="K1424">
        <f>I1424*J1424</f>
        <v>1324.33464918</v>
      </c>
      <c r="L1424">
        <f>100*(1-(M1424/K1424))</f>
        <v>85.6</v>
      </c>
      <c r="M1424">
        <f>I1424*SUM(M1425)</f>
        <v>190.70418948192003</v>
      </c>
      <c r="N1424" s="90">
        <v>1424</v>
      </c>
      <c r="O1424" s="90" t="s">
        <v>3475</v>
      </c>
      <c r="R1424" s="90" t="s">
        <v>6406</v>
      </c>
      <c r="S1424" s="90" t="s">
        <v>6709</v>
      </c>
      <c r="T1424" s="90" t="s">
        <v>6854</v>
      </c>
      <c r="U1424" s="90" t="s">
        <v>6558</v>
      </c>
    </row>
    <row r="1425" spans="1:21" x14ac:dyDescent="0.25">
      <c r="A1425" s="90" t="s">
        <v>3476</v>
      </c>
      <c r="B1425" s="119">
        <v>4</v>
      </c>
      <c r="C1425" s="90" t="s">
        <v>3473</v>
      </c>
      <c r="D1425" s="90" t="s">
        <v>78</v>
      </c>
      <c r="E1425">
        <v>2843</v>
      </c>
      <c r="F1425">
        <v>2846</v>
      </c>
      <c r="G1425" s="93" t="s">
        <v>68</v>
      </c>
      <c r="H1425" t="s">
        <v>418</v>
      </c>
      <c r="I1425">
        <v>1</v>
      </c>
      <c r="J1425">
        <f>SUM(K1426)</f>
        <v>1324.33464918</v>
      </c>
      <c r="K1425">
        <f>I1425*J1425</f>
        <v>1324.33464918</v>
      </c>
      <c r="L1425">
        <f>100*(1-(M1425/K1425))</f>
        <v>85.6</v>
      </c>
      <c r="M1425">
        <f>I1425*SUM(M1426)</f>
        <v>190.70418948192003</v>
      </c>
      <c r="N1425" s="90">
        <v>1425</v>
      </c>
      <c r="O1425" s="90" t="s">
        <v>3477</v>
      </c>
      <c r="R1425" s="90" t="s">
        <v>4551</v>
      </c>
      <c r="S1425" s="90" t="s">
        <v>5615</v>
      </c>
      <c r="T1425" s="90" t="s">
        <v>6113</v>
      </c>
      <c r="U1425" s="90" t="s">
        <v>5091</v>
      </c>
    </row>
    <row r="1426" spans="1:21" x14ac:dyDescent="0.25">
      <c r="A1426" s="90" t="s">
        <v>3478</v>
      </c>
      <c r="B1426" s="119">
        <v>5</v>
      </c>
      <c r="C1426" s="90" t="s">
        <v>3476</v>
      </c>
      <c r="D1426" s="90" t="s">
        <v>78</v>
      </c>
      <c r="E1426">
        <v>2844</v>
      </c>
      <c r="F1426">
        <v>2845</v>
      </c>
      <c r="G1426" s="93" t="s">
        <v>78</v>
      </c>
      <c r="H1426" t="s">
        <v>419</v>
      </c>
      <c r="I1426">
        <v>1</v>
      </c>
      <c r="J1426">
        <v>1324.33464918</v>
      </c>
      <c r="K1426">
        <f>I1426*J1426</f>
        <v>1324.33464918</v>
      </c>
      <c r="L1426">
        <v>85.6</v>
      </c>
      <c r="M1426">
        <f>(1-(L1426/100))*K1426</f>
        <v>190.70418948192003</v>
      </c>
      <c r="N1426" s="90">
        <v>1426</v>
      </c>
      <c r="O1426" s="90" t="s">
        <v>3479</v>
      </c>
    </row>
    <row r="1427" spans="1:21" x14ac:dyDescent="0.25">
      <c r="A1427" s="90" t="s">
        <v>3480</v>
      </c>
      <c r="B1427" s="119">
        <v>3</v>
      </c>
      <c r="C1427" s="90" t="s">
        <v>3273</v>
      </c>
      <c r="D1427" s="90" t="s">
        <v>798</v>
      </c>
      <c r="E1427">
        <v>2848</v>
      </c>
      <c r="F1427">
        <v>2853</v>
      </c>
      <c r="G1427" s="93" t="s">
        <v>68</v>
      </c>
      <c r="H1427" t="s">
        <v>3481</v>
      </c>
      <c r="I1427">
        <v>1</v>
      </c>
      <c r="J1427">
        <f>SUM(K1428)</f>
        <v>333.63045970000002</v>
      </c>
      <c r="K1427">
        <f>I1427*J1427</f>
        <v>333.63045970000002</v>
      </c>
      <c r="L1427">
        <f>100*(1-(M1427/K1427))</f>
        <v>85.6</v>
      </c>
      <c r="M1427">
        <f>I1427*SUM(M1428)</f>
        <v>48.042786196800009</v>
      </c>
      <c r="N1427" s="90">
        <v>1427</v>
      </c>
      <c r="O1427" s="90" t="s">
        <v>3482</v>
      </c>
      <c r="R1427" s="90" t="s">
        <v>6407</v>
      </c>
      <c r="S1427" s="90" t="s">
        <v>6710</v>
      </c>
      <c r="T1427" s="90" t="s">
        <v>6855</v>
      </c>
      <c r="U1427" s="90" t="s">
        <v>6559</v>
      </c>
    </row>
    <row r="1428" spans="1:21" x14ac:dyDescent="0.25">
      <c r="A1428" s="90" t="s">
        <v>3483</v>
      </c>
      <c r="B1428" s="119">
        <v>4</v>
      </c>
      <c r="C1428" s="90" t="s">
        <v>3480</v>
      </c>
      <c r="D1428" s="90" t="s">
        <v>78</v>
      </c>
      <c r="E1428">
        <v>2849</v>
      </c>
      <c r="F1428">
        <v>2852</v>
      </c>
      <c r="G1428" s="93" t="s">
        <v>68</v>
      </c>
      <c r="H1428" t="s">
        <v>399</v>
      </c>
      <c r="I1428">
        <v>1</v>
      </c>
      <c r="J1428">
        <f>SUM(K1429)</f>
        <v>333.63045970000002</v>
      </c>
      <c r="K1428">
        <f>I1428*J1428</f>
        <v>333.63045970000002</v>
      </c>
      <c r="L1428">
        <f>100*(1-(M1428/K1428))</f>
        <v>85.6</v>
      </c>
      <c r="M1428">
        <f>I1428*SUM(M1429)</f>
        <v>48.042786196800009</v>
      </c>
      <c r="N1428" s="90">
        <v>1428</v>
      </c>
      <c r="O1428" s="90" t="s">
        <v>3484</v>
      </c>
      <c r="R1428" s="90" t="s">
        <v>4552</v>
      </c>
      <c r="S1428" s="90" t="s">
        <v>5616</v>
      </c>
      <c r="T1428" s="90" t="s">
        <v>6114</v>
      </c>
      <c r="U1428" s="90" t="s">
        <v>5092</v>
      </c>
    </row>
    <row r="1429" spans="1:21" x14ac:dyDescent="0.25">
      <c r="A1429" s="90" t="s">
        <v>3485</v>
      </c>
      <c r="B1429" s="119">
        <v>5</v>
      </c>
      <c r="C1429" s="90" t="s">
        <v>3483</v>
      </c>
      <c r="D1429" s="90" t="s">
        <v>78</v>
      </c>
      <c r="E1429">
        <v>2850</v>
      </c>
      <c r="F1429">
        <v>2851</v>
      </c>
      <c r="G1429" s="93" t="s">
        <v>78</v>
      </c>
      <c r="H1429" t="s">
        <v>401</v>
      </c>
      <c r="I1429">
        <v>1</v>
      </c>
      <c r="J1429">
        <v>333.63045970000002</v>
      </c>
      <c r="K1429">
        <f>I1429*J1429</f>
        <v>333.63045970000002</v>
      </c>
      <c r="L1429">
        <v>85.6</v>
      </c>
      <c r="M1429">
        <f>(1-(L1429/100))*K1429</f>
        <v>48.042786196800009</v>
      </c>
      <c r="N1429" s="90">
        <v>1429</v>
      </c>
      <c r="O1429" s="90" t="s">
        <v>3486</v>
      </c>
    </row>
    <row r="1430" spans="1:21" x14ac:dyDescent="0.25">
      <c r="A1430" s="90" t="s">
        <v>3487</v>
      </c>
      <c r="B1430" s="119">
        <v>3</v>
      </c>
      <c r="C1430" s="90" t="s">
        <v>3273</v>
      </c>
      <c r="D1430" s="90" t="s">
        <v>799</v>
      </c>
      <c r="E1430">
        <v>2854</v>
      </c>
      <c r="F1430">
        <v>2877</v>
      </c>
      <c r="G1430" s="93" t="s">
        <v>68</v>
      </c>
      <c r="H1430" t="s">
        <v>3488</v>
      </c>
      <c r="I1430">
        <v>1</v>
      </c>
      <c r="J1430">
        <f>SUM(K1431,K1434,K1436,K1438,K1440)</f>
        <v>13011.371921559999</v>
      </c>
      <c r="K1430">
        <f>I1430*J1430</f>
        <v>13011.371921559999</v>
      </c>
      <c r="L1430">
        <f>100*(1-(M1430/K1430))</f>
        <v>88</v>
      </c>
      <c r="M1430">
        <f>I1430*SUM(M1431,M1434,M1436,M1438,M1440)</f>
        <v>1561.3646305871998</v>
      </c>
      <c r="N1430" s="90">
        <v>1430</v>
      </c>
      <c r="O1430" s="90" t="s">
        <v>3489</v>
      </c>
      <c r="R1430" s="90" t="s">
        <v>6396</v>
      </c>
      <c r="S1430" s="90" t="s">
        <v>6699</v>
      </c>
      <c r="T1430" s="90" t="s">
        <v>6844</v>
      </c>
      <c r="U1430" s="90" t="s">
        <v>6548</v>
      </c>
    </row>
    <row r="1431" spans="1:21" x14ac:dyDescent="0.25">
      <c r="A1431" s="90" t="s">
        <v>3490</v>
      </c>
      <c r="B1431" s="119">
        <v>4</v>
      </c>
      <c r="C1431" s="90" t="s">
        <v>3487</v>
      </c>
      <c r="D1431" s="90" t="s">
        <v>78</v>
      </c>
      <c r="E1431">
        <v>2855</v>
      </c>
      <c r="F1431">
        <v>2860</v>
      </c>
      <c r="G1431" s="93" t="s">
        <v>68</v>
      </c>
      <c r="H1431" t="s">
        <v>364</v>
      </c>
      <c r="I1431">
        <v>1</v>
      </c>
      <c r="J1431">
        <f>SUM(K1432,K1433)</f>
        <v>2292.1176620400001</v>
      </c>
      <c r="K1431">
        <f>I1431*J1431</f>
        <v>2292.1176620400001</v>
      </c>
      <c r="L1431">
        <f>100*(1-(M1431/K1431))</f>
        <v>88</v>
      </c>
      <c r="M1431">
        <f>I1431*SUM(M1432,M1433)</f>
        <v>275.05411944479999</v>
      </c>
      <c r="N1431" s="90">
        <v>1431</v>
      </c>
      <c r="O1431" s="90" t="s">
        <v>3491</v>
      </c>
      <c r="R1431" s="90" t="s">
        <v>4529</v>
      </c>
      <c r="S1431" s="90" t="s">
        <v>5593</v>
      </c>
      <c r="T1431" s="90" t="s">
        <v>6091</v>
      </c>
      <c r="U1431" s="90" t="s">
        <v>5069</v>
      </c>
    </row>
    <row r="1432" spans="1:21" x14ac:dyDescent="0.25">
      <c r="A1432" s="90" t="s">
        <v>3492</v>
      </c>
      <c r="B1432" s="119">
        <v>5</v>
      </c>
      <c r="C1432" s="90" t="s">
        <v>3490</v>
      </c>
      <c r="D1432" s="90" t="s">
        <v>78</v>
      </c>
      <c r="E1432">
        <v>2856</v>
      </c>
      <c r="F1432">
        <v>2857</v>
      </c>
      <c r="G1432" s="93" t="s">
        <v>78</v>
      </c>
      <c r="H1432" t="s">
        <v>366</v>
      </c>
      <c r="I1432">
        <v>1</v>
      </c>
      <c r="J1432">
        <v>509.35948044999998</v>
      </c>
      <c r="K1432">
        <f>I1432*J1432</f>
        <v>509.35948044999998</v>
      </c>
      <c r="L1432">
        <v>88</v>
      </c>
      <c r="M1432">
        <f>(1-(L1432/100))*K1432</f>
        <v>61.123137653999997</v>
      </c>
      <c r="N1432" s="90">
        <v>1432</v>
      </c>
      <c r="O1432" s="90" t="s">
        <v>3493</v>
      </c>
    </row>
    <row r="1433" spans="1:21" x14ac:dyDescent="0.25">
      <c r="A1433" s="90" t="s">
        <v>3494</v>
      </c>
      <c r="B1433" s="119">
        <v>5</v>
      </c>
      <c r="C1433" s="90" t="s">
        <v>3490</v>
      </c>
      <c r="D1433" s="90" t="s">
        <v>79</v>
      </c>
      <c r="E1433">
        <v>2858</v>
      </c>
      <c r="F1433">
        <v>2859</v>
      </c>
      <c r="G1433" s="93" t="s">
        <v>78</v>
      </c>
      <c r="H1433" t="s">
        <v>368</v>
      </c>
      <c r="I1433">
        <v>1</v>
      </c>
      <c r="J1433">
        <v>1782.75818159</v>
      </c>
      <c r="K1433">
        <f>I1433*J1433</f>
        <v>1782.75818159</v>
      </c>
      <c r="L1433">
        <v>88</v>
      </c>
      <c r="M1433">
        <f>(1-(L1433/100))*K1433</f>
        <v>213.93098179079999</v>
      </c>
      <c r="N1433" s="90">
        <v>1433</v>
      </c>
      <c r="O1433" s="90" t="s">
        <v>3495</v>
      </c>
    </row>
    <row r="1434" spans="1:21" x14ac:dyDescent="0.25">
      <c r="A1434" s="90" t="s">
        <v>3496</v>
      </c>
      <c r="B1434" s="119">
        <v>4</v>
      </c>
      <c r="C1434" s="90" t="s">
        <v>3487</v>
      </c>
      <c r="D1434" s="90" t="s">
        <v>79</v>
      </c>
      <c r="E1434">
        <v>2861</v>
      </c>
      <c r="F1434">
        <v>2864</v>
      </c>
      <c r="G1434" s="93" t="s">
        <v>68</v>
      </c>
      <c r="H1434" t="s">
        <v>379</v>
      </c>
      <c r="I1434">
        <v>1</v>
      </c>
      <c r="J1434">
        <f>SUM(K1435)</f>
        <v>303.06889087000002</v>
      </c>
      <c r="K1434">
        <f>I1434*J1434</f>
        <v>303.06889087000002</v>
      </c>
      <c r="L1434">
        <f>100*(1-(M1434/K1434))</f>
        <v>88</v>
      </c>
      <c r="M1434">
        <f>I1434*SUM(M1435)</f>
        <v>36.368266904400002</v>
      </c>
      <c r="N1434" s="90">
        <v>1434</v>
      </c>
      <c r="O1434" s="90" t="s">
        <v>3497</v>
      </c>
      <c r="R1434" s="90" t="s">
        <v>4530</v>
      </c>
      <c r="S1434" s="90" t="s">
        <v>5594</v>
      </c>
      <c r="T1434" s="90" t="s">
        <v>6092</v>
      </c>
      <c r="U1434" s="90" t="s">
        <v>5070</v>
      </c>
    </row>
    <row r="1435" spans="1:21" x14ac:dyDescent="0.25">
      <c r="A1435" s="90" t="s">
        <v>3498</v>
      </c>
      <c r="B1435" s="119">
        <v>5</v>
      </c>
      <c r="C1435" s="90" t="s">
        <v>3496</v>
      </c>
      <c r="D1435" s="90" t="s">
        <v>78</v>
      </c>
      <c r="E1435">
        <v>2862</v>
      </c>
      <c r="F1435">
        <v>2863</v>
      </c>
      <c r="G1435" s="93" t="s">
        <v>78</v>
      </c>
      <c r="H1435" t="s">
        <v>381</v>
      </c>
      <c r="I1435">
        <v>1</v>
      </c>
      <c r="J1435">
        <v>303.06889087000002</v>
      </c>
      <c r="K1435">
        <f>I1435*J1435</f>
        <v>303.06889087000002</v>
      </c>
      <c r="L1435">
        <v>88</v>
      </c>
      <c r="M1435">
        <f>(1-(L1435/100))*K1435</f>
        <v>36.368266904400002</v>
      </c>
      <c r="N1435" s="90">
        <v>1435</v>
      </c>
      <c r="O1435" s="90" t="s">
        <v>3499</v>
      </c>
    </row>
    <row r="1436" spans="1:21" x14ac:dyDescent="0.25">
      <c r="A1436" s="90" t="s">
        <v>3500</v>
      </c>
      <c r="B1436" s="119">
        <v>4</v>
      </c>
      <c r="C1436" s="90" t="s">
        <v>3487</v>
      </c>
      <c r="D1436" s="90" t="s">
        <v>80</v>
      </c>
      <c r="E1436">
        <v>2865</v>
      </c>
      <c r="F1436">
        <v>2868</v>
      </c>
      <c r="G1436" s="93" t="s">
        <v>68</v>
      </c>
      <c r="H1436" t="s">
        <v>399</v>
      </c>
      <c r="I1436">
        <v>1</v>
      </c>
      <c r="J1436">
        <f>SUM(K1437)</f>
        <v>333.63045970000002</v>
      </c>
      <c r="K1436">
        <f>I1436*J1436</f>
        <v>333.63045970000002</v>
      </c>
      <c r="L1436">
        <f>100*(1-(M1436/K1436))</f>
        <v>88</v>
      </c>
      <c r="M1436">
        <f>I1436*SUM(M1437)</f>
        <v>40.035655163999998</v>
      </c>
      <c r="N1436" s="90">
        <v>1436</v>
      </c>
      <c r="O1436" s="90" t="s">
        <v>3501</v>
      </c>
      <c r="R1436" s="90" t="s">
        <v>4531</v>
      </c>
      <c r="S1436" s="90" t="s">
        <v>5595</v>
      </c>
      <c r="T1436" s="90" t="s">
        <v>6093</v>
      </c>
      <c r="U1436" s="90" t="s">
        <v>5071</v>
      </c>
    </row>
    <row r="1437" spans="1:21" x14ac:dyDescent="0.25">
      <c r="A1437" s="90" t="s">
        <v>3502</v>
      </c>
      <c r="B1437" s="119">
        <v>5</v>
      </c>
      <c r="C1437" s="90" t="s">
        <v>3500</v>
      </c>
      <c r="D1437" s="90" t="s">
        <v>78</v>
      </c>
      <c r="E1437">
        <v>2866</v>
      </c>
      <c r="F1437">
        <v>2867</v>
      </c>
      <c r="G1437" s="93" t="s">
        <v>78</v>
      </c>
      <c r="H1437" t="s">
        <v>401</v>
      </c>
      <c r="I1437">
        <v>1</v>
      </c>
      <c r="J1437">
        <v>333.63045970000002</v>
      </c>
      <c r="K1437">
        <f>I1437*J1437</f>
        <v>333.63045970000002</v>
      </c>
      <c r="L1437">
        <v>88</v>
      </c>
      <c r="M1437">
        <f>(1-(L1437/100))*K1437</f>
        <v>40.035655163999998</v>
      </c>
      <c r="N1437" s="90">
        <v>1437</v>
      </c>
      <c r="O1437" s="90" t="s">
        <v>3503</v>
      </c>
    </row>
    <row r="1438" spans="1:21" x14ac:dyDescent="0.25">
      <c r="A1438" s="90" t="s">
        <v>3504</v>
      </c>
      <c r="B1438" s="119">
        <v>4</v>
      </c>
      <c r="C1438" s="90" t="s">
        <v>3487</v>
      </c>
      <c r="D1438" s="90" t="s">
        <v>95</v>
      </c>
      <c r="E1438">
        <v>2869</v>
      </c>
      <c r="F1438">
        <v>2872</v>
      </c>
      <c r="G1438" s="93" t="s">
        <v>68</v>
      </c>
      <c r="H1438" t="s">
        <v>383</v>
      </c>
      <c r="I1438">
        <v>1</v>
      </c>
      <c r="J1438">
        <f>SUM(K1439)</f>
        <v>1069.6549089499999</v>
      </c>
      <c r="K1438">
        <f>I1438*J1438</f>
        <v>1069.6549089499999</v>
      </c>
      <c r="L1438">
        <f>100*(1-(M1438/K1438))</f>
        <v>88</v>
      </c>
      <c r="M1438">
        <f>I1438*SUM(M1439)</f>
        <v>128.35858907399998</v>
      </c>
      <c r="N1438" s="90">
        <v>1438</v>
      </c>
      <c r="O1438" s="90" t="s">
        <v>3505</v>
      </c>
      <c r="R1438" s="90" t="s">
        <v>4532</v>
      </c>
      <c r="S1438" s="90" t="s">
        <v>5596</v>
      </c>
      <c r="T1438" s="90" t="s">
        <v>6094</v>
      </c>
      <c r="U1438" s="90" t="s">
        <v>5072</v>
      </c>
    </row>
    <row r="1439" spans="1:21" x14ac:dyDescent="0.25">
      <c r="A1439" s="90" t="s">
        <v>3506</v>
      </c>
      <c r="B1439" s="119">
        <v>5</v>
      </c>
      <c r="C1439" s="90" t="s">
        <v>3504</v>
      </c>
      <c r="D1439" s="90" t="s">
        <v>78</v>
      </c>
      <c r="E1439">
        <v>2870</v>
      </c>
      <c r="F1439">
        <v>2871</v>
      </c>
      <c r="G1439" s="93" t="s">
        <v>78</v>
      </c>
      <c r="H1439" t="s">
        <v>385</v>
      </c>
      <c r="I1439">
        <v>1</v>
      </c>
      <c r="J1439">
        <v>1069.6549089499999</v>
      </c>
      <c r="K1439">
        <f>I1439*J1439</f>
        <v>1069.6549089499999</v>
      </c>
      <c r="L1439">
        <v>88</v>
      </c>
      <c r="M1439">
        <f>(1-(L1439/100))*K1439</f>
        <v>128.35858907399998</v>
      </c>
      <c r="N1439" s="90">
        <v>1439</v>
      </c>
      <c r="O1439" s="90" t="s">
        <v>3507</v>
      </c>
    </row>
    <row r="1440" spans="1:21" x14ac:dyDescent="0.25">
      <c r="A1440" s="90" t="s">
        <v>3508</v>
      </c>
      <c r="B1440" s="119">
        <v>4</v>
      </c>
      <c r="C1440" s="90" t="s">
        <v>3487</v>
      </c>
      <c r="D1440" s="90" t="s">
        <v>96</v>
      </c>
      <c r="E1440">
        <v>2873</v>
      </c>
      <c r="F1440">
        <v>2876</v>
      </c>
      <c r="G1440" s="93" t="s">
        <v>68</v>
      </c>
      <c r="H1440" t="s">
        <v>387</v>
      </c>
      <c r="I1440">
        <v>1</v>
      </c>
      <c r="J1440">
        <f>SUM(K1441)</f>
        <v>9012.9</v>
      </c>
      <c r="K1440">
        <f>I1440*J1440</f>
        <v>9012.9</v>
      </c>
      <c r="L1440">
        <f>100*(1-(M1440/K1440))</f>
        <v>88</v>
      </c>
      <c r="M1440">
        <f>I1440*SUM(M1441)</f>
        <v>1081.548</v>
      </c>
      <c r="N1440" s="90">
        <v>1440</v>
      </c>
      <c r="O1440" s="90" t="s">
        <v>3509</v>
      </c>
      <c r="R1440" s="90" t="s">
        <v>4533</v>
      </c>
      <c r="S1440" s="90" t="s">
        <v>5597</v>
      </c>
      <c r="T1440" s="90" t="s">
        <v>6095</v>
      </c>
      <c r="U1440" s="90" t="s">
        <v>5073</v>
      </c>
    </row>
    <row r="1441" spans="1:21" x14ac:dyDescent="0.25">
      <c r="A1441" s="90" t="s">
        <v>3510</v>
      </c>
      <c r="B1441" s="119">
        <v>5</v>
      </c>
      <c r="C1441" s="90" t="s">
        <v>3508</v>
      </c>
      <c r="D1441" s="90" t="s">
        <v>78</v>
      </c>
      <c r="E1441">
        <v>2874</v>
      </c>
      <c r="F1441">
        <v>2875</v>
      </c>
      <c r="G1441" s="93" t="s">
        <v>78</v>
      </c>
      <c r="H1441" t="s">
        <v>389</v>
      </c>
      <c r="I1441">
        <v>1</v>
      </c>
      <c r="J1441">
        <v>9012.9</v>
      </c>
      <c r="K1441">
        <f>I1441*J1441</f>
        <v>9012.9</v>
      </c>
      <c r="L1441">
        <v>88</v>
      </c>
      <c r="M1441">
        <f>(1-(L1441/100))*K1441</f>
        <v>1081.548</v>
      </c>
      <c r="N1441" s="90">
        <v>1441</v>
      </c>
      <c r="O1441" s="90" t="s">
        <v>3511</v>
      </c>
    </row>
    <row r="1442" spans="1:21" x14ac:dyDescent="0.25">
      <c r="A1442" s="90" t="s">
        <v>3512</v>
      </c>
      <c r="B1442" s="119">
        <v>3</v>
      </c>
      <c r="C1442" s="90" t="s">
        <v>3273</v>
      </c>
      <c r="D1442" s="90" t="s">
        <v>97</v>
      </c>
      <c r="E1442">
        <v>2878</v>
      </c>
      <c r="F1442">
        <v>2897</v>
      </c>
      <c r="G1442" s="93" t="s">
        <v>68</v>
      </c>
      <c r="H1442" t="s">
        <v>3513</v>
      </c>
      <c r="I1442">
        <v>1</v>
      </c>
      <c r="J1442">
        <f>SUM(K1443,K1446,K1448,K1450)</f>
        <v>12677.74146186</v>
      </c>
      <c r="K1442">
        <f>I1442*J1442</f>
        <v>12677.74146186</v>
      </c>
      <c r="L1442">
        <f>100*(1-(M1442/K1442))</f>
        <v>85.6</v>
      </c>
      <c r="M1442">
        <f>I1442*SUM(M1443,M1446,M1448,M1450)</f>
        <v>1825.5947705078402</v>
      </c>
      <c r="N1442" s="90">
        <v>1442</v>
      </c>
      <c r="O1442" s="90" t="s">
        <v>3514</v>
      </c>
      <c r="R1442" s="90" t="s">
        <v>6397</v>
      </c>
      <c r="S1442" s="90" t="s">
        <v>6700</v>
      </c>
      <c r="T1442" s="90" t="s">
        <v>6845</v>
      </c>
      <c r="U1442" s="90" t="s">
        <v>6549</v>
      </c>
    </row>
    <row r="1443" spans="1:21" x14ac:dyDescent="0.25">
      <c r="A1443" s="90" t="s">
        <v>3515</v>
      </c>
      <c r="B1443" s="119">
        <v>4</v>
      </c>
      <c r="C1443" s="90" t="s">
        <v>3512</v>
      </c>
      <c r="D1443" s="90" t="s">
        <v>78</v>
      </c>
      <c r="E1443">
        <v>2879</v>
      </c>
      <c r="F1443">
        <v>2884</v>
      </c>
      <c r="G1443" s="93" t="s">
        <v>68</v>
      </c>
      <c r="H1443" t="s">
        <v>364</v>
      </c>
      <c r="I1443">
        <v>1</v>
      </c>
      <c r="J1443">
        <f>SUM(K1444,K1445)</f>
        <v>2292.1176620400001</v>
      </c>
      <c r="K1443">
        <f>I1443*J1443</f>
        <v>2292.1176620400001</v>
      </c>
      <c r="L1443">
        <f>100*(1-(M1443/K1443))</f>
        <v>85.6</v>
      </c>
      <c r="M1443">
        <f>I1443*SUM(M1444,M1445)</f>
        <v>330.06494333376008</v>
      </c>
      <c r="N1443" s="90">
        <v>1443</v>
      </c>
      <c r="O1443" s="90" t="s">
        <v>3516</v>
      </c>
      <c r="R1443" s="90" t="s">
        <v>4534</v>
      </c>
      <c r="S1443" s="90" t="s">
        <v>5598</v>
      </c>
      <c r="T1443" s="90" t="s">
        <v>6096</v>
      </c>
      <c r="U1443" s="90" t="s">
        <v>5074</v>
      </c>
    </row>
    <row r="1444" spans="1:21" x14ac:dyDescent="0.25">
      <c r="A1444" s="90" t="s">
        <v>3517</v>
      </c>
      <c r="B1444" s="119">
        <v>5</v>
      </c>
      <c r="C1444" s="90" t="s">
        <v>3515</v>
      </c>
      <c r="D1444" s="90" t="s">
        <v>78</v>
      </c>
      <c r="E1444">
        <v>2880</v>
      </c>
      <c r="F1444">
        <v>2881</v>
      </c>
      <c r="G1444" s="93" t="s">
        <v>78</v>
      </c>
      <c r="H1444" t="s">
        <v>366</v>
      </c>
      <c r="I1444">
        <v>1</v>
      </c>
      <c r="J1444">
        <v>509.35948044999998</v>
      </c>
      <c r="K1444">
        <f>I1444*J1444</f>
        <v>509.35948044999998</v>
      </c>
      <c r="L1444">
        <v>85.6</v>
      </c>
      <c r="M1444">
        <f>(1-(L1444/100))*K1444</f>
        <v>73.347765184800011</v>
      </c>
      <c r="N1444" s="90">
        <v>1444</v>
      </c>
      <c r="O1444" s="90" t="s">
        <v>3518</v>
      </c>
    </row>
    <row r="1445" spans="1:21" x14ac:dyDescent="0.25">
      <c r="A1445" s="90" t="s">
        <v>3519</v>
      </c>
      <c r="B1445" s="119">
        <v>5</v>
      </c>
      <c r="C1445" s="90" t="s">
        <v>3515</v>
      </c>
      <c r="D1445" s="90" t="s">
        <v>79</v>
      </c>
      <c r="E1445">
        <v>2882</v>
      </c>
      <c r="F1445">
        <v>2883</v>
      </c>
      <c r="G1445" s="93" t="s">
        <v>78</v>
      </c>
      <c r="H1445" t="s">
        <v>368</v>
      </c>
      <c r="I1445">
        <v>1</v>
      </c>
      <c r="J1445">
        <v>1782.75818159</v>
      </c>
      <c r="K1445">
        <f>I1445*J1445</f>
        <v>1782.75818159</v>
      </c>
      <c r="L1445">
        <v>85.6</v>
      </c>
      <c r="M1445">
        <f>(1-(L1445/100))*K1445</f>
        <v>256.71717814896004</v>
      </c>
      <c r="N1445" s="90">
        <v>1445</v>
      </c>
      <c r="O1445" s="90" t="s">
        <v>3520</v>
      </c>
    </row>
    <row r="1446" spans="1:21" x14ac:dyDescent="0.25">
      <c r="A1446" s="90" t="s">
        <v>3521</v>
      </c>
      <c r="B1446" s="119">
        <v>4</v>
      </c>
      <c r="C1446" s="90" t="s">
        <v>3512</v>
      </c>
      <c r="D1446" s="90" t="s">
        <v>79</v>
      </c>
      <c r="E1446">
        <v>2885</v>
      </c>
      <c r="F1446">
        <v>2888</v>
      </c>
      <c r="G1446" s="93" t="s">
        <v>68</v>
      </c>
      <c r="H1446" t="s">
        <v>379</v>
      </c>
      <c r="I1446">
        <v>1</v>
      </c>
      <c r="J1446">
        <f>SUM(K1447)</f>
        <v>303.06889087000002</v>
      </c>
      <c r="K1446">
        <f>I1446*J1446</f>
        <v>303.06889087000002</v>
      </c>
      <c r="L1446">
        <f>100*(1-(M1446/K1446))</f>
        <v>85.6</v>
      </c>
      <c r="M1446">
        <f>I1446*SUM(M1447)</f>
        <v>43.641920285280008</v>
      </c>
      <c r="N1446" s="90">
        <v>1446</v>
      </c>
      <c r="O1446" s="90" t="s">
        <v>3522</v>
      </c>
      <c r="R1446" s="90" t="s">
        <v>4535</v>
      </c>
      <c r="S1446" s="90" t="s">
        <v>5599</v>
      </c>
      <c r="T1446" s="90" t="s">
        <v>6097</v>
      </c>
      <c r="U1446" s="90" t="s">
        <v>5075</v>
      </c>
    </row>
    <row r="1447" spans="1:21" x14ac:dyDescent="0.25">
      <c r="A1447" s="90" t="s">
        <v>3523</v>
      </c>
      <c r="B1447" s="119">
        <v>5</v>
      </c>
      <c r="C1447" s="90" t="s">
        <v>3521</v>
      </c>
      <c r="D1447" s="90" t="s">
        <v>78</v>
      </c>
      <c r="E1447">
        <v>2886</v>
      </c>
      <c r="F1447">
        <v>2887</v>
      </c>
      <c r="G1447" s="93" t="s">
        <v>78</v>
      </c>
      <c r="H1447" t="s">
        <v>381</v>
      </c>
      <c r="I1447">
        <v>1</v>
      </c>
      <c r="J1447">
        <v>303.06889087000002</v>
      </c>
      <c r="K1447">
        <f>I1447*J1447</f>
        <v>303.06889087000002</v>
      </c>
      <c r="L1447">
        <v>85.6</v>
      </c>
      <c r="M1447">
        <f>(1-(L1447/100))*K1447</f>
        <v>43.641920285280008</v>
      </c>
      <c r="N1447" s="90">
        <v>1447</v>
      </c>
      <c r="O1447" s="90" t="s">
        <v>3524</v>
      </c>
    </row>
    <row r="1448" spans="1:21" x14ac:dyDescent="0.25">
      <c r="A1448" s="90" t="s">
        <v>3525</v>
      </c>
      <c r="B1448" s="119">
        <v>4</v>
      </c>
      <c r="C1448" s="90" t="s">
        <v>3512</v>
      </c>
      <c r="D1448" s="90" t="s">
        <v>80</v>
      </c>
      <c r="E1448">
        <v>2889</v>
      </c>
      <c r="F1448">
        <v>2892</v>
      </c>
      <c r="G1448" s="93" t="s">
        <v>68</v>
      </c>
      <c r="H1448" t="s">
        <v>383</v>
      </c>
      <c r="I1448">
        <v>1</v>
      </c>
      <c r="J1448">
        <f>SUM(K1449)</f>
        <v>1069.6549089499999</v>
      </c>
      <c r="K1448">
        <f>I1448*J1448</f>
        <v>1069.6549089499999</v>
      </c>
      <c r="L1448">
        <f>100*(1-(M1448/K1448))</f>
        <v>85.6</v>
      </c>
      <c r="M1448">
        <f>I1448*SUM(M1449)</f>
        <v>154.0303068888</v>
      </c>
      <c r="N1448" s="90">
        <v>1448</v>
      </c>
      <c r="O1448" s="90" t="s">
        <v>3526</v>
      </c>
      <c r="R1448" s="90" t="s">
        <v>4536</v>
      </c>
      <c r="S1448" s="90" t="s">
        <v>5600</v>
      </c>
      <c r="T1448" s="90" t="s">
        <v>6098</v>
      </c>
      <c r="U1448" s="90" t="s">
        <v>5076</v>
      </c>
    </row>
    <row r="1449" spans="1:21" x14ac:dyDescent="0.25">
      <c r="A1449" s="90" t="s">
        <v>3527</v>
      </c>
      <c r="B1449" s="119">
        <v>5</v>
      </c>
      <c r="C1449" s="90" t="s">
        <v>3525</v>
      </c>
      <c r="D1449" s="90" t="s">
        <v>78</v>
      </c>
      <c r="E1449">
        <v>2890</v>
      </c>
      <c r="F1449">
        <v>2891</v>
      </c>
      <c r="G1449" s="93" t="s">
        <v>78</v>
      </c>
      <c r="H1449" t="s">
        <v>385</v>
      </c>
      <c r="I1449">
        <v>1</v>
      </c>
      <c r="J1449">
        <v>1069.6549089499999</v>
      </c>
      <c r="K1449">
        <f>I1449*J1449</f>
        <v>1069.6549089499999</v>
      </c>
      <c r="L1449">
        <v>85.6</v>
      </c>
      <c r="M1449">
        <f>(1-(L1449/100))*K1449</f>
        <v>154.0303068888</v>
      </c>
      <c r="N1449" s="90">
        <v>1449</v>
      </c>
      <c r="O1449" s="90" t="s">
        <v>3528</v>
      </c>
    </row>
    <row r="1450" spans="1:21" x14ac:dyDescent="0.25">
      <c r="A1450" s="90" t="s">
        <v>3529</v>
      </c>
      <c r="B1450" s="119">
        <v>4</v>
      </c>
      <c r="C1450" s="90" t="s">
        <v>3512</v>
      </c>
      <c r="D1450" s="90" t="s">
        <v>95</v>
      </c>
      <c r="E1450">
        <v>2893</v>
      </c>
      <c r="F1450">
        <v>2896</v>
      </c>
      <c r="G1450" s="93" t="s">
        <v>68</v>
      </c>
      <c r="H1450" t="s">
        <v>387</v>
      </c>
      <c r="I1450">
        <v>1</v>
      </c>
      <c r="J1450">
        <f>SUM(K1451)</f>
        <v>9012.9</v>
      </c>
      <c r="K1450">
        <f>I1450*J1450</f>
        <v>9012.9</v>
      </c>
      <c r="L1450">
        <f>100*(1-(M1450/K1450))</f>
        <v>85.6</v>
      </c>
      <c r="M1450">
        <f>I1450*SUM(M1451)</f>
        <v>1297.8576</v>
      </c>
      <c r="N1450" s="90">
        <v>1450</v>
      </c>
      <c r="O1450" s="90" t="s">
        <v>3530</v>
      </c>
      <c r="R1450" s="90" t="s">
        <v>4537</v>
      </c>
      <c r="S1450" s="90" t="s">
        <v>5601</v>
      </c>
      <c r="T1450" s="90" t="s">
        <v>6099</v>
      </c>
      <c r="U1450" s="90" t="s">
        <v>5077</v>
      </c>
    </row>
    <row r="1451" spans="1:21" x14ac:dyDescent="0.25">
      <c r="A1451" s="90" t="s">
        <v>3531</v>
      </c>
      <c r="B1451" s="119">
        <v>5</v>
      </c>
      <c r="C1451" s="90" t="s">
        <v>3529</v>
      </c>
      <c r="D1451" s="90" t="s">
        <v>78</v>
      </c>
      <c r="E1451">
        <v>2894</v>
      </c>
      <c r="F1451">
        <v>2895</v>
      </c>
      <c r="G1451" s="93" t="s">
        <v>78</v>
      </c>
      <c r="H1451" t="s">
        <v>389</v>
      </c>
      <c r="I1451">
        <v>1</v>
      </c>
      <c r="J1451">
        <v>9012.9</v>
      </c>
      <c r="K1451">
        <f>I1451*J1451</f>
        <v>9012.9</v>
      </c>
      <c r="L1451">
        <v>85.6</v>
      </c>
      <c r="M1451">
        <f>(1-(L1451/100))*K1451</f>
        <v>1297.8576</v>
      </c>
      <c r="N1451" s="90">
        <v>1451</v>
      </c>
      <c r="O1451" s="90" t="s">
        <v>3532</v>
      </c>
    </row>
    <row r="1452" spans="1:21" x14ac:dyDescent="0.25">
      <c r="A1452" s="90" t="s">
        <v>3533</v>
      </c>
      <c r="B1452" s="119">
        <v>2</v>
      </c>
      <c r="C1452" s="90" t="s">
        <v>78</v>
      </c>
      <c r="D1452" s="90" t="s">
        <v>88</v>
      </c>
      <c r="E1452">
        <v>2899</v>
      </c>
      <c r="F1452">
        <v>3026</v>
      </c>
      <c r="G1452" s="93" t="s">
        <v>68</v>
      </c>
      <c r="H1452" t="s">
        <v>3534</v>
      </c>
      <c r="I1452">
        <v>1</v>
      </c>
      <c r="J1452">
        <f>SUM(K1453,K1497,K1509)</f>
        <v>83761.341982690006</v>
      </c>
      <c r="K1452">
        <f>I1452*J1452</f>
        <v>83761.341982690006</v>
      </c>
      <c r="L1452">
        <f>100*(1-(M1452/K1452))</f>
        <v>47.456254131696554</v>
      </c>
      <c r="M1452">
        <f>I1452*SUM(M1453,M1497,M1509)</f>
        <v>44011.346667265199</v>
      </c>
      <c r="N1452" s="90">
        <v>1452</v>
      </c>
      <c r="O1452" s="90" t="s">
        <v>3535</v>
      </c>
      <c r="R1452" s="90" t="s">
        <v>6945</v>
      </c>
      <c r="S1452" s="90" t="s">
        <v>7042</v>
      </c>
      <c r="T1452" s="90" t="s">
        <v>7088</v>
      </c>
      <c r="U1452" s="90" t="s">
        <v>6994</v>
      </c>
    </row>
    <row r="1453" spans="1:21" x14ac:dyDescent="0.25">
      <c r="A1453" s="90" t="s">
        <v>3536</v>
      </c>
      <c r="B1453" s="119">
        <v>3</v>
      </c>
      <c r="C1453" s="90" t="s">
        <v>3533</v>
      </c>
      <c r="D1453" s="90" t="s">
        <v>78</v>
      </c>
      <c r="E1453">
        <v>2900</v>
      </c>
      <c r="F1453">
        <v>2987</v>
      </c>
      <c r="G1453" s="93" t="s">
        <v>68</v>
      </c>
      <c r="H1453" t="s">
        <v>3537</v>
      </c>
      <c r="I1453">
        <v>1</v>
      </c>
      <c r="J1453">
        <f>SUM(K1454,K1456,K1458,K1460,K1462,K1464,K1466,K1468,K1470,K1472,K1474,K1476,K1493,K1495)</f>
        <v>64161.494319380006</v>
      </c>
      <c r="K1453">
        <f>I1453*J1453</f>
        <v>64161.494319380006</v>
      </c>
      <c r="L1453">
        <f>100*(1-(M1453/K1453))</f>
        <v>40</v>
      </c>
      <c r="M1453">
        <f>I1453*SUM(M1454,M1456,M1458,M1460,M1462,M1464,M1466,M1468,M1470,M1472,M1474,M1476,M1493,M1495)</f>
        <v>38496.896591627999</v>
      </c>
      <c r="N1453" s="90">
        <v>1453</v>
      </c>
      <c r="O1453" s="90" t="s">
        <v>3538</v>
      </c>
      <c r="R1453" s="90" t="s">
        <v>6408</v>
      </c>
      <c r="S1453" s="90" t="s">
        <v>6711</v>
      </c>
      <c r="T1453" s="90" t="s">
        <v>6856</v>
      </c>
      <c r="U1453" s="90" t="s">
        <v>6560</v>
      </c>
    </row>
    <row r="1454" spans="1:21" x14ac:dyDescent="0.25">
      <c r="A1454" s="90" t="s">
        <v>3539</v>
      </c>
      <c r="B1454" s="119">
        <v>4</v>
      </c>
      <c r="C1454" s="90" t="s">
        <v>3536</v>
      </c>
      <c r="D1454" s="90" t="s">
        <v>78</v>
      </c>
      <c r="E1454">
        <v>2901</v>
      </c>
      <c r="F1454">
        <v>2904</v>
      </c>
      <c r="G1454" s="93" t="s">
        <v>68</v>
      </c>
      <c r="H1454" t="s">
        <v>1809</v>
      </c>
      <c r="I1454">
        <v>1</v>
      </c>
      <c r="J1454">
        <f>SUM(K1455)</f>
        <v>926.14287533000004</v>
      </c>
      <c r="K1454">
        <f>I1454*J1454</f>
        <v>926.14287533000004</v>
      </c>
      <c r="L1454">
        <f>100*(1-(M1454/K1454))</f>
        <v>40</v>
      </c>
      <c r="M1454">
        <f>I1454*SUM(M1455)</f>
        <v>555.685725198</v>
      </c>
      <c r="N1454" s="90">
        <v>1454</v>
      </c>
      <c r="O1454" s="90" t="s">
        <v>3540</v>
      </c>
      <c r="R1454" s="90" t="s">
        <v>4553</v>
      </c>
      <c r="S1454" s="90" t="s">
        <v>5617</v>
      </c>
      <c r="T1454" s="90" t="s">
        <v>6115</v>
      </c>
      <c r="U1454" s="90" t="s">
        <v>5093</v>
      </c>
    </row>
    <row r="1455" spans="1:21" x14ac:dyDescent="0.25">
      <c r="A1455" s="90" t="s">
        <v>3541</v>
      </c>
      <c r="B1455" s="119">
        <v>5</v>
      </c>
      <c r="C1455" s="90" t="s">
        <v>3539</v>
      </c>
      <c r="D1455" s="90" t="s">
        <v>78</v>
      </c>
      <c r="E1455">
        <v>2902</v>
      </c>
      <c r="F1455">
        <v>2903</v>
      </c>
      <c r="G1455" s="93" t="s">
        <v>78</v>
      </c>
      <c r="H1455" t="s">
        <v>131</v>
      </c>
      <c r="I1455">
        <v>1</v>
      </c>
      <c r="J1455">
        <v>926.14287533000004</v>
      </c>
      <c r="K1455">
        <f>I1455*J1455</f>
        <v>926.14287533000004</v>
      </c>
      <c r="L1455">
        <v>40</v>
      </c>
      <c r="M1455">
        <f>(1-(L1455/100))*K1455</f>
        <v>555.685725198</v>
      </c>
      <c r="N1455" s="90">
        <v>1455</v>
      </c>
      <c r="O1455" s="90" t="s">
        <v>3542</v>
      </c>
    </row>
    <row r="1456" spans="1:21" x14ac:dyDescent="0.25">
      <c r="A1456" s="90" t="s">
        <v>3543</v>
      </c>
      <c r="B1456" s="119">
        <v>4</v>
      </c>
      <c r="C1456" s="90" t="s">
        <v>3536</v>
      </c>
      <c r="D1456" s="90" t="s">
        <v>79</v>
      </c>
      <c r="E1456">
        <v>2905</v>
      </c>
      <c r="F1456">
        <v>2908</v>
      </c>
      <c r="G1456" s="93" t="s">
        <v>68</v>
      </c>
      <c r="H1456" t="s">
        <v>1812</v>
      </c>
      <c r="I1456">
        <v>1</v>
      </c>
      <c r="J1456">
        <f>SUM(K1457)</f>
        <v>1655.4183114699999</v>
      </c>
      <c r="K1456">
        <f>I1456*J1456</f>
        <v>1655.4183114699999</v>
      </c>
      <c r="L1456">
        <f>100*(1-(M1456/K1456))</f>
        <v>40</v>
      </c>
      <c r="M1456">
        <f>I1456*SUM(M1457)</f>
        <v>993.25098688199989</v>
      </c>
      <c r="N1456" s="90">
        <v>1456</v>
      </c>
      <c r="O1456" s="90" t="s">
        <v>3544</v>
      </c>
      <c r="R1456" s="90" t="s">
        <v>4559</v>
      </c>
      <c r="S1456" s="90" t="s">
        <v>5623</v>
      </c>
      <c r="T1456" s="90" t="s">
        <v>6121</v>
      </c>
      <c r="U1456" s="90" t="s">
        <v>5099</v>
      </c>
    </row>
    <row r="1457" spans="1:21" x14ac:dyDescent="0.25">
      <c r="A1457" s="90" t="s">
        <v>3545</v>
      </c>
      <c r="B1457" s="119">
        <v>5</v>
      </c>
      <c r="C1457" s="90" t="s">
        <v>3543</v>
      </c>
      <c r="D1457" s="90" t="s">
        <v>78</v>
      </c>
      <c r="E1457">
        <v>2906</v>
      </c>
      <c r="F1457">
        <v>2907</v>
      </c>
      <c r="G1457" s="93" t="s">
        <v>78</v>
      </c>
      <c r="H1457" t="s">
        <v>694</v>
      </c>
      <c r="I1457">
        <v>1</v>
      </c>
      <c r="J1457">
        <v>1655.4183114699999</v>
      </c>
      <c r="K1457">
        <f>I1457*J1457</f>
        <v>1655.4183114699999</v>
      </c>
      <c r="L1457">
        <v>40</v>
      </c>
      <c r="M1457">
        <f>(1-(L1457/100))*K1457</f>
        <v>993.25098688199989</v>
      </c>
      <c r="N1457" s="90">
        <v>1457</v>
      </c>
      <c r="O1457" s="90" t="s">
        <v>3546</v>
      </c>
    </row>
    <row r="1458" spans="1:21" x14ac:dyDescent="0.25">
      <c r="A1458" s="90" t="s">
        <v>3547</v>
      </c>
      <c r="B1458" s="119">
        <v>4</v>
      </c>
      <c r="C1458" s="90" t="s">
        <v>3536</v>
      </c>
      <c r="D1458" s="90" t="s">
        <v>80</v>
      </c>
      <c r="E1458">
        <v>2909</v>
      </c>
      <c r="F1458">
        <v>2912</v>
      </c>
      <c r="G1458" s="93" t="s">
        <v>68</v>
      </c>
      <c r="H1458" t="s">
        <v>1815</v>
      </c>
      <c r="I1458">
        <v>3</v>
      </c>
      <c r="J1458">
        <f>SUM(K1459)</f>
        <v>491.93938622000002</v>
      </c>
      <c r="K1458">
        <f>I1458*J1458</f>
        <v>1475.8181586600001</v>
      </c>
      <c r="L1458">
        <f>100*(1-(M1458/K1458))</f>
        <v>40</v>
      </c>
      <c r="M1458">
        <f>I1458*SUM(M1459)</f>
        <v>885.490895196</v>
      </c>
      <c r="N1458" s="90">
        <v>1458</v>
      </c>
      <c r="O1458" s="90" t="s">
        <v>3548</v>
      </c>
      <c r="R1458" s="90" t="s">
        <v>4560</v>
      </c>
      <c r="S1458" s="90" t="s">
        <v>5624</v>
      </c>
      <c r="T1458" s="90" t="s">
        <v>6122</v>
      </c>
      <c r="U1458" s="90" t="s">
        <v>5100</v>
      </c>
    </row>
    <row r="1459" spans="1:21" x14ac:dyDescent="0.25">
      <c r="A1459" s="90" t="s">
        <v>3549</v>
      </c>
      <c r="B1459" s="119">
        <v>5</v>
      </c>
      <c r="C1459" s="90" t="s">
        <v>3547</v>
      </c>
      <c r="D1459" s="90" t="s">
        <v>78</v>
      </c>
      <c r="E1459">
        <v>2910</v>
      </c>
      <c r="F1459">
        <v>2911</v>
      </c>
      <c r="G1459" s="93" t="s">
        <v>78</v>
      </c>
      <c r="H1459" t="s">
        <v>126</v>
      </c>
      <c r="I1459">
        <v>1</v>
      </c>
      <c r="J1459">
        <v>491.93938622000002</v>
      </c>
      <c r="K1459">
        <f>I1459*J1459</f>
        <v>491.93938622000002</v>
      </c>
      <c r="L1459">
        <v>40</v>
      </c>
      <c r="M1459">
        <f>(1-(L1459/100))*K1459</f>
        <v>295.163631732</v>
      </c>
      <c r="N1459" s="90">
        <v>1459</v>
      </c>
      <c r="O1459" s="90" t="s">
        <v>3550</v>
      </c>
    </row>
    <row r="1460" spans="1:21" x14ac:dyDescent="0.25">
      <c r="A1460" s="90" t="s">
        <v>3551</v>
      </c>
      <c r="B1460" s="119">
        <v>4</v>
      </c>
      <c r="C1460" s="90" t="s">
        <v>3536</v>
      </c>
      <c r="D1460" s="90" t="s">
        <v>95</v>
      </c>
      <c r="E1460">
        <v>2913</v>
      </c>
      <c r="F1460">
        <v>2916</v>
      </c>
      <c r="G1460" s="93" t="s">
        <v>68</v>
      </c>
      <c r="H1460" t="s">
        <v>1818</v>
      </c>
      <c r="I1460">
        <v>4</v>
      </c>
      <c r="J1460">
        <f>SUM(K1461)</f>
        <v>313.76543995999998</v>
      </c>
      <c r="K1460">
        <f>I1460*J1460</f>
        <v>1255.0617598399999</v>
      </c>
      <c r="L1460">
        <f>100*(1-(M1460/K1460))</f>
        <v>40</v>
      </c>
      <c r="M1460">
        <f>I1460*SUM(M1461)</f>
        <v>753.03705590399989</v>
      </c>
      <c r="N1460" s="90">
        <v>1460</v>
      </c>
      <c r="O1460" s="90" t="s">
        <v>3552</v>
      </c>
      <c r="R1460" s="90" t="s">
        <v>4561</v>
      </c>
      <c r="S1460" s="90" t="s">
        <v>5625</v>
      </c>
      <c r="T1460" s="90" t="s">
        <v>6123</v>
      </c>
      <c r="U1460" s="90" t="s">
        <v>5101</v>
      </c>
    </row>
    <row r="1461" spans="1:21" x14ac:dyDescent="0.25">
      <c r="A1461" s="90" t="s">
        <v>3553</v>
      </c>
      <c r="B1461" s="119">
        <v>5</v>
      </c>
      <c r="C1461" s="90" t="s">
        <v>3551</v>
      </c>
      <c r="D1461" s="90" t="s">
        <v>78</v>
      </c>
      <c r="E1461">
        <v>2914</v>
      </c>
      <c r="F1461">
        <v>2915</v>
      </c>
      <c r="G1461" s="93" t="s">
        <v>78</v>
      </c>
      <c r="H1461" t="s">
        <v>123</v>
      </c>
      <c r="I1461">
        <v>1</v>
      </c>
      <c r="J1461">
        <v>313.76543995999998</v>
      </c>
      <c r="K1461">
        <f>I1461*J1461</f>
        <v>313.76543995999998</v>
      </c>
      <c r="L1461">
        <v>40</v>
      </c>
      <c r="M1461">
        <f>(1-(L1461/100))*K1461</f>
        <v>188.25926397599997</v>
      </c>
      <c r="N1461" s="90">
        <v>1461</v>
      </c>
      <c r="O1461" s="90" t="s">
        <v>3554</v>
      </c>
    </row>
    <row r="1462" spans="1:21" x14ac:dyDescent="0.25">
      <c r="A1462" s="90" t="s">
        <v>3555</v>
      </c>
      <c r="B1462" s="119">
        <v>4</v>
      </c>
      <c r="C1462" s="90" t="s">
        <v>3536</v>
      </c>
      <c r="D1462" s="90" t="s">
        <v>96</v>
      </c>
      <c r="E1462">
        <v>2917</v>
      </c>
      <c r="F1462">
        <v>2920</v>
      </c>
      <c r="G1462" s="93" t="s">
        <v>68</v>
      </c>
      <c r="H1462" t="s">
        <v>1821</v>
      </c>
      <c r="I1462">
        <v>1</v>
      </c>
      <c r="J1462">
        <f>SUM(K1463)</f>
        <v>666.34407233000002</v>
      </c>
      <c r="K1462">
        <f>I1462*J1462</f>
        <v>666.34407233000002</v>
      </c>
      <c r="L1462">
        <f>100*(1-(M1462/K1462))</f>
        <v>40</v>
      </c>
      <c r="M1462">
        <f>I1462*SUM(M1463)</f>
        <v>399.806443398</v>
      </c>
      <c r="N1462" s="90">
        <v>1462</v>
      </c>
      <c r="O1462" s="90" t="s">
        <v>3556</v>
      </c>
      <c r="R1462" s="90" t="s">
        <v>4562</v>
      </c>
      <c r="S1462" s="90" t="s">
        <v>5626</v>
      </c>
      <c r="T1462" s="90" t="s">
        <v>6124</v>
      </c>
      <c r="U1462" s="90" t="s">
        <v>5102</v>
      </c>
    </row>
    <row r="1463" spans="1:21" x14ac:dyDescent="0.25">
      <c r="A1463" s="90" t="s">
        <v>3557</v>
      </c>
      <c r="B1463" s="119">
        <v>5</v>
      </c>
      <c r="C1463" s="90" t="s">
        <v>3555</v>
      </c>
      <c r="D1463" s="90" t="s">
        <v>78</v>
      </c>
      <c r="E1463">
        <v>2918</v>
      </c>
      <c r="F1463">
        <v>2919</v>
      </c>
      <c r="G1463" s="93" t="s">
        <v>78</v>
      </c>
      <c r="H1463" t="s">
        <v>698</v>
      </c>
      <c r="I1463">
        <v>1</v>
      </c>
      <c r="J1463">
        <v>666.34407233000002</v>
      </c>
      <c r="K1463">
        <f>I1463*J1463</f>
        <v>666.34407233000002</v>
      </c>
      <c r="L1463">
        <v>40</v>
      </c>
      <c r="M1463">
        <f>(1-(L1463/100))*K1463</f>
        <v>399.806443398</v>
      </c>
      <c r="N1463" s="90">
        <v>1463</v>
      </c>
      <c r="O1463" s="90" t="s">
        <v>3558</v>
      </c>
    </row>
    <row r="1464" spans="1:21" x14ac:dyDescent="0.25">
      <c r="A1464" s="90" t="s">
        <v>3559</v>
      </c>
      <c r="B1464" s="119">
        <v>4</v>
      </c>
      <c r="C1464" s="90" t="s">
        <v>3536</v>
      </c>
      <c r="D1464" s="90" t="s">
        <v>103</v>
      </c>
      <c r="E1464">
        <v>2921</v>
      </c>
      <c r="F1464">
        <v>2924</v>
      </c>
      <c r="G1464" s="93" t="s">
        <v>68</v>
      </c>
      <c r="H1464" t="s">
        <v>1240</v>
      </c>
      <c r="I1464">
        <v>1</v>
      </c>
      <c r="J1464">
        <f>SUM(K1465)</f>
        <v>700.36928562000003</v>
      </c>
      <c r="K1464">
        <f>I1464*J1464</f>
        <v>700.36928562000003</v>
      </c>
      <c r="L1464">
        <f>100*(1-(M1464/K1464))</f>
        <v>40</v>
      </c>
      <c r="M1464">
        <f>I1464*SUM(M1465)</f>
        <v>420.22157137200003</v>
      </c>
      <c r="N1464" s="90">
        <v>1464</v>
      </c>
      <c r="O1464" s="90" t="s">
        <v>3560</v>
      </c>
      <c r="R1464" s="90" t="s">
        <v>4563</v>
      </c>
      <c r="S1464" s="90" t="s">
        <v>5627</v>
      </c>
      <c r="T1464" s="90" t="s">
        <v>6125</v>
      </c>
      <c r="U1464" s="90" t="s">
        <v>5103</v>
      </c>
    </row>
    <row r="1465" spans="1:21" x14ac:dyDescent="0.25">
      <c r="A1465" s="90" t="s">
        <v>3561</v>
      </c>
      <c r="B1465" s="119">
        <v>5</v>
      </c>
      <c r="C1465" s="90" t="s">
        <v>3559</v>
      </c>
      <c r="D1465" s="90" t="s">
        <v>78</v>
      </c>
      <c r="E1465">
        <v>2922</v>
      </c>
      <c r="F1465">
        <v>2923</v>
      </c>
      <c r="G1465" s="93" t="s">
        <v>78</v>
      </c>
      <c r="H1465" t="s">
        <v>1243</v>
      </c>
      <c r="I1465">
        <v>1</v>
      </c>
      <c r="J1465">
        <v>700.36928562000003</v>
      </c>
      <c r="K1465">
        <f>I1465*J1465</f>
        <v>700.36928562000003</v>
      </c>
      <c r="L1465">
        <v>40</v>
      </c>
      <c r="M1465">
        <f>(1-(L1465/100))*K1465</f>
        <v>420.22157137200003</v>
      </c>
      <c r="N1465" s="90">
        <v>1465</v>
      </c>
      <c r="O1465" s="90" t="s">
        <v>3562</v>
      </c>
    </row>
    <row r="1466" spans="1:21" x14ac:dyDescent="0.25">
      <c r="A1466" s="90" t="s">
        <v>3563</v>
      </c>
      <c r="B1466" s="119">
        <v>4</v>
      </c>
      <c r="C1466" s="90" t="s">
        <v>3536</v>
      </c>
      <c r="D1466" s="90" t="s">
        <v>796</v>
      </c>
      <c r="E1466">
        <v>2925</v>
      </c>
      <c r="F1466">
        <v>2928</v>
      </c>
      <c r="G1466" s="93" t="s">
        <v>68</v>
      </c>
      <c r="H1466" t="s">
        <v>1246</v>
      </c>
      <c r="I1466">
        <v>4</v>
      </c>
      <c r="J1466">
        <f>SUM(K1467)</f>
        <v>967.93582071000003</v>
      </c>
      <c r="K1466">
        <f>I1466*J1466</f>
        <v>3871.7432828400001</v>
      </c>
      <c r="L1466">
        <f>100*(1-(M1466/K1466))</f>
        <v>40</v>
      </c>
      <c r="M1466">
        <f>I1466*SUM(M1467)</f>
        <v>2323.0459697040001</v>
      </c>
      <c r="N1466" s="90">
        <v>1466</v>
      </c>
      <c r="O1466" s="90" t="s">
        <v>3564</v>
      </c>
      <c r="R1466" s="90" t="s">
        <v>4564</v>
      </c>
      <c r="S1466" s="90" t="s">
        <v>5628</v>
      </c>
      <c r="T1466" s="90" t="s">
        <v>6126</v>
      </c>
      <c r="U1466" s="90" t="s">
        <v>5104</v>
      </c>
    </row>
    <row r="1467" spans="1:21" x14ac:dyDescent="0.25">
      <c r="A1467" s="90" t="s">
        <v>3565</v>
      </c>
      <c r="B1467" s="119">
        <v>5</v>
      </c>
      <c r="C1467" s="90" t="s">
        <v>3563</v>
      </c>
      <c r="D1467" s="90" t="s">
        <v>78</v>
      </c>
      <c r="E1467">
        <v>2926</v>
      </c>
      <c r="F1467">
        <v>2927</v>
      </c>
      <c r="G1467" s="93" t="s">
        <v>78</v>
      </c>
      <c r="H1467" t="s">
        <v>120</v>
      </c>
      <c r="I1467">
        <v>1</v>
      </c>
      <c r="J1467">
        <v>967.93582071000003</v>
      </c>
      <c r="K1467">
        <f>I1467*J1467</f>
        <v>967.93582071000003</v>
      </c>
      <c r="L1467">
        <v>40</v>
      </c>
      <c r="M1467">
        <f>(1-(L1467/100))*K1467</f>
        <v>580.76149242600002</v>
      </c>
      <c r="N1467" s="90">
        <v>1467</v>
      </c>
      <c r="O1467" s="90" t="s">
        <v>3566</v>
      </c>
    </row>
    <row r="1468" spans="1:21" x14ac:dyDescent="0.25">
      <c r="A1468" s="90" t="s">
        <v>3567</v>
      </c>
      <c r="B1468" s="119">
        <v>4</v>
      </c>
      <c r="C1468" s="90" t="s">
        <v>3536</v>
      </c>
      <c r="D1468" s="90" t="s">
        <v>797</v>
      </c>
      <c r="E1468">
        <v>2929</v>
      </c>
      <c r="F1468">
        <v>2932</v>
      </c>
      <c r="G1468" s="93" t="s">
        <v>68</v>
      </c>
      <c r="H1468" t="s">
        <v>106</v>
      </c>
      <c r="I1468">
        <v>2</v>
      </c>
      <c r="J1468">
        <f>SUM(K1469)</f>
        <v>5209</v>
      </c>
      <c r="K1468">
        <f>I1468*J1468</f>
        <v>10418</v>
      </c>
      <c r="L1468">
        <f>100*(1-(M1468/K1468))</f>
        <v>40</v>
      </c>
      <c r="M1468">
        <f>I1468*SUM(M1469)</f>
        <v>6250.8</v>
      </c>
      <c r="N1468" s="90">
        <v>1468</v>
      </c>
      <c r="O1468" s="90" t="s">
        <v>3568</v>
      </c>
      <c r="R1468" s="90" t="s">
        <v>4565</v>
      </c>
      <c r="S1468" s="90" t="s">
        <v>5629</v>
      </c>
      <c r="T1468" s="90" t="s">
        <v>6127</v>
      </c>
      <c r="U1468" s="90" t="s">
        <v>5105</v>
      </c>
    </row>
    <row r="1469" spans="1:21" x14ac:dyDescent="0.25">
      <c r="A1469" s="90" t="s">
        <v>3569</v>
      </c>
      <c r="B1469" s="119">
        <v>5</v>
      </c>
      <c r="C1469" s="90" t="s">
        <v>3567</v>
      </c>
      <c r="D1469" s="90" t="s">
        <v>78</v>
      </c>
      <c r="E1469">
        <v>2930</v>
      </c>
      <c r="F1469">
        <v>2931</v>
      </c>
      <c r="G1469" s="93" t="s">
        <v>78</v>
      </c>
      <c r="H1469" t="s">
        <v>107</v>
      </c>
      <c r="I1469">
        <v>1</v>
      </c>
      <c r="J1469">
        <v>5209</v>
      </c>
      <c r="K1469">
        <f>I1469*J1469</f>
        <v>5209</v>
      </c>
      <c r="L1469">
        <v>40</v>
      </c>
      <c r="M1469">
        <f>(1-(L1469/100))*K1469</f>
        <v>3125.4</v>
      </c>
      <c r="N1469" s="90">
        <v>1469</v>
      </c>
      <c r="O1469" s="90" t="s">
        <v>3570</v>
      </c>
    </row>
    <row r="1470" spans="1:21" x14ac:dyDescent="0.25">
      <c r="A1470" s="90" t="s">
        <v>3571</v>
      </c>
      <c r="B1470" s="119">
        <v>4</v>
      </c>
      <c r="C1470" s="90" t="s">
        <v>3536</v>
      </c>
      <c r="D1470" s="90" t="s">
        <v>798</v>
      </c>
      <c r="E1470">
        <v>2933</v>
      </c>
      <c r="F1470">
        <v>2936</v>
      </c>
      <c r="G1470" s="93" t="s">
        <v>68</v>
      </c>
      <c r="H1470" t="s">
        <v>1266</v>
      </c>
      <c r="I1470">
        <v>1</v>
      </c>
      <c r="J1470">
        <f>SUM(K1471)</f>
        <v>9312.3647013900008</v>
      </c>
      <c r="K1470">
        <f>I1470*J1470</f>
        <v>9312.3647013900008</v>
      </c>
      <c r="L1470">
        <f>100*(1-(M1470/K1470))</f>
        <v>40</v>
      </c>
      <c r="M1470">
        <f>I1470*SUM(M1471)</f>
        <v>5587.4188208340001</v>
      </c>
      <c r="N1470" s="90">
        <v>1470</v>
      </c>
      <c r="O1470" s="90" t="s">
        <v>3572</v>
      </c>
      <c r="R1470" s="90" t="s">
        <v>4566</v>
      </c>
      <c r="S1470" s="90" t="s">
        <v>5630</v>
      </c>
      <c r="T1470" s="90" t="s">
        <v>6128</v>
      </c>
      <c r="U1470" s="90" t="s">
        <v>5106</v>
      </c>
    </row>
    <row r="1471" spans="1:21" x14ac:dyDescent="0.25">
      <c r="A1471" s="90" t="s">
        <v>3573</v>
      </c>
      <c r="B1471" s="119">
        <v>5</v>
      </c>
      <c r="C1471" s="90" t="s">
        <v>3571</v>
      </c>
      <c r="D1471" s="90" t="s">
        <v>78</v>
      </c>
      <c r="E1471">
        <v>2934</v>
      </c>
      <c r="F1471">
        <v>2935</v>
      </c>
      <c r="G1471" s="93" t="s">
        <v>78</v>
      </c>
      <c r="H1471" t="s">
        <v>1269</v>
      </c>
      <c r="I1471">
        <v>1</v>
      </c>
      <c r="J1471">
        <v>9312.3647013900008</v>
      </c>
      <c r="K1471">
        <f>I1471*J1471</f>
        <v>9312.3647013900008</v>
      </c>
      <c r="L1471">
        <v>40</v>
      </c>
      <c r="M1471">
        <f>(1-(L1471/100))*K1471</f>
        <v>5587.4188208340001</v>
      </c>
      <c r="N1471" s="90">
        <v>1471</v>
      </c>
      <c r="O1471" s="90" t="s">
        <v>3574</v>
      </c>
    </row>
    <row r="1472" spans="1:21" x14ac:dyDescent="0.25">
      <c r="A1472" s="90" t="s">
        <v>3575</v>
      </c>
      <c r="B1472" s="119">
        <v>4</v>
      </c>
      <c r="C1472" s="90" t="s">
        <v>3536</v>
      </c>
      <c r="D1472" s="90" t="s">
        <v>799</v>
      </c>
      <c r="E1472">
        <v>2937</v>
      </c>
      <c r="F1472">
        <v>2940</v>
      </c>
      <c r="G1472" s="93" t="s">
        <v>68</v>
      </c>
      <c r="H1472" t="s">
        <v>1638</v>
      </c>
      <c r="I1472">
        <v>1</v>
      </c>
      <c r="J1472">
        <f>SUM(K1473)</f>
        <v>1980.13</v>
      </c>
      <c r="K1472">
        <f>I1472*J1472</f>
        <v>1980.13</v>
      </c>
      <c r="L1472">
        <f>100*(1-(M1472/K1472))</f>
        <v>40</v>
      </c>
      <c r="M1472">
        <f>I1472*SUM(M1473)</f>
        <v>1188.078</v>
      </c>
      <c r="N1472" s="90">
        <v>1472</v>
      </c>
      <c r="O1472" s="90" t="s">
        <v>3576</v>
      </c>
      <c r="R1472" s="90" t="s">
        <v>4554</v>
      </c>
      <c r="S1472" s="90" t="s">
        <v>5618</v>
      </c>
      <c r="T1472" s="90" t="s">
        <v>6116</v>
      </c>
      <c r="U1472" s="90" t="s">
        <v>5094</v>
      </c>
    </row>
    <row r="1473" spans="1:21" x14ac:dyDescent="0.25">
      <c r="A1473" s="90" t="s">
        <v>3577</v>
      </c>
      <c r="B1473" s="119">
        <v>5</v>
      </c>
      <c r="C1473" s="90" t="s">
        <v>3575</v>
      </c>
      <c r="D1473" s="90" t="s">
        <v>78</v>
      </c>
      <c r="E1473">
        <v>2938</v>
      </c>
      <c r="F1473">
        <v>2939</v>
      </c>
      <c r="G1473" s="93" t="s">
        <v>78</v>
      </c>
      <c r="H1473" t="s">
        <v>1638</v>
      </c>
      <c r="I1473">
        <v>1</v>
      </c>
      <c r="J1473">
        <v>1980.13</v>
      </c>
      <c r="K1473">
        <f>I1473*J1473</f>
        <v>1980.13</v>
      </c>
      <c r="L1473">
        <v>40</v>
      </c>
      <c r="M1473">
        <f>(1-(L1473/100))*K1473</f>
        <v>1188.078</v>
      </c>
      <c r="N1473" s="90">
        <v>1473</v>
      </c>
      <c r="O1473" s="90" t="s">
        <v>3578</v>
      </c>
    </row>
    <row r="1474" spans="1:21" x14ac:dyDescent="0.25">
      <c r="A1474" s="90" t="s">
        <v>3579</v>
      </c>
      <c r="B1474" s="119">
        <v>4</v>
      </c>
      <c r="C1474" s="90" t="s">
        <v>3536</v>
      </c>
      <c r="D1474" s="90" t="s">
        <v>97</v>
      </c>
      <c r="E1474">
        <v>2941</v>
      </c>
      <c r="F1474">
        <v>2944</v>
      </c>
      <c r="G1474" s="93" t="s">
        <v>68</v>
      </c>
      <c r="H1474" t="s">
        <v>1272</v>
      </c>
      <c r="I1474">
        <v>2</v>
      </c>
      <c r="J1474">
        <f>SUM(K1475)</f>
        <v>1308.5572392700001</v>
      </c>
      <c r="K1474">
        <f>I1474*J1474</f>
        <v>2617.1144785400002</v>
      </c>
      <c r="L1474">
        <f>100*(1-(M1474/K1474))</f>
        <v>40</v>
      </c>
      <c r="M1474">
        <f>I1474*SUM(M1475)</f>
        <v>1570.2686871240001</v>
      </c>
      <c r="N1474" s="90">
        <v>1474</v>
      </c>
      <c r="O1474" s="90" t="s">
        <v>3580</v>
      </c>
      <c r="R1474" s="90" t="s">
        <v>4555</v>
      </c>
      <c r="S1474" s="90" t="s">
        <v>5619</v>
      </c>
      <c r="T1474" s="90" t="s">
        <v>6117</v>
      </c>
      <c r="U1474" s="90" t="s">
        <v>5095</v>
      </c>
    </row>
    <row r="1475" spans="1:21" x14ac:dyDescent="0.25">
      <c r="A1475" s="90" t="s">
        <v>3581</v>
      </c>
      <c r="B1475" s="119">
        <v>5</v>
      </c>
      <c r="C1475" s="90" t="s">
        <v>3579</v>
      </c>
      <c r="D1475" s="90" t="s">
        <v>78</v>
      </c>
      <c r="E1475">
        <v>2942</v>
      </c>
      <c r="F1475">
        <v>2943</v>
      </c>
      <c r="G1475" s="93" t="s">
        <v>78</v>
      </c>
      <c r="H1475" t="s">
        <v>1272</v>
      </c>
      <c r="I1475">
        <v>1</v>
      </c>
      <c r="J1475">
        <v>1308.5572392700001</v>
      </c>
      <c r="K1475">
        <f>I1475*J1475</f>
        <v>1308.5572392700001</v>
      </c>
      <c r="L1475">
        <v>40</v>
      </c>
      <c r="M1475">
        <f>(1-(L1475/100))*K1475</f>
        <v>785.13434356200003</v>
      </c>
      <c r="N1475" s="90">
        <v>1475</v>
      </c>
      <c r="O1475" s="90" t="s">
        <v>3582</v>
      </c>
    </row>
    <row r="1476" spans="1:21" x14ac:dyDescent="0.25">
      <c r="A1476" s="90" t="s">
        <v>3583</v>
      </c>
      <c r="B1476" s="119">
        <v>4</v>
      </c>
      <c r="C1476" s="90" t="s">
        <v>3536</v>
      </c>
      <c r="D1476" s="90" t="s">
        <v>98</v>
      </c>
      <c r="E1476">
        <v>2945</v>
      </c>
      <c r="F1476">
        <v>2978</v>
      </c>
      <c r="G1476" s="93" t="s">
        <v>68</v>
      </c>
      <c r="H1476" t="s">
        <v>1836</v>
      </c>
      <c r="I1476">
        <v>1</v>
      </c>
      <c r="J1476">
        <f>SUM(K1477,K1478,K1479,K1480,K1481,K1482,K1483,K1484,K1485,K1486,K1487,K1488,K1489,K1490,K1491,K1492)</f>
        <v>11904.940786960002</v>
      </c>
      <c r="K1476">
        <f>I1476*J1476</f>
        <v>11904.940786960002</v>
      </c>
      <c r="L1476">
        <f>100*(1-(M1476/K1476))</f>
        <v>40.000000000000021</v>
      </c>
      <c r="M1476">
        <f>I1476*SUM(M1477,M1478,M1479,M1480,M1481,M1482,M1483,M1484,M1485,M1486,M1487,M1488,M1489,M1490,M1491,M1492)</f>
        <v>7142.9644721759987</v>
      </c>
      <c r="N1476" s="90">
        <v>1476</v>
      </c>
      <c r="O1476" s="90" t="s">
        <v>3584</v>
      </c>
      <c r="R1476" s="90" t="s">
        <v>4556</v>
      </c>
      <c r="S1476" s="90" t="s">
        <v>5620</v>
      </c>
      <c r="T1476" s="90" t="s">
        <v>6118</v>
      </c>
      <c r="U1476" s="90" t="s">
        <v>5096</v>
      </c>
    </row>
    <row r="1477" spans="1:21" x14ac:dyDescent="0.25">
      <c r="A1477" s="90" t="s">
        <v>3585</v>
      </c>
      <c r="B1477" s="119">
        <v>5</v>
      </c>
      <c r="C1477" s="90" t="s">
        <v>3583</v>
      </c>
      <c r="D1477" s="90" t="s">
        <v>78</v>
      </c>
      <c r="E1477">
        <v>2946</v>
      </c>
      <c r="F1477">
        <v>2947</v>
      </c>
      <c r="G1477" s="93" t="s">
        <v>78</v>
      </c>
      <c r="H1477" t="s">
        <v>126</v>
      </c>
      <c r="I1477">
        <v>1</v>
      </c>
      <c r="J1477">
        <v>491.93938622000002</v>
      </c>
      <c r="K1477">
        <f>I1477*J1477</f>
        <v>491.93938622000002</v>
      </c>
      <c r="L1477">
        <v>40</v>
      </c>
      <c r="M1477">
        <f>(1-(L1477/100))*K1477</f>
        <v>295.163631732</v>
      </c>
      <c r="N1477" s="90">
        <v>1477</v>
      </c>
      <c r="O1477" s="90" t="s">
        <v>3586</v>
      </c>
    </row>
    <row r="1478" spans="1:21" x14ac:dyDescent="0.25">
      <c r="A1478" s="90" t="s">
        <v>3587</v>
      </c>
      <c r="B1478" s="119">
        <v>5</v>
      </c>
      <c r="C1478" s="90" t="s">
        <v>3583</v>
      </c>
      <c r="D1478" s="90" t="s">
        <v>79</v>
      </c>
      <c r="E1478">
        <v>2948</v>
      </c>
      <c r="F1478">
        <v>2949</v>
      </c>
      <c r="G1478" s="93" t="s">
        <v>78</v>
      </c>
      <c r="H1478" t="s">
        <v>131</v>
      </c>
      <c r="I1478">
        <v>1</v>
      </c>
      <c r="J1478">
        <v>926.14287533000004</v>
      </c>
      <c r="K1478">
        <f>I1478*J1478</f>
        <v>926.14287533000004</v>
      </c>
      <c r="L1478">
        <v>40</v>
      </c>
      <c r="M1478">
        <f>(1-(L1478/100))*K1478</f>
        <v>555.685725198</v>
      </c>
      <c r="N1478" s="90">
        <v>1478</v>
      </c>
      <c r="O1478" s="90" t="s">
        <v>3588</v>
      </c>
    </row>
    <row r="1479" spans="1:21" x14ac:dyDescent="0.25">
      <c r="A1479" s="90" t="s">
        <v>3589</v>
      </c>
      <c r="B1479" s="119">
        <v>5</v>
      </c>
      <c r="C1479" s="90" t="s">
        <v>3583</v>
      </c>
      <c r="D1479" s="90" t="s">
        <v>80</v>
      </c>
      <c r="E1479">
        <v>2950</v>
      </c>
      <c r="F1479">
        <v>2951</v>
      </c>
      <c r="G1479" s="93" t="s">
        <v>78</v>
      </c>
      <c r="H1479" t="s">
        <v>123</v>
      </c>
      <c r="I1479">
        <v>3</v>
      </c>
      <c r="J1479">
        <v>313.76543995999998</v>
      </c>
      <c r="K1479">
        <f>I1479*J1479</f>
        <v>941.29631987999994</v>
      </c>
      <c r="L1479">
        <v>40</v>
      </c>
      <c r="M1479">
        <f>(1-(L1479/100))*K1479</f>
        <v>564.77779192799994</v>
      </c>
      <c r="N1479" s="90">
        <v>1479</v>
      </c>
      <c r="O1479" s="90" t="s">
        <v>3590</v>
      </c>
    </row>
    <row r="1480" spans="1:21" x14ac:dyDescent="0.25">
      <c r="A1480" s="90" t="s">
        <v>3591</v>
      </c>
      <c r="B1480" s="119">
        <v>5</v>
      </c>
      <c r="C1480" s="90" t="s">
        <v>3583</v>
      </c>
      <c r="D1480" s="90" t="s">
        <v>95</v>
      </c>
      <c r="E1480">
        <v>2952</v>
      </c>
      <c r="F1480">
        <v>2953</v>
      </c>
      <c r="G1480" s="93" t="s">
        <v>78</v>
      </c>
      <c r="H1480" t="s">
        <v>132</v>
      </c>
      <c r="I1480">
        <v>1</v>
      </c>
      <c r="J1480">
        <v>5940.1629950300003</v>
      </c>
      <c r="K1480">
        <f>I1480*J1480</f>
        <v>5940.1629950300003</v>
      </c>
      <c r="L1480">
        <v>40</v>
      </c>
      <c r="M1480">
        <f>(1-(L1480/100))*K1480</f>
        <v>3564.0977970180002</v>
      </c>
      <c r="N1480" s="90">
        <v>1480</v>
      </c>
      <c r="O1480" s="90" t="s">
        <v>3592</v>
      </c>
    </row>
    <row r="1481" spans="1:21" x14ac:dyDescent="0.25">
      <c r="A1481" s="90" t="s">
        <v>3593</v>
      </c>
      <c r="B1481" s="119">
        <v>5</v>
      </c>
      <c r="C1481" s="90" t="s">
        <v>3583</v>
      </c>
      <c r="D1481" s="90" t="s">
        <v>96</v>
      </c>
      <c r="E1481">
        <v>2954</v>
      </c>
      <c r="F1481">
        <v>2955</v>
      </c>
      <c r="G1481" s="93" t="s">
        <v>78</v>
      </c>
      <c r="H1481" t="s">
        <v>133</v>
      </c>
      <c r="I1481">
        <v>0</v>
      </c>
      <c r="J1481">
        <v>1527.53087992</v>
      </c>
      <c r="K1481">
        <f>I1481*J1481</f>
        <v>0</v>
      </c>
      <c r="L1481">
        <v>40</v>
      </c>
      <c r="M1481">
        <f>(1-(L1481/100))*K1481</f>
        <v>0</v>
      </c>
      <c r="N1481" s="90">
        <v>1481</v>
      </c>
      <c r="O1481" s="90" t="s">
        <v>3594</v>
      </c>
    </row>
    <row r="1482" spans="1:21" x14ac:dyDescent="0.25">
      <c r="A1482" s="90" t="s">
        <v>3595</v>
      </c>
      <c r="B1482" s="119">
        <v>5</v>
      </c>
      <c r="C1482" s="90" t="s">
        <v>3583</v>
      </c>
      <c r="D1482" s="90" t="s">
        <v>103</v>
      </c>
      <c r="E1482">
        <v>2956</v>
      </c>
      <c r="F1482">
        <v>2957</v>
      </c>
      <c r="G1482" s="93" t="s">
        <v>78</v>
      </c>
      <c r="H1482" t="s">
        <v>119</v>
      </c>
      <c r="I1482">
        <v>1</v>
      </c>
      <c r="J1482">
        <v>594.85546925000006</v>
      </c>
      <c r="K1482">
        <f>I1482*J1482</f>
        <v>594.85546925000006</v>
      </c>
      <c r="L1482">
        <v>40</v>
      </c>
      <c r="M1482">
        <f>(1-(L1482/100))*K1482</f>
        <v>356.91328155000002</v>
      </c>
      <c r="N1482" s="90">
        <v>1482</v>
      </c>
      <c r="O1482" s="90" t="s">
        <v>3596</v>
      </c>
    </row>
    <row r="1483" spans="1:21" x14ac:dyDescent="0.25">
      <c r="A1483" s="90" t="s">
        <v>3597</v>
      </c>
      <c r="B1483" s="119">
        <v>5</v>
      </c>
      <c r="C1483" s="90" t="s">
        <v>3583</v>
      </c>
      <c r="D1483" s="90" t="s">
        <v>796</v>
      </c>
      <c r="E1483">
        <v>2958</v>
      </c>
      <c r="F1483">
        <v>2959</v>
      </c>
      <c r="G1483" s="93" t="s">
        <v>78</v>
      </c>
      <c r="H1483" t="s">
        <v>107</v>
      </c>
      <c r="I1483">
        <v>0</v>
      </c>
      <c r="J1483">
        <v>5209</v>
      </c>
      <c r="K1483">
        <f>I1483*J1483</f>
        <v>0</v>
      </c>
      <c r="L1483">
        <v>40</v>
      </c>
      <c r="M1483">
        <f>(1-(L1483/100))*K1483</f>
        <v>0</v>
      </c>
      <c r="N1483" s="90">
        <v>1483</v>
      </c>
      <c r="O1483" s="90" t="s">
        <v>3598</v>
      </c>
    </row>
    <row r="1484" spans="1:21" x14ac:dyDescent="0.25">
      <c r="A1484" s="90" t="s">
        <v>3599</v>
      </c>
      <c r="B1484" s="119">
        <v>5</v>
      </c>
      <c r="C1484" s="90" t="s">
        <v>3583</v>
      </c>
      <c r="D1484" s="90" t="s">
        <v>797</v>
      </c>
      <c r="E1484">
        <v>2960</v>
      </c>
      <c r="F1484">
        <v>2961</v>
      </c>
      <c r="G1484" s="93" t="s">
        <v>78</v>
      </c>
      <c r="H1484" t="s">
        <v>127</v>
      </c>
      <c r="I1484">
        <v>1</v>
      </c>
      <c r="J1484">
        <v>275.43613906000002</v>
      </c>
      <c r="K1484">
        <f>I1484*J1484</f>
        <v>275.43613906000002</v>
      </c>
      <c r="L1484">
        <v>40</v>
      </c>
      <c r="M1484">
        <f>(1-(L1484/100))*K1484</f>
        <v>165.261683436</v>
      </c>
      <c r="N1484" s="90">
        <v>1484</v>
      </c>
      <c r="O1484" s="90" t="s">
        <v>3600</v>
      </c>
    </row>
    <row r="1485" spans="1:21" x14ac:dyDescent="0.25">
      <c r="A1485" s="90" t="s">
        <v>3601</v>
      </c>
      <c r="B1485" s="119">
        <v>5</v>
      </c>
      <c r="C1485" s="90" t="s">
        <v>3583</v>
      </c>
      <c r="D1485" s="90" t="s">
        <v>798</v>
      </c>
      <c r="E1485">
        <v>2962</v>
      </c>
      <c r="F1485">
        <v>2963</v>
      </c>
      <c r="G1485" s="93" t="s">
        <v>78</v>
      </c>
      <c r="H1485" t="s">
        <v>121</v>
      </c>
      <c r="I1485">
        <v>1</v>
      </c>
      <c r="J1485">
        <v>78.186680249999995</v>
      </c>
      <c r="K1485">
        <f>I1485*J1485</f>
        <v>78.186680249999995</v>
      </c>
      <c r="L1485">
        <v>40</v>
      </c>
      <c r="M1485">
        <f>(1-(L1485/100))*K1485</f>
        <v>46.912008149999998</v>
      </c>
      <c r="N1485" s="90">
        <v>1485</v>
      </c>
      <c r="O1485" s="90" t="s">
        <v>3602</v>
      </c>
    </row>
    <row r="1486" spans="1:21" x14ac:dyDescent="0.25">
      <c r="A1486" s="90" t="s">
        <v>3603</v>
      </c>
      <c r="B1486" s="119">
        <v>5</v>
      </c>
      <c r="C1486" s="90" t="s">
        <v>3583</v>
      </c>
      <c r="D1486" s="90" t="s">
        <v>799</v>
      </c>
      <c r="E1486">
        <v>2964</v>
      </c>
      <c r="F1486">
        <v>2965</v>
      </c>
      <c r="G1486" s="93" t="s">
        <v>78</v>
      </c>
      <c r="H1486" t="s">
        <v>122</v>
      </c>
      <c r="I1486">
        <v>1</v>
      </c>
      <c r="J1486">
        <v>823.90169361999995</v>
      </c>
      <c r="K1486">
        <f>I1486*J1486</f>
        <v>823.90169361999995</v>
      </c>
      <c r="L1486">
        <v>40</v>
      </c>
      <c r="M1486">
        <f>(1-(L1486/100))*K1486</f>
        <v>494.34101617199997</v>
      </c>
      <c r="N1486" s="90">
        <v>1486</v>
      </c>
      <c r="O1486" s="90" t="s">
        <v>3604</v>
      </c>
    </row>
    <row r="1487" spans="1:21" x14ac:dyDescent="0.25">
      <c r="A1487" s="90" t="s">
        <v>3605</v>
      </c>
      <c r="B1487" s="119">
        <v>5</v>
      </c>
      <c r="C1487" s="90" t="s">
        <v>3583</v>
      </c>
      <c r="D1487" s="90" t="s">
        <v>97</v>
      </c>
      <c r="E1487">
        <v>2966</v>
      </c>
      <c r="F1487">
        <v>2967</v>
      </c>
      <c r="G1487" s="93" t="s">
        <v>78</v>
      </c>
      <c r="H1487" t="s">
        <v>128</v>
      </c>
      <c r="I1487">
        <v>1</v>
      </c>
      <c r="J1487">
        <v>270.62269196</v>
      </c>
      <c r="K1487">
        <f>I1487*J1487</f>
        <v>270.62269196</v>
      </c>
      <c r="L1487">
        <v>40</v>
      </c>
      <c r="M1487">
        <f>(1-(L1487/100))*K1487</f>
        <v>162.37361517599999</v>
      </c>
      <c r="N1487" s="90">
        <v>1487</v>
      </c>
      <c r="O1487" s="90" t="s">
        <v>3606</v>
      </c>
    </row>
    <row r="1488" spans="1:21" x14ac:dyDescent="0.25">
      <c r="A1488" s="90" t="s">
        <v>3607</v>
      </c>
      <c r="B1488" s="119">
        <v>5</v>
      </c>
      <c r="C1488" s="90" t="s">
        <v>3583</v>
      </c>
      <c r="D1488" s="90" t="s">
        <v>98</v>
      </c>
      <c r="E1488">
        <v>2968</v>
      </c>
      <c r="F1488">
        <v>2969</v>
      </c>
      <c r="G1488" s="93" t="s">
        <v>78</v>
      </c>
      <c r="H1488" t="s">
        <v>134</v>
      </c>
      <c r="I1488">
        <v>0</v>
      </c>
      <c r="J1488">
        <v>119.07551254000001</v>
      </c>
      <c r="K1488">
        <f>I1488*J1488</f>
        <v>0</v>
      </c>
      <c r="L1488">
        <v>40</v>
      </c>
      <c r="M1488">
        <f>(1-(L1488/100))*K1488</f>
        <v>0</v>
      </c>
      <c r="N1488" s="90">
        <v>1488</v>
      </c>
      <c r="O1488" s="90" t="s">
        <v>3608</v>
      </c>
    </row>
    <row r="1489" spans="1:21" x14ac:dyDescent="0.25">
      <c r="A1489" s="90" t="s">
        <v>3609</v>
      </c>
      <c r="B1489" s="119">
        <v>5</v>
      </c>
      <c r="C1489" s="90" t="s">
        <v>3583</v>
      </c>
      <c r="D1489" s="90" t="s">
        <v>99</v>
      </c>
      <c r="E1489">
        <v>2970</v>
      </c>
      <c r="F1489">
        <v>2971</v>
      </c>
      <c r="G1489" s="93" t="s">
        <v>78</v>
      </c>
      <c r="H1489" t="s">
        <v>135</v>
      </c>
      <c r="I1489">
        <v>0</v>
      </c>
      <c r="J1489">
        <v>56.526168339999998</v>
      </c>
      <c r="K1489">
        <f>I1489*J1489</f>
        <v>0</v>
      </c>
      <c r="L1489">
        <v>40</v>
      </c>
      <c r="M1489">
        <f>(1-(L1489/100))*K1489</f>
        <v>0</v>
      </c>
      <c r="N1489" s="90">
        <v>1489</v>
      </c>
      <c r="O1489" s="90" t="s">
        <v>3610</v>
      </c>
    </row>
    <row r="1490" spans="1:21" x14ac:dyDescent="0.25">
      <c r="A1490" s="90" t="s">
        <v>3611</v>
      </c>
      <c r="B1490" s="119">
        <v>5</v>
      </c>
      <c r="C1490" s="90" t="s">
        <v>3583</v>
      </c>
      <c r="D1490" s="90" t="s">
        <v>100</v>
      </c>
      <c r="E1490">
        <v>2972</v>
      </c>
      <c r="F1490">
        <v>2973</v>
      </c>
      <c r="G1490" s="93" t="s">
        <v>78</v>
      </c>
      <c r="H1490" t="s">
        <v>129</v>
      </c>
      <c r="I1490">
        <v>1</v>
      </c>
      <c r="J1490">
        <v>212.88679486000001</v>
      </c>
      <c r="K1490">
        <f>I1490*J1490</f>
        <v>212.88679486000001</v>
      </c>
      <c r="L1490">
        <v>40</v>
      </c>
      <c r="M1490">
        <f>(1-(L1490/100))*K1490</f>
        <v>127.732076916</v>
      </c>
      <c r="N1490" s="90">
        <v>1490</v>
      </c>
      <c r="O1490" s="90" t="s">
        <v>3612</v>
      </c>
    </row>
    <row r="1491" spans="1:21" x14ac:dyDescent="0.25">
      <c r="A1491" s="90" t="s">
        <v>3613</v>
      </c>
      <c r="B1491" s="119">
        <v>5</v>
      </c>
      <c r="C1491" s="90" t="s">
        <v>3583</v>
      </c>
      <c r="D1491" s="90" t="s">
        <v>81</v>
      </c>
      <c r="E1491">
        <v>2974</v>
      </c>
      <c r="F1491">
        <v>2975</v>
      </c>
      <c r="G1491" s="93" t="s">
        <v>78</v>
      </c>
      <c r="H1491" t="s">
        <v>130</v>
      </c>
      <c r="I1491">
        <v>1</v>
      </c>
      <c r="J1491">
        <v>206.87635298999999</v>
      </c>
      <c r="K1491">
        <f>I1491*J1491</f>
        <v>206.87635298999999</v>
      </c>
      <c r="L1491">
        <v>40</v>
      </c>
      <c r="M1491">
        <f>(1-(L1491/100))*K1491</f>
        <v>124.12581179399999</v>
      </c>
      <c r="N1491" s="90">
        <v>1491</v>
      </c>
      <c r="O1491" s="90" t="s">
        <v>3614</v>
      </c>
    </row>
    <row r="1492" spans="1:21" x14ac:dyDescent="0.25">
      <c r="A1492" s="90" t="s">
        <v>3615</v>
      </c>
      <c r="B1492" s="119">
        <v>5</v>
      </c>
      <c r="C1492" s="90" t="s">
        <v>3583</v>
      </c>
      <c r="D1492" s="90" t="s">
        <v>83</v>
      </c>
      <c r="E1492">
        <v>2976</v>
      </c>
      <c r="F1492">
        <v>2977</v>
      </c>
      <c r="G1492" s="93" t="s">
        <v>78</v>
      </c>
      <c r="H1492" t="s">
        <v>136</v>
      </c>
      <c r="I1492">
        <v>1</v>
      </c>
      <c r="J1492">
        <v>1142.63338851</v>
      </c>
      <c r="K1492">
        <f>I1492*J1492</f>
        <v>1142.63338851</v>
      </c>
      <c r="L1492">
        <v>40</v>
      </c>
      <c r="M1492">
        <f>(1-(L1492/100))*K1492</f>
        <v>685.58003310599997</v>
      </c>
      <c r="N1492" s="90">
        <v>1492</v>
      </c>
      <c r="O1492" s="90" t="s">
        <v>3616</v>
      </c>
    </row>
    <row r="1493" spans="1:21" x14ac:dyDescent="0.25">
      <c r="A1493" s="90" t="s">
        <v>3617</v>
      </c>
      <c r="B1493" s="119">
        <v>4</v>
      </c>
      <c r="C1493" s="90" t="s">
        <v>3536</v>
      </c>
      <c r="D1493" s="90" t="s">
        <v>99</v>
      </c>
      <c r="E1493">
        <v>2979</v>
      </c>
      <c r="F1493">
        <v>2982</v>
      </c>
      <c r="G1493" s="93" t="s">
        <v>68</v>
      </c>
      <c r="H1493" t="s">
        <v>1714</v>
      </c>
      <c r="I1493">
        <v>2</v>
      </c>
      <c r="J1493">
        <f>SUM(K1494)</f>
        <v>5389.0233031999996</v>
      </c>
      <c r="K1493">
        <f>I1493*J1493</f>
        <v>10778.046606399999</v>
      </c>
      <c r="L1493">
        <f>100*(1-(M1493/K1493))</f>
        <v>40</v>
      </c>
      <c r="M1493">
        <f>I1493*SUM(M1494)</f>
        <v>6466.827963839999</v>
      </c>
      <c r="N1493" s="90">
        <v>1493</v>
      </c>
      <c r="O1493" s="90" t="s">
        <v>3618</v>
      </c>
      <c r="R1493" s="90" t="s">
        <v>4557</v>
      </c>
      <c r="S1493" s="90" t="s">
        <v>5621</v>
      </c>
      <c r="T1493" s="90" t="s">
        <v>6119</v>
      </c>
      <c r="U1493" s="90" t="s">
        <v>5097</v>
      </c>
    </row>
    <row r="1494" spans="1:21" x14ac:dyDescent="0.25">
      <c r="A1494" s="90" t="s">
        <v>3619</v>
      </c>
      <c r="B1494" s="119">
        <v>5</v>
      </c>
      <c r="C1494" s="90" t="s">
        <v>3617</v>
      </c>
      <c r="D1494" s="90" t="s">
        <v>78</v>
      </c>
      <c r="E1494">
        <v>2980</v>
      </c>
      <c r="F1494">
        <v>2981</v>
      </c>
      <c r="G1494" s="93" t="s">
        <v>78</v>
      </c>
      <c r="H1494" t="s">
        <v>1714</v>
      </c>
      <c r="I1494">
        <v>1</v>
      </c>
      <c r="J1494">
        <v>5389.0233031999996</v>
      </c>
      <c r="K1494">
        <f>I1494*J1494</f>
        <v>5389.0233031999996</v>
      </c>
      <c r="L1494">
        <v>40</v>
      </c>
      <c r="M1494">
        <f>(1-(L1494/100))*K1494</f>
        <v>3233.4139819199995</v>
      </c>
      <c r="N1494" s="90">
        <v>1494</v>
      </c>
      <c r="O1494" s="90" t="s">
        <v>3620</v>
      </c>
    </row>
    <row r="1495" spans="1:21" x14ac:dyDescent="0.25">
      <c r="A1495" s="90" t="s">
        <v>3621</v>
      </c>
      <c r="B1495" s="119">
        <v>4</v>
      </c>
      <c r="C1495" s="90" t="s">
        <v>3536</v>
      </c>
      <c r="D1495" s="90" t="s">
        <v>100</v>
      </c>
      <c r="E1495">
        <v>2983</v>
      </c>
      <c r="F1495">
        <v>2986</v>
      </c>
      <c r="G1495" s="93" t="s">
        <v>68</v>
      </c>
      <c r="H1495" t="s">
        <v>1509</v>
      </c>
      <c r="I1495">
        <v>2</v>
      </c>
      <c r="J1495">
        <f>SUM(K1496)</f>
        <v>3300</v>
      </c>
      <c r="K1495">
        <f>I1495*J1495</f>
        <v>6600</v>
      </c>
      <c r="L1495">
        <f>100*(1-(M1495/K1495))</f>
        <v>40</v>
      </c>
      <c r="M1495">
        <f>I1495*SUM(M1496)</f>
        <v>3960</v>
      </c>
      <c r="N1495" s="90">
        <v>1495</v>
      </c>
      <c r="O1495" s="90" t="s">
        <v>3622</v>
      </c>
      <c r="R1495" s="90" t="s">
        <v>4558</v>
      </c>
      <c r="S1495" s="90" t="s">
        <v>5622</v>
      </c>
      <c r="T1495" s="90" t="s">
        <v>6120</v>
      </c>
      <c r="U1495" s="90" t="s">
        <v>5098</v>
      </c>
    </row>
    <row r="1496" spans="1:21" x14ac:dyDescent="0.25">
      <c r="A1496" s="90" t="s">
        <v>3623</v>
      </c>
      <c r="B1496" s="119">
        <v>5</v>
      </c>
      <c r="C1496" s="90" t="s">
        <v>3621</v>
      </c>
      <c r="D1496" s="90" t="s">
        <v>78</v>
      </c>
      <c r="E1496">
        <v>2984</v>
      </c>
      <c r="F1496">
        <v>2985</v>
      </c>
      <c r="G1496" s="93" t="s">
        <v>78</v>
      </c>
      <c r="H1496" t="s">
        <v>1509</v>
      </c>
      <c r="I1496">
        <v>1</v>
      </c>
      <c r="J1496">
        <v>3300</v>
      </c>
      <c r="K1496">
        <f>I1496*J1496</f>
        <v>3300</v>
      </c>
      <c r="L1496">
        <v>40</v>
      </c>
      <c r="M1496">
        <f>(1-(L1496/100))*K1496</f>
        <v>1980</v>
      </c>
      <c r="N1496" s="90">
        <v>1496</v>
      </c>
      <c r="O1496" s="90" t="s">
        <v>3624</v>
      </c>
    </row>
    <row r="1497" spans="1:21" x14ac:dyDescent="0.25">
      <c r="A1497" s="90" t="s">
        <v>3625</v>
      </c>
      <c r="B1497" s="119">
        <v>3</v>
      </c>
      <c r="C1497" s="90" t="s">
        <v>3533</v>
      </c>
      <c r="D1497" s="90" t="s">
        <v>79</v>
      </c>
      <c r="E1497">
        <v>2988</v>
      </c>
      <c r="F1497">
        <v>3011</v>
      </c>
      <c r="G1497" s="93" t="s">
        <v>68</v>
      </c>
      <c r="H1497" t="s">
        <v>392</v>
      </c>
      <c r="I1497">
        <v>1</v>
      </c>
      <c r="J1497">
        <f>SUM(K1498,K1501,K1503,K1505,K1507)</f>
        <v>13011.371921559999</v>
      </c>
      <c r="K1497">
        <f>I1497*J1497</f>
        <v>13011.371921559999</v>
      </c>
      <c r="L1497">
        <f>100*(1-(M1497/K1497))</f>
        <v>88</v>
      </c>
      <c r="M1497">
        <f>I1497*SUM(M1498,M1501,M1503,M1505,M1507)</f>
        <v>1561.3646305871998</v>
      </c>
      <c r="N1497" s="90">
        <v>1497</v>
      </c>
      <c r="O1497" s="90" t="s">
        <v>3626</v>
      </c>
      <c r="R1497" s="90" t="s">
        <v>6409</v>
      </c>
      <c r="S1497" s="90" t="s">
        <v>6712</v>
      </c>
      <c r="T1497" s="90" t="s">
        <v>6857</v>
      </c>
      <c r="U1497" s="90" t="s">
        <v>6561</v>
      </c>
    </row>
    <row r="1498" spans="1:21" x14ac:dyDescent="0.25">
      <c r="A1498" s="90" t="s">
        <v>3627</v>
      </c>
      <c r="B1498" s="119">
        <v>4</v>
      </c>
      <c r="C1498" s="90" t="s">
        <v>3625</v>
      </c>
      <c r="D1498" s="90" t="s">
        <v>78</v>
      </c>
      <c r="E1498">
        <v>2989</v>
      </c>
      <c r="F1498">
        <v>2994</v>
      </c>
      <c r="G1498" s="93" t="s">
        <v>68</v>
      </c>
      <c r="H1498" t="s">
        <v>364</v>
      </c>
      <c r="I1498">
        <v>1</v>
      </c>
      <c r="J1498">
        <f>SUM(K1499,K1500)</f>
        <v>2292.1176620400001</v>
      </c>
      <c r="K1498">
        <f>I1498*J1498</f>
        <v>2292.1176620400001</v>
      </c>
      <c r="L1498">
        <f>100*(1-(M1498/K1498))</f>
        <v>88</v>
      </c>
      <c r="M1498">
        <f>I1498*SUM(M1499,M1500)</f>
        <v>275.05411944479999</v>
      </c>
      <c r="N1498" s="90">
        <v>1498</v>
      </c>
      <c r="O1498" s="90" t="s">
        <v>3628</v>
      </c>
      <c r="R1498" s="90" t="s">
        <v>4567</v>
      </c>
      <c r="S1498" s="90" t="s">
        <v>5631</v>
      </c>
      <c r="T1498" s="90" t="s">
        <v>6129</v>
      </c>
      <c r="U1498" s="90" t="s">
        <v>5107</v>
      </c>
    </row>
    <row r="1499" spans="1:21" x14ac:dyDescent="0.25">
      <c r="A1499" s="90" t="s">
        <v>3629</v>
      </c>
      <c r="B1499" s="119">
        <v>5</v>
      </c>
      <c r="C1499" s="90" t="s">
        <v>3627</v>
      </c>
      <c r="D1499" s="90" t="s">
        <v>78</v>
      </c>
      <c r="E1499">
        <v>2990</v>
      </c>
      <c r="F1499">
        <v>2991</v>
      </c>
      <c r="G1499" s="93" t="s">
        <v>78</v>
      </c>
      <c r="H1499" t="s">
        <v>366</v>
      </c>
      <c r="I1499">
        <v>1</v>
      </c>
      <c r="J1499">
        <v>509.35948044999998</v>
      </c>
      <c r="K1499">
        <f>I1499*J1499</f>
        <v>509.35948044999998</v>
      </c>
      <c r="L1499">
        <v>88</v>
      </c>
      <c r="M1499">
        <f>(1-(L1499/100))*K1499</f>
        <v>61.123137653999997</v>
      </c>
      <c r="N1499" s="90">
        <v>1499</v>
      </c>
      <c r="O1499" s="90" t="s">
        <v>3630</v>
      </c>
    </row>
    <row r="1500" spans="1:21" x14ac:dyDescent="0.25">
      <c r="A1500" s="90" t="s">
        <v>3631</v>
      </c>
      <c r="B1500" s="119">
        <v>5</v>
      </c>
      <c r="C1500" s="90" t="s">
        <v>3627</v>
      </c>
      <c r="D1500" s="90" t="s">
        <v>79</v>
      </c>
      <c r="E1500">
        <v>2992</v>
      </c>
      <c r="F1500">
        <v>2993</v>
      </c>
      <c r="G1500" s="93" t="s">
        <v>78</v>
      </c>
      <c r="H1500" t="s">
        <v>368</v>
      </c>
      <c r="I1500">
        <v>1</v>
      </c>
      <c r="J1500">
        <v>1782.75818159</v>
      </c>
      <c r="K1500">
        <f>I1500*J1500</f>
        <v>1782.75818159</v>
      </c>
      <c r="L1500">
        <v>88</v>
      </c>
      <c r="M1500">
        <f>(1-(L1500/100))*K1500</f>
        <v>213.93098179079999</v>
      </c>
      <c r="N1500" s="90">
        <v>1500</v>
      </c>
      <c r="O1500" s="90" t="s">
        <v>3632</v>
      </c>
    </row>
    <row r="1501" spans="1:21" x14ac:dyDescent="0.25">
      <c r="A1501" s="90" t="s">
        <v>3633</v>
      </c>
      <c r="B1501" s="119">
        <v>4</v>
      </c>
      <c r="C1501" s="90" t="s">
        <v>3625</v>
      </c>
      <c r="D1501" s="90" t="s">
        <v>79</v>
      </c>
      <c r="E1501">
        <v>2995</v>
      </c>
      <c r="F1501">
        <v>2998</v>
      </c>
      <c r="G1501" s="93" t="s">
        <v>68</v>
      </c>
      <c r="H1501" t="s">
        <v>379</v>
      </c>
      <c r="I1501">
        <v>1</v>
      </c>
      <c r="J1501">
        <f>SUM(K1502)</f>
        <v>303.06889087000002</v>
      </c>
      <c r="K1501">
        <f>I1501*J1501</f>
        <v>303.06889087000002</v>
      </c>
      <c r="L1501">
        <f>100*(1-(M1501/K1501))</f>
        <v>88</v>
      </c>
      <c r="M1501">
        <f>I1501*SUM(M1502)</f>
        <v>36.368266904400002</v>
      </c>
      <c r="N1501" s="90">
        <v>1501</v>
      </c>
      <c r="O1501" s="90" t="s">
        <v>3634</v>
      </c>
      <c r="R1501" s="90" t="s">
        <v>4568</v>
      </c>
      <c r="S1501" s="90" t="s">
        <v>5632</v>
      </c>
      <c r="T1501" s="90" t="s">
        <v>6130</v>
      </c>
      <c r="U1501" s="90" t="s">
        <v>5108</v>
      </c>
    </row>
    <row r="1502" spans="1:21" x14ac:dyDescent="0.25">
      <c r="A1502" s="90" t="s">
        <v>3635</v>
      </c>
      <c r="B1502" s="119">
        <v>5</v>
      </c>
      <c r="C1502" s="90" t="s">
        <v>3633</v>
      </c>
      <c r="D1502" s="90" t="s">
        <v>78</v>
      </c>
      <c r="E1502">
        <v>2996</v>
      </c>
      <c r="F1502">
        <v>2997</v>
      </c>
      <c r="G1502" s="93" t="s">
        <v>78</v>
      </c>
      <c r="H1502" t="s">
        <v>381</v>
      </c>
      <c r="I1502">
        <v>1</v>
      </c>
      <c r="J1502">
        <v>303.06889087000002</v>
      </c>
      <c r="K1502">
        <f>I1502*J1502</f>
        <v>303.06889087000002</v>
      </c>
      <c r="L1502">
        <v>88</v>
      </c>
      <c r="M1502">
        <f>(1-(L1502/100))*K1502</f>
        <v>36.368266904400002</v>
      </c>
      <c r="N1502" s="90">
        <v>1502</v>
      </c>
      <c r="O1502" s="90" t="s">
        <v>3636</v>
      </c>
    </row>
    <row r="1503" spans="1:21" x14ac:dyDescent="0.25">
      <c r="A1503" s="90" t="s">
        <v>3637</v>
      </c>
      <c r="B1503" s="119">
        <v>4</v>
      </c>
      <c r="C1503" s="90" t="s">
        <v>3625</v>
      </c>
      <c r="D1503" s="90" t="s">
        <v>80</v>
      </c>
      <c r="E1503">
        <v>2999</v>
      </c>
      <c r="F1503">
        <v>3002</v>
      </c>
      <c r="G1503" s="93" t="s">
        <v>68</v>
      </c>
      <c r="H1503" t="s">
        <v>399</v>
      </c>
      <c r="I1503">
        <v>1</v>
      </c>
      <c r="J1503">
        <f>SUM(K1504)</f>
        <v>333.63045970000002</v>
      </c>
      <c r="K1503">
        <f>I1503*J1503</f>
        <v>333.63045970000002</v>
      </c>
      <c r="L1503">
        <f>100*(1-(M1503/K1503))</f>
        <v>88</v>
      </c>
      <c r="M1503">
        <f>I1503*SUM(M1504)</f>
        <v>40.035655163999998</v>
      </c>
      <c r="N1503" s="90">
        <v>1503</v>
      </c>
      <c r="O1503" s="90" t="s">
        <v>3638</v>
      </c>
      <c r="R1503" s="90" t="s">
        <v>4569</v>
      </c>
      <c r="S1503" s="90" t="s">
        <v>5633</v>
      </c>
      <c r="T1503" s="90" t="s">
        <v>6131</v>
      </c>
      <c r="U1503" s="90" t="s">
        <v>5109</v>
      </c>
    </row>
    <row r="1504" spans="1:21" x14ac:dyDescent="0.25">
      <c r="A1504" s="90" t="s">
        <v>3639</v>
      </c>
      <c r="B1504" s="119">
        <v>5</v>
      </c>
      <c r="C1504" s="90" t="s">
        <v>3637</v>
      </c>
      <c r="D1504" s="90" t="s">
        <v>78</v>
      </c>
      <c r="E1504">
        <v>3000</v>
      </c>
      <c r="F1504">
        <v>3001</v>
      </c>
      <c r="G1504" s="93" t="s">
        <v>78</v>
      </c>
      <c r="H1504" t="s">
        <v>401</v>
      </c>
      <c r="I1504">
        <v>1</v>
      </c>
      <c r="J1504">
        <v>333.63045970000002</v>
      </c>
      <c r="K1504">
        <f>I1504*J1504</f>
        <v>333.63045970000002</v>
      </c>
      <c r="L1504">
        <v>88</v>
      </c>
      <c r="M1504">
        <f>(1-(L1504/100))*K1504</f>
        <v>40.035655163999998</v>
      </c>
      <c r="N1504" s="90">
        <v>1504</v>
      </c>
      <c r="O1504" s="90" t="s">
        <v>3640</v>
      </c>
    </row>
    <row r="1505" spans="1:21" x14ac:dyDescent="0.25">
      <c r="A1505" s="90" t="s">
        <v>3641</v>
      </c>
      <c r="B1505" s="119">
        <v>4</v>
      </c>
      <c r="C1505" s="90" t="s">
        <v>3625</v>
      </c>
      <c r="D1505" s="90" t="s">
        <v>95</v>
      </c>
      <c r="E1505">
        <v>3003</v>
      </c>
      <c r="F1505">
        <v>3006</v>
      </c>
      <c r="G1505" s="93" t="s">
        <v>68</v>
      </c>
      <c r="H1505" t="s">
        <v>383</v>
      </c>
      <c r="I1505">
        <v>1</v>
      </c>
      <c r="J1505">
        <f>SUM(K1506)</f>
        <v>1069.6549089499999</v>
      </c>
      <c r="K1505">
        <f>I1505*J1505</f>
        <v>1069.6549089499999</v>
      </c>
      <c r="L1505">
        <f>100*(1-(M1505/K1505))</f>
        <v>88</v>
      </c>
      <c r="M1505">
        <f>I1505*SUM(M1506)</f>
        <v>128.35858907399998</v>
      </c>
      <c r="N1505" s="90">
        <v>1505</v>
      </c>
      <c r="O1505" s="90" t="s">
        <v>3642</v>
      </c>
      <c r="R1505" s="90" t="s">
        <v>4570</v>
      </c>
      <c r="S1505" s="90" t="s">
        <v>5634</v>
      </c>
      <c r="T1505" s="90" t="s">
        <v>6132</v>
      </c>
      <c r="U1505" s="90" t="s">
        <v>5110</v>
      </c>
    </row>
    <row r="1506" spans="1:21" x14ac:dyDescent="0.25">
      <c r="A1506" s="90" t="s">
        <v>3643</v>
      </c>
      <c r="B1506" s="119">
        <v>5</v>
      </c>
      <c r="C1506" s="90" t="s">
        <v>3641</v>
      </c>
      <c r="D1506" s="90" t="s">
        <v>78</v>
      </c>
      <c r="E1506">
        <v>3004</v>
      </c>
      <c r="F1506">
        <v>3005</v>
      </c>
      <c r="G1506" s="93" t="s">
        <v>78</v>
      </c>
      <c r="H1506" t="s">
        <v>385</v>
      </c>
      <c r="I1506">
        <v>1</v>
      </c>
      <c r="J1506">
        <v>1069.6549089499999</v>
      </c>
      <c r="K1506">
        <f>I1506*J1506</f>
        <v>1069.6549089499999</v>
      </c>
      <c r="L1506">
        <v>88</v>
      </c>
      <c r="M1506">
        <f>(1-(L1506/100))*K1506</f>
        <v>128.35858907399998</v>
      </c>
      <c r="N1506" s="90">
        <v>1506</v>
      </c>
      <c r="O1506" s="90" t="s">
        <v>3644</v>
      </c>
    </row>
    <row r="1507" spans="1:21" x14ac:dyDescent="0.25">
      <c r="A1507" s="90" t="s">
        <v>3645</v>
      </c>
      <c r="B1507" s="119">
        <v>4</v>
      </c>
      <c r="C1507" s="90" t="s">
        <v>3625</v>
      </c>
      <c r="D1507" s="90" t="s">
        <v>96</v>
      </c>
      <c r="E1507">
        <v>3007</v>
      </c>
      <c r="F1507">
        <v>3010</v>
      </c>
      <c r="G1507" s="93" t="s">
        <v>68</v>
      </c>
      <c r="H1507" t="s">
        <v>387</v>
      </c>
      <c r="I1507">
        <v>1</v>
      </c>
      <c r="J1507">
        <f>SUM(K1508)</f>
        <v>9012.9</v>
      </c>
      <c r="K1507">
        <f>I1507*J1507</f>
        <v>9012.9</v>
      </c>
      <c r="L1507">
        <f>100*(1-(M1507/K1507))</f>
        <v>88</v>
      </c>
      <c r="M1507">
        <f>I1507*SUM(M1508)</f>
        <v>1081.548</v>
      </c>
      <c r="N1507" s="90">
        <v>1507</v>
      </c>
      <c r="O1507" s="90" t="s">
        <v>3646</v>
      </c>
      <c r="R1507" s="90" t="s">
        <v>4571</v>
      </c>
      <c r="S1507" s="90" t="s">
        <v>5635</v>
      </c>
      <c r="T1507" s="90" t="s">
        <v>6133</v>
      </c>
      <c r="U1507" s="90" t="s">
        <v>5111</v>
      </c>
    </row>
    <row r="1508" spans="1:21" x14ac:dyDescent="0.25">
      <c r="A1508" s="90" t="s">
        <v>3647</v>
      </c>
      <c r="B1508" s="119">
        <v>5</v>
      </c>
      <c r="C1508" s="90" t="s">
        <v>3645</v>
      </c>
      <c r="D1508" s="90" t="s">
        <v>78</v>
      </c>
      <c r="E1508">
        <v>3008</v>
      </c>
      <c r="F1508">
        <v>3009</v>
      </c>
      <c r="G1508" s="93" t="s">
        <v>78</v>
      </c>
      <c r="H1508" t="s">
        <v>389</v>
      </c>
      <c r="I1508">
        <v>1</v>
      </c>
      <c r="J1508">
        <v>9012.9</v>
      </c>
      <c r="K1508">
        <f>I1508*J1508</f>
        <v>9012.9</v>
      </c>
      <c r="L1508">
        <v>88</v>
      </c>
      <c r="M1508">
        <f>(1-(L1508/100))*K1508</f>
        <v>1081.548</v>
      </c>
      <c r="N1508" s="90">
        <v>1508</v>
      </c>
      <c r="O1508" s="90" t="s">
        <v>3648</v>
      </c>
    </row>
    <row r="1509" spans="1:21" x14ac:dyDescent="0.25">
      <c r="A1509" s="90" t="s">
        <v>3649</v>
      </c>
      <c r="B1509" s="119">
        <v>3</v>
      </c>
      <c r="C1509" s="90" t="s">
        <v>3533</v>
      </c>
      <c r="D1509" s="90" t="s">
        <v>80</v>
      </c>
      <c r="E1509">
        <v>3012</v>
      </c>
      <c r="F1509">
        <v>3025</v>
      </c>
      <c r="G1509" s="93" t="s">
        <v>68</v>
      </c>
      <c r="H1509" t="s">
        <v>3650</v>
      </c>
      <c r="I1509">
        <v>1</v>
      </c>
      <c r="J1509">
        <f>SUM(K1510)</f>
        <v>6588.4757417500005</v>
      </c>
      <c r="K1509">
        <f>I1509*J1509</f>
        <v>6588.4757417500005</v>
      </c>
      <c r="L1509">
        <f>100*(1-(M1509/K1509))</f>
        <v>40</v>
      </c>
      <c r="M1509">
        <f>I1509*SUM(M1510)</f>
        <v>3953.0854450500001</v>
      </c>
      <c r="N1509" s="90">
        <v>1509</v>
      </c>
      <c r="O1509" s="90" t="s">
        <v>3651</v>
      </c>
      <c r="R1509" s="90" t="s">
        <v>6946</v>
      </c>
      <c r="S1509" s="90" t="s">
        <v>7043</v>
      </c>
      <c r="T1509" s="90" t="s">
        <v>7089</v>
      </c>
      <c r="U1509" s="90" t="s">
        <v>6995</v>
      </c>
    </row>
    <row r="1510" spans="1:21" x14ac:dyDescent="0.25">
      <c r="A1510" s="90" t="s">
        <v>3652</v>
      </c>
      <c r="B1510" s="119">
        <v>4</v>
      </c>
      <c r="C1510" s="90" t="s">
        <v>3649</v>
      </c>
      <c r="D1510" s="90" t="s">
        <v>78</v>
      </c>
      <c r="E1510">
        <v>3013</v>
      </c>
      <c r="F1510">
        <v>3024</v>
      </c>
      <c r="G1510" s="93" t="s">
        <v>68</v>
      </c>
      <c r="H1510" t="s">
        <v>1668</v>
      </c>
      <c r="I1510">
        <v>1</v>
      </c>
      <c r="J1510">
        <f>SUM(K1511)</f>
        <v>6588.4757417500005</v>
      </c>
      <c r="K1510">
        <f>I1510*J1510</f>
        <v>6588.4757417500005</v>
      </c>
      <c r="L1510">
        <f>100*(1-(M1510/K1510))</f>
        <v>40</v>
      </c>
      <c r="M1510">
        <f>I1510*SUM(M1511)</f>
        <v>3953.0854450500001</v>
      </c>
      <c r="N1510" s="90">
        <v>1510</v>
      </c>
      <c r="O1510" s="90" t="s">
        <v>3653</v>
      </c>
      <c r="R1510" s="90" t="s">
        <v>6410</v>
      </c>
      <c r="S1510" s="90" t="s">
        <v>6713</v>
      </c>
      <c r="T1510" s="90" t="s">
        <v>6858</v>
      </c>
      <c r="U1510" s="90" t="s">
        <v>6562</v>
      </c>
    </row>
    <row r="1511" spans="1:21" x14ac:dyDescent="0.25">
      <c r="A1511" s="90" t="s">
        <v>3654</v>
      </c>
      <c r="B1511" s="119">
        <v>5</v>
      </c>
      <c r="C1511" s="90" t="s">
        <v>3652</v>
      </c>
      <c r="D1511" s="90" t="s">
        <v>78</v>
      </c>
      <c r="E1511">
        <v>3014</v>
      </c>
      <c r="F1511">
        <v>3023</v>
      </c>
      <c r="G1511" s="93" t="s">
        <v>68</v>
      </c>
      <c r="H1511" t="s">
        <v>1397</v>
      </c>
      <c r="I1511">
        <v>1</v>
      </c>
      <c r="J1511">
        <f>SUM(K1512,K1513,K1514,K1515)</f>
        <v>6588.4757417500005</v>
      </c>
      <c r="K1511">
        <f>I1511*J1511</f>
        <v>6588.4757417500005</v>
      </c>
      <c r="L1511">
        <f>100*(1-(M1511/K1511))</f>
        <v>40</v>
      </c>
      <c r="M1511">
        <f>I1511*SUM(M1512,M1513,M1514,M1515)</f>
        <v>3953.0854450500001</v>
      </c>
      <c r="N1511" s="90">
        <v>1511</v>
      </c>
      <c r="O1511" s="90" t="s">
        <v>3655</v>
      </c>
      <c r="R1511" s="90" t="s">
        <v>4572</v>
      </c>
      <c r="S1511" s="90" t="s">
        <v>5636</v>
      </c>
      <c r="T1511" s="90" t="s">
        <v>6134</v>
      </c>
      <c r="U1511" s="90" t="s">
        <v>5112</v>
      </c>
    </row>
    <row r="1512" spans="1:21" x14ac:dyDescent="0.25">
      <c r="A1512" s="90" t="s">
        <v>3656</v>
      </c>
      <c r="B1512" s="119">
        <v>6</v>
      </c>
      <c r="C1512" s="90" t="s">
        <v>3654</v>
      </c>
      <c r="D1512" s="90" t="s">
        <v>78</v>
      </c>
      <c r="E1512">
        <v>3015</v>
      </c>
      <c r="F1512">
        <v>3016</v>
      </c>
      <c r="G1512" s="93" t="s">
        <v>78</v>
      </c>
      <c r="H1512" t="s">
        <v>120</v>
      </c>
      <c r="I1512">
        <v>1</v>
      </c>
      <c r="J1512">
        <v>967.93582071000003</v>
      </c>
      <c r="K1512">
        <f>I1512*J1512</f>
        <v>967.93582071000003</v>
      </c>
      <c r="L1512">
        <v>40</v>
      </c>
      <c r="M1512">
        <f>(1-(L1512/100))*K1512</f>
        <v>580.76149242600002</v>
      </c>
      <c r="N1512" s="90">
        <v>1512</v>
      </c>
      <c r="O1512" s="90" t="s">
        <v>3657</v>
      </c>
    </row>
    <row r="1513" spans="1:21" x14ac:dyDescent="0.25">
      <c r="A1513" s="90" t="s">
        <v>3658</v>
      </c>
      <c r="B1513" s="119">
        <v>6</v>
      </c>
      <c r="C1513" s="90" t="s">
        <v>3654</v>
      </c>
      <c r="D1513" s="90" t="s">
        <v>79</v>
      </c>
      <c r="E1513">
        <v>3017</v>
      </c>
      <c r="F1513">
        <v>3018</v>
      </c>
      <c r="G1513" s="93" t="s">
        <v>78</v>
      </c>
      <c r="H1513" t="s">
        <v>125</v>
      </c>
      <c r="I1513">
        <v>1</v>
      </c>
      <c r="J1513">
        <v>967.93582071000003</v>
      </c>
      <c r="K1513">
        <f>I1513*J1513</f>
        <v>967.93582071000003</v>
      </c>
      <c r="L1513">
        <v>40</v>
      </c>
      <c r="M1513">
        <f>(1-(L1513/100))*K1513</f>
        <v>580.76149242600002</v>
      </c>
      <c r="N1513" s="90">
        <v>1513</v>
      </c>
      <c r="O1513" s="90" t="s">
        <v>3659</v>
      </c>
    </row>
    <row r="1514" spans="1:21" x14ac:dyDescent="0.25">
      <c r="A1514" s="90" t="s">
        <v>3660</v>
      </c>
      <c r="B1514" s="119">
        <v>6</v>
      </c>
      <c r="C1514" s="90" t="s">
        <v>3654</v>
      </c>
      <c r="D1514" s="90" t="s">
        <v>80</v>
      </c>
      <c r="E1514">
        <v>3019</v>
      </c>
      <c r="F1514">
        <v>3020</v>
      </c>
      <c r="G1514" s="93" t="s">
        <v>78</v>
      </c>
      <c r="H1514" t="s">
        <v>203</v>
      </c>
      <c r="I1514">
        <v>1</v>
      </c>
      <c r="J1514">
        <v>2064.00101872</v>
      </c>
      <c r="K1514">
        <f>I1514*J1514</f>
        <v>2064.00101872</v>
      </c>
      <c r="L1514">
        <v>40</v>
      </c>
      <c r="M1514">
        <f>(1-(L1514/100))*K1514</f>
        <v>1238.4006112320001</v>
      </c>
      <c r="N1514" s="90">
        <v>1514</v>
      </c>
      <c r="O1514" s="90" t="s">
        <v>3661</v>
      </c>
    </row>
    <row r="1515" spans="1:21" x14ac:dyDescent="0.25">
      <c r="A1515" s="90" t="s">
        <v>3662</v>
      </c>
      <c r="B1515" s="119">
        <v>6</v>
      </c>
      <c r="C1515" s="90" t="s">
        <v>3654</v>
      </c>
      <c r="D1515" s="90" t="s">
        <v>95</v>
      </c>
      <c r="E1515">
        <v>3021</v>
      </c>
      <c r="F1515">
        <v>3022</v>
      </c>
      <c r="G1515" s="93" t="s">
        <v>78</v>
      </c>
      <c r="H1515" t="s">
        <v>191</v>
      </c>
      <c r="I1515">
        <v>3</v>
      </c>
      <c r="J1515">
        <v>862.86769387000004</v>
      </c>
      <c r="K1515">
        <f>I1515*J1515</f>
        <v>2588.6030816100001</v>
      </c>
      <c r="L1515">
        <v>40</v>
      </c>
      <c r="M1515">
        <f>(1-(L1515/100))*K1515</f>
        <v>1553.161848966</v>
      </c>
      <c r="N1515" s="90">
        <v>1515</v>
      </c>
      <c r="O1515" s="90" t="s">
        <v>3663</v>
      </c>
    </row>
    <row r="1516" spans="1:21" x14ac:dyDescent="0.25">
      <c r="A1516" s="90" t="s">
        <v>3664</v>
      </c>
      <c r="B1516" s="119">
        <v>2</v>
      </c>
      <c r="C1516" s="90" t="s">
        <v>78</v>
      </c>
      <c r="D1516" s="90" t="s">
        <v>89</v>
      </c>
      <c r="E1516">
        <v>3027</v>
      </c>
      <c r="F1516">
        <v>3190</v>
      </c>
      <c r="G1516" s="93" t="s">
        <v>68</v>
      </c>
      <c r="H1516" t="s">
        <v>3665</v>
      </c>
      <c r="I1516">
        <v>1</v>
      </c>
      <c r="J1516">
        <f>SUM(K1517,K1561,K1570,K1573,K1576,K1588)</f>
        <v>125534.02805173</v>
      </c>
      <c r="K1516">
        <f>I1516*J1516</f>
        <v>125534.02805173</v>
      </c>
      <c r="L1516">
        <f>100*(1-(M1516/K1516))</f>
        <v>50.182530519405312</v>
      </c>
      <c r="M1516">
        <f>I1516*SUM(M1517,M1561,M1570,M1573,M1576,M1588)</f>
        <v>62537.876112431761</v>
      </c>
      <c r="N1516" s="90">
        <v>1516</v>
      </c>
      <c r="O1516" s="90" t="s">
        <v>3666</v>
      </c>
      <c r="R1516" s="90" t="s">
        <v>6947</v>
      </c>
      <c r="S1516" s="90" t="s">
        <v>7044</v>
      </c>
      <c r="T1516" s="90" t="s">
        <v>7090</v>
      </c>
      <c r="U1516" s="90" t="s">
        <v>6996</v>
      </c>
    </row>
    <row r="1517" spans="1:21" x14ac:dyDescent="0.25">
      <c r="A1517" s="90" t="s">
        <v>3667</v>
      </c>
      <c r="B1517" s="119">
        <v>3</v>
      </c>
      <c r="C1517" s="90" t="s">
        <v>3664</v>
      </c>
      <c r="D1517" s="90" t="s">
        <v>78</v>
      </c>
      <c r="E1517">
        <v>3028</v>
      </c>
      <c r="F1517">
        <v>3115</v>
      </c>
      <c r="G1517" s="93" t="s">
        <v>68</v>
      </c>
      <c r="H1517" t="s">
        <v>3668</v>
      </c>
      <c r="I1517">
        <v>1</v>
      </c>
      <c r="J1517">
        <f>SUM(K1518,K1520,K1522,K1524,K1526,K1528,K1530,K1532,K1534,K1536,K1538,K1540,K1557,K1559)</f>
        <v>88728.767972779999</v>
      </c>
      <c r="K1517">
        <f>I1517*J1517</f>
        <v>88728.767972779999</v>
      </c>
      <c r="L1517">
        <f>100*(1-(M1517/K1517))</f>
        <v>40</v>
      </c>
      <c r="M1517">
        <f>I1517*SUM(M1518,M1520,M1522,M1524,M1526,M1528,M1530,M1532,M1534,M1536,M1538,M1540,M1557,M1559)</f>
        <v>53237.260783667996</v>
      </c>
      <c r="N1517" s="90">
        <v>1517</v>
      </c>
      <c r="O1517" s="90" t="s">
        <v>3669</v>
      </c>
      <c r="R1517" s="90" t="s">
        <v>6411</v>
      </c>
      <c r="S1517" s="90" t="s">
        <v>6714</v>
      </c>
      <c r="T1517" s="90" t="s">
        <v>6859</v>
      </c>
      <c r="U1517" s="90" t="s">
        <v>6563</v>
      </c>
    </row>
    <row r="1518" spans="1:21" x14ac:dyDescent="0.25">
      <c r="A1518" s="90" t="s">
        <v>3670</v>
      </c>
      <c r="B1518" s="119">
        <v>4</v>
      </c>
      <c r="C1518" s="90" t="s">
        <v>3667</v>
      </c>
      <c r="D1518" s="90" t="s">
        <v>78</v>
      </c>
      <c r="E1518">
        <v>3029</v>
      </c>
      <c r="F1518">
        <v>3032</v>
      </c>
      <c r="G1518" s="93" t="s">
        <v>68</v>
      </c>
      <c r="H1518" t="s">
        <v>1809</v>
      </c>
      <c r="I1518">
        <v>1</v>
      </c>
      <c r="J1518">
        <f>SUM(K1519)</f>
        <v>926.14287533000004</v>
      </c>
      <c r="K1518">
        <f>I1518*J1518</f>
        <v>926.14287533000004</v>
      </c>
      <c r="L1518">
        <f>100*(1-(M1518/K1518))</f>
        <v>40</v>
      </c>
      <c r="M1518">
        <f>I1518*SUM(M1519)</f>
        <v>555.685725198</v>
      </c>
      <c r="N1518" s="90">
        <v>1518</v>
      </c>
      <c r="O1518" s="90" t="s">
        <v>3671</v>
      </c>
      <c r="R1518" s="90" t="s">
        <v>4573</v>
      </c>
      <c r="S1518" s="90" t="s">
        <v>5637</v>
      </c>
      <c r="T1518" s="90" t="s">
        <v>6135</v>
      </c>
      <c r="U1518" s="90" t="s">
        <v>5113</v>
      </c>
    </row>
    <row r="1519" spans="1:21" x14ac:dyDescent="0.25">
      <c r="A1519" s="90" t="s">
        <v>3672</v>
      </c>
      <c r="B1519" s="119">
        <v>5</v>
      </c>
      <c r="C1519" s="90" t="s">
        <v>3670</v>
      </c>
      <c r="D1519" s="90" t="s">
        <v>78</v>
      </c>
      <c r="E1519">
        <v>3030</v>
      </c>
      <c r="F1519">
        <v>3031</v>
      </c>
      <c r="G1519" s="93" t="s">
        <v>78</v>
      </c>
      <c r="H1519" t="s">
        <v>131</v>
      </c>
      <c r="I1519">
        <v>1</v>
      </c>
      <c r="J1519">
        <v>926.14287533000004</v>
      </c>
      <c r="K1519">
        <f>I1519*J1519</f>
        <v>926.14287533000004</v>
      </c>
      <c r="L1519">
        <v>40</v>
      </c>
      <c r="M1519">
        <f>(1-(L1519/100))*K1519</f>
        <v>555.685725198</v>
      </c>
      <c r="N1519" s="90">
        <v>1519</v>
      </c>
      <c r="O1519" s="90" t="s">
        <v>3673</v>
      </c>
    </row>
    <row r="1520" spans="1:21" x14ac:dyDescent="0.25">
      <c r="A1520" s="90" t="s">
        <v>3674</v>
      </c>
      <c r="B1520" s="119">
        <v>4</v>
      </c>
      <c r="C1520" s="90" t="s">
        <v>3667</v>
      </c>
      <c r="D1520" s="90" t="s">
        <v>79</v>
      </c>
      <c r="E1520">
        <v>3033</v>
      </c>
      <c r="F1520">
        <v>3036</v>
      </c>
      <c r="G1520" s="93" t="s">
        <v>68</v>
      </c>
      <c r="H1520" t="s">
        <v>1812</v>
      </c>
      <c r="I1520">
        <v>1</v>
      </c>
      <c r="J1520">
        <f>SUM(K1521)</f>
        <v>1655.4183114699999</v>
      </c>
      <c r="K1520">
        <f>I1520*J1520</f>
        <v>1655.4183114699999</v>
      </c>
      <c r="L1520">
        <f>100*(1-(M1520/K1520))</f>
        <v>40</v>
      </c>
      <c r="M1520">
        <f>I1520*SUM(M1521)</f>
        <v>993.25098688199989</v>
      </c>
      <c r="N1520" s="90">
        <v>1520</v>
      </c>
      <c r="O1520" s="90" t="s">
        <v>3675</v>
      </c>
      <c r="R1520" s="90" t="s">
        <v>4579</v>
      </c>
      <c r="S1520" s="90" t="s">
        <v>5643</v>
      </c>
      <c r="T1520" s="90" t="s">
        <v>6141</v>
      </c>
      <c r="U1520" s="90" t="s">
        <v>5119</v>
      </c>
    </row>
    <row r="1521" spans="1:21" x14ac:dyDescent="0.25">
      <c r="A1521" s="90" t="s">
        <v>3676</v>
      </c>
      <c r="B1521" s="119">
        <v>5</v>
      </c>
      <c r="C1521" s="90" t="s">
        <v>3674</v>
      </c>
      <c r="D1521" s="90" t="s">
        <v>78</v>
      </c>
      <c r="E1521">
        <v>3034</v>
      </c>
      <c r="F1521">
        <v>3035</v>
      </c>
      <c r="G1521" s="93" t="s">
        <v>78</v>
      </c>
      <c r="H1521" t="s">
        <v>694</v>
      </c>
      <c r="I1521">
        <v>1</v>
      </c>
      <c r="J1521">
        <v>1655.4183114699999</v>
      </c>
      <c r="K1521">
        <f>I1521*J1521</f>
        <v>1655.4183114699999</v>
      </c>
      <c r="L1521">
        <v>40</v>
      </c>
      <c r="M1521">
        <f>(1-(L1521/100))*K1521</f>
        <v>993.25098688199989</v>
      </c>
      <c r="N1521" s="90">
        <v>1521</v>
      </c>
      <c r="O1521" s="90" t="s">
        <v>3677</v>
      </c>
    </row>
    <row r="1522" spans="1:21" x14ac:dyDescent="0.25">
      <c r="A1522" s="90" t="s">
        <v>3678</v>
      </c>
      <c r="B1522" s="119">
        <v>4</v>
      </c>
      <c r="C1522" s="90" t="s">
        <v>3667</v>
      </c>
      <c r="D1522" s="90" t="s">
        <v>80</v>
      </c>
      <c r="E1522">
        <v>3037</v>
      </c>
      <c r="F1522">
        <v>3040</v>
      </c>
      <c r="G1522" s="93" t="s">
        <v>68</v>
      </c>
      <c r="H1522" t="s">
        <v>1815</v>
      </c>
      <c r="I1522">
        <v>3</v>
      </c>
      <c r="J1522">
        <f>SUM(K1523)</f>
        <v>491.93938622000002</v>
      </c>
      <c r="K1522">
        <f>I1522*J1522</f>
        <v>1475.8181586600001</v>
      </c>
      <c r="L1522">
        <f>100*(1-(M1522/K1522))</f>
        <v>40</v>
      </c>
      <c r="M1522">
        <f>I1522*SUM(M1523)</f>
        <v>885.490895196</v>
      </c>
      <c r="N1522" s="90">
        <v>1522</v>
      </c>
      <c r="O1522" s="90" t="s">
        <v>3679</v>
      </c>
      <c r="R1522" s="90" t="s">
        <v>4580</v>
      </c>
      <c r="S1522" s="90" t="s">
        <v>5644</v>
      </c>
      <c r="T1522" s="90" t="s">
        <v>6142</v>
      </c>
      <c r="U1522" s="90" t="s">
        <v>5120</v>
      </c>
    </row>
    <row r="1523" spans="1:21" x14ac:dyDescent="0.25">
      <c r="A1523" s="90" t="s">
        <v>3680</v>
      </c>
      <c r="B1523" s="119">
        <v>5</v>
      </c>
      <c r="C1523" s="90" t="s">
        <v>3678</v>
      </c>
      <c r="D1523" s="90" t="s">
        <v>78</v>
      </c>
      <c r="E1523">
        <v>3038</v>
      </c>
      <c r="F1523">
        <v>3039</v>
      </c>
      <c r="G1523" s="93" t="s">
        <v>78</v>
      </c>
      <c r="H1523" t="s">
        <v>126</v>
      </c>
      <c r="I1523">
        <v>1</v>
      </c>
      <c r="J1523">
        <v>491.93938622000002</v>
      </c>
      <c r="K1523">
        <f>I1523*J1523</f>
        <v>491.93938622000002</v>
      </c>
      <c r="L1523">
        <v>40</v>
      </c>
      <c r="M1523">
        <f>(1-(L1523/100))*K1523</f>
        <v>295.163631732</v>
      </c>
      <c r="N1523" s="90">
        <v>1523</v>
      </c>
      <c r="O1523" s="90" t="s">
        <v>3681</v>
      </c>
    </row>
    <row r="1524" spans="1:21" x14ac:dyDescent="0.25">
      <c r="A1524" s="90" t="s">
        <v>3682</v>
      </c>
      <c r="B1524" s="119">
        <v>4</v>
      </c>
      <c r="C1524" s="90" t="s">
        <v>3667</v>
      </c>
      <c r="D1524" s="90" t="s">
        <v>95</v>
      </c>
      <c r="E1524">
        <v>3041</v>
      </c>
      <c r="F1524">
        <v>3044</v>
      </c>
      <c r="G1524" s="93" t="s">
        <v>68</v>
      </c>
      <c r="H1524" t="s">
        <v>1818</v>
      </c>
      <c r="I1524">
        <v>4</v>
      </c>
      <c r="J1524">
        <f>SUM(K1525)</f>
        <v>313.76543995999998</v>
      </c>
      <c r="K1524">
        <f>I1524*J1524</f>
        <v>1255.0617598399999</v>
      </c>
      <c r="L1524">
        <f>100*(1-(M1524/K1524))</f>
        <v>40</v>
      </c>
      <c r="M1524">
        <f>I1524*SUM(M1525)</f>
        <v>753.03705590399989</v>
      </c>
      <c r="N1524" s="90">
        <v>1524</v>
      </c>
      <c r="O1524" s="90" t="s">
        <v>3683</v>
      </c>
      <c r="R1524" s="90" t="s">
        <v>4581</v>
      </c>
      <c r="S1524" s="90" t="s">
        <v>5645</v>
      </c>
      <c r="T1524" s="90" t="s">
        <v>6143</v>
      </c>
      <c r="U1524" s="90" t="s">
        <v>5121</v>
      </c>
    </row>
    <row r="1525" spans="1:21" x14ac:dyDescent="0.25">
      <c r="A1525" s="90" t="s">
        <v>3684</v>
      </c>
      <c r="B1525" s="119">
        <v>5</v>
      </c>
      <c r="C1525" s="90" t="s">
        <v>3682</v>
      </c>
      <c r="D1525" s="90" t="s">
        <v>78</v>
      </c>
      <c r="E1525">
        <v>3042</v>
      </c>
      <c r="F1525">
        <v>3043</v>
      </c>
      <c r="G1525" s="93" t="s">
        <v>78</v>
      </c>
      <c r="H1525" t="s">
        <v>123</v>
      </c>
      <c r="I1525">
        <v>1</v>
      </c>
      <c r="J1525">
        <v>313.76543995999998</v>
      </c>
      <c r="K1525">
        <f>I1525*J1525</f>
        <v>313.76543995999998</v>
      </c>
      <c r="L1525">
        <v>40</v>
      </c>
      <c r="M1525">
        <f>(1-(L1525/100))*K1525</f>
        <v>188.25926397599997</v>
      </c>
      <c r="N1525" s="90">
        <v>1525</v>
      </c>
      <c r="O1525" s="90" t="s">
        <v>3685</v>
      </c>
    </row>
    <row r="1526" spans="1:21" x14ac:dyDescent="0.25">
      <c r="A1526" s="90" t="s">
        <v>3686</v>
      </c>
      <c r="B1526" s="119">
        <v>4</v>
      </c>
      <c r="C1526" s="90" t="s">
        <v>3667</v>
      </c>
      <c r="D1526" s="90" t="s">
        <v>96</v>
      </c>
      <c r="E1526">
        <v>3045</v>
      </c>
      <c r="F1526">
        <v>3048</v>
      </c>
      <c r="G1526" s="93" t="s">
        <v>68</v>
      </c>
      <c r="H1526" t="s">
        <v>1821</v>
      </c>
      <c r="I1526">
        <v>1</v>
      </c>
      <c r="J1526">
        <f>SUM(K1527)</f>
        <v>666.34407233000002</v>
      </c>
      <c r="K1526">
        <f>I1526*J1526</f>
        <v>666.34407233000002</v>
      </c>
      <c r="L1526">
        <f>100*(1-(M1526/K1526))</f>
        <v>40</v>
      </c>
      <c r="M1526">
        <f>I1526*SUM(M1527)</f>
        <v>399.806443398</v>
      </c>
      <c r="N1526" s="90">
        <v>1526</v>
      </c>
      <c r="O1526" s="90" t="s">
        <v>3687</v>
      </c>
      <c r="R1526" s="90" t="s">
        <v>4582</v>
      </c>
      <c r="S1526" s="90" t="s">
        <v>5646</v>
      </c>
      <c r="T1526" s="90" t="s">
        <v>6144</v>
      </c>
      <c r="U1526" s="90" t="s">
        <v>5122</v>
      </c>
    </row>
    <row r="1527" spans="1:21" x14ac:dyDescent="0.25">
      <c r="A1527" s="90" t="s">
        <v>3688</v>
      </c>
      <c r="B1527" s="119">
        <v>5</v>
      </c>
      <c r="C1527" s="90" t="s">
        <v>3686</v>
      </c>
      <c r="D1527" s="90" t="s">
        <v>78</v>
      </c>
      <c r="E1527">
        <v>3046</v>
      </c>
      <c r="F1527">
        <v>3047</v>
      </c>
      <c r="G1527" s="93" t="s">
        <v>78</v>
      </c>
      <c r="H1527" t="s">
        <v>698</v>
      </c>
      <c r="I1527">
        <v>1</v>
      </c>
      <c r="J1527">
        <v>666.34407233000002</v>
      </c>
      <c r="K1527">
        <f>I1527*J1527</f>
        <v>666.34407233000002</v>
      </c>
      <c r="L1527">
        <v>40</v>
      </c>
      <c r="M1527">
        <f>(1-(L1527/100))*K1527</f>
        <v>399.806443398</v>
      </c>
      <c r="N1527" s="90">
        <v>1527</v>
      </c>
      <c r="O1527" s="90" t="s">
        <v>3689</v>
      </c>
    </row>
    <row r="1528" spans="1:21" x14ac:dyDescent="0.25">
      <c r="A1528" s="90" t="s">
        <v>3690</v>
      </c>
      <c r="B1528" s="119">
        <v>4</v>
      </c>
      <c r="C1528" s="90" t="s">
        <v>3667</v>
      </c>
      <c r="D1528" s="90" t="s">
        <v>103</v>
      </c>
      <c r="E1528">
        <v>3049</v>
      </c>
      <c r="F1528">
        <v>3052</v>
      </c>
      <c r="G1528" s="93" t="s">
        <v>68</v>
      </c>
      <c r="H1528" t="s">
        <v>1240</v>
      </c>
      <c r="I1528">
        <v>2</v>
      </c>
      <c r="J1528">
        <f>SUM(K1529)</f>
        <v>700.36928562000003</v>
      </c>
      <c r="K1528">
        <f>I1528*J1528</f>
        <v>1400.7385712400001</v>
      </c>
      <c r="L1528">
        <f>100*(1-(M1528/K1528))</f>
        <v>40</v>
      </c>
      <c r="M1528">
        <f>I1528*SUM(M1529)</f>
        <v>840.44314274400006</v>
      </c>
      <c r="N1528" s="90">
        <v>1528</v>
      </c>
      <c r="O1528" s="90" t="s">
        <v>3691</v>
      </c>
      <c r="R1528" s="90" t="s">
        <v>4583</v>
      </c>
      <c r="S1528" s="90" t="s">
        <v>5647</v>
      </c>
      <c r="T1528" s="90" t="s">
        <v>6145</v>
      </c>
      <c r="U1528" s="90" t="s">
        <v>5123</v>
      </c>
    </row>
    <row r="1529" spans="1:21" x14ac:dyDescent="0.25">
      <c r="A1529" s="90" t="s">
        <v>3692</v>
      </c>
      <c r="B1529" s="119">
        <v>5</v>
      </c>
      <c r="C1529" s="90" t="s">
        <v>3690</v>
      </c>
      <c r="D1529" s="90" t="s">
        <v>78</v>
      </c>
      <c r="E1529">
        <v>3050</v>
      </c>
      <c r="F1529">
        <v>3051</v>
      </c>
      <c r="G1529" s="93" t="s">
        <v>78</v>
      </c>
      <c r="H1529" t="s">
        <v>1243</v>
      </c>
      <c r="I1529">
        <v>1</v>
      </c>
      <c r="J1529">
        <v>700.36928562000003</v>
      </c>
      <c r="K1529">
        <f>I1529*J1529</f>
        <v>700.36928562000003</v>
      </c>
      <c r="L1529">
        <v>40</v>
      </c>
      <c r="M1529">
        <f>(1-(L1529/100))*K1529</f>
        <v>420.22157137200003</v>
      </c>
      <c r="N1529" s="90">
        <v>1529</v>
      </c>
      <c r="O1529" s="90" t="s">
        <v>3693</v>
      </c>
    </row>
    <row r="1530" spans="1:21" x14ac:dyDescent="0.25">
      <c r="A1530" s="90" t="s">
        <v>3694</v>
      </c>
      <c r="B1530" s="119">
        <v>4</v>
      </c>
      <c r="C1530" s="90" t="s">
        <v>3667</v>
      </c>
      <c r="D1530" s="90" t="s">
        <v>796</v>
      </c>
      <c r="E1530">
        <v>3053</v>
      </c>
      <c r="F1530">
        <v>3056</v>
      </c>
      <c r="G1530" s="93" t="s">
        <v>68</v>
      </c>
      <c r="H1530" t="s">
        <v>1246</v>
      </c>
      <c r="I1530">
        <v>8</v>
      </c>
      <c r="J1530">
        <f>SUM(K1531)</f>
        <v>967.93582071000003</v>
      </c>
      <c r="K1530">
        <f>I1530*J1530</f>
        <v>7743.4865656800002</v>
      </c>
      <c r="L1530">
        <f>100*(1-(M1530/K1530))</f>
        <v>40</v>
      </c>
      <c r="M1530">
        <f>I1530*SUM(M1531)</f>
        <v>4646.0919394080001</v>
      </c>
      <c r="N1530" s="90">
        <v>1530</v>
      </c>
      <c r="O1530" s="90" t="s">
        <v>3695</v>
      </c>
      <c r="R1530" s="90" t="s">
        <v>4584</v>
      </c>
      <c r="S1530" s="90" t="s">
        <v>5648</v>
      </c>
      <c r="T1530" s="90" t="s">
        <v>6146</v>
      </c>
      <c r="U1530" s="90" t="s">
        <v>5124</v>
      </c>
    </row>
    <row r="1531" spans="1:21" x14ac:dyDescent="0.25">
      <c r="A1531" s="90" t="s">
        <v>3696</v>
      </c>
      <c r="B1531" s="119">
        <v>5</v>
      </c>
      <c r="C1531" s="90" t="s">
        <v>3694</v>
      </c>
      <c r="D1531" s="90" t="s">
        <v>78</v>
      </c>
      <c r="E1531">
        <v>3054</v>
      </c>
      <c r="F1531">
        <v>3055</v>
      </c>
      <c r="G1531" s="93" t="s">
        <v>78</v>
      </c>
      <c r="H1531" t="s">
        <v>120</v>
      </c>
      <c r="I1531">
        <v>1</v>
      </c>
      <c r="J1531">
        <v>967.93582071000003</v>
      </c>
      <c r="K1531">
        <f>I1531*J1531</f>
        <v>967.93582071000003</v>
      </c>
      <c r="L1531">
        <v>40</v>
      </c>
      <c r="M1531">
        <f>(1-(L1531/100))*K1531</f>
        <v>580.76149242600002</v>
      </c>
      <c r="N1531" s="90">
        <v>1531</v>
      </c>
      <c r="O1531" s="90" t="s">
        <v>3697</v>
      </c>
    </row>
    <row r="1532" spans="1:21" x14ac:dyDescent="0.25">
      <c r="A1532" s="90" t="s">
        <v>3698</v>
      </c>
      <c r="B1532" s="119">
        <v>4</v>
      </c>
      <c r="C1532" s="90" t="s">
        <v>3667</v>
      </c>
      <c r="D1532" s="90" t="s">
        <v>797</v>
      </c>
      <c r="E1532">
        <v>3057</v>
      </c>
      <c r="F1532">
        <v>3060</v>
      </c>
      <c r="G1532" s="93" t="s">
        <v>68</v>
      </c>
      <c r="H1532" t="s">
        <v>106</v>
      </c>
      <c r="I1532">
        <v>2</v>
      </c>
      <c r="J1532">
        <f>SUM(K1533)</f>
        <v>5209</v>
      </c>
      <c r="K1532">
        <f>I1532*J1532</f>
        <v>10418</v>
      </c>
      <c r="L1532">
        <f>100*(1-(M1532/K1532))</f>
        <v>40</v>
      </c>
      <c r="M1532">
        <f>I1532*SUM(M1533)</f>
        <v>6250.8</v>
      </c>
      <c r="N1532" s="90">
        <v>1532</v>
      </c>
      <c r="O1532" s="90" t="s">
        <v>3699</v>
      </c>
      <c r="R1532" s="90" t="s">
        <v>4585</v>
      </c>
      <c r="S1532" s="90" t="s">
        <v>5649</v>
      </c>
      <c r="T1532" s="90" t="s">
        <v>6147</v>
      </c>
      <c r="U1532" s="90" t="s">
        <v>5125</v>
      </c>
    </row>
    <row r="1533" spans="1:21" x14ac:dyDescent="0.25">
      <c r="A1533" s="90" t="s">
        <v>3700</v>
      </c>
      <c r="B1533" s="119">
        <v>5</v>
      </c>
      <c r="C1533" s="90" t="s">
        <v>3698</v>
      </c>
      <c r="D1533" s="90" t="s">
        <v>78</v>
      </c>
      <c r="E1533">
        <v>3058</v>
      </c>
      <c r="F1533">
        <v>3059</v>
      </c>
      <c r="G1533" s="93" t="s">
        <v>78</v>
      </c>
      <c r="H1533" t="s">
        <v>107</v>
      </c>
      <c r="I1533">
        <v>1</v>
      </c>
      <c r="J1533">
        <v>5209</v>
      </c>
      <c r="K1533">
        <f>I1533*J1533</f>
        <v>5209</v>
      </c>
      <c r="L1533">
        <v>40</v>
      </c>
      <c r="M1533">
        <f>(1-(L1533/100))*K1533</f>
        <v>3125.4</v>
      </c>
      <c r="N1533" s="90">
        <v>1533</v>
      </c>
      <c r="O1533" s="90" t="s">
        <v>3701</v>
      </c>
    </row>
    <row r="1534" spans="1:21" x14ac:dyDescent="0.25">
      <c r="A1534" s="90" t="s">
        <v>3702</v>
      </c>
      <c r="B1534" s="119">
        <v>4</v>
      </c>
      <c r="C1534" s="90" t="s">
        <v>3667</v>
      </c>
      <c r="D1534" s="90" t="s">
        <v>798</v>
      </c>
      <c r="E1534">
        <v>3061</v>
      </c>
      <c r="F1534">
        <v>3064</v>
      </c>
      <c r="G1534" s="93" t="s">
        <v>68</v>
      </c>
      <c r="H1534" t="s">
        <v>1266</v>
      </c>
      <c r="I1534">
        <v>1</v>
      </c>
      <c r="J1534">
        <f>SUM(K1535)</f>
        <v>9312.3647013900008</v>
      </c>
      <c r="K1534">
        <f>I1534*J1534</f>
        <v>9312.3647013900008</v>
      </c>
      <c r="L1534">
        <f>100*(1-(M1534/K1534))</f>
        <v>40</v>
      </c>
      <c r="M1534">
        <f>I1534*SUM(M1535)</f>
        <v>5587.4188208340001</v>
      </c>
      <c r="N1534" s="90">
        <v>1534</v>
      </c>
      <c r="O1534" s="90" t="s">
        <v>3703</v>
      </c>
      <c r="R1534" s="90" t="s">
        <v>4586</v>
      </c>
      <c r="S1534" s="90" t="s">
        <v>5650</v>
      </c>
      <c r="T1534" s="90" t="s">
        <v>6148</v>
      </c>
      <c r="U1534" s="90" t="s">
        <v>5126</v>
      </c>
    </row>
    <row r="1535" spans="1:21" x14ac:dyDescent="0.25">
      <c r="A1535" s="90" t="s">
        <v>3704</v>
      </c>
      <c r="B1535" s="119">
        <v>5</v>
      </c>
      <c r="C1535" s="90" t="s">
        <v>3702</v>
      </c>
      <c r="D1535" s="90" t="s">
        <v>78</v>
      </c>
      <c r="E1535">
        <v>3062</v>
      </c>
      <c r="F1535">
        <v>3063</v>
      </c>
      <c r="G1535" s="93" t="s">
        <v>78</v>
      </c>
      <c r="H1535" t="s">
        <v>1269</v>
      </c>
      <c r="I1535">
        <v>1</v>
      </c>
      <c r="J1535">
        <v>9312.3647013900008</v>
      </c>
      <c r="K1535">
        <f>I1535*J1535</f>
        <v>9312.3647013900008</v>
      </c>
      <c r="L1535">
        <v>40</v>
      </c>
      <c r="M1535">
        <f>(1-(L1535/100))*K1535</f>
        <v>5587.4188208340001</v>
      </c>
      <c r="N1535" s="90">
        <v>1535</v>
      </c>
      <c r="O1535" s="90" t="s">
        <v>3705</v>
      </c>
    </row>
    <row r="1536" spans="1:21" x14ac:dyDescent="0.25">
      <c r="A1536" s="90" t="s">
        <v>3706</v>
      </c>
      <c r="B1536" s="119">
        <v>4</v>
      </c>
      <c r="C1536" s="90" t="s">
        <v>3667</v>
      </c>
      <c r="D1536" s="90" t="s">
        <v>799</v>
      </c>
      <c r="E1536">
        <v>3065</v>
      </c>
      <c r="F1536">
        <v>3068</v>
      </c>
      <c r="G1536" s="93" t="s">
        <v>68</v>
      </c>
      <c r="H1536" t="s">
        <v>1638</v>
      </c>
      <c r="I1536">
        <v>1</v>
      </c>
      <c r="J1536">
        <f>SUM(K1537)</f>
        <v>1980.13</v>
      </c>
      <c r="K1536">
        <f>I1536*J1536</f>
        <v>1980.13</v>
      </c>
      <c r="L1536">
        <f>100*(1-(M1536/K1536))</f>
        <v>40</v>
      </c>
      <c r="M1536">
        <f>I1536*SUM(M1537)</f>
        <v>1188.078</v>
      </c>
      <c r="N1536" s="90">
        <v>1536</v>
      </c>
      <c r="O1536" s="90" t="s">
        <v>3707</v>
      </c>
      <c r="R1536" s="90" t="s">
        <v>4574</v>
      </c>
      <c r="S1536" s="90" t="s">
        <v>5638</v>
      </c>
      <c r="T1536" s="90" t="s">
        <v>6136</v>
      </c>
      <c r="U1536" s="90" t="s">
        <v>5114</v>
      </c>
    </row>
    <row r="1537" spans="1:21" x14ac:dyDescent="0.25">
      <c r="A1537" s="90" t="s">
        <v>3708</v>
      </c>
      <c r="B1537" s="119">
        <v>5</v>
      </c>
      <c r="C1537" s="90" t="s">
        <v>3706</v>
      </c>
      <c r="D1537" s="90" t="s">
        <v>78</v>
      </c>
      <c r="E1537">
        <v>3066</v>
      </c>
      <c r="F1537">
        <v>3067</v>
      </c>
      <c r="G1537" s="93" t="s">
        <v>78</v>
      </c>
      <c r="H1537" t="s">
        <v>1638</v>
      </c>
      <c r="I1537">
        <v>1</v>
      </c>
      <c r="J1537">
        <v>1980.13</v>
      </c>
      <c r="K1537">
        <f>I1537*J1537</f>
        <v>1980.13</v>
      </c>
      <c r="L1537">
        <v>40</v>
      </c>
      <c r="M1537">
        <f>(1-(L1537/100))*K1537</f>
        <v>1188.078</v>
      </c>
      <c r="N1537" s="90">
        <v>1537</v>
      </c>
      <c r="O1537" s="90" t="s">
        <v>3709</v>
      </c>
    </row>
    <row r="1538" spans="1:21" x14ac:dyDescent="0.25">
      <c r="A1538" s="90" t="s">
        <v>3710</v>
      </c>
      <c r="B1538" s="119">
        <v>4</v>
      </c>
      <c r="C1538" s="90" t="s">
        <v>3667</v>
      </c>
      <c r="D1538" s="90" t="s">
        <v>97</v>
      </c>
      <c r="E1538">
        <v>3069</v>
      </c>
      <c r="F1538">
        <v>3072</v>
      </c>
      <c r="G1538" s="93" t="s">
        <v>68</v>
      </c>
      <c r="H1538" t="s">
        <v>1272</v>
      </c>
      <c r="I1538">
        <v>4</v>
      </c>
      <c r="J1538">
        <f>SUM(K1539)</f>
        <v>1308.5572392700001</v>
      </c>
      <c r="K1538">
        <f>I1538*J1538</f>
        <v>5234.2289570800003</v>
      </c>
      <c r="L1538">
        <f>100*(1-(M1538/K1538))</f>
        <v>40</v>
      </c>
      <c r="M1538">
        <f>I1538*SUM(M1539)</f>
        <v>3140.5373742480001</v>
      </c>
      <c r="N1538" s="90">
        <v>1538</v>
      </c>
      <c r="O1538" s="90" t="s">
        <v>3711</v>
      </c>
      <c r="R1538" s="90" t="s">
        <v>4575</v>
      </c>
      <c r="S1538" s="90" t="s">
        <v>5639</v>
      </c>
      <c r="T1538" s="90" t="s">
        <v>6137</v>
      </c>
      <c r="U1538" s="90" t="s">
        <v>5115</v>
      </c>
    </row>
    <row r="1539" spans="1:21" x14ac:dyDescent="0.25">
      <c r="A1539" s="90" t="s">
        <v>3712</v>
      </c>
      <c r="B1539" s="119">
        <v>5</v>
      </c>
      <c r="C1539" s="90" t="s">
        <v>3710</v>
      </c>
      <c r="D1539" s="90" t="s">
        <v>78</v>
      </c>
      <c r="E1539">
        <v>3070</v>
      </c>
      <c r="F1539">
        <v>3071</v>
      </c>
      <c r="G1539" s="93" t="s">
        <v>78</v>
      </c>
      <c r="H1539" t="s">
        <v>1272</v>
      </c>
      <c r="I1539">
        <v>1</v>
      </c>
      <c r="J1539">
        <v>1308.5572392700001</v>
      </c>
      <c r="K1539">
        <f>I1539*J1539</f>
        <v>1308.5572392700001</v>
      </c>
      <c r="L1539">
        <v>40</v>
      </c>
      <c r="M1539">
        <f>(1-(L1539/100))*K1539</f>
        <v>785.13434356200003</v>
      </c>
      <c r="N1539" s="90">
        <v>1539</v>
      </c>
      <c r="O1539" s="90" t="s">
        <v>3713</v>
      </c>
    </row>
    <row r="1540" spans="1:21" x14ac:dyDescent="0.25">
      <c r="A1540" s="90" t="s">
        <v>3714</v>
      </c>
      <c r="B1540" s="119">
        <v>4</v>
      </c>
      <c r="C1540" s="90" t="s">
        <v>3667</v>
      </c>
      <c r="D1540" s="90" t="s">
        <v>98</v>
      </c>
      <c r="E1540">
        <v>3073</v>
      </c>
      <c r="F1540">
        <v>3106</v>
      </c>
      <c r="G1540" s="93" t="s">
        <v>68</v>
      </c>
      <c r="H1540" t="s">
        <v>1836</v>
      </c>
      <c r="I1540">
        <v>1</v>
      </c>
      <c r="J1540">
        <f>SUM(K1541,K1542,K1543,K1544,K1545,K1546,K1547,K1548,K1549,K1550,K1551,K1552,K1553,K1554,K1555,K1556)</f>
        <v>11904.940786960002</v>
      </c>
      <c r="K1540">
        <f>I1540*J1540</f>
        <v>11904.940786960002</v>
      </c>
      <c r="L1540">
        <f>100*(1-(M1540/K1540))</f>
        <v>40.000000000000021</v>
      </c>
      <c r="M1540">
        <f>I1540*SUM(M1541,M1542,M1543,M1544,M1545,M1546,M1547,M1548,M1549,M1550,M1551,M1552,M1553,M1554,M1555,M1556)</f>
        <v>7142.9644721759987</v>
      </c>
      <c r="N1540" s="90">
        <v>1540</v>
      </c>
      <c r="O1540" s="90" t="s">
        <v>3715</v>
      </c>
      <c r="R1540" s="90" t="s">
        <v>4576</v>
      </c>
      <c r="S1540" s="90" t="s">
        <v>5640</v>
      </c>
      <c r="T1540" s="90" t="s">
        <v>6138</v>
      </c>
      <c r="U1540" s="90" t="s">
        <v>5116</v>
      </c>
    </row>
    <row r="1541" spans="1:21" x14ac:dyDescent="0.25">
      <c r="A1541" s="90" t="s">
        <v>3716</v>
      </c>
      <c r="B1541" s="119">
        <v>5</v>
      </c>
      <c r="C1541" s="90" t="s">
        <v>3714</v>
      </c>
      <c r="D1541" s="90" t="s">
        <v>78</v>
      </c>
      <c r="E1541">
        <v>3074</v>
      </c>
      <c r="F1541">
        <v>3075</v>
      </c>
      <c r="G1541" s="93" t="s">
        <v>78</v>
      </c>
      <c r="H1541" t="s">
        <v>126</v>
      </c>
      <c r="I1541">
        <v>1</v>
      </c>
      <c r="J1541">
        <v>491.93938622000002</v>
      </c>
      <c r="K1541">
        <f>I1541*J1541</f>
        <v>491.93938622000002</v>
      </c>
      <c r="L1541">
        <v>40</v>
      </c>
      <c r="M1541">
        <f>(1-(L1541/100))*K1541</f>
        <v>295.163631732</v>
      </c>
      <c r="N1541" s="90">
        <v>1541</v>
      </c>
      <c r="O1541" s="90" t="s">
        <v>3717</v>
      </c>
    </row>
    <row r="1542" spans="1:21" x14ac:dyDescent="0.25">
      <c r="A1542" s="90" t="s">
        <v>3718</v>
      </c>
      <c r="B1542" s="119">
        <v>5</v>
      </c>
      <c r="C1542" s="90" t="s">
        <v>3714</v>
      </c>
      <c r="D1542" s="90" t="s">
        <v>79</v>
      </c>
      <c r="E1542">
        <v>3076</v>
      </c>
      <c r="F1542">
        <v>3077</v>
      </c>
      <c r="G1542" s="93" t="s">
        <v>78</v>
      </c>
      <c r="H1542" t="s">
        <v>131</v>
      </c>
      <c r="I1542">
        <v>1</v>
      </c>
      <c r="J1542">
        <v>926.14287533000004</v>
      </c>
      <c r="K1542">
        <f>I1542*J1542</f>
        <v>926.14287533000004</v>
      </c>
      <c r="L1542">
        <v>40</v>
      </c>
      <c r="M1542">
        <f>(1-(L1542/100))*K1542</f>
        <v>555.685725198</v>
      </c>
      <c r="N1542" s="90">
        <v>1542</v>
      </c>
      <c r="O1542" s="90" t="s">
        <v>3719</v>
      </c>
    </row>
    <row r="1543" spans="1:21" x14ac:dyDescent="0.25">
      <c r="A1543" s="90" t="s">
        <v>3720</v>
      </c>
      <c r="B1543" s="119">
        <v>5</v>
      </c>
      <c r="C1543" s="90" t="s">
        <v>3714</v>
      </c>
      <c r="D1543" s="90" t="s">
        <v>80</v>
      </c>
      <c r="E1543">
        <v>3078</v>
      </c>
      <c r="F1543">
        <v>3079</v>
      </c>
      <c r="G1543" s="93" t="s">
        <v>78</v>
      </c>
      <c r="H1543" t="s">
        <v>123</v>
      </c>
      <c r="I1543">
        <v>3</v>
      </c>
      <c r="J1543">
        <v>313.76543995999998</v>
      </c>
      <c r="K1543">
        <f>I1543*J1543</f>
        <v>941.29631987999994</v>
      </c>
      <c r="L1543">
        <v>40</v>
      </c>
      <c r="M1543">
        <f>(1-(L1543/100))*K1543</f>
        <v>564.77779192799994</v>
      </c>
      <c r="N1543" s="90">
        <v>1543</v>
      </c>
      <c r="O1543" s="90" t="s">
        <v>3721</v>
      </c>
    </row>
    <row r="1544" spans="1:21" x14ac:dyDescent="0.25">
      <c r="A1544" s="90" t="s">
        <v>3722</v>
      </c>
      <c r="B1544" s="119">
        <v>5</v>
      </c>
      <c r="C1544" s="90" t="s">
        <v>3714</v>
      </c>
      <c r="D1544" s="90" t="s">
        <v>95</v>
      </c>
      <c r="E1544">
        <v>3080</v>
      </c>
      <c r="F1544">
        <v>3081</v>
      </c>
      <c r="G1544" s="93" t="s">
        <v>78</v>
      </c>
      <c r="H1544" t="s">
        <v>132</v>
      </c>
      <c r="I1544">
        <v>1</v>
      </c>
      <c r="J1544">
        <v>5940.1629950300003</v>
      </c>
      <c r="K1544">
        <f>I1544*J1544</f>
        <v>5940.1629950300003</v>
      </c>
      <c r="L1544">
        <v>40</v>
      </c>
      <c r="M1544">
        <f>(1-(L1544/100))*K1544</f>
        <v>3564.0977970180002</v>
      </c>
      <c r="N1544" s="90">
        <v>1544</v>
      </c>
      <c r="O1544" s="90" t="s">
        <v>3723</v>
      </c>
    </row>
    <row r="1545" spans="1:21" x14ac:dyDescent="0.25">
      <c r="A1545" s="90" t="s">
        <v>3724</v>
      </c>
      <c r="B1545" s="119">
        <v>5</v>
      </c>
      <c r="C1545" s="90" t="s">
        <v>3714</v>
      </c>
      <c r="D1545" s="90" t="s">
        <v>96</v>
      </c>
      <c r="E1545">
        <v>3082</v>
      </c>
      <c r="F1545">
        <v>3083</v>
      </c>
      <c r="G1545" s="93" t="s">
        <v>78</v>
      </c>
      <c r="H1545" t="s">
        <v>133</v>
      </c>
      <c r="I1545">
        <v>0</v>
      </c>
      <c r="J1545">
        <v>1527.53087992</v>
      </c>
      <c r="K1545">
        <f>I1545*J1545</f>
        <v>0</v>
      </c>
      <c r="L1545">
        <v>40</v>
      </c>
      <c r="M1545">
        <f>(1-(L1545/100))*K1545</f>
        <v>0</v>
      </c>
      <c r="N1545" s="90">
        <v>1545</v>
      </c>
      <c r="O1545" s="90" t="s">
        <v>3725</v>
      </c>
    </row>
    <row r="1546" spans="1:21" x14ac:dyDescent="0.25">
      <c r="A1546" s="90" t="s">
        <v>3726</v>
      </c>
      <c r="B1546" s="119">
        <v>5</v>
      </c>
      <c r="C1546" s="90" t="s">
        <v>3714</v>
      </c>
      <c r="D1546" s="90" t="s">
        <v>103</v>
      </c>
      <c r="E1546">
        <v>3084</v>
      </c>
      <c r="F1546">
        <v>3085</v>
      </c>
      <c r="G1546" s="93" t="s">
        <v>78</v>
      </c>
      <c r="H1546" t="s">
        <v>119</v>
      </c>
      <c r="I1546">
        <v>1</v>
      </c>
      <c r="J1546">
        <v>594.85546925000006</v>
      </c>
      <c r="K1546">
        <f>I1546*J1546</f>
        <v>594.85546925000006</v>
      </c>
      <c r="L1546">
        <v>40</v>
      </c>
      <c r="M1546">
        <f>(1-(L1546/100))*K1546</f>
        <v>356.91328155000002</v>
      </c>
      <c r="N1546" s="90">
        <v>1546</v>
      </c>
      <c r="O1546" s="90" t="s">
        <v>3727</v>
      </c>
    </row>
    <row r="1547" spans="1:21" x14ac:dyDescent="0.25">
      <c r="A1547" s="90" t="s">
        <v>3728</v>
      </c>
      <c r="B1547" s="119">
        <v>5</v>
      </c>
      <c r="C1547" s="90" t="s">
        <v>3714</v>
      </c>
      <c r="D1547" s="90" t="s">
        <v>796</v>
      </c>
      <c r="E1547">
        <v>3086</v>
      </c>
      <c r="F1547">
        <v>3087</v>
      </c>
      <c r="G1547" s="93" t="s">
        <v>78</v>
      </c>
      <c r="H1547" t="s">
        <v>107</v>
      </c>
      <c r="I1547">
        <v>0</v>
      </c>
      <c r="J1547">
        <v>5209</v>
      </c>
      <c r="K1547">
        <f>I1547*J1547</f>
        <v>0</v>
      </c>
      <c r="L1547">
        <v>40</v>
      </c>
      <c r="M1547">
        <f>(1-(L1547/100))*K1547</f>
        <v>0</v>
      </c>
      <c r="N1547" s="90">
        <v>1547</v>
      </c>
      <c r="O1547" s="90" t="s">
        <v>3729</v>
      </c>
    </row>
    <row r="1548" spans="1:21" x14ac:dyDescent="0.25">
      <c r="A1548" s="90" t="s">
        <v>3730</v>
      </c>
      <c r="B1548" s="119">
        <v>5</v>
      </c>
      <c r="C1548" s="90" t="s">
        <v>3714</v>
      </c>
      <c r="D1548" s="90" t="s">
        <v>797</v>
      </c>
      <c r="E1548">
        <v>3088</v>
      </c>
      <c r="F1548">
        <v>3089</v>
      </c>
      <c r="G1548" s="93" t="s">
        <v>78</v>
      </c>
      <c r="H1548" t="s">
        <v>127</v>
      </c>
      <c r="I1548">
        <v>1</v>
      </c>
      <c r="J1548">
        <v>275.43613906000002</v>
      </c>
      <c r="K1548">
        <f>I1548*J1548</f>
        <v>275.43613906000002</v>
      </c>
      <c r="L1548">
        <v>40</v>
      </c>
      <c r="M1548">
        <f>(1-(L1548/100))*K1548</f>
        <v>165.261683436</v>
      </c>
      <c r="N1548" s="90">
        <v>1548</v>
      </c>
      <c r="O1548" s="90" t="s">
        <v>3731</v>
      </c>
    </row>
    <row r="1549" spans="1:21" x14ac:dyDescent="0.25">
      <c r="A1549" s="90" t="s">
        <v>3732</v>
      </c>
      <c r="B1549" s="119">
        <v>5</v>
      </c>
      <c r="C1549" s="90" t="s">
        <v>3714</v>
      </c>
      <c r="D1549" s="90" t="s">
        <v>798</v>
      </c>
      <c r="E1549">
        <v>3090</v>
      </c>
      <c r="F1549">
        <v>3091</v>
      </c>
      <c r="G1549" s="93" t="s">
        <v>78</v>
      </c>
      <c r="H1549" t="s">
        <v>121</v>
      </c>
      <c r="I1549">
        <v>1</v>
      </c>
      <c r="J1549">
        <v>78.186680249999995</v>
      </c>
      <c r="K1549">
        <f>I1549*J1549</f>
        <v>78.186680249999995</v>
      </c>
      <c r="L1549">
        <v>40</v>
      </c>
      <c r="M1549">
        <f>(1-(L1549/100))*K1549</f>
        <v>46.912008149999998</v>
      </c>
      <c r="N1549" s="90">
        <v>1549</v>
      </c>
      <c r="O1549" s="90" t="s">
        <v>3733</v>
      </c>
    </row>
    <row r="1550" spans="1:21" x14ac:dyDescent="0.25">
      <c r="A1550" s="90" t="s">
        <v>3734</v>
      </c>
      <c r="B1550" s="119">
        <v>5</v>
      </c>
      <c r="C1550" s="90" t="s">
        <v>3714</v>
      </c>
      <c r="D1550" s="90" t="s">
        <v>799</v>
      </c>
      <c r="E1550">
        <v>3092</v>
      </c>
      <c r="F1550">
        <v>3093</v>
      </c>
      <c r="G1550" s="93" t="s">
        <v>78</v>
      </c>
      <c r="H1550" t="s">
        <v>122</v>
      </c>
      <c r="I1550">
        <v>1</v>
      </c>
      <c r="J1550">
        <v>823.90169361999995</v>
      </c>
      <c r="K1550">
        <f>I1550*J1550</f>
        <v>823.90169361999995</v>
      </c>
      <c r="L1550">
        <v>40</v>
      </c>
      <c r="M1550">
        <f>(1-(L1550/100))*K1550</f>
        <v>494.34101617199997</v>
      </c>
      <c r="N1550" s="90">
        <v>1550</v>
      </c>
      <c r="O1550" s="90" t="s">
        <v>3735</v>
      </c>
    </row>
    <row r="1551" spans="1:21" x14ac:dyDescent="0.25">
      <c r="A1551" s="90" t="s">
        <v>3736</v>
      </c>
      <c r="B1551" s="119">
        <v>5</v>
      </c>
      <c r="C1551" s="90" t="s">
        <v>3714</v>
      </c>
      <c r="D1551" s="90" t="s">
        <v>97</v>
      </c>
      <c r="E1551">
        <v>3094</v>
      </c>
      <c r="F1551">
        <v>3095</v>
      </c>
      <c r="G1551" s="93" t="s">
        <v>78</v>
      </c>
      <c r="H1551" t="s">
        <v>128</v>
      </c>
      <c r="I1551">
        <v>1</v>
      </c>
      <c r="J1551">
        <v>270.62269196</v>
      </c>
      <c r="K1551">
        <f>I1551*J1551</f>
        <v>270.62269196</v>
      </c>
      <c r="L1551">
        <v>40</v>
      </c>
      <c r="M1551">
        <f>(1-(L1551/100))*K1551</f>
        <v>162.37361517599999</v>
      </c>
      <c r="N1551" s="90">
        <v>1551</v>
      </c>
      <c r="O1551" s="90" t="s">
        <v>3737</v>
      </c>
    </row>
    <row r="1552" spans="1:21" x14ac:dyDescent="0.25">
      <c r="A1552" s="90" t="s">
        <v>3738</v>
      </c>
      <c r="B1552" s="119">
        <v>5</v>
      </c>
      <c r="C1552" s="90" t="s">
        <v>3714</v>
      </c>
      <c r="D1552" s="90" t="s">
        <v>98</v>
      </c>
      <c r="E1552">
        <v>3096</v>
      </c>
      <c r="F1552">
        <v>3097</v>
      </c>
      <c r="G1552" s="93" t="s">
        <v>78</v>
      </c>
      <c r="H1552" t="s">
        <v>134</v>
      </c>
      <c r="I1552">
        <v>0</v>
      </c>
      <c r="J1552">
        <v>119.07551254000001</v>
      </c>
      <c r="K1552">
        <f>I1552*J1552</f>
        <v>0</v>
      </c>
      <c r="L1552">
        <v>40</v>
      </c>
      <c r="M1552">
        <f>(1-(L1552/100))*K1552</f>
        <v>0</v>
      </c>
      <c r="N1552" s="90">
        <v>1552</v>
      </c>
      <c r="O1552" s="90" t="s">
        <v>3739</v>
      </c>
    </row>
    <row r="1553" spans="1:21" x14ac:dyDescent="0.25">
      <c r="A1553" s="90" t="s">
        <v>3740</v>
      </c>
      <c r="B1553" s="119">
        <v>5</v>
      </c>
      <c r="C1553" s="90" t="s">
        <v>3714</v>
      </c>
      <c r="D1553" s="90" t="s">
        <v>99</v>
      </c>
      <c r="E1553">
        <v>3098</v>
      </c>
      <c r="F1553">
        <v>3099</v>
      </c>
      <c r="G1553" s="93" t="s">
        <v>78</v>
      </c>
      <c r="H1553" t="s">
        <v>135</v>
      </c>
      <c r="I1553">
        <v>0</v>
      </c>
      <c r="J1553">
        <v>56.526168339999998</v>
      </c>
      <c r="K1553">
        <f>I1553*J1553</f>
        <v>0</v>
      </c>
      <c r="L1553">
        <v>40</v>
      </c>
      <c r="M1553">
        <f>(1-(L1553/100))*K1553</f>
        <v>0</v>
      </c>
      <c r="N1553" s="90">
        <v>1553</v>
      </c>
      <c r="O1553" s="90" t="s">
        <v>3741</v>
      </c>
    </row>
    <row r="1554" spans="1:21" x14ac:dyDescent="0.25">
      <c r="A1554" s="90" t="s">
        <v>3742</v>
      </c>
      <c r="B1554" s="119">
        <v>5</v>
      </c>
      <c r="C1554" s="90" t="s">
        <v>3714</v>
      </c>
      <c r="D1554" s="90" t="s">
        <v>100</v>
      </c>
      <c r="E1554">
        <v>3100</v>
      </c>
      <c r="F1554">
        <v>3101</v>
      </c>
      <c r="G1554" s="93" t="s">
        <v>78</v>
      </c>
      <c r="H1554" t="s">
        <v>129</v>
      </c>
      <c r="I1554">
        <v>1</v>
      </c>
      <c r="J1554">
        <v>212.88679486000001</v>
      </c>
      <c r="K1554">
        <f>I1554*J1554</f>
        <v>212.88679486000001</v>
      </c>
      <c r="L1554">
        <v>40</v>
      </c>
      <c r="M1554">
        <f>(1-(L1554/100))*K1554</f>
        <v>127.732076916</v>
      </c>
      <c r="N1554" s="90">
        <v>1554</v>
      </c>
      <c r="O1554" s="90" t="s">
        <v>3743</v>
      </c>
    </row>
    <row r="1555" spans="1:21" x14ac:dyDescent="0.25">
      <c r="A1555" s="90" t="s">
        <v>3744</v>
      </c>
      <c r="B1555" s="119">
        <v>5</v>
      </c>
      <c r="C1555" s="90" t="s">
        <v>3714</v>
      </c>
      <c r="D1555" s="90" t="s">
        <v>81</v>
      </c>
      <c r="E1555">
        <v>3102</v>
      </c>
      <c r="F1555">
        <v>3103</v>
      </c>
      <c r="G1555" s="93" t="s">
        <v>78</v>
      </c>
      <c r="H1555" t="s">
        <v>130</v>
      </c>
      <c r="I1555">
        <v>1</v>
      </c>
      <c r="J1555">
        <v>206.87635298999999</v>
      </c>
      <c r="K1555">
        <f>I1555*J1555</f>
        <v>206.87635298999999</v>
      </c>
      <c r="L1555">
        <v>40</v>
      </c>
      <c r="M1555">
        <f>(1-(L1555/100))*K1555</f>
        <v>124.12581179399999</v>
      </c>
      <c r="N1555" s="90">
        <v>1555</v>
      </c>
      <c r="O1555" s="90" t="s">
        <v>3745</v>
      </c>
    </row>
    <row r="1556" spans="1:21" x14ac:dyDescent="0.25">
      <c r="A1556" s="90" t="s">
        <v>3746</v>
      </c>
      <c r="B1556" s="119">
        <v>5</v>
      </c>
      <c r="C1556" s="90" t="s">
        <v>3714</v>
      </c>
      <c r="D1556" s="90" t="s">
        <v>83</v>
      </c>
      <c r="E1556">
        <v>3104</v>
      </c>
      <c r="F1556">
        <v>3105</v>
      </c>
      <c r="G1556" s="93" t="s">
        <v>78</v>
      </c>
      <c r="H1556" t="s">
        <v>136</v>
      </c>
      <c r="I1556">
        <v>1</v>
      </c>
      <c r="J1556">
        <v>1142.63338851</v>
      </c>
      <c r="K1556">
        <f>I1556*J1556</f>
        <v>1142.63338851</v>
      </c>
      <c r="L1556">
        <v>40</v>
      </c>
      <c r="M1556">
        <f>(1-(L1556/100))*K1556</f>
        <v>685.58003310599997</v>
      </c>
      <c r="N1556" s="90">
        <v>1556</v>
      </c>
      <c r="O1556" s="90" t="s">
        <v>3747</v>
      </c>
    </row>
    <row r="1557" spans="1:21" x14ac:dyDescent="0.25">
      <c r="A1557" s="90" t="s">
        <v>3748</v>
      </c>
      <c r="B1557" s="119">
        <v>4</v>
      </c>
      <c r="C1557" s="90" t="s">
        <v>3667</v>
      </c>
      <c r="D1557" s="90" t="s">
        <v>99</v>
      </c>
      <c r="E1557">
        <v>3107</v>
      </c>
      <c r="F1557">
        <v>3110</v>
      </c>
      <c r="G1557" s="93" t="s">
        <v>68</v>
      </c>
      <c r="H1557" t="s">
        <v>1714</v>
      </c>
      <c r="I1557">
        <v>4</v>
      </c>
      <c r="J1557">
        <f>SUM(K1558)</f>
        <v>5389.0233031999996</v>
      </c>
      <c r="K1557">
        <f>I1557*J1557</f>
        <v>21556.093212799999</v>
      </c>
      <c r="L1557">
        <f>100*(1-(M1557/K1557))</f>
        <v>40</v>
      </c>
      <c r="M1557">
        <f>I1557*SUM(M1558)</f>
        <v>12933.655927679998</v>
      </c>
      <c r="N1557" s="90">
        <v>1557</v>
      </c>
      <c r="O1557" s="90" t="s">
        <v>3749</v>
      </c>
      <c r="R1557" s="90" t="s">
        <v>4577</v>
      </c>
      <c r="S1557" s="90" t="s">
        <v>5641</v>
      </c>
      <c r="T1557" s="90" t="s">
        <v>6139</v>
      </c>
      <c r="U1557" s="90" t="s">
        <v>5117</v>
      </c>
    </row>
    <row r="1558" spans="1:21" x14ac:dyDescent="0.25">
      <c r="A1558" s="90" t="s">
        <v>3750</v>
      </c>
      <c r="B1558" s="119">
        <v>5</v>
      </c>
      <c r="C1558" s="90" t="s">
        <v>3748</v>
      </c>
      <c r="D1558" s="90" t="s">
        <v>78</v>
      </c>
      <c r="E1558">
        <v>3108</v>
      </c>
      <c r="F1558">
        <v>3109</v>
      </c>
      <c r="G1558" s="93" t="s">
        <v>78</v>
      </c>
      <c r="H1558" t="s">
        <v>1714</v>
      </c>
      <c r="I1558">
        <v>1</v>
      </c>
      <c r="J1558">
        <v>5389.0233031999996</v>
      </c>
      <c r="K1558">
        <f>I1558*J1558</f>
        <v>5389.0233031999996</v>
      </c>
      <c r="L1558">
        <v>40</v>
      </c>
      <c r="M1558">
        <f>(1-(L1558/100))*K1558</f>
        <v>3233.4139819199995</v>
      </c>
      <c r="N1558" s="90">
        <v>1558</v>
      </c>
      <c r="O1558" s="90" t="s">
        <v>3751</v>
      </c>
    </row>
    <row r="1559" spans="1:21" x14ac:dyDescent="0.25">
      <c r="A1559" s="90" t="s">
        <v>3752</v>
      </c>
      <c r="B1559" s="119">
        <v>4</v>
      </c>
      <c r="C1559" s="90" t="s">
        <v>3667</v>
      </c>
      <c r="D1559" s="90" t="s">
        <v>100</v>
      </c>
      <c r="E1559">
        <v>3111</v>
      </c>
      <c r="F1559">
        <v>3114</v>
      </c>
      <c r="G1559" s="93" t="s">
        <v>68</v>
      </c>
      <c r="H1559" t="s">
        <v>1509</v>
      </c>
      <c r="I1559">
        <v>4</v>
      </c>
      <c r="J1559">
        <f>SUM(K1560)</f>
        <v>3300</v>
      </c>
      <c r="K1559">
        <f>I1559*J1559</f>
        <v>13200</v>
      </c>
      <c r="L1559">
        <f>100*(1-(M1559/K1559))</f>
        <v>40</v>
      </c>
      <c r="M1559">
        <f>I1559*SUM(M1560)</f>
        <v>7920</v>
      </c>
      <c r="N1559" s="90">
        <v>1559</v>
      </c>
      <c r="O1559" s="90" t="s">
        <v>3753</v>
      </c>
      <c r="R1559" s="90" t="s">
        <v>4578</v>
      </c>
      <c r="S1559" s="90" t="s">
        <v>5642</v>
      </c>
      <c r="T1559" s="90" t="s">
        <v>6140</v>
      </c>
      <c r="U1559" s="90" t="s">
        <v>5118</v>
      </c>
    </row>
    <row r="1560" spans="1:21" x14ac:dyDescent="0.25">
      <c r="A1560" s="90" t="s">
        <v>3754</v>
      </c>
      <c r="B1560" s="119">
        <v>5</v>
      </c>
      <c r="C1560" s="90" t="s">
        <v>3752</v>
      </c>
      <c r="D1560" s="90" t="s">
        <v>78</v>
      </c>
      <c r="E1560">
        <v>3112</v>
      </c>
      <c r="F1560">
        <v>3113</v>
      </c>
      <c r="G1560" s="93" t="s">
        <v>78</v>
      </c>
      <c r="H1560" t="s">
        <v>1509</v>
      </c>
      <c r="I1560">
        <v>1</v>
      </c>
      <c r="J1560">
        <v>3300</v>
      </c>
      <c r="K1560">
        <f>I1560*J1560</f>
        <v>3300</v>
      </c>
      <c r="L1560">
        <v>40</v>
      </c>
      <c r="M1560">
        <f>(1-(L1560/100))*K1560</f>
        <v>1980</v>
      </c>
      <c r="N1560" s="90">
        <v>1560</v>
      </c>
      <c r="O1560" s="90" t="s">
        <v>3755</v>
      </c>
    </row>
    <row r="1561" spans="1:21" x14ac:dyDescent="0.25">
      <c r="A1561" s="90" t="s">
        <v>3756</v>
      </c>
      <c r="B1561" s="119">
        <v>3</v>
      </c>
      <c r="C1561" s="90" t="s">
        <v>3664</v>
      </c>
      <c r="D1561" s="90" t="s">
        <v>79</v>
      </c>
      <c r="E1561">
        <v>3116</v>
      </c>
      <c r="F1561">
        <v>3133</v>
      </c>
      <c r="G1561" s="93" t="s">
        <v>68</v>
      </c>
      <c r="H1561" t="s">
        <v>3757</v>
      </c>
      <c r="I1561">
        <v>1</v>
      </c>
      <c r="J1561">
        <f>SUM(K1562)</f>
        <v>9458.1815866500001</v>
      </c>
      <c r="K1561">
        <f>I1561*J1561</f>
        <v>9458.1815866500001</v>
      </c>
      <c r="L1561">
        <f>100*(1-(M1561/K1561))</f>
        <v>39.999999999999993</v>
      </c>
      <c r="M1561">
        <f>I1561*SUM(M1562)</f>
        <v>5674.9089519900008</v>
      </c>
      <c r="N1561" s="90">
        <v>1561</v>
      </c>
      <c r="O1561" s="90" t="s">
        <v>3758</v>
      </c>
      <c r="R1561" s="90" t="s">
        <v>6948</v>
      </c>
      <c r="S1561" s="90" t="s">
        <v>7045</v>
      </c>
      <c r="T1561" s="90" t="s">
        <v>7091</v>
      </c>
      <c r="U1561" s="90" t="s">
        <v>6997</v>
      </c>
    </row>
    <row r="1562" spans="1:21" x14ac:dyDescent="0.25">
      <c r="A1562" s="90" t="s">
        <v>3759</v>
      </c>
      <c r="B1562" s="119">
        <v>4</v>
      </c>
      <c r="C1562" s="90" t="s">
        <v>3756</v>
      </c>
      <c r="D1562" s="90" t="s">
        <v>78</v>
      </c>
      <c r="E1562">
        <v>3117</v>
      </c>
      <c r="F1562">
        <v>3132</v>
      </c>
      <c r="G1562" s="93" t="s">
        <v>68</v>
      </c>
      <c r="H1562" t="s">
        <v>3760</v>
      </c>
      <c r="I1562">
        <v>1</v>
      </c>
      <c r="J1562">
        <f>SUM(K1563)</f>
        <v>9458.1815866500001</v>
      </c>
      <c r="K1562">
        <f>I1562*J1562</f>
        <v>9458.1815866500001</v>
      </c>
      <c r="L1562">
        <f>100*(1-(M1562/K1562))</f>
        <v>39.999999999999993</v>
      </c>
      <c r="M1562">
        <f>I1562*SUM(M1563)</f>
        <v>5674.9089519900008</v>
      </c>
      <c r="N1562" s="90">
        <v>1562</v>
      </c>
      <c r="O1562" s="90" t="s">
        <v>3761</v>
      </c>
      <c r="R1562" s="90" t="s">
        <v>6412</v>
      </c>
      <c r="S1562" s="90" t="s">
        <v>6715</v>
      </c>
      <c r="T1562" s="90" t="s">
        <v>6860</v>
      </c>
      <c r="U1562" s="90" t="s">
        <v>6564</v>
      </c>
    </row>
    <row r="1563" spans="1:21" x14ac:dyDescent="0.25">
      <c r="A1563" s="90" t="s">
        <v>3762</v>
      </c>
      <c r="B1563" s="119">
        <v>5</v>
      </c>
      <c r="C1563" s="90" t="s">
        <v>3759</v>
      </c>
      <c r="D1563" s="90" t="s">
        <v>78</v>
      </c>
      <c r="E1563">
        <v>3118</v>
      </c>
      <c r="F1563">
        <v>3131</v>
      </c>
      <c r="G1563" s="93" t="s">
        <v>68</v>
      </c>
      <c r="H1563" t="s">
        <v>1397</v>
      </c>
      <c r="I1563">
        <v>1</v>
      </c>
      <c r="J1563">
        <f>SUM(K1564,K1565,K1566,K1567,K1568,K1569)</f>
        <v>9458.1815866500001</v>
      </c>
      <c r="K1563">
        <f>I1563*J1563</f>
        <v>9458.1815866500001</v>
      </c>
      <c r="L1563">
        <f>100*(1-(M1563/K1563))</f>
        <v>39.999999999999993</v>
      </c>
      <c r="M1563">
        <f>I1563*SUM(M1564,M1565,M1566,M1567,M1568,M1569)</f>
        <v>5674.9089519900008</v>
      </c>
      <c r="N1563" s="90">
        <v>1563</v>
      </c>
      <c r="O1563" s="90" t="s">
        <v>3763</v>
      </c>
      <c r="R1563" s="90" t="s">
        <v>4587</v>
      </c>
      <c r="S1563" s="90" t="s">
        <v>5651</v>
      </c>
      <c r="T1563" s="90" t="s">
        <v>6149</v>
      </c>
      <c r="U1563" s="90" t="s">
        <v>5127</v>
      </c>
    </row>
    <row r="1564" spans="1:21" x14ac:dyDescent="0.25">
      <c r="A1564" s="90" t="s">
        <v>3764</v>
      </c>
      <c r="B1564" s="119">
        <v>6</v>
      </c>
      <c r="C1564" s="90" t="s">
        <v>3762</v>
      </c>
      <c r="D1564" s="90" t="s">
        <v>78</v>
      </c>
      <c r="E1564">
        <v>3119</v>
      </c>
      <c r="F1564">
        <v>3120</v>
      </c>
      <c r="G1564" s="93" t="s">
        <v>78</v>
      </c>
      <c r="H1564" t="s">
        <v>126</v>
      </c>
      <c r="I1564">
        <v>1</v>
      </c>
      <c r="J1564">
        <v>491.93938622000002</v>
      </c>
      <c r="K1564">
        <f>I1564*J1564</f>
        <v>491.93938622000002</v>
      </c>
      <c r="L1564">
        <v>40</v>
      </c>
      <c r="M1564">
        <f>(1-(L1564/100))*K1564</f>
        <v>295.163631732</v>
      </c>
      <c r="N1564" s="90">
        <v>1564</v>
      </c>
      <c r="O1564" s="90" t="s">
        <v>3765</v>
      </c>
    </row>
    <row r="1565" spans="1:21" x14ac:dyDescent="0.25">
      <c r="A1565" s="90" t="s">
        <v>3766</v>
      </c>
      <c r="B1565" s="119">
        <v>6</v>
      </c>
      <c r="C1565" s="90" t="s">
        <v>3762</v>
      </c>
      <c r="D1565" s="90" t="s">
        <v>79</v>
      </c>
      <c r="E1565">
        <v>3121</v>
      </c>
      <c r="F1565">
        <v>3122</v>
      </c>
      <c r="G1565" s="93" t="s">
        <v>78</v>
      </c>
      <c r="H1565" t="s">
        <v>120</v>
      </c>
      <c r="I1565">
        <v>1</v>
      </c>
      <c r="J1565">
        <v>967.93582071000003</v>
      </c>
      <c r="K1565">
        <f>I1565*J1565</f>
        <v>967.93582071000003</v>
      </c>
      <c r="L1565">
        <v>40</v>
      </c>
      <c r="M1565">
        <f>(1-(L1565/100))*K1565</f>
        <v>580.76149242600002</v>
      </c>
      <c r="N1565" s="90">
        <v>1565</v>
      </c>
      <c r="O1565" s="90" t="s">
        <v>3767</v>
      </c>
    </row>
    <row r="1566" spans="1:21" x14ac:dyDescent="0.25">
      <c r="A1566" s="90" t="s">
        <v>3768</v>
      </c>
      <c r="B1566" s="119">
        <v>6</v>
      </c>
      <c r="C1566" s="90" t="s">
        <v>3762</v>
      </c>
      <c r="D1566" s="90" t="s">
        <v>80</v>
      </c>
      <c r="E1566">
        <v>3123</v>
      </c>
      <c r="F1566">
        <v>3124</v>
      </c>
      <c r="G1566" s="93" t="s">
        <v>78</v>
      </c>
      <c r="H1566" t="s">
        <v>125</v>
      </c>
      <c r="I1566">
        <v>1</v>
      </c>
      <c r="J1566">
        <v>967.93582071000003</v>
      </c>
      <c r="K1566">
        <f>I1566*J1566</f>
        <v>967.93582071000003</v>
      </c>
      <c r="L1566">
        <v>40</v>
      </c>
      <c r="M1566">
        <f>(1-(L1566/100))*K1566</f>
        <v>580.76149242600002</v>
      </c>
      <c r="N1566" s="90">
        <v>1566</v>
      </c>
      <c r="O1566" s="90" t="s">
        <v>3769</v>
      </c>
    </row>
    <row r="1567" spans="1:21" x14ac:dyDescent="0.25">
      <c r="A1567" s="90" t="s">
        <v>3770</v>
      </c>
      <c r="B1567" s="119">
        <v>6</v>
      </c>
      <c r="C1567" s="90" t="s">
        <v>3762</v>
      </c>
      <c r="D1567" s="90" t="s">
        <v>95</v>
      </c>
      <c r="E1567">
        <v>3125</v>
      </c>
      <c r="F1567">
        <v>3126</v>
      </c>
      <c r="G1567" s="93" t="s">
        <v>78</v>
      </c>
      <c r="H1567" t="s">
        <v>123</v>
      </c>
      <c r="I1567">
        <v>1</v>
      </c>
      <c r="J1567">
        <v>313.76543995999998</v>
      </c>
      <c r="K1567">
        <f>I1567*J1567</f>
        <v>313.76543995999998</v>
      </c>
      <c r="L1567">
        <v>40</v>
      </c>
      <c r="M1567">
        <f>(1-(L1567/100))*K1567</f>
        <v>188.25926397599997</v>
      </c>
      <c r="N1567" s="90">
        <v>1567</v>
      </c>
      <c r="O1567" s="90" t="s">
        <v>3771</v>
      </c>
    </row>
    <row r="1568" spans="1:21" x14ac:dyDescent="0.25">
      <c r="A1568" s="90" t="s">
        <v>3772</v>
      </c>
      <c r="B1568" s="119">
        <v>6</v>
      </c>
      <c r="C1568" s="90" t="s">
        <v>3762</v>
      </c>
      <c r="D1568" s="90" t="s">
        <v>96</v>
      </c>
      <c r="E1568">
        <v>3127</v>
      </c>
      <c r="F1568">
        <v>3128</v>
      </c>
      <c r="G1568" s="93" t="s">
        <v>78</v>
      </c>
      <c r="H1568" t="s">
        <v>203</v>
      </c>
      <c r="I1568">
        <v>2</v>
      </c>
      <c r="J1568">
        <v>2064.00101872</v>
      </c>
      <c r="K1568">
        <f>I1568*J1568</f>
        <v>4128.0020374400001</v>
      </c>
      <c r="L1568">
        <v>40</v>
      </c>
      <c r="M1568">
        <f>(1-(L1568/100))*K1568</f>
        <v>2476.8012224640001</v>
      </c>
      <c r="N1568" s="90">
        <v>1568</v>
      </c>
      <c r="O1568" s="90" t="s">
        <v>3773</v>
      </c>
    </row>
    <row r="1569" spans="1:21" x14ac:dyDescent="0.25">
      <c r="A1569" s="90" t="s">
        <v>3774</v>
      </c>
      <c r="B1569" s="119">
        <v>6</v>
      </c>
      <c r="C1569" s="90" t="s">
        <v>3762</v>
      </c>
      <c r="D1569" s="90" t="s">
        <v>103</v>
      </c>
      <c r="E1569">
        <v>3129</v>
      </c>
      <c r="F1569">
        <v>3130</v>
      </c>
      <c r="G1569" s="93" t="s">
        <v>78</v>
      </c>
      <c r="H1569" t="s">
        <v>191</v>
      </c>
      <c r="I1569">
        <v>3</v>
      </c>
      <c r="J1569">
        <v>862.86769387000004</v>
      </c>
      <c r="K1569">
        <f>I1569*J1569</f>
        <v>2588.6030816100001</v>
      </c>
      <c r="L1569">
        <v>40</v>
      </c>
      <c r="M1569">
        <f>(1-(L1569/100))*K1569</f>
        <v>1553.161848966</v>
      </c>
      <c r="N1569" s="90">
        <v>1569</v>
      </c>
      <c r="O1569" s="90" t="s">
        <v>3775</v>
      </c>
    </row>
    <row r="1570" spans="1:21" x14ac:dyDescent="0.25">
      <c r="A1570" s="90" t="s">
        <v>3776</v>
      </c>
      <c r="B1570" s="119">
        <v>3</v>
      </c>
      <c r="C1570" s="90" t="s">
        <v>3664</v>
      </c>
      <c r="D1570" s="90" t="s">
        <v>80</v>
      </c>
      <c r="E1570">
        <v>3134</v>
      </c>
      <c r="F1570">
        <v>3139</v>
      </c>
      <c r="G1570" s="93" t="s">
        <v>68</v>
      </c>
      <c r="H1570" t="s">
        <v>3777</v>
      </c>
      <c r="I1570">
        <v>1</v>
      </c>
      <c r="J1570">
        <f>SUM(K1571)</f>
        <v>1324.33464918</v>
      </c>
      <c r="K1570">
        <f>I1570*J1570</f>
        <v>1324.33464918</v>
      </c>
      <c r="L1570">
        <f>100*(1-(M1570/K1570))</f>
        <v>85.6</v>
      </c>
      <c r="M1570">
        <f>I1570*SUM(M1571)</f>
        <v>190.70418948192003</v>
      </c>
      <c r="N1570" s="90">
        <v>1570</v>
      </c>
      <c r="O1570" s="90" t="s">
        <v>3778</v>
      </c>
      <c r="R1570" s="90" t="s">
        <v>6413</v>
      </c>
      <c r="S1570" s="90" t="s">
        <v>6716</v>
      </c>
      <c r="T1570" s="90" t="s">
        <v>6861</v>
      </c>
      <c r="U1570" s="90" t="s">
        <v>6565</v>
      </c>
    </row>
    <row r="1571" spans="1:21" x14ac:dyDescent="0.25">
      <c r="A1571" s="90" t="s">
        <v>3779</v>
      </c>
      <c r="B1571" s="119">
        <v>4</v>
      </c>
      <c r="C1571" s="90" t="s">
        <v>3776</v>
      </c>
      <c r="D1571" s="90" t="s">
        <v>78</v>
      </c>
      <c r="E1571">
        <v>3135</v>
      </c>
      <c r="F1571">
        <v>3138</v>
      </c>
      <c r="G1571" s="93" t="s">
        <v>68</v>
      </c>
      <c r="H1571" t="s">
        <v>418</v>
      </c>
      <c r="I1571">
        <v>1</v>
      </c>
      <c r="J1571">
        <f>SUM(K1572)</f>
        <v>1324.33464918</v>
      </c>
      <c r="K1571">
        <f>I1571*J1571</f>
        <v>1324.33464918</v>
      </c>
      <c r="L1571">
        <f>100*(1-(M1571/K1571))</f>
        <v>85.6</v>
      </c>
      <c r="M1571">
        <f>I1571*SUM(M1572)</f>
        <v>190.70418948192003</v>
      </c>
      <c r="N1571" s="90">
        <v>1571</v>
      </c>
      <c r="O1571" s="90" t="s">
        <v>3780</v>
      </c>
      <c r="R1571" s="90" t="s">
        <v>4588</v>
      </c>
      <c r="S1571" s="90" t="s">
        <v>5652</v>
      </c>
      <c r="T1571" s="90" t="s">
        <v>6150</v>
      </c>
      <c r="U1571" s="90" t="s">
        <v>5128</v>
      </c>
    </row>
    <row r="1572" spans="1:21" x14ac:dyDescent="0.25">
      <c r="A1572" s="90" t="s">
        <v>3781</v>
      </c>
      <c r="B1572" s="119">
        <v>5</v>
      </c>
      <c r="C1572" s="90" t="s">
        <v>3779</v>
      </c>
      <c r="D1572" s="90" t="s">
        <v>78</v>
      </c>
      <c r="E1572">
        <v>3136</v>
      </c>
      <c r="F1572">
        <v>3137</v>
      </c>
      <c r="G1572" s="93" t="s">
        <v>78</v>
      </c>
      <c r="H1572" t="s">
        <v>419</v>
      </c>
      <c r="I1572">
        <v>1</v>
      </c>
      <c r="J1572">
        <v>1324.33464918</v>
      </c>
      <c r="K1572">
        <f>I1572*J1572</f>
        <v>1324.33464918</v>
      </c>
      <c r="L1572">
        <v>85.6</v>
      </c>
      <c r="M1572">
        <f>(1-(L1572/100))*K1572</f>
        <v>190.70418948192003</v>
      </c>
      <c r="N1572" s="90">
        <v>1572</v>
      </c>
      <c r="O1572" s="90" t="s">
        <v>3782</v>
      </c>
    </row>
    <row r="1573" spans="1:21" x14ac:dyDescent="0.25">
      <c r="A1573" s="90" t="s">
        <v>3783</v>
      </c>
      <c r="B1573" s="119">
        <v>3</v>
      </c>
      <c r="C1573" s="90" t="s">
        <v>3664</v>
      </c>
      <c r="D1573" s="90" t="s">
        <v>95</v>
      </c>
      <c r="E1573">
        <v>3140</v>
      </c>
      <c r="F1573">
        <v>3145</v>
      </c>
      <c r="G1573" s="93" t="s">
        <v>68</v>
      </c>
      <c r="H1573" t="s">
        <v>3784</v>
      </c>
      <c r="I1573">
        <v>1</v>
      </c>
      <c r="J1573">
        <f>SUM(K1574)</f>
        <v>333.63045970000002</v>
      </c>
      <c r="K1573">
        <f>I1573*J1573</f>
        <v>333.63045970000002</v>
      </c>
      <c r="L1573">
        <f>100*(1-(M1573/K1573))</f>
        <v>85.6</v>
      </c>
      <c r="M1573">
        <f>I1573*SUM(M1574)</f>
        <v>48.042786196800009</v>
      </c>
      <c r="N1573" s="90">
        <v>1573</v>
      </c>
      <c r="O1573" s="90" t="s">
        <v>3785</v>
      </c>
      <c r="R1573" s="90" t="s">
        <v>6414</v>
      </c>
      <c r="S1573" s="90" t="s">
        <v>6717</v>
      </c>
      <c r="T1573" s="90" t="s">
        <v>6862</v>
      </c>
      <c r="U1573" s="90" t="s">
        <v>6566</v>
      </c>
    </row>
    <row r="1574" spans="1:21" x14ac:dyDescent="0.25">
      <c r="A1574" s="90" t="s">
        <v>3786</v>
      </c>
      <c r="B1574" s="119">
        <v>4</v>
      </c>
      <c r="C1574" s="90" t="s">
        <v>3783</v>
      </c>
      <c r="D1574" s="90" t="s">
        <v>78</v>
      </c>
      <c r="E1574">
        <v>3141</v>
      </c>
      <c r="F1574">
        <v>3144</v>
      </c>
      <c r="G1574" s="93" t="s">
        <v>68</v>
      </c>
      <c r="H1574" t="s">
        <v>399</v>
      </c>
      <c r="I1574">
        <v>1</v>
      </c>
      <c r="J1574">
        <f>SUM(K1575)</f>
        <v>333.63045970000002</v>
      </c>
      <c r="K1574">
        <f>I1574*J1574</f>
        <v>333.63045970000002</v>
      </c>
      <c r="L1574">
        <f>100*(1-(M1574/K1574))</f>
        <v>85.6</v>
      </c>
      <c r="M1574">
        <f>I1574*SUM(M1575)</f>
        <v>48.042786196800009</v>
      </c>
      <c r="N1574" s="90">
        <v>1574</v>
      </c>
      <c r="O1574" s="90" t="s">
        <v>3787</v>
      </c>
      <c r="R1574" s="90" t="s">
        <v>4589</v>
      </c>
      <c r="S1574" s="90" t="s">
        <v>5653</v>
      </c>
      <c r="T1574" s="90" t="s">
        <v>6151</v>
      </c>
      <c r="U1574" s="90" t="s">
        <v>5129</v>
      </c>
    </row>
    <row r="1575" spans="1:21" x14ac:dyDescent="0.25">
      <c r="A1575" s="90" t="s">
        <v>3788</v>
      </c>
      <c r="B1575" s="119">
        <v>5</v>
      </c>
      <c r="C1575" s="90" t="s">
        <v>3786</v>
      </c>
      <c r="D1575" s="90" t="s">
        <v>78</v>
      </c>
      <c r="E1575">
        <v>3142</v>
      </c>
      <c r="F1575">
        <v>3143</v>
      </c>
      <c r="G1575" s="93" t="s">
        <v>78</v>
      </c>
      <c r="H1575" t="s">
        <v>401</v>
      </c>
      <c r="I1575">
        <v>1</v>
      </c>
      <c r="J1575">
        <v>333.63045970000002</v>
      </c>
      <c r="K1575">
        <f>I1575*J1575</f>
        <v>333.63045970000002</v>
      </c>
      <c r="L1575">
        <v>85.6</v>
      </c>
      <c r="M1575">
        <f>(1-(L1575/100))*K1575</f>
        <v>48.042786196800009</v>
      </c>
      <c r="N1575" s="90">
        <v>1575</v>
      </c>
      <c r="O1575" s="90" t="s">
        <v>3789</v>
      </c>
    </row>
    <row r="1576" spans="1:21" x14ac:dyDescent="0.25">
      <c r="A1576" s="90" t="s">
        <v>3790</v>
      </c>
      <c r="B1576" s="119">
        <v>3</v>
      </c>
      <c r="C1576" s="90" t="s">
        <v>3664</v>
      </c>
      <c r="D1576" s="90" t="s">
        <v>96</v>
      </c>
      <c r="E1576">
        <v>3146</v>
      </c>
      <c r="F1576">
        <v>3169</v>
      </c>
      <c r="G1576" s="93" t="s">
        <v>68</v>
      </c>
      <c r="H1576" t="s">
        <v>3791</v>
      </c>
      <c r="I1576">
        <v>1</v>
      </c>
      <c r="J1576">
        <f>SUM(K1577,K1580,K1582,K1584,K1586)</f>
        <v>13011.371921559999</v>
      </c>
      <c r="K1576">
        <f>I1576*J1576</f>
        <v>13011.371921559999</v>
      </c>
      <c r="L1576">
        <f>100*(1-(M1576/K1576))</f>
        <v>88</v>
      </c>
      <c r="M1576">
        <f>I1576*SUM(M1577,M1580,M1582,M1584,M1586)</f>
        <v>1561.3646305871998</v>
      </c>
      <c r="N1576" s="90">
        <v>1576</v>
      </c>
      <c r="O1576" s="90" t="s">
        <v>3792</v>
      </c>
      <c r="R1576" s="90" t="s">
        <v>6415</v>
      </c>
      <c r="S1576" s="90" t="s">
        <v>6718</v>
      </c>
      <c r="T1576" s="90" t="s">
        <v>6863</v>
      </c>
      <c r="U1576" s="90" t="s">
        <v>6567</v>
      </c>
    </row>
    <row r="1577" spans="1:21" x14ac:dyDescent="0.25">
      <c r="A1577" s="90" t="s">
        <v>3793</v>
      </c>
      <c r="B1577" s="119">
        <v>4</v>
      </c>
      <c r="C1577" s="90" t="s">
        <v>3790</v>
      </c>
      <c r="D1577" s="90" t="s">
        <v>78</v>
      </c>
      <c r="E1577">
        <v>3147</v>
      </c>
      <c r="F1577">
        <v>3152</v>
      </c>
      <c r="G1577" s="93" t="s">
        <v>68</v>
      </c>
      <c r="H1577" t="s">
        <v>364</v>
      </c>
      <c r="I1577">
        <v>1</v>
      </c>
      <c r="J1577">
        <f>SUM(K1578,K1579)</f>
        <v>2292.1176620400001</v>
      </c>
      <c r="K1577">
        <f>I1577*J1577</f>
        <v>2292.1176620400001</v>
      </c>
      <c r="L1577">
        <f>100*(1-(M1577/K1577))</f>
        <v>88</v>
      </c>
      <c r="M1577">
        <f>I1577*SUM(M1578,M1579)</f>
        <v>275.05411944479999</v>
      </c>
      <c r="N1577" s="90">
        <v>1577</v>
      </c>
      <c r="O1577" s="90" t="s">
        <v>3794</v>
      </c>
      <c r="R1577" s="90" t="s">
        <v>4590</v>
      </c>
      <c r="S1577" s="90" t="s">
        <v>5654</v>
      </c>
      <c r="T1577" s="90" t="s">
        <v>6152</v>
      </c>
      <c r="U1577" s="90" t="s">
        <v>5130</v>
      </c>
    </row>
    <row r="1578" spans="1:21" x14ac:dyDescent="0.25">
      <c r="A1578" s="90" t="s">
        <v>3795</v>
      </c>
      <c r="B1578" s="119">
        <v>5</v>
      </c>
      <c r="C1578" s="90" t="s">
        <v>3793</v>
      </c>
      <c r="D1578" s="90" t="s">
        <v>78</v>
      </c>
      <c r="E1578">
        <v>3148</v>
      </c>
      <c r="F1578">
        <v>3149</v>
      </c>
      <c r="G1578" s="93" t="s">
        <v>78</v>
      </c>
      <c r="H1578" t="s">
        <v>366</v>
      </c>
      <c r="I1578">
        <v>1</v>
      </c>
      <c r="J1578">
        <v>509.35948044999998</v>
      </c>
      <c r="K1578">
        <f>I1578*J1578</f>
        <v>509.35948044999998</v>
      </c>
      <c r="L1578">
        <v>88</v>
      </c>
      <c r="M1578">
        <f>(1-(L1578/100))*K1578</f>
        <v>61.123137653999997</v>
      </c>
      <c r="N1578" s="90">
        <v>1578</v>
      </c>
      <c r="O1578" s="90" t="s">
        <v>3796</v>
      </c>
    </row>
    <row r="1579" spans="1:21" x14ac:dyDescent="0.25">
      <c r="A1579" s="90" t="s">
        <v>3797</v>
      </c>
      <c r="B1579" s="119">
        <v>5</v>
      </c>
      <c r="C1579" s="90" t="s">
        <v>3793</v>
      </c>
      <c r="D1579" s="90" t="s">
        <v>79</v>
      </c>
      <c r="E1579">
        <v>3150</v>
      </c>
      <c r="F1579">
        <v>3151</v>
      </c>
      <c r="G1579" s="93" t="s">
        <v>78</v>
      </c>
      <c r="H1579" t="s">
        <v>368</v>
      </c>
      <c r="I1579">
        <v>1</v>
      </c>
      <c r="J1579">
        <v>1782.75818159</v>
      </c>
      <c r="K1579">
        <f>I1579*J1579</f>
        <v>1782.75818159</v>
      </c>
      <c r="L1579">
        <v>88</v>
      </c>
      <c r="M1579">
        <f>(1-(L1579/100))*K1579</f>
        <v>213.93098179079999</v>
      </c>
      <c r="N1579" s="90">
        <v>1579</v>
      </c>
      <c r="O1579" s="90" t="s">
        <v>3798</v>
      </c>
    </row>
    <row r="1580" spans="1:21" x14ac:dyDescent="0.25">
      <c r="A1580" s="90" t="s">
        <v>3799</v>
      </c>
      <c r="B1580" s="119">
        <v>4</v>
      </c>
      <c r="C1580" s="90" t="s">
        <v>3790</v>
      </c>
      <c r="D1580" s="90" t="s">
        <v>79</v>
      </c>
      <c r="E1580">
        <v>3153</v>
      </c>
      <c r="F1580">
        <v>3156</v>
      </c>
      <c r="G1580" s="93" t="s">
        <v>68</v>
      </c>
      <c r="H1580" t="s">
        <v>379</v>
      </c>
      <c r="I1580">
        <v>1</v>
      </c>
      <c r="J1580">
        <f>SUM(K1581)</f>
        <v>303.06889087000002</v>
      </c>
      <c r="K1580">
        <f>I1580*J1580</f>
        <v>303.06889087000002</v>
      </c>
      <c r="L1580">
        <f>100*(1-(M1580/K1580))</f>
        <v>88</v>
      </c>
      <c r="M1580">
        <f>I1580*SUM(M1581)</f>
        <v>36.368266904400002</v>
      </c>
      <c r="N1580" s="90">
        <v>1580</v>
      </c>
      <c r="O1580" s="90" t="s">
        <v>3800</v>
      </c>
      <c r="R1580" s="90" t="s">
        <v>4591</v>
      </c>
      <c r="S1580" s="90" t="s">
        <v>5655</v>
      </c>
      <c r="T1580" s="90" t="s">
        <v>6153</v>
      </c>
      <c r="U1580" s="90" t="s">
        <v>5131</v>
      </c>
    </row>
    <row r="1581" spans="1:21" x14ac:dyDescent="0.25">
      <c r="A1581" s="90" t="s">
        <v>3801</v>
      </c>
      <c r="B1581" s="119">
        <v>5</v>
      </c>
      <c r="C1581" s="90" t="s">
        <v>3799</v>
      </c>
      <c r="D1581" s="90" t="s">
        <v>78</v>
      </c>
      <c r="E1581">
        <v>3154</v>
      </c>
      <c r="F1581">
        <v>3155</v>
      </c>
      <c r="G1581" s="93" t="s">
        <v>78</v>
      </c>
      <c r="H1581" t="s">
        <v>381</v>
      </c>
      <c r="I1581">
        <v>1</v>
      </c>
      <c r="J1581">
        <v>303.06889087000002</v>
      </c>
      <c r="K1581">
        <f>I1581*J1581</f>
        <v>303.06889087000002</v>
      </c>
      <c r="L1581">
        <v>88</v>
      </c>
      <c r="M1581">
        <f>(1-(L1581/100))*K1581</f>
        <v>36.368266904400002</v>
      </c>
      <c r="N1581" s="90">
        <v>1581</v>
      </c>
      <c r="O1581" s="90" t="s">
        <v>3802</v>
      </c>
    </row>
    <row r="1582" spans="1:21" x14ac:dyDescent="0.25">
      <c r="A1582" s="90" t="s">
        <v>3803</v>
      </c>
      <c r="B1582" s="119">
        <v>4</v>
      </c>
      <c r="C1582" s="90" t="s">
        <v>3790</v>
      </c>
      <c r="D1582" s="90" t="s">
        <v>80</v>
      </c>
      <c r="E1582">
        <v>3157</v>
      </c>
      <c r="F1582">
        <v>3160</v>
      </c>
      <c r="G1582" s="93" t="s">
        <v>68</v>
      </c>
      <c r="H1582" t="s">
        <v>399</v>
      </c>
      <c r="I1582">
        <v>1</v>
      </c>
      <c r="J1582">
        <f>SUM(K1583)</f>
        <v>333.63045970000002</v>
      </c>
      <c r="K1582">
        <f>I1582*J1582</f>
        <v>333.63045970000002</v>
      </c>
      <c r="L1582">
        <f>100*(1-(M1582/K1582))</f>
        <v>88</v>
      </c>
      <c r="M1582">
        <f>I1582*SUM(M1583)</f>
        <v>40.035655163999998</v>
      </c>
      <c r="N1582" s="90">
        <v>1582</v>
      </c>
      <c r="O1582" s="90" t="s">
        <v>3804</v>
      </c>
      <c r="R1582" s="90" t="s">
        <v>4592</v>
      </c>
      <c r="S1582" s="90" t="s">
        <v>5656</v>
      </c>
      <c r="T1582" s="90" t="s">
        <v>6154</v>
      </c>
      <c r="U1582" s="90" t="s">
        <v>5132</v>
      </c>
    </row>
    <row r="1583" spans="1:21" x14ac:dyDescent="0.25">
      <c r="A1583" s="90" t="s">
        <v>3805</v>
      </c>
      <c r="B1583" s="119">
        <v>5</v>
      </c>
      <c r="C1583" s="90" t="s">
        <v>3803</v>
      </c>
      <c r="D1583" s="90" t="s">
        <v>78</v>
      </c>
      <c r="E1583">
        <v>3158</v>
      </c>
      <c r="F1583">
        <v>3159</v>
      </c>
      <c r="G1583" s="93" t="s">
        <v>78</v>
      </c>
      <c r="H1583" t="s">
        <v>401</v>
      </c>
      <c r="I1583">
        <v>1</v>
      </c>
      <c r="J1583">
        <v>333.63045970000002</v>
      </c>
      <c r="K1583">
        <f>I1583*J1583</f>
        <v>333.63045970000002</v>
      </c>
      <c r="L1583">
        <v>88</v>
      </c>
      <c r="M1583">
        <f>(1-(L1583/100))*K1583</f>
        <v>40.035655163999998</v>
      </c>
      <c r="N1583" s="90">
        <v>1583</v>
      </c>
      <c r="O1583" s="90" t="s">
        <v>3806</v>
      </c>
    </row>
    <row r="1584" spans="1:21" x14ac:dyDescent="0.25">
      <c r="A1584" s="90" t="s">
        <v>3807</v>
      </c>
      <c r="B1584" s="119">
        <v>4</v>
      </c>
      <c r="C1584" s="90" t="s">
        <v>3790</v>
      </c>
      <c r="D1584" s="90" t="s">
        <v>95</v>
      </c>
      <c r="E1584">
        <v>3161</v>
      </c>
      <c r="F1584">
        <v>3164</v>
      </c>
      <c r="G1584" s="93" t="s">
        <v>68</v>
      </c>
      <c r="H1584" t="s">
        <v>383</v>
      </c>
      <c r="I1584">
        <v>1</v>
      </c>
      <c r="J1584">
        <f>SUM(K1585)</f>
        <v>1069.6549089499999</v>
      </c>
      <c r="K1584">
        <f>I1584*J1584</f>
        <v>1069.6549089499999</v>
      </c>
      <c r="L1584">
        <f>100*(1-(M1584/K1584))</f>
        <v>88</v>
      </c>
      <c r="M1584">
        <f>I1584*SUM(M1585)</f>
        <v>128.35858907399998</v>
      </c>
      <c r="N1584" s="90">
        <v>1584</v>
      </c>
      <c r="O1584" s="90" t="s">
        <v>3808</v>
      </c>
      <c r="R1584" s="90" t="s">
        <v>4593</v>
      </c>
      <c r="S1584" s="90" t="s">
        <v>5657</v>
      </c>
      <c r="T1584" s="90" t="s">
        <v>6155</v>
      </c>
      <c r="U1584" s="90" t="s">
        <v>5133</v>
      </c>
    </row>
    <row r="1585" spans="1:21" x14ac:dyDescent="0.25">
      <c r="A1585" s="90" t="s">
        <v>3809</v>
      </c>
      <c r="B1585" s="119">
        <v>5</v>
      </c>
      <c r="C1585" s="90" t="s">
        <v>3807</v>
      </c>
      <c r="D1585" s="90" t="s">
        <v>78</v>
      </c>
      <c r="E1585">
        <v>3162</v>
      </c>
      <c r="F1585">
        <v>3163</v>
      </c>
      <c r="G1585" s="93" t="s">
        <v>78</v>
      </c>
      <c r="H1585" t="s">
        <v>385</v>
      </c>
      <c r="I1585">
        <v>1</v>
      </c>
      <c r="J1585">
        <v>1069.6549089499999</v>
      </c>
      <c r="K1585">
        <f>I1585*J1585</f>
        <v>1069.6549089499999</v>
      </c>
      <c r="L1585">
        <v>88</v>
      </c>
      <c r="M1585">
        <f>(1-(L1585/100))*K1585</f>
        <v>128.35858907399998</v>
      </c>
      <c r="N1585" s="90">
        <v>1585</v>
      </c>
      <c r="O1585" s="90" t="s">
        <v>3810</v>
      </c>
    </row>
    <row r="1586" spans="1:21" x14ac:dyDescent="0.25">
      <c r="A1586" s="90" t="s">
        <v>3811</v>
      </c>
      <c r="B1586" s="119">
        <v>4</v>
      </c>
      <c r="C1586" s="90" t="s">
        <v>3790</v>
      </c>
      <c r="D1586" s="90" t="s">
        <v>96</v>
      </c>
      <c r="E1586">
        <v>3165</v>
      </c>
      <c r="F1586">
        <v>3168</v>
      </c>
      <c r="G1586" s="93" t="s">
        <v>68</v>
      </c>
      <c r="H1586" t="s">
        <v>387</v>
      </c>
      <c r="I1586">
        <v>1</v>
      </c>
      <c r="J1586">
        <f>SUM(K1587)</f>
        <v>9012.9</v>
      </c>
      <c r="K1586">
        <f>I1586*J1586</f>
        <v>9012.9</v>
      </c>
      <c r="L1586">
        <f>100*(1-(M1586/K1586))</f>
        <v>88</v>
      </c>
      <c r="M1586">
        <f>I1586*SUM(M1587)</f>
        <v>1081.548</v>
      </c>
      <c r="N1586" s="90">
        <v>1586</v>
      </c>
      <c r="O1586" s="90" t="s">
        <v>3812</v>
      </c>
      <c r="R1586" s="90" t="s">
        <v>4594</v>
      </c>
      <c r="S1586" s="90" t="s">
        <v>5658</v>
      </c>
      <c r="T1586" s="90" t="s">
        <v>6156</v>
      </c>
      <c r="U1586" s="90" t="s">
        <v>5134</v>
      </c>
    </row>
    <row r="1587" spans="1:21" x14ac:dyDescent="0.25">
      <c r="A1587" s="90" t="s">
        <v>3813</v>
      </c>
      <c r="B1587" s="119">
        <v>5</v>
      </c>
      <c r="C1587" s="90" t="s">
        <v>3811</v>
      </c>
      <c r="D1587" s="90" t="s">
        <v>78</v>
      </c>
      <c r="E1587">
        <v>3166</v>
      </c>
      <c r="F1587">
        <v>3167</v>
      </c>
      <c r="G1587" s="93" t="s">
        <v>78</v>
      </c>
      <c r="H1587" t="s">
        <v>389</v>
      </c>
      <c r="I1587">
        <v>1</v>
      </c>
      <c r="J1587">
        <v>9012.9</v>
      </c>
      <c r="K1587">
        <f>I1587*J1587</f>
        <v>9012.9</v>
      </c>
      <c r="L1587">
        <v>88</v>
      </c>
      <c r="M1587">
        <f>(1-(L1587/100))*K1587</f>
        <v>1081.548</v>
      </c>
      <c r="N1587" s="90">
        <v>1587</v>
      </c>
      <c r="O1587" s="90" t="s">
        <v>3814</v>
      </c>
    </row>
    <row r="1588" spans="1:21" x14ac:dyDescent="0.25">
      <c r="A1588" s="90" t="s">
        <v>3815</v>
      </c>
      <c r="B1588" s="119">
        <v>3</v>
      </c>
      <c r="C1588" s="90" t="s">
        <v>3664</v>
      </c>
      <c r="D1588" s="90" t="s">
        <v>103</v>
      </c>
      <c r="E1588">
        <v>3170</v>
      </c>
      <c r="F1588">
        <v>3189</v>
      </c>
      <c r="G1588" s="93" t="s">
        <v>68</v>
      </c>
      <c r="H1588" t="s">
        <v>3816</v>
      </c>
      <c r="I1588">
        <v>1</v>
      </c>
      <c r="J1588">
        <f>SUM(K1589,K1592,K1594,K1596)</f>
        <v>12677.74146186</v>
      </c>
      <c r="K1588">
        <f>I1588*J1588</f>
        <v>12677.74146186</v>
      </c>
      <c r="L1588">
        <f>100*(1-(M1588/K1588))</f>
        <v>85.6</v>
      </c>
      <c r="M1588">
        <f>I1588*SUM(M1589,M1592,M1594,M1596)</f>
        <v>1825.5947705078402</v>
      </c>
      <c r="N1588" s="90">
        <v>1588</v>
      </c>
      <c r="O1588" s="90" t="s">
        <v>3817</v>
      </c>
      <c r="R1588" s="90" t="s">
        <v>6416</v>
      </c>
      <c r="S1588" s="90" t="s">
        <v>6719</v>
      </c>
      <c r="T1588" s="90" t="s">
        <v>6864</v>
      </c>
      <c r="U1588" s="90" t="s">
        <v>6568</v>
      </c>
    </row>
    <row r="1589" spans="1:21" x14ac:dyDescent="0.25">
      <c r="A1589" s="90" t="s">
        <v>3818</v>
      </c>
      <c r="B1589" s="119">
        <v>4</v>
      </c>
      <c r="C1589" s="90" t="s">
        <v>3815</v>
      </c>
      <c r="D1589" s="90" t="s">
        <v>78</v>
      </c>
      <c r="E1589">
        <v>3171</v>
      </c>
      <c r="F1589">
        <v>3176</v>
      </c>
      <c r="G1589" s="93" t="s">
        <v>68</v>
      </c>
      <c r="H1589" t="s">
        <v>364</v>
      </c>
      <c r="I1589">
        <v>1</v>
      </c>
      <c r="J1589">
        <f>SUM(K1590,K1591)</f>
        <v>2292.1176620400001</v>
      </c>
      <c r="K1589">
        <f>I1589*J1589</f>
        <v>2292.1176620400001</v>
      </c>
      <c r="L1589">
        <f>100*(1-(M1589/K1589))</f>
        <v>85.6</v>
      </c>
      <c r="M1589">
        <f>I1589*SUM(M1590,M1591)</f>
        <v>330.06494333376008</v>
      </c>
      <c r="N1589" s="90">
        <v>1589</v>
      </c>
      <c r="O1589" s="90" t="s">
        <v>3819</v>
      </c>
      <c r="R1589" s="90" t="s">
        <v>4595</v>
      </c>
      <c r="S1589" s="90" t="s">
        <v>5659</v>
      </c>
      <c r="T1589" s="90" t="s">
        <v>6157</v>
      </c>
      <c r="U1589" s="90" t="s">
        <v>5135</v>
      </c>
    </row>
    <row r="1590" spans="1:21" x14ac:dyDescent="0.25">
      <c r="A1590" s="90" t="s">
        <v>3820</v>
      </c>
      <c r="B1590" s="119">
        <v>5</v>
      </c>
      <c r="C1590" s="90" t="s">
        <v>3818</v>
      </c>
      <c r="D1590" s="90" t="s">
        <v>78</v>
      </c>
      <c r="E1590">
        <v>3172</v>
      </c>
      <c r="F1590">
        <v>3173</v>
      </c>
      <c r="G1590" s="93" t="s">
        <v>78</v>
      </c>
      <c r="H1590" t="s">
        <v>366</v>
      </c>
      <c r="I1590">
        <v>1</v>
      </c>
      <c r="J1590">
        <v>509.35948044999998</v>
      </c>
      <c r="K1590">
        <f>I1590*J1590</f>
        <v>509.35948044999998</v>
      </c>
      <c r="L1590">
        <v>85.6</v>
      </c>
      <c r="M1590">
        <f>(1-(L1590/100))*K1590</f>
        <v>73.347765184800011</v>
      </c>
      <c r="N1590" s="90">
        <v>1590</v>
      </c>
      <c r="O1590" s="90" t="s">
        <v>3821</v>
      </c>
    </row>
    <row r="1591" spans="1:21" x14ac:dyDescent="0.25">
      <c r="A1591" s="90" t="s">
        <v>3822</v>
      </c>
      <c r="B1591" s="119">
        <v>5</v>
      </c>
      <c r="C1591" s="90" t="s">
        <v>3818</v>
      </c>
      <c r="D1591" s="90" t="s">
        <v>79</v>
      </c>
      <c r="E1591">
        <v>3174</v>
      </c>
      <c r="F1591">
        <v>3175</v>
      </c>
      <c r="G1591" s="93" t="s">
        <v>78</v>
      </c>
      <c r="H1591" t="s">
        <v>368</v>
      </c>
      <c r="I1591">
        <v>1</v>
      </c>
      <c r="J1591">
        <v>1782.75818159</v>
      </c>
      <c r="K1591">
        <f>I1591*J1591</f>
        <v>1782.75818159</v>
      </c>
      <c r="L1591">
        <v>85.6</v>
      </c>
      <c r="M1591">
        <f>(1-(L1591/100))*K1591</f>
        <v>256.71717814896004</v>
      </c>
      <c r="N1591" s="90">
        <v>1591</v>
      </c>
      <c r="O1591" s="90" t="s">
        <v>3823</v>
      </c>
    </row>
    <row r="1592" spans="1:21" x14ac:dyDescent="0.25">
      <c r="A1592" s="90" t="s">
        <v>3824</v>
      </c>
      <c r="B1592" s="119">
        <v>4</v>
      </c>
      <c r="C1592" s="90" t="s">
        <v>3815</v>
      </c>
      <c r="D1592" s="90" t="s">
        <v>79</v>
      </c>
      <c r="E1592">
        <v>3177</v>
      </c>
      <c r="F1592">
        <v>3180</v>
      </c>
      <c r="G1592" s="93" t="s">
        <v>68</v>
      </c>
      <c r="H1592" t="s">
        <v>379</v>
      </c>
      <c r="I1592">
        <v>1</v>
      </c>
      <c r="J1592">
        <f>SUM(K1593)</f>
        <v>303.06889087000002</v>
      </c>
      <c r="K1592">
        <f>I1592*J1592</f>
        <v>303.06889087000002</v>
      </c>
      <c r="L1592">
        <f>100*(1-(M1592/K1592))</f>
        <v>85.6</v>
      </c>
      <c r="M1592">
        <f>I1592*SUM(M1593)</f>
        <v>43.641920285280008</v>
      </c>
      <c r="N1592" s="90">
        <v>1592</v>
      </c>
      <c r="O1592" s="90" t="s">
        <v>3825</v>
      </c>
      <c r="R1592" s="90" t="s">
        <v>4596</v>
      </c>
      <c r="S1592" s="90" t="s">
        <v>5660</v>
      </c>
      <c r="T1592" s="90" t="s">
        <v>6158</v>
      </c>
      <c r="U1592" s="90" t="s">
        <v>5136</v>
      </c>
    </row>
    <row r="1593" spans="1:21" x14ac:dyDescent="0.25">
      <c r="A1593" s="90" t="s">
        <v>3826</v>
      </c>
      <c r="B1593" s="119">
        <v>5</v>
      </c>
      <c r="C1593" s="90" t="s">
        <v>3824</v>
      </c>
      <c r="D1593" s="90" t="s">
        <v>78</v>
      </c>
      <c r="E1593">
        <v>3178</v>
      </c>
      <c r="F1593">
        <v>3179</v>
      </c>
      <c r="G1593" s="93" t="s">
        <v>78</v>
      </c>
      <c r="H1593" t="s">
        <v>381</v>
      </c>
      <c r="I1593">
        <v>1</v>
      </c>
      <c r="J1593">
        <v>303.06889087000002</v>
      </c>
      <c r="K1593">
        <f>I1593*J1593</f>
        <v>303.06889087000002</v>
      </c>
      <c r="L1593">
        <v>85.6</v>
      </c>
      <c r="M1593">
        <f>(1-(L1593/100))*K1593</f>
        <v>43.641920285280008</v>
      </c>
      <c r="N1593" s="90">
        <v>1593</v>
      </c>
      <c r="O1593" s="90" t="s">
        <v>3827</v>
      </c>
    </row>
    <row r="1594" spans="1:21" x14ac:dyDescent="0.25">
      <c r="A1594" s="90" t="s">
        <v>3828</v>
      </c>
      <c r="B1594" s="119">
        <v>4</v>
      </c>
      <c r="C1594" s="90" t="s">
        <v>3815</v>
      </c>
      <c r="D1594" s="90" t="s">
        <v>80</v>
      </c>
      <c r="E1594">
        <v>3181</v>
      </c>
      <c r="F1594">
        <v>3184</v>
      </c>
      <c r="G1594" s="93" t="s">
        <v>68</v>
      </c>
      <c r="H1594" t="s">
        <v>383</v>
      </c>
      <c r="I1594">
        <v>1</v>
      </c>
      <c r="J1594">
        <f>SUM(K1595)</f>
        <v>1069.6549089499999</v>
      </c>
      <c r="K1594">
        <f>I1594*J1594</f>
        <v>1069.6549089499999</v>
      </c>
      <c r="L1594">
        <f>100*(1-(M1594/K1594))</f>
        <v>85.6</v>
      </c>
      <c r="M1594">
        <f>I1594*SUM(M1595)</f>
        <v>154.0303068888</v>
      </c>
      <c r="N1594" s="90">
        <v>1594</v>
      </c>
      <c r="O1594" s="90" t="s">
        <v>3829</v>
      </c>
      <c r="R1594" s="90" t="s">
        <v>4597</v>
      </c>
      <c r="S1594" s="90" t="s">
        <v>5661</v>
      </c>
      <c r="T1594" s="90" t="s">
        <v>6159</v>
      </c>
      <c r="U1594" s="90" t="s">
        <v>5137</v>
      </c>
    </row>
    <row r="1595" spans="1:21" x14ac:dyDescent="0.25">
      <c r="A1595" s="90" t="s">
        <v>3830</v>
      </c>
      <c r="B1595" s="119">
        <v>5</v>
      </c>
      <c r="C1595" s="90" t="s">
        <v>3828</v>
      </c>
      <c r="D1595" s="90" t="s">
        <v>78</v>
      </c>
      <c r="E1595">
        <v>3182</v>
      </c>
      <c r="F1595">
        <v>3183</v>
      </c>
      <c r="G1595" s="93" t="s">
        <v>78</v>
      </c>
      <c r="H1595" t="s">
        <v>385</v>
      </c>
      <c r="I1595">
        <v>1</v>
      </c>
      <c r="J1595">
        <v>1069.6549089499999</v>
      </c>
      <c r="K1595">
        <f>I1595*J1595</f>
        <v>1069.6549089499999</v>
      </c>
      <c r="L1595">
        <v>85.6</v>
      </c>
      <c r="M1595">
        <f>(1-(L1595/100))*K1595</f>
        <v>154.0303068888</v>
      </c>
      <c r="N1595" s="90">
        <v>1595</v>
      </c>
      <c r="O1595" s="90" t="s">
        <v>3831</v>
      </c>
    </row>
    <row r="1596" spans="1:21" x14ac:dyDescent="0.25">
      <c r="A1596" s="90" t="s">
        <v>3832</v>
      </c>
      <c r="B1596" s="119">
        <v>4</v>
      </c>
      <c r="C1596" s="90" t="s">
        <v>3815</v>
      </c>
      <c r="D1596" s="90" t="s">
        <v>95</v>
      </c>
      <c r="E1596">
        <v>3185</v>
      </c>
      <c r="F1596">
        <v>3188</v>
      </c>
      <c r="G1596" s="93" t="s">
        <v>68</v>
      </c>
      <c r="H1596" t="s">
        <v>387</v>
      </c>
      <c r="I1596">
        <v>1</v>
      </c>
      <c r="J1596">
        <f>SUM(K1597)</f>
        <v>9012.9</v>
      </c>
      <c r="K1596">
        <f>I1596*J1596</f>
        <v>9012.9</v>
      </c>
      <c r="L1596">
        <f>100*(1-(M1596/K1596))</f>
        <v>85.6</v>
      </c>
      <c r="M1596">
        <f>I1596*SUM(M1597)</f>
        <v>1297.8576</v>
      </c>
      <c r="N1596" s="90">
        <v>1596</v>
      </c>
      <c r="O1596" s="90" t="s">
        <v>3833</v>
      </c>
      <c r="R1596" s="90" t="s">
        <v>4598</v>
      </c>
      <c r="S1596" s="90" t="s">
        <v>5662</v>
      </c>
      <c r="T1596" s="90" t="s">
        <v>6160</v>
      </c>
      <c r="U1596" s="90" t="s">
        <v>5138</v>
      </c>
    </row>
    <row r="1597" spans="1:21" x14ac:dyDescent="0.25">
      <c r="A1597" s="90" t="s">
        <v>3834</v>
      </c>
      <c r="B1597" s="119">
        <v>5</v>
      </c>
      <c r="C1597" s="90" t="s">
        <v>3832</v>
      </c>
      <c r="D1597" s="90" t="s">
        <v>78</v>
      </c>
      <c r="E1597">
        <v>3186</v>
      </c>
      <c r="F1597">
        <v>3187</v>
      </c>
      <c r="G1597" s="93" t="s">
        <v>78</v>
      </c>
      <c r="H1597" t="s">
        <v>389</v>
      </c>
      <c r="I1597">
        <v>1</v>
      </c>
      <c r="J1597">
        <v>9012.9</v>
      </c>
      <c r="K1597">
        <f>I1597*J1597</f>
        <v>9012.9</v>
      </c>
      <c r="L1597">
        <v>85.6</v>
      </c>
      <c r="M1597">
        <f>(1-(L1597/100))*K1597</f>
        <v>1297.8576</v>
      </c>
      <c r="N1597" s="90">
        <v>1597</v>
      </c>
      <c r="O1597" s="90" t="s">
        <v>3835</v>
      </c>
    </row>
    <row r="1598" spans="1:21" x14ac:dyDescent="0.25">
      <c r="A1598" s="90" t="s">
        <v>3836</v>
      </c>
      <c r="B1598" s="119">
        <v>2</v>
      </c>
      <c r="C1598" s="90" t="s">
        <v>78</v>
      </c>
      <c r="D1598" s="90" t="s">
        <v>102</v>
      </c>
      <c r="E1598">
        <v>3191</v>
      </c>
      <c r="F1598">
        <v>3328</v>
      </c>
      <c r="G1598" s="93" t="s">
        <v>68</v>
      </c>
      <c r="H1598" t="s">
        <v>3837</v>
      </c>
      <c r="I1598">
        <v>1</v>
      </c>
      <c r="J1598">
        <f>SUM(K1599,K1634,K1639,K1642,K1645,K1657)</f>
        <v>125861.92815486999</v>
      </c>
      <c r="K1598">
        <f>I1598*J1598</f>
        <v>125861.92815486999</v>
      </c>
      <c r="L1598">
        <f>100*(1-(M1598/K1598))</f>
        <v>50.156002618105155</v>
      </c>
      <c r="M1598">
        <f>I1598*SUM(M1599,M1634,M1639,M1642,M1645,M1657)</f>
        <v>62734.616174315765</v>
      </c>
      <c r="N1598" s="90">
        <v>1598</v>
      </c>
      <c r="O1598" s="90" t="s">
        <v>3838</v>
      </c>
      <c r="R1598" s="90" t="s">
        <v>6949</v>
      </c>
      <c r="S1598" s="90" t="s">
        <v>7046</v>
      </c>
      <c r="T1598" s="90" t="s">
        <v>7092</v>
      </c>
      <c r="U1598" s="90" t="s">
        <v>6998</v>
      </c>
    </row>
    <row r="1599" spans="1:21" x14ac:dyDescent="0.25">
      <c r="A1599" s="90" t="s">
        <v>3839</v>
      </c>
      <c r="B1599" s="119">
        <v>3</v>
      </c>
      <c r="C1599" s="90" t="s">
        <v>3836</v>
      </c>
      <c r="D1599" s="90" t="s">
        <v>78</v>
      </c>
      <c r="E1599">
        <v>3192</v>
      </c>
      <c r="F1599">
        <v>3261</v>
      </c>
      <c r="G1599" s="93" t="s">
        <v>68</v>
      </c>
      <c r="H1599" t="s">
        <v>3840</v>
      </c>
      <c r="I1599">
        <v>1</v>
      </c>
      <c r="J1599">
        <f>SUM(K1600,K1602,K1604,K1606,K1608,K1610,K1612,K1614,K1616,K1618,K1620,K1622,K1624,K1626,K1628,K1630,K1632)</f>
        <v>66660.169662569999</v>
      </c>
      <c r="K1599">
        <f>I1599*J1599</f>
        <v>66660.169662569999</v>
      </c>
      <c r="L1599">
        <f>100*(1-(M1599/K1599))</f>
        <v>40</v>
      </c>
      <c r="M1599">
        <f>I1599*SUM(M1600,M1602,M1604,M1606,M1608,M1610,M1612,M1614,M1616,M1618,M1620,M1622,M1624,M1626,M1628,M1630,M1632)</f>
        <v>39996.101797541996</v>
      </c>
      <c r="N1599" s="90">
        <v>1599</v>
      </c>
      <c r="O1599" s="90" t="s">
        <v>3841</v>
      </c>
      <c r="R1599" s="90" t="s">
        <v>6417</v>
      </c>
      <c r="S1599" s="90" t="s">
        <v>6720</v>
      </c>
      <c r="T1599" s="90" t="s">
        <v>6865</v>
      </c>
      <c r="U1599" s="90" t="s">
        <v>6569</v>
      </c>
    </row>
    <row r="1600" spans="1:21" x14ac:dyDescent="0.25">
      <c r="A1600" s="90" t="s">
        <v>3842</v>
      </c>
      <c r="B1600" s="119">
        <v>4</v>
      </c>
      <c r="C1600" s="90" t="s">
        <v>3839</v>
      </c>
      <c r="D1600" s="90" t="s">
        <v>78</v>
      </c>
      <c r="E1600">
        <v>3193</v>
      </c>
      <c r="F1600">
        <v>3196</v>
      </c>
      <c r="G1600" s="93" t="s">
        <v>68</v>
      </c>
      <c r="H1600" t="s">
        <v>1235</v>
      </c>
      <c r="I1600">
        <v>1</v>
      </c>
      <c r="J1600">
        <f>SUM(K1601)</f>
        <v>37.44</v>
      </c>
      <c r="K1600">
        <f>I1600*J1600</f>
        <v>37.44</v>
      </c>
      <c r="L1600">
        <f>100*(1-(M1600/K1600))</f>
        <v>40</v>
      </c>
      <c r="M1600">
        <f>I1600*SUM(M1601)</f>
        <v>22.463999999999999</v>
      </c>
      <c r="N1600" s="90">
        <v>1600</v>
      </c>
      <c r="O1600" s="90" t="s">
        <v>3843</v>
      </c>
      <c r="R1600" s="90" t="s">
        <v>4599</v>
      </c>
      <c r="S1600" s="90" t="s">
        <v>5663</v>
      </c>
      <c r="T1600" s="90" t="s">
        <v>6161</v>
      </c>
      <c r="U1600" s="90" t="s">
        <v>5139</v>
      </c>
    </row>
    <row r="1601" spans="1:21" x14ac:dyDescent="0.25">
      <c r="A1601" s="90" t="s">
        <v>3844</v>
      </c>
      <c r="B1601" s="119">
        <v>5</v>
      </c>
      <c r="C1601" s="90" t="s">
        <v>3842</v>
      </c>
      <c r="D1601" s="90" t="s">
        <v>78</v>
      </c>
      <c r="E1601">
        <v>3194</v>
      </c>
      <c r="F1601">
        <v>3195</v>
      </c>
      <c r="G1601" s="93" t="s">
        <v>78</v>
      </c>
      <c r="H1601" t="s">
        <v>1235</v>
      </c>
      <c r="I1601">
        <v>1</v>
      </c>
      <c r="J1601">
        <v>37.44</v>
      </c>
      <c r="K1601">
        <f>I1601*J1601</f>
        <v>37.44</v>
      </c>
      <c r="L1601">
        <v>40</v>
      </c>
      <c r="M1601">
        <f>(1-(L1601/100))*K1601</f>
        <v>22.463999999999999</v>
      </c>
      <c r="N1601" s="90">
        <v>1601</v>
      </c>
      <c r="O1601" s="90" t="s">
        <v>3845</v>
      </c>
    </row>
    <row r="1602" spans="1:21" x14ac:dyDescent="0.25">
      <c r="A1602" s="90" t="s">
        <v>3846</v>
      </c>
      <c r="B1602" s="119">
        <v>4</v>
      </c>
      <c r="C1602" s="90" t="s">
        <v>3839</v>
      </c>
      <c r="D1602" s="90" t="s">
        <v>79</v>
      </c>
      <c r="E1602">
        <v>3197</v>
      </c>
      <c r="F1602">
        <v>3200</v>
      </c>
      <c r="G1602" s="93" t="s">
        <v>68</v>
      </c>
      <c r="H1602" t="s">
        <v>1240</v>
      </c>
      <c r="I1602">
        <v>2</v>
      </c>
      <c r="J1602">
        <f>SUM(K1603)</f>
        <v>700.36928562000003</v>
      </c>
      <c r="K1602">
        <f>I1602*J1602</f>
        <v>1400.7385712400001</v>
      </c>
      <c r="L1602">
        <f>100*(1-(M1602/K1602))</f>
        <v>40</v>
      </c>
      <c r="M1602">
        <f>I1602*SUM(M1603)</f>
        <v>840.44314274400006</v>
      </c>
      <c r="N1602" s="90">
        <v>1602</v>
      </c>
      <c r="O1602" s="90" t="s">
        <v>3847</v>
      </c>
      <c r="R1602" s="90" t="s">
        <v>4608</v>
      </c>
      <c r="S1602" s="90" t="s">
        <v>5672</v>
      </c>
      <c r="T1602" s="90" t="s">
        <v>6170</v>
      </c>
      <c r="U1602" s="90" t="s">
        <v>5148</v>
      </c>
    </row>
    <row r="1603" spans="1:21" x14ac:dyDescent="0.25">
      <c r="A1603" s="90" t="s">
        <v>3848</v>
      </c>
      <c r="B1603" s="119">
        <v>5</v>
      </c>
      <c r="C1603" s="90" t="s">
        <v>3846</v>
      </c>
      <c r="D1603" s="90" t="s">
        <v>78</v>
      </c>
      <c r="E1603">
        <v>3198</v>
      </c>
      <c r="F1603">
        <v>3199</v>
      </c>
      <c r="G1603" s="93" t="s">
        <v>78</v>
      </c>
      <c r="H1603" t="s">
        <v>1243</v>
      </c>
      <c r="I1603">
        <v>1</v>
      </c>
      <c r="J1603">
        <v>700.36928562000003</v>
      </c>
      <c r="K1603">
        <f>I1603*J1603</f>
        <v>700.36928562000003</v>
      </c>
      <c r="L1603">
        <v>40</v>
      </c>
      <c r="M1603">
        <f>(1-(L1603/100))*K1603</f>
        <v>420.22157137200003</v>
      </c>
      <c r="N1603" s="90">
        <v>1603</v>
      </c>
      <c r="O1603" s="90" t="s">
        <v>3849</v>
      </c>
    </row>
    <row r="1604" spans="1:21" x14ac:dyDescent="0.25">
      <c r="A1604" s="90" t="s">
        <v>3850</v>
      </c>
      <c r="B1604" s="119">
        <v>4</v>
      </c>
      <c r="C1604" s="90" t="s">
        <v>3839</v>
      </c>
      <c r="D1604" s="90" t="s">
        <v>80</v>
      </c>
      <c r="E1604">
        <v>3201</v>
      </c>
      <c r="F1604">
        <v>3204</v>
      </c>
      <c r="G1604" s="93" t="s">
        <v>68</v>
      </c>
      <c r="H1604" t="s">
        <v>1246</v>
      </c>
      <c r="I1604">
        <v>6</v>
      </c>
      <c r="J1604">
        <f>SUM(K1605)</f>
        <v>967.93582071000003</v>
      </c>
      <c r="K1604">
        <f>I1604*J1604</f>
        <v>5807.6149242600004</v>
      </c>
      <c r="L1604">
        <f>100*(1-(M1604/K1604))</f>
        <v>40</v>
      </c>
      <c r="M1604">
        <f>I1604*SUM(M1605)</f>
        <v>3484.5689545559999</v>
      </c>
      <c r="N1604" s="90">
        <v>1604</v>
      </c>
      <c r="O1604" s="90" t="s">
        <v>3851</v>
      </c>
      <c r="R1604" s="90" t="s">
        <v>4609</v>
      </c>
      <c r="S1604" s="90" t="s">
        <v>5673</v>
      </c>
      <c r="T1604" s="90" t="s">
        <v>6171</v>
      </c>
      <c r="U1604" s="90" t="s">
        <v>5149</v>
      </c>
    </row>
    <row r="1605" spans="1:21" x14ac:dyDescent="0.25">
      <c r="A1605" s="90" t="s">
        <v>3852</v>
      </c>
      <c r="B1605" s="119">
        <v>5</v>
      </c>
      <c r="C1605" s="90" t="s">
        <v>3850</v>
      </c>
      <c r="D1605" s="90" t="s">
        <v>78</v>
      </c>
      <c r="E1605">
        <v>3202</v>
      </c>
      <c r="F1605">
        <v>3203</v>
      </c>
      <c r="G1605" s="93" t="s">
        <v>78</v>
      </c>
      <c r="H1605" t="s">
        <v>120</v>
      </c>
      <c r="I1605">
        <v>1</v>
      </c>
      <c r="J1605">
        <v>967.93582071000003</v>
      </c>
      <c r="K1605">
        <f>I1605*J1605</f>
        <v>967.93582071000003</v>
      </c>
      <c r="L1605">
        <v>40</v>
      </c>
      <c r="M1605">
        <f>(1-(L1605/100))*K1605</f>
        <v>580.76149242600002</v>
      </c>
      <c r="N1605" s="90">
        <v>1605</v>
      </c>
      <c r="O1605" s="90" t="s">
        <v>3853</v>
      </c>
    </row>
    <row r="1606" spans="1:21" x14ac:dyDescent="0.25">
      <c r="A1606" s="90" t="s">
        <v>3854</v>
      </c>
      <c r="B1606" s="119">
        <v>4</v>
      </c>
      <c r="C1606" s="90" t="s">
        <v>3839</v>
      </c>
      <c r="D1606" s="90" t="s">
        <v>95</v>
      </c>
      <c r="E1606">
        <v>3205</v>
      </c>
      <c r="F1606">
        <v>3208</v>
      </c>
      <c r="G1606" s="93" t="s">
        <v>68</v>
      </c>
      <c r="H1606" t="s">
        <v>1251</v>
      </c>
      <c r="I1606">
        <v>2</v>
      </c>
      <c r="J1606">
        <f>SUM(K1607)</f>
        <v>967.93582071000003</v>
      </c>
      <c r="K1606">
        <f>I1606*J1606</f>
        <v>1935.8716414200001</v>
      </c>
      <c r="L1606">
        <f>100*(1-(M1606/K1606))</f>
        <v>40</v>
      </c>
      <c r="M1606">
        <f>I1606*SUM(M1607)</f>
        <v>1161.522984852</v>
      </c>
      <c r="N1606" s="90">
        <v>1606</v>
      </c>
      <c r="O1606" s="90" t="s">
        <v>3855</v>
      </c>
      <c r="R1606" s="90" t="s">
        <v>4610</v>
      </c>
      <c r="S1606" s="90" t="s">
        <v>5674</v>
      </c>
      <c r="T1606" s="90" t="s">
        <v>6172</v>
      </c>
      <c r="U1606" s="90" t="s">
        <v>5150</v>
      </c>
    </row>
    <row r="1607" spans="1:21" x14ac:dyDescent="0.25">
      <c r="A1607" s="90" t="s">
        <v>3856</v>
      </c>
      <c r="B1607" s="119">
        <v>5</v>
      </c>
      <c r="C1607" s="90" t="s">
        <v>3854</v>
      </c>
      <c r="D1607" s="90" t="s">
        <v>78</v>
      </c>
      <c r="E1607">
        <v>3206</v>
      </c>
      <c r="F1607">
        <v>3207</v>
      </c>
      <c r="G1607" s="93" t="s">
        <v>78</v>
      </c>
      <c r="H1607" t="s">
        <v>125</v>
      </c>
      <c r="I1607">
        <v>1</v>
      </c>
      <c r="J1607">
        <v>967.93582071000003</v>
      </c>
      <c r="K1607">
        <f>I1607*J1607</f>
        <v>967.93582071000003</v>
      </c>
      <c r="L1607">
        <v>40</v>
      </c>
      <c r="M1607">
        <f>(1-(L1607/100))*K1607</f>
        <v>580.76149242600002</v>
      </c>
      <c r="N1607" s="90">
        <v>1607</v>
      </c>
      <c r="O1607" s="90" t="s">
        <v>3857</v>
      </c>
    </row>
    <row r="1608" spans="1:21" x14ac:dyDescent="0.25">
      <c r="A1608" s="90" t="s">
        <v>3858</v>
      </c>
      <c r="B1608" s="119">
        <v>4</v>
      </c>
      <c r="C1608" s="90" t="s">
        <v>3839</v>
      </c>
      <c r="D1608" s="90" t="s">
        <v>96</v>
      </c>
      <c r="E1608">
        <v>3209</v>
      </c>
      <c r="F1608">
        <v>3212</v>
      </c>
      <c r="G1608" s="93" t="s">
        <v>68</v>
      </c>
      <c r="H1608" t="s">
        <v>2546</v>
      </c>
      <c r="I1608">
        <v>1</v>
      </c>
      <c r="J1608">
        <f>SUM(K1609)</f>
        <v>20.059999999999999</v>
      </c>
      <c r="K1608">
        <f>I1608*J1608</f>
        <v>20.059999999999999</v>
      </c>
      <c r="L1608">
        <f>100*(1-(M1608/K1608))</f>
        <v>40</v>
      </c>
      <c r="M1608">
        <f>I1608*SUM(M1609)</f>
        <v>12.036</v>
      </c>
      <c r="N1608" s="90">
        <v>1608</v>
      </c>
      <c r="O1608" s="90" t="s">
        <v>3859</v>
      </c>
      <c r="R1608" s="90" t="s">
        <v>4611</v>
      </c>
      <c r="S1608" s="90" t="s">
        <v>5675</v>
      </c>
      <c r="T1608" s="90" t="s">
        <v>6173</v>
      </c>
      <c r="U1608" s="90" t="s">
        <v>5151</v>
      </c>
    </row>
    <row r="1609" spans="1:21" x14ac:dyDescent="0.25">
      <c r="A1609" s="90" t="s">
        <v>3860</v>
      </c>
      <c r="B1609" s="119">
        <v>5</v>
      </c>
      <c r="C1609" s="90" t="s">
        <v>3858</v>
      </c>
      <c r="D1609" s="90" t="s">
        <v>78</v>
      </c>
      <c r="E1609">
        <v>3210</v>
      </c>
      <c r="F1609">
        <v>3211</v>
      </c>
      <c r="G1609" s="93" t="s">
        <v>78</v>
      </c>
      <c r="H1609" t="s">
        <v>2546</v>
      </c>
      <c r="I1609">
        <v>1</v>
      </c>
      <c r="J1609">
        <v>20.059999999999999</v>
      </c>
      <c r="K1609">
        <f>I1609*J1609</f>
        <v>20.059999999999999</v>
      </c>
      <c r="L1609">
        <v>40</v>
      </c>
      <c r="M1609">
        <f>(1-(L1609/100))*K1609</f>
        <v>12.036</v>
      </c>
      <c r="N1609" s="90">
        <v>1609</v>
      </c>
      <c r="O1609" s="90" t="s">
        <v>3861</v>
      </c>
    </row>
    <row r="1610" spans="1:21" x14ac:dyDescent="0.25">
      <c r="A1610" s="90" t="s">
        <v>3862</v>
      </c>
      <c r="B1610" s="119">
        <v>4</v>
      </c>
      <c r="C1610" s="90" t="s">
        <v>3839</v>
      </c>
      <c r="D1610" s="90" t="s">
        <v>103</v>
      </c>
      <c r="E1610">
        <v>3213</v>
      </c>
      <c r="F1610">
        <v>3216</v>
      </c>
      <c r="G1610" s="93" t="s">
        <v>68</v>
      </c>
      <c r="H1610" t="s">
        <v>2551</v>
      </c>
      <c r="I1610">
        <v>1</v>
      </c>
      <c r="J1610">
        <f>SUM(K1611)</f>
        <v>40.11</v>
      </c>
      <c r="K1610">
        <f>I1610*J1610</f>
        <v>40.11</v>
      </c>
      <c r="L1610">
        <f>100*(1-(M1610/K1610))</f>
        <v>40</v>
      </c>
      <c r="M1610">
        <f>I1610*SUM(M1611)</f>
        <v>24.065999999999999</v>
      </c>
      <c r="N1610" s="90">
        <v>1610</v>
      </c>
      <c r="O1610" s="90" t="s">
        <v>3863</v>
      </c>
      <c r="R1610" s="90" t="s">
        <v>4612</v>
      </c>
      <c r="S1610" s="90" t="s">
        <v>5676</v>
      </c>
      <c r="T1610" s="90" t="s">
        <v>6174</v>
      </c>
      <c r="U1610" s="90" t="s">
        <v>5152</v>
      </c>
    </row>
    <row r="1611" spans="1:21" x14ac:dyDescent="0.25">
      <c r="A1611" s="90" t="s">
        <v>3864</v>
      </c>
      <c r="B1611" s="119">
        <v>5</v>
      </c>
      <c r="C1611" s="90" t="s">
        <v>3862</v>
      </c>
      <c r="D1611" s="90" t="s">
        <v>78</v>
      </c>
      <c r="E1611">
        <v>3214</v>
      </c>
      <c r="F1611">
        <v>3215</v>
      </c>
      <c r="G1611" s="93" t="s">
        <v>78</v>
      </c>
      <c r="H1611" t="s">
        <v>2551</v>
      </c>
      <c r="I1611">
        <v>1</v>
      </c>
      <c r="J1611">
        <v>40.11</v>
      </c>
      <c r="K1611">
        <f>I1611*J1611</f>
        <v>40.11</v>
      </c>
      <c r="L1611">
        <v>40</v>
      </c>
      <c r="M1611">
        <f>(1-(L1611/100))*K1611</f>
        <v>24.065999999999999</v>
      </c>
      <c r="N1611" s="90">
        <v>1611</v>
      </c>
      <c r="O1611" s="90" t="s">
        <v>3865</v>
      </c>
    </row>
    <row r="1612" spans="1:21" x14ac:dyDescent="0.25">
      <c r="A1612" s="90" t="s">
        <v>3866</v>
      </c>
      <c r="B1612" s="119">
        <v>4</v>
      </c>
      <c r="C1612" s="90" t="s">
        <v>3839</v>
      </c>
      <c r="D1612" s="90" t="s">
        <v>796</v>
      </c>
      <c r="E1612">
        <v>3217</v>
      </c>
      <c r="F1612">
        <v>3220</v>
      </c>
      <c r="G1612" s="93" t="s">
        <v>68</v>
      </c>
      <c r="H1612" t="s">
        <v>1261</v>
      </c>
      <c r="I1612">
        <v>2</v>
      </c>
      <c r="J1612">
        <f>SUM(K1613)</f>
        <v>10160.44823634</v>
      </c>
      <c r="K1612">
        <f>I1612*J1612</f>
        <v>20320.89647268</v>
      </c>
      <c r="L1612">
        <f>100*(1-(M1612/K1612))</f>
        <v>40</v>
      </c>
      <c r="M1612">
        <f>I1612*SUM(M1613)</f>
        <v>12192.537883608</v>
      </c>
      <c r="N1612" s="90">
        <v>1612</v>
      </c>
      <c r="O1612" s="90" t="s">
        <v>3867</v>
      </c>
      <c r="R1612" s="90" t="s">
        <v>4613</v>
      </c>
      <c r="S1612" s="90" t="s">
        <v>5677</v>
      </c>
      <c r="T1612" s="90" t="s">
        <v>6175</v>
      </c>
      <c r="U1612" s="90" t="s">
        <v>5153</v>
      </c>
    </row>
    <row r="1613" spans="1:21" x14ac:dyDescent="0.25">
      <c r="A1613" s="90" t="s">
        <v>3868</v>
      </c>
      <c r="B1613" s="119">
        <v>5</v>
      </c>
      <c r="C1613" s="90" t="s">
        <v>3866</v>
      </c>
      <c r="D1613" s="90" t="s">
        <v>78</v>
      </c>
      <c r="E1613">
        <v>3218</v>
      </c>
      <c r="F1613">
        <v>3219</v>
      </c>
      <c r="G1613" s="93" t="s">
        <v>78</v>
      </c>
      <c r="H1613" t="s">
        <v>1261</v>
      </c>
      <c r="I1613">
        <v>1</v>
      </c>
      <c r="J1613">
        <v>10160.44823634</v>
      </c>
      <c r="K1613">
        <f>I1613*J1613</f>
        <v>10160.44823634</v>
      </c>
      <c r="L1613">
        <v>40</v>
      </c>
      <c r="M1613">
        <f>(1-(L1613/100))*K1613</f>
        <v>6096.268941804</v>
      </c>
      <c r="N1613" s="90">
        <v>1613</v>
      </c>
      <c r="O1613" s="90" t="s">
        <v>3869</v>
      </c>
    </row>
    <row r="1614" spans="1:21" x14ac:dyDescent="0.25">
      <c r="A1614" s="90" t="s">
        <v>3870</v>
      </c>
      <c r="B1614" s="119">
        <v>4</v>
      </c>
      <c r="C1614" s="90" t="s">
        <v>3839</v>
      </c>
      <c r="D1614" s="90" t="s">
        <v>797</v>
      </c>
      <c r="E1614">
        <v>3221</v>
      </c>
      <c r="F1614">
        <v>3224</v>
      </c>
      <c r="G1614" s="93" t="s">
        <v>68</v>
      </c>
      <c r="H1614" t="s">
        <v>1266</v>
      </c>
      <c r="I1614">
        <v>1</v>
      </c>
      <c r="J1614">
        <f>SUM(K1615)</f>
        <v>9312.3647013900008</v>
      </c>
      <c r="K1614">
        <f>I1614*J1614</f>
        <v>9312.3647013900008</v>
      </c>
      <c r="L1614">
        <f>100*(1-(M1614/K1614))</f>
        <v>40</v>
      </c>
      <c r="M1614">
        <f>I1614*SUM(M1615)</f>
        <v>5587.4188208340001</v>
      </c>
      <c r="N1614" s="90">
        <v>1614</v>
      </c>
      <c r="O1614" s="90" t="s">
        <v>3871</v>
      </c>
      <c r="R1614" s="90" t="s">
        <v>4614</v>
      </c>
      <c r="S1614" s="90" t="s">
        <v>5678</v>
      </c>
      <c r="T1614" s="90" t="s">
        <v>6176</v>
      </c>
      <c r="U1614" s="90" t="s">
        <v>5154</v>
      </c>
    </row>
    <row r="1615" spans="1:21" x14ac:dyDescent="0.25">
      <c r="A1615" s="90" t="s">
        <v>3872</v>
      </c>
      <c r="B1615" s="119">
        <v>5</v>
      </c>
      <c r="C1615" s="90" t="s">
        <v>3870</v>
      </c>
      <c r="D1615" s="90" t="s">
        <v>78</v>
      </c>
      <c r="E1615">
        <v>3222</v>
      </c>
      <c r="F1615">
        <v>3223</v>
      </c>
      <c r="G1615" s="93" t="s">
        <v>78</v>
      </c>
      <c r="H1615" t="s">
        <v>1269</v>
      </c>
      <c r="I1615">
        <v>1</v>
      </c>
      <c r="J1615">
        <v>9312.3647013900008</v>
      </c>
      <c r="K1615">
        <f>I1615*J1615</f>
        <v>9312.3647013900008</v>
      </c>
      <c r="L1615">
        <v>40</v>
      </c>
      <c r="M1615">
        <f>(1-(L1615/100))*K1615</f>
        <v>5587.4188208340001</v>
      </c>
      <c r="N1615" s="90">
        <v>1615</v>
      </c>
      <c r="O1615" s="90" t="s">
        <v>3873</v>
      </c>
    </row>
    <row r="1616" spans="1:21" x14ac:dyDescent="0.25">
      <c r="A1616" s="90" t="s">
        <v>3874</v>
      </c>
      <c r="B1616" s="119">
        <v>4</v>
      </c>
      <c r="C1616" s="90" t="s">
        <v>3839</v>
      </c>
      <c r="D1616" s="90" t="s">
        <v>798</v>
      </c>
      <c r="E1616">
        <v>3225</v>
      </c>
      <c r="F1616">
        <v>3228</v>
      </c>
      <c r="G1616" s="93" t="s">
        <v>68</v>
      </c>
      <c r="H1616" t="s">
        <v>1638</v>
      </c>
      <c r="I1616">
        <v>1</v>
      </c>
      <c r="J1616">
        <f>SUM(K1617)</f>
        <v>1980.13</v>
      </c>
      <c r="K1616">
        <f>I1616*J1616</f>
        <v>1980.13</v>
      </c>
      <c r="L1616">
        <f>100*(1-(M1616/K1616))</f>
        <v>40</v>
      </c>
      <c r="M1616">
        <f>I1616*SUM(M1617)</f>
        <v>1188.078</v>
      </c>
      <c r="N1616" s="90">
        <v>1616</v>
      </c>
      <c r="O1616" s="90" t="s">
        <v>3875</v>
      </c>
      <c r="R1616" s="90" t="s">
        <v>4615</v>
      </c>
      <c r="S1616" s="90" t="s">
        <v>5679</v>
      </c>
      <c r="T1616" s="90" t="s">
        <v>6177</v>
      </c>
      <c r="U1616" s="90" t="s">
        <v>5155</v>
      </c>
    </row>
    <row r="1617" spans="1:21" x14ac:dyDescent="0.25">
      <c r="A1617" s="90" t="s">
        <v>3876</v>
      </c>
      <c r="B1617" s="119">
        <v>5</v>
      </c>
      <c r="C1617" s="90" t="s">
        <v>3874</v>
      </c>
      <c r="D1617" s="90" t="s">
        <v>78</v>
      </c>
      <c r="E1617">
        <v>3226</v>
      </c>
      <c r="F1617">
        <v>3227</v>
      </c>
      <c r="G1617" s="93" t="s">
        <v>78</v>
      </c>
      <c r="H1617" t="s">
        <v>1638</v>
      </c>
      <c r="I1617">
        <v>1</v>
      </c>
      <c r="J1617">
        <v>1980.13</v>
      </c>
      <c r="K1617">
        <f>I1617*J1617</f>
        <v>1980.13</v>
      </c>
      <c r="L1617">
        <v>40</v>
      </c>
      <c r="M1617">
        <f>(1-(L1617/100))*K1617</f>
        <v>1188.078</v>
      </c>
      <c r="N1617" s="90">
        <v>1617</v>
      </c>
      <c r="O1617" s="90" t="s">
        <v>3877</v>
      </c>
    </row>
    <row r="1618" spans="1:21" x14ac:dyDescent="0.25">
      <c r="A1618" s="90" t="s">
        <v>3878</v>
      </c>
      <c r="B1618" s="119">
        <v>4</v>
      </c>
      <c r="C1618" s="90" t="s">
        <v>3839</v>
      </c>
      <c r="D1618" s="90" t="s">
        <v>799</v>
      </c>
      <c r="E1618">
        <v>3229</v>
      </c>
      <c r="F1618">
        <v>3232</v>
      </c>
      <c r="G1618" s="93" t="s">
        <v>68</v>
      </c>
      <c r="H1618" t="s">
        <v>1272</v>
      </c>
      <c r="I1618">
        <v>4</v>
      </c>
      <c r="J1618">
        <f>SUM(K1619)</f>
        <v>1308.5572392700001</v>
      </c>
      <c r="K1618">
        <f>I1618*J1618</f>
        <v>5234.2289570800003</v>
      </c>
      <c r="L1618">
        <f>100*(1-(M1618/K1618))</f>
        <v>40</v>
      </c>
      <c r="M1618">
        <f>I1618*SUM(M1619)</f>
        <v>3140.5373742480001</v>
      </c>
      <c r="N1618" s="90">
        <v>1618</v>
      </c>
      <c r="O1618" s="90" t="s">
        <v>3879</v>
      </c>
      <c r="R1618" s="90" t="s">
        <v>4600</v>
      </c>
      <c r="S1618" s="90" t="s">
        <v>5664</v>
      </c>
      <c r="T1618" s="90" t="s">
        <v>6162</v>
      </c>
      <c r="U1618" s="90" t="s">
        <v>5140</v>
      </c>
    </row>
    <row r="1619" spans="1:21" x14ac:dyDescent="0.25">
      <c r="A1619" s="90" t="s">
        <v>3880</v>
      </c>
      <c r="B1619" s="119">
        <v>5</v>
      </c>
      <c r="C1619" s="90" t="s">
        <v>3878</v>
      </c>
      <c r="D1619" s="90" t="s">
        <v>78</v>
      </c>
      <c r="E1619">
        <v>3230</v>
      </c>
      <c r="F1619">
        <v>3231</v>
      </c>
      <c r="G1619" s="93" t="s">
        <v>78</v>
      </c>
      <c r="H1619" t="s">
        <v>1272</v>
      </c>
      <c r="I1619">
        <v>1</v>
      </c>
      <c r="J1619">
        <v>1308.5572392700001</v>
      </c>
      <c r="K1619">
        <f>I1619*J1619</f>
        <v>1308.5572392700001</v>
      </c>
      <c r="L1619">
        <v>40</v>
      </c>
      <c r="M1619">
        <f>(1-(L1619/100))*K1619</f>
        <v>785.13434356200003</v>
      </c>
      <c r="N1619" s="90">
        <v>1619</v>
      </c>
      <c r="O1619" s="90" t="s">
        <v>3881</v>
      </c>
    </row>
    <row r="1620" spans="1:21" x14ac:dyDescent="0.25">
      <c r="A1620" s="90" t="s">
        <v>3882</v>
      </c>
      <c r="B1620" s="119">
        <v>4</v>
      </c>
      <c r="C1620" s="90" t="s">
        <v>3839</v>
      </c>
      <c r="D1620" s="90" t="s">
        <v>97</v>
      </c>
      <c r="E1620">
        <v>3233</v>
      </c>
      <c r="F1620">
        <v>3236</v>
      </c>
      <c r="G1620" s="93" t="s">
        <v>68</v>
      </c>
      <c r="H1620" t="s">
        <v>1485</v>
      </c>
      <c r="I1620">
        <v>5</v>
      </c>
      <c r="J1620">
        <f>SUM(K1621)</f>
        <v>452</v>
      </c>
      <c r="K1620">
        <f>I1620*J1620</f>
        <v>2260</v>
      </c>
      <c r="L1620">
        <f>100*(1-(M1620/K1620))</f>
        <v>40</v>
      </c>
      <c r="M1620">
        <f>I1620*SUM(M1621)</f>
        <v>1356</v>
      </c>
      <c r="N1620" s="90">
        <v>1620</v>
      </c>
      <c r="O1620" s="90" t="s">
        <v>3883</v>
      </c>
      <c r="R1620" s="90" t="s">
        <v>4601</v>
      </c>
      <c r="S1620" s="90" t="s">
        <v>5665</v>
      </c>
      <c r="T1620" s="90" t="s">
        <v>6163</v>
      </c>
      <c r="U1620" s="90" t="s">
        <v>5141</v>
      </c>
    </row>
    <row r="1621" spans="1:21" x14ac:dyDescent="0.25">
      <c r="A1621" s="90" t="s">
        <v>3884</v>
      </c>
      <c r="B1621" s="119">
        <v>5</v>
      </c>
      <c r="C1621" s="90" t="s">
        <v>3882</v>
      </c>
      <c r="D1621" s="90" t="s">
        <v>78</v>
      </c>
      <c r="E1621">
        <v>3234</v>
      </c>
      <c r="F1621">
        <v>3235</v>
      </c>
      <c r="G1621" s="93" t="s">
        <v>78</v>
      </c>
      <c r="H1621" t="s">
        <v>1488</v>
      </c>
      <c r="I1621">
        <v>1</v>
      </c>
      <c r="J1621">
        <v>452</v>
      </c>
      <c r="K1621">
        <f>I1621*J1621</f>
        <v>452</v>
      </c>
      <c r="L1621">
        <v>40</v>
      </c>
      <c r="M1621">
        <f>(1-(L1621/100))*K1621</f>
        <v>271.2</v>
      </c>
      <c r="N1621" s="90">
        <v>1621</v>
      </c>
      <c r="O1621" s="90" t="s">
        <v>3885</v>
      </c>
    </row>
    <row r="1622" spans="1:21" x14ac:dyDescent="0.25">
      <c r="A1622" s="90" t="s">
        <v>3886</v>
      </c>
      <c r="B1622" s="119">
        <v>4</v>
      </c>
      <c r="C1622" s="90" t="s">
        <v>3839</v>
      </c>
      <c r="D1622" s="90" t="s">
        <v>98</v>
      </c>
      <c r="E1622">
        <v>3237</v>
      </c>
      <c r="F1622">
        <v>3240</v>
      </c>
      <c r="G1622" s="93" t="s">
        <v>68</v>
      </c>
      <c r="H1622" t="s">
        <v>145</v>
      </c>
      <c r="I1622">
        <v>4</v>
      </c>
      <c r="J1622">
        <f>SUM(K1623)</f>
        <v>28.6</v>
      </c>
      <c r="K1622">
        <f>I1622*J1622</f>
        <v>114.4</v>
      </c>
      <c r="L1622">
        <f>100*(1-(M1622/K1622))</f>
        <v>40</v>
      </c>
      <c r="M1622">
        <f>I1622*SUM(M1623)</f>
        <v>68.64</v>
      </c>
      <c r="N1622" s="90">
        <v>1622</v>
      </c>
      <c r="O1622" s="90" t="s">
        <v>3887</v>
      </c>
      <c r="R1622" s="90" t="s">
        <v>4602</v>
      </c>
      <c r="S1622" s="90" t="s">
        <v>5666</v>
      </c>
      <c r="T1622" s="90" t="s">
        <v>6164</v>
      </c>
      <c r="U1622" s="90" t="s">
        <v>5142</v>
      </c>
    </row>
    <row r="1623" spans="1:21" x14ac:dyDescent="0.25">
      <c r="A1623" s="90" t="s">
        <v>3888</v>
      </c>
      <c r="B1623" s="119">
        <v>5</v>
      </c>
      <c r="C1623" s="90" t="s">
        <v>3886</v>
      </c>
      <c r="D1623" s="90" t="s">
        <v>78</v>
      </c>
      <c r="E1623">
        <v>3238</v>
      </c>
      <c r="F1623">
        <v>3239</v>
      </c>
      <c r="G1623" s="93" t="s">
        <v>78</v>
      </c>
      <c r="H1623" t="s">
        <v>145</v>
      </c>
      <c r="I1623">
        <v>1</v>
      </c>
      <c r="J1623">
        <v>28.6</v>
      </c>
      <c r="K1623">
        <f>I1623*J1623</f>
        <v>28.6</v>
      </c>
      <c r="L1623">
        <v>40</v>
      </c>
      <c r="M1623">
        <f>(1-(L1623/100))*K1623</f>
        <v>17.16</v>
      </c>
      <c r="N1623" s="90">
        <v>1623</v>
      </c>
      <c r="O1623" s="90" t="s">
        <v>3889</v>
      </c>
    </row>
    <row r="1624" spans="1:21" x14ac:dyDescent="0.25">
      <c r="A1624" s="90" t="s">
        <v>3890</v>
      </c>
      <c r="B1624" s="119">
        <v>4</v>
      </c>
      <c r="C1624" s="90" t="s">
        <v>3839</v>
      </c>
      <c r="D1624" s="90" t="s">
        <v>99</v>
      </c>
      <c r="E1624">
        <v>3241</v>
      </c>
      <c r="F1624">
        <v>3244</v>
      </c>
      <c r="G1624" s="93" t="s">
        <v>68</v>
      </c>
      <c r="H1624" t="s">
        <v>2584</v>
      </c>
      <c r="I1624">
        <v>2</v>
      </c>
      <c r="J1624">
        <f>SUM(K1625)</f>
        <v>1107.3</v>
      </c>
      <c r="K1624">
        <f>I1624*J1624</f>
        <v>2214.6</v>
      </c>
      <c r="L1624">
        <f>100*(1-(M1624/K1624))</f>
        <v>40</v>
      </c>
      <c r="M1624">
        <f>I1624*SUM(M1625)</f>
        <v>1328.76</v>
      </c>
      <c r="N1624" s="90">
        <v>1624</v>
      </c>
      <c r="O1624" s="90" t="s">
        <v>3891</v>
      </c>
      <c r="R1624" s="90" t="s">
        <v>4603</v>
      </c>
      <c r="S1624" s="90" t="s">
        <v>5667</v>
      </c>
      <c r="T1624" s="90" t="s">
        <v>6165</v>
      </c>
      <c r="U1624" s="90" t="s">
        <v>5143</v>
      </c>
    </row>
    <row r="1625" spans="1:21" x14ac:dyDescent="0.25">
      <c r="A1625" s="90" t="s">
        <v>3892</v>
      </c>
      <c r="B1625" s="119">
        <v>5</v>
      </c>
      <c r="C1625" s="90" t="s">
        <v>3890</v>
      </c>
      <c r="D1625" s="90" t="s">
        <v>78</v>
      </c>
      <c r="E1625">
        <v>3242</v>
      </c>
      <c r="F1625">
        <v>3243</v>
      </c>
      <c r="G1625" s="93" t="s">
        <v>78</v>
      </c>
      <c r="H1625" t="s">
        <v>2584</v>
      </c>
      <c r="I1625">
        <v>1</v>
      </c>
      <c r="J1625">
        <v>1107.3</v>
      </c>
      <c r="K1625">
        <f>I1625*J1625</f>
        <v>1107.3</v>
      </c>
      <c r="L1625">
        <v>40</v>
      </c>
      <c r="M1625">
        <f>(1-(L1625/100))*K1625</f>
        <v>664.38</v>
      </c>
      <c r="N1625" s="90">
        <v>1625</v>
      </c>
      <c r="O1625" s="90" t="s">
        <v>3893</v>
      </c>
    </row>
    <row r="1626" spans="1:21" x14ac:dyDescent="0.25">
      <c r="A1626" s="90" t="s">
        <v>3894</v>
      </c>
      <c r="B1626" s="119">
        <v>4</v>
      </c>
      <c r="C1626" s="90" t="s">
        <v>3839</v>
      </c>
      <c r="D1626" s="90" t="s">
        <v>100</v>
      </c>
      <c r="E1626">
        <v>3245</v>
      </c>
      <c r="F1626">
        <v>3248</v>
      </c>
      <c r="G1626" s="93" t="s">
        <v>68</v>
      </c>
      <c r="H1626" t="s">
        <v>1495</v>
      </c>
      <c r="I1626">
        <v>1</v>
      </c>
      <c r="J1626">
        <f>SUM(K1627)</f>
        <v>2358.3343945000001</v>
      </c>
      <c r="K1626">
        <f>I1626*J1626</f>
        <v>2358.3343945000001</v>
      </c>
      <c r="L1626">
        <f>100*(1-(M1626/K1626))</f>
        <v>40</v>
      </c>
      <c r="M1626">
        <f>I1626*SUM(M1627)</f>
        <v>1415.0006367000001</v>
      </c>
      <c r="N1626" s="90">
        <v>1626</v>
      </c>
      <c r="O1626" s="90" t="s">
        <v>3895</v>
      </c>
      <c r="R1626" s="90" t="s">
        <v>4604</v>
      </c>
      <c r="S1626" s="90" t="s">
        <v>5668</v>
      </c>
      <c r="T1626" s="90" t="s">
        <v>6166</v>
      </c>
      <c r="U1626" s="90" t="s">
        <v>5144</v>
      </c>
    </row>
    <row r="1627" spans="1:21" x14ac:dyDescent="0.25">
      <c r="A1627" s="90" t="s">
        <v>3896</v>
      </c>
      <c r="B1627" s="119">
        <v>5</v>
      </c>
      <c r="C1627" s="90" t="s">
        <v>3894</v>
      </c>
      <c r="D1627" s="90" t="s">
        <v>78</v>
      </c>
      <c r="E1627">
        <v>3246</v>
      </c>
      <c r="F1627">
        <v>3247</v>
      </c>
      <c r="G1627" s="93" t="s">
        <v>78</v>
      </c>
      <c r="H1627" t="s">
        <v>1495</v>
      </c>
      <c r="I1627">
        <v>1</v>
      </c>
      <c r="J1627">
        <v>2358.3343945000001</v>
      </c>
      <c r="K1627">
        <f>I1627*J1627</f>
        <v>2358.3343945000001</v>
      </c>
      <c r="L1627">
        <v>40</v>
      </c>
      <c r="M1627">
        <f>(1-(L1627/100))*K1627</f>
        <v>1415.0006367000001</v>
      </c>
      <c r="N1627" s="90">
        <v>1627</v>
      </c>
      <c r="O1627" s="90" t="s">
        <v>3897</v>
      </c>
    </row>
    <row r="1628" spans="1:21" x14ac:dyDescent="0.25">
      <c r="A1628" s="90" t="s">
        <v>3898</v>
      </c>
      <c r="B1628" s="119">
        <v>4</v>
      </c>
      <c r="C1628" s="90" t="s">
        <v>3839</v>
      </c>
      <c r="D1628" s="90" t="s">
        <v>81</v>
      </c>
      <c r="E1628">
        <v>3249</v>
      </c>
      <c r="F1628">
        <v>3252</v>
      </c>
      <c r="G1628" s="93" t="s">
        <v>68</v>
      </c>
      <c r="H1628" t="s">
        <v>143</v>
      </c>
      <c r="I1628">
        <v>2</v>
      </c>
      <c r="J1628">
        <f>SUM(K1629)</f>
        <v>27.17</v>
      </c>
      <c r="K1628">
        <f>I1628*J1628</f>
        <v>54.34</v>
      </c>
      <c r="L1628">
        <f>100*(1-(M1628/K1628))</f>
        <v>40</v>
      </c>
      <c r="M1628">
        <f>I1628*SUM(M1629)</f>
        <v>32.603999999999999</v>
      </c>
      <c r="N1628" s="90">
        <v>1628</v>
      </c>
      <c r="O1628" s="90" t="s">
        <v>3899</v>
      </c>
      <c r="R1628" s="90" t="s">
        <v>4605</v>
      </c>
      <c r="S1628" s="90" t="s">
        <v>5669</v>
      </c>
      <c r="T1628" s="90" t="s">
        <v>6167</v>
      </c>
      <c r="U1628" s="90" t="s">
        <v>5145</v>
      </c>
    </row>
    <row r="1629" spans="1:21" x14ac:dyDescent="0.25">
      <c r="A1629" s="90" t="s">
        <v>3900</v>
      </c>
      <c r="B1629" s="119">
        <v>5</v>
      </c>
      <c r="C1629" s="90" t="s">
        <v>3898</v>
      </c>
      <c r="D1629" s="90" t="s">
        <v>78</v>
      </c>
      <c r="E1629">
        <v>3250</v>
      </c>
      <c r="F1629">
        <v>3251</v>
      </c>
      <c r="G1629" s="93" t="s">
        <v>78</v>
      </c>
      <c r="H1629" t="s">
        <v>143</v>
      </c>
      <c r="I1629">
        <v>1</v>
      </c>
      <c r="J1629">
        <v>27.17</v>
      </c>
      <c r="K1629">
        <f>I1629*J1629</f>
        <v>27.17</v>
      </c>
      <c r="L1629">
        <v>40</v>
      </c>
      <c r="M1629">
        <f>(1-(L1629/100))*K1629</f>
        <v>16.302</v>
      </c>
      <c r="N1629" s="90">
        <v>1629</v>
      </c>
      <c r="O1629" s="90" t="s">
        <v>3901</v>
      </c>
    </row>
    <row r="1630" spans="1:21" x14ac:dyDescent="0.25">
      <c r="A1630" s="90" t="s">
        <v>3902</v>
      </c>
      <c r="B1630" s="119">
        <v>4</v>
      </c>
      <c r="C1630" s="90" t="s">
        <v>3839</v>
      </c>
      <c r="D1630" s="90" t="s">
        <v>83</v>
      </c>
      <c r="E1630">
        <v>3253</v>
      </c>
      <c r="F1630">
        <v>3256</v>
      </c>
      <c r="G1630" s="93" t="s">
        <v>68</v>
      </c>
      <c r="H1630" t="s">
        <v>1504</v>
      </c>
      <c r="I1630">
        <v>2</v>
      </c>
      <c r="J1630">
        <f>SUM(K1631)</f>
        <v>184.52</v>
      </c>
      <c r="K1630">
        <f>I1630*J1630</f>
        <v>369.04</v>
      </c>
      <c r="L1630">
        <f>100*(1-(M1630/K1630))</f>
        <v>40</v>
      </c>
      <c r="M1630">
        <f>I1630*SUM(M1631)</f>
        <v>221.42400000000001</v>
      </c>
      <c r="N1630" s="90">
        <v>1630</v>
      </c>
      <c r="O1630" s="90" t="s">
        <v>3903</v>
      </c>
      <c r="R1630" s="90" t="s">
        <v>4606</v>
      </c>
      <c r="S1630" s="90" t="s">
        <v>5670</v>
      </c>
      <c r="T1630" s="90" t="s">
        <v>6168</v>
      </c>
      <c r="U1630" s="90" t="s">
        <v>5146</v>
      </c>
    </row>
    <row r="1631" spans="1:21" x14ac:dyDescent="0.25">
      <c r="A1631" s="90" t="s">
        <v>3904</v>
      </c>
      <c r="B1631" s="119">
        <v>5</v>
      </c>
      <c r="C1631" s="90" t="s">
        <v>3902</v>
      </c>
      <c r="D1631" s="90" t="s">
        <v>78</v>
      </c>
      <c r="E1631">
        <v>3254</v>
      </c>
      <c r="F1631">
        <v>3255</v>
      </c>
      <c r="G1631" s="93" t="s">
        <v>78</v>
      </c>
      <c r="H1631" t="s">
        <v>1504</v>
      </c>
      <c r="I1631">
        <v>1</v>
      </c>
      <c r="J1631">
        <v>184.52</v>
      </c>
      <c r="K1631">
        <f>I1631*J1631</f>
        <v>184.52</v>
      </c>
      <c r="L1631">
        <v>40</v>
      </c>
      <c r="M1631">
        <f>(1-(L1631/100))*K1631</f>
        <v>110.712</v>
      </c>
      <c r="N1631" s="90">
        <v>1631</v>
      </c>
      <c r="O1631" s="90" t="s">
        <v>3905</v>
      </c>
    </row>
    <row r="1632" spans="1:21" x14ac:dyDescent="0.25">
      <c r="A1632" s="90" t="s">
        <v>3906</v>
      </c>
      <c r="B1632" s="119">
        <v>4</v>
      </c>
      <c r="C1632" s="90" t="s">
        <v>3839</v>
      </c>
      <c r="D1632" s="90" t="s">
        <v>84</v>
      </c>
      <c r="E1632">
        <v>3257</v>
      </c>
      <c r="F1632">
        <v>3260</v>
      </c>
      <c r="G1632" s="93" t="s">
        <v>68</v>
      </c>
      <c r="H1632" t="s">
        <v>1509</v>
      </c>
      <c r="I1632">
        <v>4</v>
      </c>
      <c r="J1632">
        <f>SUM(K1633)</f>
        <v>3300</v>
      </c>
      <c r="K1632">
        <f>I1632*J1632</f>
        <v>13200</v>
      </c>
      <c r="L1632">
        <f>100*(1-(M1632/K1632))</f>
        <v>40</v>
      </c>
      <c r="M1632">
        <f>I1632*SUM(M1633)</f>
        <v>7920</v>
      </c>
      <c r="N1632" s="90">
        <v>1632</v>
      </c>
      <c r="O1632" s="90" t="s">
        <v>3907</v>
      </c>
      <c r="R1632" s="90" t="s">
        <v>4607</v>
      </c>
      <c r="S1632" s="90" t="s">
        <v>5671</v>
      </c>
      <c r="T1632" s="90" t="s">
        <v>6169</v>
      </c>
      <c r="U1632" s="90" t="s">
        <v>5147</v>
      </c>
    </row>
    <row r="1633" spans="1:21" x14ac:dyDescent="0.25">
      <c r="A1633" s="90" t="s">
        <v>3908</v>
      </c>
      <c r="B1633" s="119">
        <v>5</v>
      </c>
      <c r="C1633" s="90" t="s">
        <v>3906</v>
      </c>
      <c r="D1633" s="90" t="s">
        <v>78</v>
      </c>
      <c r="E1633">
        <v>3258</v>
      </c>
      <c r="F1633">
        <v>3259</v>
      </c>
      <c r="G1633" s="93" t="s">
        <v>78</v>
      </c>
      <c r="H1633" t="s">
        <v>1509</v>
      </c>
      <c r="I1633">
        <v>1</v>
      </c>
      <c r="J1633">
        <v>3300</v>
      </c>
      <c r="K1633">
        <f>I1633*J1633</f>
        <v>3300</v>
      </c>
      <c r="L1633">
        <v>40</v>
      </c>
      <c r="M1633">
        <f>(1-(L1633/100))*K1633</f>
        <v>1980</v>
      </c>
      <c r="N1633" s="90">
        <v>1633</v>
      </c>
      <c r="O1633" s="90" t="s">
        <v>3909</v>
      </c>
    </row>
    <row r="1634" spans="1:21" x14ac:dyDescent="0.25">
      <c r="A1634" s="90" t="s">
        <v>3910</v>
      </c>
      <c r="B1634" s="119">
        <v>3</v>
      </c>
      <c r="C1634" s="90" t="s">
        <v>3836</v>
      </c>
      <c r="D1634" s="90" t="s">
        <v>79</v>
      </c>
      <c r="E1634">
        <v>3262</v>
      </c>
      <c r="F1634">
        <v>3271</v>
      </c>
      <c r="G1634" s="93" t="s">
        <v>68</v>
      </c>
      <c r="H1634" t="s">
        <v>3911</v>
      </c>
      <c r="I1634">
        <v>1</v>
      </c>
      <c r="J1634">
        <f>SUM(K1635)</f>
        <v>31854.68</v>
      </c>
      <c r="K1634">
        <f>I1634*J1634</f>
        <v>31854.68</v>
      </c>
      <c r="L1634">
        <f>100*(1-(M1634/K1634))</f>
        <v>40</v>
      </c>
      <c r="M1634">
        <f>I1634*SUM(M1635)</f>
        <v>19112.808000000001</v>
      </c>
      <c r="N1634" s="90">
        <v>1634</v>
      </c>
      <c r="O1634" s="90" t="s">
        <v>3912</v>
      </c>
      <c r="R1634" s="90" t="s">
        <v>6950</v>
      </c>
      <c r="S1634" s="90" t="s">
        <v>7047</v>
      </c>
      <c r="T1634" s="90" t="s">
        <v>7093</v>
      </c>
      <c r="U1634" s="90" t="s">
        <v>6999</v>
      </c>
    </row>
    <row r="1635" spans="1:21" x14ac:dyDescent="0.25">
      <c r="A1635" s="90" t="s">
        <v>3913</v>
      </c>
      <c r="B1635" s="119">
        <v>4</v>
      </c>
      <c r="C1635" s="90" t="s">
        <v>3910</v>
      </c>
      <c r="D1635" s="90" t="s">
        <v>78</v>
      </c>
      <c r="E1635">
        <v>3263</v>
      </c>
      <c r="F1635">
        <v>3270</v>
      </c>
      <c r="G1635" s="93" t="s">
        <v>68</v>
      </c>
      <c r="H1635" t="s">
        <v>3914</v>
      </c>
      <c r="I1635">
        <v>1</v>
      </c>
      <c r="J1635">
        <f>SUM(K1636)</f>
        <v>31854.68</v>
      </c>
      <c r="K1635">
        <f>I1635*J1635</f>
        <v>31854.68</v>
      </c>
      <c r="L1635">
        <f>100*(1-(M1635/K1635))</f>
        <v>40</v>
      </c>
      <c r="M1635">
        <f>I1635*SUM(M1636)</f>
        <v>19112.808000000001</v>
      </c>
      <c r="N1635" s="90">
        <v>1635</v>
      </c>
      <c r="O1635" s="90" t="s">
        <v>3915</v>
      </c>
      <c r="R1635" s="90" t="s">
        <v>6418</v>
      </c>
      <c r="S1635" s="90" t="s">
        <v>6721</v>
      </c>
      <c r="T1635" s="90" t="s">
        <v>6866</v>
      </c>
      <c r="U1635" s="90" t="s">
        <v>6570</v>
      </c>
    </row>
    <row r="1636" spans="1:21" x14ac:dyDescent="0.25">
      <c r="A1636" s="90" t="s">
        <v>3916</v>
      </c>
      <c r="B1636" s="119">
        <v>5</v>
      </c>
      <c r="C1636" s="90" t="s">
        <v>3913</v>
      </c>
      <c r="D1636" s="90" t="s">
        <v>78</v>
      </c>
      <c r="E1636">
        <v>3264</v>
      </c>
      <c r="F1636">
        <v>3269</v>
      </c>
      <c r="G1636" s="93" t="s">
        <v>68</v>
      </c>
      <c r="H1636" t="s">
        <v>3917</v>
      </c>
      <c r="I1636">
        <v>1</v>
      </c>
      <c r="J1636">
        <f>SUM(K1637,K1638)</f>
        <v>31854.68</v>
      </c>
      <c r="K1636">
        <f>I1636*J1636</f>
        <v>31854.68</v>
      </c>
      <c r="L1636">
        <f>100*(1-(M1636/K1636))</f>
        <v>40</v>
      </c>
      <c r="M1636">
        <f>I1636*SUM(M1637,M1638)</f>
        <v>19112.808000000001</v>
      </c>
      <c r="N1636" s="90">
        <v>1636</v>
      </c>
      <c r="O1636" s="90" t="s">
        <v>3918</v>
      </c>
      <c r="R1636" s="90" t="s">
        <v>4616</v>
      </c>
      <c r="S1636" s="90" t="s">
        <v>5680</v>
      </c>
      <c r="T1636" s="90" t="s">
        <v>6178</v>
      </c>
      <c r="U1636" s="90" t="s">
        <v>5156</v>
      </c>
    </row>
    <row r="1637" spans="1:21" x14ac:dyDescent="0.25">
      <c r="A1637" s="90" t="s">
        <v>3919</v>
      </c>
      <c r="B1637" s="119">
        <v>6</v>
      </c>
      <c r="C1637" s="90" t="s">
        <v>3916</v>
      </c>
      <c r="D1637" s="90" t="s">
        <v>78</v>
      </c>
      <c r="E1637">
        <v>3265</v>
      </c>
      <c r="F1637">
        <v>3266</v>
      </c>
      <c r="G1637" s="93" t="s">
        <v>78</v>
      </c>
      <c r="H1637" t="s">
        <v>3920</v>
      </c>
      <c r="I1637">
        <v>4</v>
      </c>
      <c r="J1637">
        <v>7663.37</v>
      </c>
      <c r="K1637">
        <f>I1637*J1637</f>
        <v>30653.48</v>
      </c>
      <c r="L1637">
        <v>40</v>
      </c>
      <c r="M1637">
        <f>(1-(L1637/100))*K1637</f>
        <v>18392.088</v>
      </c>
      <c r="N1637" s="90">
        <v>1637</v>
      </c>
      <c r="O1637" s="90" t="s">
        <v>3921</v>
      </c>
    </row>
    <row r="1638" spans="1:21" x14ac:dyDescent="0.25">
      <c r="A1638" s="90" t="s">
        <v>3922</v>
      </c>
      <c r="B1638" s="119">
        <v>6</v>
      </c>
      <c r="C1638" s="90" t="s">
        <v>3916</v>
      </c>
      <c r="D1638" s="90" t="s">
        <v>79</v>
      </c>
      <c r="E1638">
        <v>3267</v>
      </c>
      <c r="F1638">
        <v>3268</v>
      </c>
      <c r="G1638" s="93" t="s">
        <v>78</v>
      </c>
      <c r="H1638" t="s">
        <v>3923</v>
      </c>
      <c r="I1638">
        <v>2</v>
      </c>
      <c r="J1638">
        <v>600.6</v>
      </c>
      <c r="K1638">
        <f>I1638*J1638</f>
        <v>1201.2</v>
      </c>
      <c r="L1638">
        <v>40</v>
      </c>
      <c r="M1638">
        <f>(1-(L1638/100))*K1638</f>
        <v>720.72</v>
      </c>
      <c r="N1638" s="90">
        <v>1638</v>
      </c>
      <c r="O1638" s="90" t="s">
        <v>3924</v>
      </c>
    </row>
    <row r="1639" spans="1:21" x14ac:dyDescent="0.25">
      <c r="A1639" s="90" t="s">
        <v>3925</v>
      </c>
      <c r="B1639" s="119">
        <v>3</v>
      </c>
      <c r="C1639" s="90" t="s">
        <v>3836</v>
      </c>
      <c r="D1639" s="90" t="s">
        <v>80</v>
      </c>
      <c r="E1639">
        <v>3272</v>
      </c>
      <c r="F1639">
        <v>3277</v>
      </c>
      <c r="G1639" s="93" t="s">
        <v>68</v>
      </c>
      <c r="H1639" t="s">
        <v>3926</v>
      </c>
      <c r="I1639">
        <v>1</v>
      </c>
      <c r="J1639">
        <f>SUM(K1640)</f>
        <v>1324.33464918</v>
      </c>
      <c r="K1639">
        <f>I1639*J1639</f>
        <v>1324.33464918</v>
      </c>
      <c r="L1639">
        <f>100*(1-(M1639/K1639))</f>
        <v>85.6</v>
      </c>
      <c r="M1639">
        <f>I1639*SUM(M1640)</f>
        <v>190.70418948192003</v>
      </c>
      <c r="N1639" s="90">
        <v>1639</v>
      </c>
      <c r="O1639" s="90" t="s">
        <v>3927</v>
      </c>
      <c r="R1639" s="90" t="s">
        <v>6419</v>
      </c>
      <c r="S1639" s="90" t="s">
        <v>6722</v>
      </c>
      <c r="T1639" s="90" t="s">
        <v>6867</v>
      </c>
      <c r="U1639" s="90" t="s">
        <v>6571</v>
      </c>
    </row>
    <row r="1640" spans="1:21" x14ac:dyDescent="0.25">
      <c r="A1640" s="90" t="s">
        <v>3928</v>
      </c>
      <c r="B1640" s="119">
        <v>4</v>
      </c>
      <c r="C1640" s="90" t="s">
        <v>3925</v>
      </c>
      <c r="D1640" s="90" t="s">
        <v>78</v>
      </c>
      <c r="E1640">
        <v>3273</v>
      </c>
      <c r="F1640">
        <v>3276</v>
      </c>
      <c r="G1640" s="93" t="s">
        <v>68</v>
      </c>
      <c r="H1640" t="s">
        <v>418</v>
      </c>
      <c r="I1640">
        <v>1</v>
      </c>
      <c r="J1640">
        <f>SUM(K1641)</f>
        <v>1324.33464918</v>
      </c>
      <c r="K1640">
        <f>I1640*J1640</f>
        <v>1324.33464918</v>
      </c>
      <c r="L1640">
        <f>100*(1-(M1640/K1640))</f>
        <v>85.6</v>
      </c>
      <c r="M1640">
        <f>I1640*SUM(M1641)</f>
        <v>190.70418948192003</v>
      </c>
      <c r="N1640" s="90">
        <v>1640</v>
      </c>
      <c r="O1640" s="90" t="s">
        <v>3929</v>
      </c>
      <c r="R1640" s="90" t="s">
        <v>4617</v>
      </c>
      <c r="S1640" s="90" t="s">
        <v>5681</v>
      </c>
      <c r="T1640" s="90" t="s">
        <v>6179</v>
      </c>
      <c r="U1640" s="90" t="s">
        <v>5157</v>
      </c>
    </row>
    <row r="1641" spans="1:21" x14ac:dyDescent="0.25">
      <c r="A1641" s="90" t="s">
        <v>3930</v>
      </c>
      <c r="B1641" s="119">
        <v>5</v>
      </c>
      <c r="C1641" s="90" t="s">
        <v>3928</v>
      </c>
      <c r="D1641" s="90" t="s">
        <v>78</v>
      </c>
      <c r="E1641">
        <v>3274</v>
      </c>
      <c r="F1641">
        <v>3275</v>
      </c>
      <c r="G1641" s="93" t="s">
        <v>78</v>
      </c>
      <c r="H1641" t="s">
        <v>419</v>
      </c>
      <c r="I1641">
        <v>1</v>
      </c>
      <c r="J1641">
        <v>1324.33464918</v>
      </c>
      <c r="K1641">
        <f>I1641*J1641</f>
        <v>1324.33464918</v>
      </c>
      <c r="L1641">
        <v>85.6</v>
      </c>
      <c r="M1641">
        <f>(1-(L1641/100))*K1641</f>
        <v>190.70418948192003</v>
      </c>
      <c r="N1641" s="90">
        <v>1641</v>
      </c>
      <c r="O1641" s="90" t="s">
        <v>3931</v>
      </c>
    </row>
    <row r="1642" spans="1:21" x14ac:dyDescent="0.25">
      <c r="A1642" s="90" t="s">
        <v>3932</v>
      </c>
      <c r="B1642" s="119">
        <v>3</v>
      </c>
      <c r="C1642" s="90" t="s">
        <v>3836</v>
      </c>
      <c r="D1642" s="90" t="s">
        <v>95</v>
      </c>
      <c r="E1642">
        <v>3278</v>
      </c>
      <c r="F1642">
        <v>3283</v>
      </c>
      <c r="G1642" s="93" t="s">
        <v>68</v>
      </c>
      <c r="H1642" t="s">
        <v>3933</v>
      </c>
      <c r="I1642">
        <v>1</v>
      </c>
      <c r="J1642">
        <f>SUM(K1643)</f>
        <v>333.63045970000002</v>
      </c>
      <c r="K1642">
        <f>I1642*J1642</f>
        <v>333.63045970000002</v>
      </c>
      <c r="L1642">
        <f>100*(1-(M1642/K1642))</f>
        <v>85.6</v>
      </c>
      <c r="M1642">
        <f>I1642*SUM(M1643)</f>
        <v>48.042786196800009</v>
      </c>
      <c r="N1642" s="90">
        <v>1642</v>
      </c>
      <c r="O1642" s="90" t="s">
        <v>3934</v>
      </c>
      <c r="R1642" s="90" t="s">
        <v>6420</v>
      </c>
      <c r="S1642" s="90" t="s">
        <v>6723</v>
      </c>
      <c r="T1642" s="90" t="s">
        <v>6868</v>
      </c>
      <c r="U1642" s="90" t="s">
        <v>6572</v>
      </c>
    </row>
    <row r="1643" spans="1:21" x14ac:dyDescent="0.25">
      <c r="A1643" s="90" t="s">
        <v>3935</v>
      </c>
      <c r="B1643" s="119">
        <v>4</v>
      </c>
      <c r="C1643" s="90" t="s">
        <v>3932</v>
      </c>
      <c r="D1643" s="90" t="s">
        <v>78</v>
      </c>
      <c r="E1643">
        <v>3279</v>
      </c>
      <c r="F1643">
        <v>3282</v>
      </c>
      <c r="G1643" s="93" t="s">
        <v>68</v>
      </c>
      <c r="H1643" t="s">
        <v>399</v>
      </c>
      <c r="I1643">
        <v>1</v>
      </c>
      <c r="J1643">
        <f>SUM(K1644)</f>
        <v>333.63045970000002</v>
      </c>
      <c r="K1643">
        <f>I1643*J1643</f>
        <v>333.63045970000002</v>
      </c>
      <c r="L1643">
        <f>100*(1-(M1643/K1643))</f>
        <v>85.6</v>
      </c>
      <c r="M1643">
        <f>I1643*SUM(M1644)</f>
        <v>48.042786196800009</v>
      </c>
      <c r="N1643" s="90">
        <v>1643</v>
      </c>
      <c r="O1643" s="90" t="s">
        <v>3936</v>
      </c>
      <c r="R1643" s="90" t="s">
        <v>4618</v>
      </c>
      <c r="S1643" s="90" t="s">
        <v>5682</v>
      </c>
      <c r="T1643" s="90" t="s">
        <v>6180</v>
      </c>
      <c r="U1643" s="90" t="s">
        <v>5158</v>
      </c>
    </row>
    <row r="1644" spans="1:21" x14ac:dyDescent="0.25">
      <c r="A1644" s="90" t="s">
        <v>3937</v>
      </c>
      <c r="B1644" s="119">
        <v>5</v>
      </c>
      <c r="C1644" s="90" t="s">
        <v>3935</v>
      </c>
      <c r="D1644" s="90" t="s">
        <v>78</v>
      </c>
      <c r="E1644">
        <v>3280</v>
      </c>
      <c r="F1644">
        <v>3281</v>
      </c>
      <c r="G1644" s="93" t="s">
        <v>78</v>
      </c>
      <c r="H1644" t="s">
        <v>401</v>
      </c>
      <c r="I1644">
        <v>1</v>
      </c>
      <c r="J1644">
        <v>333.63045970000002</v>
      </c>
      <c r="K1644">
        <f>I1644*J1644</f>
        <v>333.63045970000002</v>
      </c>
      <c r="L1644">
        <v>85.6</v>
      </c>
      <c r="M1644">
        <f>(1-(L1644/100))*K1644</f>
        <v>48.042786196800009</v>
      </c>
      <c r="N1644" s="90">
        <v>1644</v>
      </c>
      <c r="O1644" s="90" t="s">
        <v>3938</v>
      </c>
    </row>
    <row r="1645" spans="1:21" x14ac:dyDescent="0.25">
      <c r="A1645" s="90" t="s">
        <v>3939</v>
      </c>
      <c r="B1645" s="119">
        <v>3</v>
      </c>
      <c r="C1645" s="90" t="s">
        <v>3836</v>
      </c>
      <c r="D1645" s="90" t="s">
        <v>96</v>
      </c>
      <c r="E1645">
        <v>3284</v>
      </c>
      <c r="F1645">
        <v>3307</v>
      </c>
      <c r="G1645" s="93" t="s">
        <v>68</v>
      </c>
      <c r="H1645" t="s">
        <v>3940</v>
      </c>
      <c r="I1645">
        <v>1</v>
      </c>
      <c r="J1645">
        <f>SUM(K1646,K1649,K1651,K1653,K1655)</f>
        <v>13011.371921559999</v>
      </c>
      <c r="K1645">
        <f>I1645*J1645</f>
        <v>13011.371921559999</v>
      </c>
      <c r="L1645">
        <f>100*(1-(M1645/K1645))</f>
        <v>88</v>
      </c>
      <c r="M1645">
        <f>I1645*SUM(M1646,M1649,M1651,M1653,M1655)</f>
        <v>1561.3646305871998</v>
      </c>
      <c r="N1645" s="90">
        <v>1645</v>
      </c>
      <c r="O1645" s="90" t="s">
        <v>3941</v>
      </c>
      <c r="R1645" s="90" t="s">
        <v>6421</v>
      </c>
      <c r="S1645" s="90" t="s">
        <v>6724</v>
      </c>
      <c r="T1645" s="90" t="s">
        <v>6869</v>
      </c>
      <c r="U1645" s="90" t="s">
        <v>6573</v>
      </c>
    </row>
    <row r="1646" spans="1:21" x14ac:dyDescent="0.25">
      <c r="A1646" s="90" t="s">
        <v>3942</v>
      </c>
      <c r="B1646" s="119">
        <v>4</v>
      </c>
      <c r="C1646" s="90" t="s">
        <v>3939</v>
      </c>
      <c r="D1646" s="90" t="s">
        <v>78</v>
      </c>
      <c r="E1646">
        <v>3285</v>
      </c>
      <c r="F1646">
        <v>3290</v>
      </c>
      <c r="G1646" s="93" t="s">
        <v>68</v>
      </c>
      <c r="H1646" t="s">
        <v>364</v>
      </c>
      <c r="I1646">
        <v>1</v>
      </c>
      <c r="J1646">
        <f>SUM(K1647,K1648)</f>
        <v>2292.1176620400001</v>
      </c>
      <c r="K1646">
        <f>I1646*J1646</f>
        <v>2292.1176620400001</v>
      </c>
      <c r="L1646">
        <f>100*(1-(M1646/K1646))</f>
        <v>88</v>
      </c>
      <c r="M1646">
        <f>I1646*SUM(M1647,M1648)</f>
        <v>275.05411944479999</v>
      </c>
      <c r="N1646" s="90">
        <v>1646</v>
      </c>
      <c r="O1646" s="90" t="s">
        <v>3943</v>
      </c>
      <c r="R1646" s="90" t="s">
        <v>4619</v>
      </c>
      <c r="S1646" s="90" t="s">
        <v>5683</v>
      </c>
      <c r="T1646" s="90" t="s">
        <v>6181</v>
      </c>
      <c r="U1646" s="90" t="s">
        <v>5159</v>
      </c>
    </row>
    <row r="1647" spans="1:21" x14ac:dyDescent="0.25">
      <c r="A1647" s="90" t="s">
        <v>3944</v>
      </c>
      <c r="B1647" s="119">
        <v>5</v>
      </c>
      <c r="C1647" s="90" t="s">
        <v>3942</v>
      </c>
      <c r="D1647" s="90" t="s">
        <v>78</v>
      </c>
      <c r="E1647">
        <v>3286</v>
      </c>
      <c r="F1647">
        <v>3287</v>
      </c>
      <c r="G1647" s="93" t="s">
        <v>78</v>
      </c>
      <c r="H1647" t="s">
        <v>366</v>
      </c>
      <c r="I1647">
        <v>1</v>
      </c>
      <c r="J1647">
        <v>509.35948044999998</v>
      </c>
      <c r="K1647">
        <f>I1647*J1647</f>
        <v>509.35948044999998</v>
      </c>
      <c r="L1647">
        <v>88</v>
      </c>
      <c r="M1647">
        <f>(1-(L1647/100))*K1647</f>
        <v>61.123137653999997</v>
      </c>
      <c r="N1647" s="90">
        <v>1647</v>
      </c>
      <c r="O1647" s="90" t="s">
        <v>3945</v>
      </c>
    </row>
    <row r="1648" spans="1:21" x14ac:dyDescent="0.25">
      <c r="A1648" s="90" t="s">
        <v>3946</v>
      </c>
      <c r="B1648" s="119">
        <v>5</v>
      </c>
      <c r="C1648" s="90" t="s">
        <v>3942</v>
      </c>
      <c r="D1648" s="90" t="s">
        <v>79</v>
      </c>
      <c r="E1648">
        <v>3288</v>
      </c>
      <c r="F1648">
        <v>3289</v>
      </c>
      <c r="G1648" s="93" t="s">
        <v>78</v>
      </c>
      <c r="H1648" t="s">
        <v>368</v>
      </c>
      <c r="I1648">
        <v>1</v>
      </c>
      <c r="J1648">
        <v>1782.75818159</v>
      </c>
      <c r="K1648">
        <f>I1648*J1648</f>
        <v>1782.75818159</v>
      </c>
      <c r="L1648">
        <v>88</v>
      </c>
      <c r="M1648">
        <f>(1-(L1648/100))*K1648</f>
        <v>213.93098179079999</v>
      </c>
      <c r="N1648" s="90">
        <v>1648</v>
      </c>
      <c r="O1648" s="90" t="s">
        <v>3947</v>
      </c>
    </row>
    <row r="1649" spans="1:21" x14ac:dyDescent="0.25">
      <c r="A1649" s="90" t="s">
        <v>3948</v>
      </c>
      <c r="B1649" s="119">
        <v>4</v>
      </c>
      <c r="C1649" s="90" t="s">
        <v>3939</v>
      </c>
      <c r="D1649" s="90" t="s">
        <v>79</v>
      </c>
      <c r="E1649">
        <v>3291</v>
      </c>
      <c r="F1649">
        <v>3294</v>
      </c>
      <c r="G1649" s="93" t="s">
        <v>68</v>
      </c>
      <c r="H1649" t="s">
        <v>379</v>
      </c>
      <c r="I1649">
        <v>1</v>
      </c>
      <c r="J1649">
        <f>SUM(K1650)</f>
        <v>303.06889087000002</v>
      </c>
      <c r="K1649">
        <f>I1649*J1649</f>
        <v>303.06889087000002</v>
      </c>
      <c r="L1649">
        <f>100*(1-(M1649/K1649))</f>
        <v>88</v>
      </c>
      <c r="M1649">
        <f>I1649*SUM(M1650)</f>
        <v>36.368266904400002</v>
      </c>
      <c r="N1649" s="90">
        <v>1649</v>
      </c>
      <c r="O1649" s="90" t="s">
        <v>3949</v>
      </c>
      <c r="R1649" s="90" t="s">
        <v>4620</v>
      </c>
      <c r="S1649" s="90" t="s">
        <v>5684</v>
      </c>
      <c r="T1649" s="90" t="s">
        <v>6182</v>
      </c>
      <c r="U1649" s="90" t="s">
        <v>5160</v>
      </c>
    </row>
    <row r="1650" spans="1:21" x14ac:dyDescent="0.25">
      <c r="A1650" s="90" t="s">
        <v>3950</v>
      </c>
      <c r="B1650" s="119">
        <v>5</v>
      </c>
      <c r="C1650" s="90" t="s">
        <v>3948</v>
      </c>
      <c r="D1650" s="90" t="s">
        <v>78</v>
      </c>
      <c r="E1650">
        <v>3292</v>
      </c>
      <c r="F1650">
        <v>3293</v>
      </c>
      <c r="G1650" s="93" t="s">
        <v>78</v>
      </c>
      <c r="H1650" t="s">
        <v>381</v>
      </c>
      <c r="I1650">
        <v>1</v>
      </c>
      <c r="J1650">
        <v>303.06889087000002</v>
      </c>
      <c r="K1650">
        <f>I1650*J1650</f>
        <v>303.06889087000002</v>
      </c>
      <c r="L1650">
        <v>88</v>
      </c>
      <c r="M1650">
        <f>(1-(L1650/100))*K1650</f>
        <v>36.368266904400002</v>
      </c>
      <c r="N1650" s="90">
        <v>1650</v>
      </c>
      <c r="O1650" s="90" t="s">
        <v>3951</v>
      </c>
    </row>
    <row r="1651" spans="1:21" x14ac:dyDescent="0.25">
      <c r="A1651" s="90" t="s">
        <v>3952</v>
      </c>
      <c r="B1651" s="119">
        <v>4</v>
      </c>
      <c r="C1651" s="90" t="s">
        <v>3939</v>
      </c>
      <c r="D1651" s="90" t="s">
        <v>80</v>
      </c>
      <c r="E1651">
        <v>3295</v>
      </c>
      <c r="F1651">
        <v>3298</v>
      </c>
      <c r="G1651" s="93" t="s">
        <v>68</v>
      </c>
      <c r="H1651" t="s">
        <v>399</v>
      </c>
      <c r="I1651">
        <v>1</v>
      </c>
      <c r="J1651">
        <f>SUM(K1652)</f>
        <v>333.63045970000002</v>
      </c>
      <c r="K1651">
        <f>I1651*J1651</f>
        <v>333.63045970000002</v>
      </c>
      <c r="L1651">
        <f>100*(1-(M1651/K1651))</f>
        <v>88</v>
      </c>
      <c r="M1651">
        <f>I1651*SUM(M1652)</f>
        <v>40.035655163999998</v>
      </c>
      <c r="N1651" s="90">
        <v>1651</v>
      </c>
      <c r="O1651" s="90" t="s">
        <v>3953</v>
      </c>
      <c r="R1651" s="90" t="s">
        <v>4621</v>
      </c>
      <c r="S1651" s="90" t="s">
        <v>5685</v>
      </c>
      <c r="T1651" s="90" t="s">
        <v>6183</v>
      </c>
      <c r="U1651" s="90" t="s">
        <v>5161</v>
      </c>
    </row>
    <row r="1652" spans="1:21" x14ac:dyDescent="0.25">
      <c r="A1652" s="90" t="s">
        <v>3954</v>
      </c>
      <c r="B1652" s="119">
        <v>5</v>
      </c>
      <c r="C1652" s="90" t="s">
        <v>3952</v>
      </c>
      <c r="D1652" s="90" t="s">
        <v>78</v>
      </c>
      <c r="E1652">
        <v>3296</v>
      </c>
      <c r="F1652">
        <v>3297</v>
      </c>
      <c r="G1652" s="93" t="s">
        <v>78</v>
      </c>
      <c r="H1652" t="s">
        <v>401</v>
      </c>
      <c r="I1652">
        <v>1</v>
      </c>
      <c r="J1652">
        <v>333.63045970000002</v>
      </c>
      <c r="K1652">
        <f>I1652*J1652</f>
        <v>333.63045970000002</v>
      </c>
      <c r="L1652">
        <v>88</v>
      </c>
      <c r="M1652">
        <f>(1-(L1652/100))*K1652</f>
        <v>40.035655163999998</v>
      </c>
      <c r="N1652" s="90">
        <v>1652</v>
      </c>
      <c r="O1652" s="90" t="s">
        <v>3955</v>
      </c>
    </row>
    <row r="1653" spans="1:21" x14ac:dyDescent="0.25">
      <c r="A1653" s="90" t="s">
        <v>3956</v>
      </c>
      <c r="B1653" s="119">
        <v>4</v>
      </c>
      <c r="C1653" s="90" t="s">
        <v>3939</v>
      </c>
      <c r="D1653" s="90" t="s">
        <v>95</v>
      </c>
      <c r="E1653">
        <v>3299</v>
      </c>
      <c r="F1653">
        <v>3302</v>
      </c>
      <c r="G1653" s="93" t="s">
        <v>68</v>
      </c>
      <c r="H1653" t="s">
        <v>383</v>
      </c>
      <c r="I1653">
        <v>1</v>
      </c>
      <c r="J1653">
        <f>SUM(K1654)</f>
        <v>1069.6549089499999</v>
      </c>
      <c r="K1653">
        <f>I1653*J1653</f>
        <v>1069.6549089499999</v>
      </c>
      <c r="L1653">
        <f>100*(1-(M1653/K1653))</f>
        <v>88</v>
      </c>
      <c r="M1653">
        <f>I1653*SUM(M1654)</f>
        <v>128.35858907399998</v>
      </c>
      <c r="N1653" s="90">
        <v>1653</v>
      </c>
      <c r="O1653" s="90" t="s">
        <v>3957</v>
      </c>
      <c r="R1653" s="90" t="s">
        <v>4622</v>
      </c>
      <c r="S1653" s="90" t="s">
        <v>5686</v>
      </c>
      <c r="T1653" s="90" t="s">
        <v>6184</v>
      </c>
      <c r="U1653" s="90" t="s">
        <v>5162</v>
      </c>
    </row>
    <row r="1654" spans="1:21" x14ac:dyDescent="0.25">
      <c r="A1654" s="90" t="s">
        <v>3958</v>
      </c>
      <c r="B1654" s="119">
        <v>5</v>
      </c>
      <c r="C1654" s="90" t="s">
        <v>3956</v>
      </c>
      <c r="D1654" s="90" t="s">
        <v>78</v>
      </c>
      <c r="E1654">
        <v>3300</v>
      </c>
      <c r="F1654">
        <v>3301</v>
      </c>
      <c r="G1654" s="93" t="s">
        <v>78</v>
      </c>
      <c r="H1654" t="s">
        <v>385</v>
      </c>
      <c r="I1654">
        <v>1</v>
      </c>
      <c r="J1654">
        <v>1069.6549089499999</v>
      </c>
      <c r="K1654">
        <f>I1654*J1654</f>
        <v>1069.6549089499999</v>
      </c>
      <c r="L1654">
        <v>88</v>
      </c>
      <c r="M1654">
        <f>(1-(L1654/100))*K1654</f>
        <v>128.35858907399998</v>
      </c>
      <c r="N1654" s="90">
        <v>1654</v>
      </c>
      <c r="O1654" s="90" t="s">
        <v>3959</v>
      </c>
    </row>
    <row r="1655" spans="1:21" x14ac:dyDescent="0.25">
      <c r="A1655" s="90" t="s">
        <v>3960</v>
      </c>
      <c r="B1655" s="119">
        <v>4</v>
      </c>
      <c r="C1655" s="90" t="s">
        <v>3939</v>
      </c>
      <c r="D1655" s="90" t="s">
        <v>96</v>
      </c>
      <c r="E1655">
        <v>3303</v>
      </c>
      <c r="F1655">
        <v>3306</v>
      </c>
      <c r="G1655" s="93" t="s">
        <v>68</v>
      </c>
      <c r="H1655" t="s">
        <v>387</v>
      </c>
      <c r="I1655">
        <v>1</v>
      </c>
      <c r="J1655">
        <f>SUM(K1656)</f>
        <v>9012.9</v>
      </c>
      <c r="K1655">
        <f>I1655*J1655</f>
        <v>9012.9</v>
      </c>
      <c r="L1655">
        <f>100*(1-(M1655/K1655))</f>
        <v>88</v>
      </c>
      <c r="M1655">
        <f>I1655*SUM(M1656)</f>
        <v>1081.548</v>
      </c>
      <c r="N1655" s="90">
        <v>1655</v>
      </c>
      <c r="O1655" s="90" t="s">
        <v>3961</v>
      </c>
      <c r="R1655" s="90" t="s">
        <v>4623</v>
      </c>
      <c r="S1655" s="90" t="s">
        <v>5687</v>
      </c>
      <c r="T1655" s="90" t="s">
        <v>6185</v>
      </c>
      <c r="U1655" s="90" t="s">
        <v>5163</v>
      </c>
    </row>
    <row r="1656" spans="1:21" x14ac:dyDescent="0.25">
      <c r="A1656" s="90" t="s">
        <v>3962</v>
      </c>
      <c r="B1656" s="119">
        <v>5</v>
      </c>
      <c r="C1656" s="90" t="s">
        <v>3960</v>
      </c>
      <c r="D1656" s="90" t="s">
        <v>78</v>
      </c>
      <c r="E1656">
        <v>3304</v>
      </c>
      <c r="F1656">
        <v>3305</v>
      </c>
      <c r="G1656" s="93" t="s">
        <v>78</v>
      </c>
      <c r="H1656" t="s">
        <v>389</v>
      </c>
      <c r="I1656">
        <v>1</v>
      </c>
      <c r="J1656">
        <v>9012.9</v>
      </c>
      <c r="K1656">
        <f>I1656*J1656</f>
        <v>9012.9</v>
      </c>
      <c r="L1656">
        <v>88</v>
      </c>
      <c r="M1656">
        <f>(1-(L1656/100))*K1656</f>
        <v>1081.548</v>
      </c>
      <c r="N1656" s="90">
        <v>1656</v>
      </c>
      <c r="O1656" s="90" t="s">
        <v>3963</v>
      </c>
    </row>
    <row r="1657" spans="1:21" x14ac:dyDescent="0.25">
      <c r="A1657" s="90" t="s">
        <v>3964</v>
      </c>
      <c r="B1657" s="119">
        <v>3</v>
      </c>
      <c r="C1657" s="90" t="s">
        <v>3836</v>
      </c>
      <c r="D1657" s="90" t="s">
        <v>103</v>
      </c>
      <c r="E1657">
        <v>3308</v>
      </c>
      <c r="F1657">
        <v>3327</v>
      </c>
      <c r="G1657" s="93" t="s">
        <v>68</v>
      </c>
      <c r="H1657" t="s">
        <v>3965</v>
      </c>
      <c r="I1657">
        <v>1</v>
      </c>
      <c r="J1657">
        <f>SUM(K1658,K1661,K1663,K1665)</f>
        <v>12677.74146186</v>
      </c>
      <c r="K1657">
        <f>I1657*J1657</f>
        <v>12677.74146186</v>
      </c>
      <c r="L1657">
        <f>100*(1-(M1657/K1657))</f>
        <v>85.6</v>
      </c>
      <c r="M1657">
        <f>I1657*SUM(M1658,M1661,M1663,M1665)</f>
        <v>1825.5947705078402</v>
      </c>
      <c r="N1657" s="90">
        <v>1657</v>
      </c>
      <c r="O1657" s="90" t="s">
        <v>3966</v>
      </c>
      <c r="R1657" s="90" t="s">
        <v>6422</v>
      </c>
      <c r="S1657" s="90" t="s">
        <v>6725</v>
      </c>
      <c r="T1657" s="90" t="s">
        <v>6870</v>
      </c>
      <c r="U1657" s="90" t="s">
        <v>6574</v>
      </c>
    </row>
    <row r="1658" spans="1:21" x14ac:dyDescent="0.25">
      <c r="A1658" s="90" t="s">
        <v>3967</v>
      </c>
      <c r="B1658" s="119">
        <v>4</v>
      </c>
      <c r="C1658" s="90" t="s">
        <v>3964</v>
      </c>
      <c r="D1658" s="90" t="s">
        <v>78</v>
      </c>
      <c r="E1658">
        <v>3309</v>
      </c>
      <c r="F1658">
        <v>3314</v>
      </c>
      <c r="G1658" s="93" t="s">
        <v>68</v>
      </c>
      <c r="H1658" t="s">
        <v>364</v>
      </c>
      <c r="I1658">
        <v>1</v>
      </c>
      <c r="J1658">
        <f>SUM(K1659,K1660)</f>
        <v>2292.1176620400001</v>
      </c>
      <c r="K1658">
        <f>I1658*J1658</f>
        <v>2292.1176620400001</v>
      </c>
      <c r="L1658">
        <f>100*(1-(M1658/K1658))</f>
        <v>85.6</v>
      </c>
      <c r="M1658">
        <f>I1658*SUM(M1659,M1660)</f>
        <v>330.06494333376008</v>
      </c>
      <c r="N1658" s="90">
        <v>1658</v>
      </c>
      <c r="O1658" s="90" t="s">
        <v>3968</v>
      </c>
      <c r="R1658" s="90" t="s">
        <v>4624</v>
      </c>
      <c r="S1658" s="90" t="s">
        <v>5688</v>
      </c>
      <c r="T1658" s="90" t="s">
        <v>6186</v>
      </c>
      <c r="U1658" s="90" t="s">
        <v>5164</v>
      </c>
    </row>
    <row r="1659" spans="1:21" x14ac:dyDescent="0.25">
      <c r="A1659" s="90" t="s">
        <v>3969</v>
      </c>
      <c r="B1659" s="119">
        <v>5</v>
      </c>
      <c r="C1659" s="90" t="s">
        <v>3967</v>
      </c>
      <c r="D1659" s="90" t="s">
        <v>78</v>
      </c>
      <c r="E1659">
        <v>3310</v>
      </c>
      <c r="F1659">
        <v>3311</v>
      </c>
      <c r="G1659" s="93" t="s">
        <v>78</v>
      </c>
      <c r="H1659" t="s">
        <v>366</v>
      </c>
      <c r="I1659">
        <v>1</v>
      </c>
      <c r="J1659">
        <v>509.35948044999998</v>
      </c>
      <c r="K1659">
        <f>I1659*J1659</f>
        <v>509.35948044999998</v>
      </c>
      <c r="L1659">
        <v>85.6</v>
      </c>
      <c r="M1659">
        <f>(1-(L1659/100))*K1659</f>
        <v>73.347765184800011</v>
      </c>
      <c r="N1659" s="90">
        <v>1659</v>
      </c>
      <c r="O1659" s="90" t="s">
        <v>3970</v>
      </c>
    </row>
    <row r="1660" spans="1:21" x14ac:dyDescent="0.25">
      <c r="A1660" s="90" t="s">
        <v>3971</v>
      </c>
      <c r="B1660" s="119">
        <v>5</v>
      </c>
      <c r="C1660" s="90" t="s">
        <v>3967</v>
      </c>
      <c r="D1660" s="90" t="s">
        <v>79</v>
      </c>
      <c r="E1660">
        <v>3312</v>
      </c>
      <c r="F1660">
        <v>3313</v>
      </c>
      <c r="G1660" s="93" t="s">
        <v>78</v>
      </c>
      <c r="H1660" t="s">
        <v>368</v>
      </c>
      <c r="I1660">
        <v>1</v>
      </c>
      <c r="J1660">
        <v>1782.75818159</v>
      </c>
      <c r="K1660">
        <f>I1660*J1660</f>
        <v>1782.75818159</v>
      </c>
      <c r="L1660">
        <v>85.6</v>
      </c>
      <c r="M1660">
        <f>(1-(L1660/100))*K1660</f>
        <v>256.71717814896004</v>
      </c>
      <c r="N1660" s="90">
        <v>1660</v>
      </c>
      <c r="O1660" s="90" t="s">
        <v>3972</v>
      </c>
    </row>
    <row r="1661" spans="1:21" x14ac:dyDescent="0.25">
      <c r="A1661" s="90" t="s">
        <v>3973</v>
      </c>
      <c r="B1661" s="119">
        <v>4</v>
      </c>
      <c r="C1661" s="90" t="s">
        <v>3964</v>
      </c>
      <c r="D1661" s="90" t="s">
        <v>79</v>
      </c>
      <c r="E1661">
        <v>3315</v>
      </c>
      <c r="F1661">
        <v>3318</v>
      </c>
      <c r="G1661" s="93" t="s">
        <v>68</v>
      </c>
      <c r="H1661" t="s">
        <v>379</v>
      </c>
      <c r="I1661">
        <v>1</v>
      </c>
      <c r="J1661">
        <f>SUM(K1662)</f>
        <v>303.06889087000002</v>
      </c>
      <c r="K1661">
        <f>I1661*J1661</f>
        <v>303.06889087000002</v>
      </c>
      <c r="L1661">
        <f>100*(1-(M1661/K1661))</f>
        <v>85.6</v>
      </c>
      <c r="M1661">
        <f>I1661*SUM(M1662)</f>
        <v>43.641920285280008</v>
      </c>
      <c r="N1661" s="90">
        <v>1661</v>
      </c>
      <c r="O1661" s="90" t="s">
        <v>3974</v>
      </c>
      <c r="R1661" s="90" t="s">
        <v>4625</v>
      </c>
      <c r="S1661" s="90" t="s">
        <v>5689</v>
      </c>
      <c r="T1661" s="90" t="s">
        <v>6187</v>
      </c>
      <c r="U1661" s="90" t="s">
        <v>5165</v>
      </c>
    </row>
    <row r="1662" spans="1:21" x14ac:dyDescent="0.25">
      <c r="A1662" s="90" t="s">
        <v>3975</v>
      </c>
      <c r="B1662" s="119">
        <v>5</v>
      </c>
      <c r="C1662" s="90" t="s">
        <v>3973</v>
      </c>
      <c r="D1662" s="90" t="s">
        <v>78</v>
      </c>
      <c r="E1662">
        <v>3316</v>
      </c>
      <c r="F1662">
        <v>3317</v>
      </c>
      <c r="G1662" s="93" t="s">
        <v>78</v>
      </c>
      <c r="H1662" t="s">
        <v>381</v>
      </c>
      <c r="I1662">
        <v>1</v>
      </c>
      <c r="J1662">
        <v>303.06889087000002</v>
      </c>
      <c r="K1662">
        <f>I1662*J1662</f>
        <v>303.06889087000002</v>
      </c>
      <c r="L1662">
        <v>85.6</v>
      </c>
      <c r="M1662">
        <f>(1-(L1662/100))*K1662</f>
        <v>43.641920285280008</v>
      </c>
      <c r="N1662" s="90">
        <v>1662</v>
      </c>
      <c r="O1662" s="90" t="s">
        <v>3976</v>
      </c>
    </row>
    <row r="1663" spans="1:21" x14ac:dyDescent="0.25">
      <c r="A1663" s="90" t="s">
        <v>3977</v>
      </c>
      <c r="B1663" s="119">
        <v>4</v>
      </c>
      <c r="C1663" s="90" t="s">
        <v>3964</v>
      </c>
      <c r="D1663" s="90" t="s">
        <v>80</v>
      </c>
      <c r="E1663">
        <v>3319</v>
      </c>
      <c r="F1663">
        <v>3322</v>
      </c>
      <c r="G1663" s="93" t="s">
        <v>68</v>
      </c>
      <c r="H1663" t="s">
        <v>383</v>
      </c>
      <c r="I1663">
        <v>1</v>
      </c>
      <c r="J1663">
        <f>SUM(K1664)</f>
        <v>1069.6549089499999</v>
      </c>
      <c r="K1663">
        <f>I1663*J1663</f>
        <v>1069.6549089499999</v>
      </c>
      <c r="L1663">
        <f>100*(1-(M1663/K1663))</f>
        <v>85.6</v>
      </c>
      <c r="M1663">
        <f>I1663*SUM(M1664)</f>
        <v>154.0303068888</v>
      </c>
      <c r="N1663" s="90">
        <v>1663</v>
      </c>
      <c r="O1663" s="90" t="s">
        <v>3978</v>
      </c>
      <c r="R1663" s="90" t="s">
        <v>4626</v>
      </c>
      <c r="S1663" s="90" t="s">
        <v>5690</v>
      </c>
      <c r="T1663" s="90" t="s">
        <v>6188</v>
      </c>
      <c r="U1663" s="90" t="s">
        <v>5166</v>
      </c>
    </row>
    <row r="1664" spans="1:21" x14ac:dyDescent="0.25">
      <c r="A1664" s="90" t="s">
        <v>3979</v>
      </c>
      <c r="B1664" s="119">
        <v>5</v>
      </c>
      <c r="C1664" s="90" t="s">
        <v>3977</v>
      </c>
      <c r="D1664" s="90" t="s">
        <v>78</v>
      </c>
      <c r="E1664">
        <v>3320</v>
      </c>
      <c r="F1664">
        <v>3321</v>
      </c>
      <c r="G1664" s="93" t="s">
        <v>78</v>
      </c>
      <c r="H1664" t="s">
        <v>385</v>
      </c>
      <c r="I1664">
        <v>1</v>
      </c>
      <c r="J1664">
        <v>1069.6549089499999</v>
      </c>
      <c r="K1664">
        <f>I1664*J1664</f>
        <v>1069.6549089499999</v>
      </c>
      <c r="L1664">
        <v>85.6</v>
      </c>
      <c r="M1664">
        <f>(1-(L1664/100))*K1664</f>
        <v>154.0303068888</v>
      </c>
      <c r="N1664" s="90">
        <v>1664</v>
      </c>
      <c r="O1664" s="90" t="s">
        <v>3980</v>
      </c>
    </row>
    <row r="1665" spans="1:21" x14ac:dyDescent="0.25">
      <c r="A1665" s="90" t="s">
        <v>3981</v>
      </c>
      <c r="B1665" s="119">
        <v>4</v>
      </c>
      <c r="C1665" s="90" t="s">
        <v>3964</v>
      </c>
      <c r="D1665" s="90" t="s">
        <v>95</v>
      </c>
      <c r="E1665">
        <v>3323</v>
      </c>
      <c r="F1665">
        <v>3326</v>
      </c>
      <c r="G1665" s="93" t="s">
        <v>68</v>
      </c>
      <c r="H1665" t="s">
        <v>387</v>
      </c>
      <c r="I1665">
        <v>1</v>
      </c>
      <c r="J1665">
        <f>SUM(K1666)</f>
        <v>9012.9</v>
      </c>
      <c r="K1665">
        <f>I1665*J1665</f>
        <v>9012.9</v>
      </c>
      <c r="L1665">
        <f>100*(1-(M1665/K1665))</f>
        <v>85.6</v>
      </c>
      <c r="M1665">
        <f>I1665*SUM(M1666)</f>
        <v>1297.8576</v>
      </c>
      <c r="N1665" s="90">
        <v>1665</v>
      </c>
      <c r="O1665" s="90" t="s">
        <v>3982</v>
      </c>
      <c r="R1665" s="90" t="s">
        <v>4627</v>
      </c>
      <c r="S1665" s="90" t="s">
        <v>5691</v>
      </c>
      <c r="T1665" s="90" t="s">
        <v>6189</v>
      </c>
      <c r="U1665" s="90" t="s">
        <v>5167</v>
      </c>
    </row>
    <row r="1666" spans="1:21" x14ac:dyDescent="0.25">
      <c r="A1666" s="90" t="s">
        <v>3983</v>
      </c>
      <c r="B1666" s="119">
        <v>5</v>
      </c>
      <c r="C1666" s="90" t="s">
        <v>3981</v>
      </c>
      <c r="D1666" s="90" t="s">
        <v>78</v>
      </c>
      <c r="E1666">
        <v>3324</v>
      </c>
      <c r="F1666">
        <v>3325</v>
      </c>
      <c r="G1666" s="93" t="s">
        <v>78</v>
      </c>
      <c r="H1666" t="s">
        <v>389</v>
      </c>
      <c r="I1666">
        <v>1</v>
      </c>
      <c r="J1666">
        <v>9012.9</v>
      </c>
      <c r="K1666">
        <f>I1666*J1666</f>
        <v>9012.9</v>
      </c>
      <c r="L1666">
        <v>85.6</v>
      </c>
      <c r="M1666">
        <f>(1-(L1666/100))*K1666</f>
        <v>1297.8576</v>
      </c>
      <c r="N1666" s="90">
        <v>1666</v>
      </c>
      <c r="O1666" s="90" t="s">
        <v>3984</v>
      </c>
    </row>
    <row r="1667" spans="1:21" x14ac:dyDescent="0.25">
      <c r="A1667" s="90" t="s">
        <v>3985</v>
      </c>
      <c r="B1667" s="119">
        <v>2</v>
      </c>
      <c r="C1667" s="90" t="s">
        <v>78</v>
      </c>
      <c r="D1667" s="90" t="s">
        <v>90</v>
      </c>
      <c r="E1667">
        <v>3329</v>
      </c>
      <c r="F1667">
        <v>3426</v>
      </c>
      <c r="G1667" s="93" t="s">
        <v>68</v>
      </c>
      <c r="H1667" t="s">
        <v>3986</v>
      </c>
      <c r="I1667">
        <v>1</v>
      </c>
      <c r="J1667">
        <f>SUM(K1668,K1671,K1698,K1710,K1713)</f>
        <v>43398.315243899997</v>
      </c>
      <c r="K1667">
        <f>I1667*J1667</f>
        <v>43398.315243899997</v>
      </c>
      <c r="L1667">
        <f>100*(1-(M1667/K1667))</f>
        <v>42.211926595467844</v>
      </c>
      <c r="M1667">
        <f>I1667*SUM(M1668,M1671,M1698,M1710,M1713)</f>
        <v>25079.050269475199</v>
      </c>
      <c r="N1667" s="90">
        <v>1667</v>
      </c>
      <c r="O1667" s="90" t="s">
        <v>3987</v>
      </c>
      <c r="R1667" s="90" t="s">
        <v>6951</v>
      </c>
      <c r="S1667" s="90" t="s">
        <v>7048</v>
      </c>
      <c r="T1667" s="90" t="s">
        <v>7094</v>
      </c>
      <c r="U1667" s="90" t="s">
        <v>7000</v>
      </c>
    </row>
    <row r="1668" spans="1:21" x14ac:dyDescent="0.25">
      <c r="A1668" s="90" t="s">
        <v>3988</v>
      </c>
      <c r="B1668" s="119">
        <v>3</v>
      </c>
      <c r="C1668" s="90" t="s">
        <v>3985</v>
      </c>
      <c r="D1668" s="90" t="s">
        <v>78</v>
      </c>
      <c r="E1668">
        <v>3330</v>
      </c>
      <c r="F1668">
        <v>3335</v>
      </c>
      <c r="G1668" s="93" t="s">
        <v>68</v>
      </c>
      <c r="H1668" t="s">
        <v>433</v>
      </c>
      <c r="I1668">
        <v>1</v>
      </c>
      <c r="J1668">
        <f>SUM(K1669)</f>
        <v>2153.15</v>
      </c>
      <c r="K1668">
        <f>I1668*J1668</f>
        <v>2153.15</v>
      </c>
      <c r="L1668">
        <f>100*(1-(M1668/K1668))</f>
        <v>40</v>
      </c>
      <c r="M1668">
        <f>I1668*SUM(M1669)</f>
        <v>1291.8900000000001</v>
      </c>
      <c r="N1668" s="90">
        <v>1668</v>
      </c>
      <c r="O1668" s="90" t="s">
        <v>3989</v>
      </c>
      <c r="R1668" s="90" t="s">
        <v>6423</v>
      </c>
      <c r="S1668" s="90" t="s">
        <v>6726</v>
      </c>
      <c r="T1668" s="90" t="s">
        <v>6871</v>
      </c>
      <c r="U1668" s="90" t="s">
        <v>6575</v>
      </c>
    </row>
    <row r="1669" spans="1:21" x14ac:dyDescent="0.25">
      <c r="A1669" s="90" t="s">
        <v>3990</v>
      </c>
      <c r="B1669" s="119">
        <v>4</v>
      </c>
      <c r="C1669" s="90" t="s">
        <v>3988</v>
      </c>
      <c r="D1669" s="90" t="s">
        <v>78</v>
      </c>
      <c r="E1669">
        <v>3331</v>
      </c>
      <c r="F1669">
        <v>3334</v>
      </c>
      <c r="G1669" s="93" t="s">
        <v>68</v>
      </c>
      <c r="H1669" t="s">
        <v>118</v>
      </c>
      <c r="I1669">
        <v>1</v>
      </c>
      <c r="J1669">
        <f>SUM(K1670)</f>
        <v>2153.15</v>
      </c>
      <c r="K1669">
        <f>I1669*J1669</f>
        <v>2153.15</v>
      </c>
      <c r="L1669">
        <f>100*(1-(M1669/K1669))</f>
        <v>40</v>
      </c>
      <c r="M1669">
        <f>I1669*SUM(M1670)</f>
        <v>1291.8900000000001</v>
      </c>
      <c r="N1669" s="90">
        <v>1669</v>
      </c>
      <c r="O1669" s="90" t="s">
        <v>3991</v>
      </c>
      <c r="R1669" s="90" t="s">
        <v>4628</v>
      </c>
      <c r="S1669" s="90" t="s">
        <v>5692</v>
      </c>
      <c r="T1669" s="90" t="s">
        <v>6190</v>
      </c>
      <c r="U1669" s="90" t="s">
        <v>5168</v>
      </c>
    </row>
    <row r="1670" spans="1:21" x14ac:dyDescent="0.25">
      <c r="A1670" s="90" t="s">
        <v>3992</v>
      </c>
      <c r="B1670" s="119">
        <v>5</v>
      </c>
      <c r="C1670" s="90" t="s">
        <v>3990</v>
      </c>
      <c r="D1670" s="90" t="s">
        <v>78</v>
      </c>
      <c r="E1670">
        <v>3332</v>
      </c>
      <c r="F1670">
        <v>3333</v>
      </c>
      <c r="G1670" s="93" t="s">
        <v>78</v>
      </c>
      <c r="H1670" t="s">
        <v>117</v>
      </c>
      <c r="I1670">
        <v>1</v>
      </c>
      <c r="J1670">
        <v>2153.15</v>
      </c>
      <c r="K1670">
        <f>I1670*J1670</f>
        <v>2153.15</v>
      </c>
      <c r="L1670">
        <v>40</v>
      </c>
      <c r="M1670">
        <f>(1-(L1670/100))*K1670</f>
        <v>1291.8900000000001</v>
      </c>
      <c r="N1670" s="90">
        <v>1670</v>
      </c>
      <c r="O1670" s="90" t="s">
        <v>3993</v>
      </c>
    </row>
    <row r="1671" spans="1:21" x14ac:dyDescent="0.25">
      <c r="A1671" s="90" t="s">
        <v>3994</v>
      </c>
      <c r="B1671" s="119">
        <v>3</v>
      </c>
      <c r="C1671" s="90" t="s">
        <v>3985</v>
      </c>
      <c r="D1671" s="90" t="s">
        <v>79</v>
      </c>
      <c r="E1671">
        <v>3336</v>
      </c>
      <c r="F1671">
        <v>3389</v>
      </c>
      <c r="G1671" s="93" t="s">
        <v>68</v>
      </c>
      <c r="H1671" t="s">
        <v>3995</v>
      </c>
      <c r="I1671">
        <v>1</v>
      </c>
      <c r="J1671">
        <f>SUM(K1672,K1674,K1676,K1686)</f>
        <v>23769.416276600001</v>
      </c>
      <c r="K1671">
        <f>I1671*J1671</f>
        <v>23769.416276600001</v>
      </c>
      <c r="L1671">
        <f>100*(1-(M1671/K1671))</f>
        <v>40</v>
      </c>
      <c r="M1671">
        <f>I1671*SUM(M1672,M1674,M1676,M1686)</f>
        <v>14261.649765960001</v>
      </c>
      <c r="N1671" s="90">
        <v>1671</v>
      </c>
      <c r="O1671" s="90" t="s">
        <v>3996</v>
      </c>
      <c r="R1671" s="90" t="s">
        <v>6424</v>
      </c>
      <c r="S1671" s="90" t="s">
        <v>6727</v>
      </c>
      <c r="T1671" s="90" t="s">
        <v>6872</v>
      </c>
      <c r="U1671" s="90" t="s">
        <v>6576</v>
      </c>
    </row>
    <row r="1672" spans="1:21" x14ac:dyDescent="0.25">
      <c r="A1672" s="90" t="s">
        <v>3997</v>
      </c>
      <c r="B1672" s="119">
        <v>4</v>
      </c>
      <c r="C1672" s="90" t="s">
        <v>3994</v>
      </c>
      <c r="D1672" s="90" t="s">
        <v>78</v>
      </c>
      <c r="E1672">
        <v>3337</v>
      </c>
      <c r="F1672">
        <v>3340</v>
      </c>
      <c r="G1672" s="93" t="s">
        <v>68</v>
      </c>
      <c r="H1672" t="s">
        <v>449</v>
      </c>
      <c r="I1672">
        <v>4</v>
      </c>
      <c r="J1672">
        <f>SUM(K1673)</f>
        <v>214.52947918000001</v>
      </c>
      <c r="K1672">
        <f>I1672*J1672</f>
        <v>858.11791672000004</v>
      </c>
      <c r="L1672">
        <f>100*(1-(M1672/K1672))</f>
        <v>40</v>
      </c>
      <c r="M1672">
        <f>I1672*SUM(M1673)</f>
        <v>514.87075003200005</v>
      </c>
      <c r="N1672" s="90">
        <v>1672</v>
      </c>
      <c r="O1672" s="90" t="s">
        <v>3998</v>
      </c>
      <c r="R1672" s="90" t="s">
        <v>4629</v>
      </c>
      <c r="S1672" s="90" t="s">
        <v>5693</v>
      </c>
      <c r="T1672" s="90" t="s">
        <v>6191</v>
      </c>
      <c r="U1672" s="90" t="s">
        <v>5169</v>
      </c>
    </row>
    <row r="1673" spans="1:21" x14ac:dyDescent="0.25">
      <c r="A1673" s="90" t="s">
        <v>3999</v>
      </c>
      <c r="B1673" s="119">
        <v>5</v>
      </c>
      <c r="C1673" s="90" t="s">
        <v>3997</v>
      </c>
      <c r="D1673" s="90" t="s">
        <v>78</v>
      </c>
      <c r="E1673">
        <v>3338</v>
      </c>
      <c r="F1673">
        <v>3339</v>
      </c>
      <c r="G1673" s="93" t="s">
        <v>78</v>
      </c>
      <c r="H1673" t="s">
        <v>194</v>
      </c>
      <c r="I1673">
        <v>1</v>
      </c>
      <c r="J1673">
        <v>214.52947918000001</v>
      </c>
      <c r="K1673">
        <f>I1673*J1673</f>
        <v>214.52947918000001</v>
      </c>
      <c r="L1673">
        <v>40</v>
      </c>
      <c r="M1673">
        <f>(1-(L1673/100))*K1673</f>
        <v>128.71768750800001</v>
      </c>
      <c r="N1673" s="90">
        <v>1673</v>
      </c>
      <c r="O1673" s="90" t="s">
        <v>4000</v>
      </c>
    </row>
    <row r="1674" spans="1:21" x14ac:dyDescent="0.25">
      <c r="A1674" s="90" t="s">
        <v>4001</v>
      </c>
      <c r="B1674" s="119">
        <v>4</v>
      </c>
      <c r="C1674" s="90" t="s">
        <v>3994</v>
      </c>
      <c r="D1674" s="90" t="s">
        <v>79</v>
      </c>
      <c r="E1674">
        <v>3341</v>
      </c>
      <c r="F1674">
        <v>3344</v>
      </c>
      <c r="G1674" s="93" t="s">
        <v>68</v>
      </c>
      <c r="H1674" t="s">
        <v>452</v>
      </c>
      <c r="I1674">
        <v>8</v>
      </c>
      <c r="J1674">
        <f>SUM(K1675)</f>
        <v>214.52947918000001</v>
      </c>
      <c r="K1674">
        <f>I1674*J1674</f>
        <v>1716.2358334400001</v>
      </c>
      <c r="L1674">
        <f>100*(1-(M1674/K1674))</f>
        <v>40</v>
      </c>
      <c r="M1674">
        <f>I1674*SUM(M1675)</f>
        <v>1029.7415000640001</v>
      </c>
      <c r="N1674" s="90">
        <v>1674</v>
      </c>
      <c r="O1674" s="90" t="s">
        <v>4002</v>
      </c>
      <c r="R1674" s="90" t="s">
        <v>4630</v>
      </c>
      <c r="S1674" s="90" t="s">
        <v>5694</v>
      </c>
      <c r="T1674" s="90" t="s">
        <v>6192</v>
      </c>
      <c r="U1674" s="90" t="s">
        <v>5170</v>
      </c>
    </row>
    <row r="1675" spans="1:21" x14ac:dyDescent="0.25">
      <c r="A1675" s="90" t="s">
        <v>4003</v>
      </c>
      <c r="B1675" s="119">
        <v>5</v>
      </c>
      <c r="C1675" s="90" t="s">
        <v>4001</v>
      </c>
      <c r="D1675" s="90" t="s">
        <v>78</v>
      </c>
      <c r="E1675">
        <v>3342</v>
      </c>
      <c r="F1675">
        <v>3343</v>
      </c>
      <c r="G1675" s="93" t="s">
        <v>78</v>
      </c>
      <c r="H1675" t="s">
        <v>196</v>
      </c>
      <c r="I1675">
        <v>1</v>
      </c>
      <c r="J1675">
        <v>214.52947918000001</v>
      </c>
      <c r="K1675">
        <f>I1675*J1675</f>
        <v>214.52947918000001</v>
      </c>
      <c r="L1675">
        <v>40</v>
      </c>
      <c r="M1675">
        <f>(1-(L1675/100))*K1675</f>
        <v>128.71768750800001</v>
      </c>
      <c r="N1675" s="90">
        <v>1675</v>
      </c>
      <c r="O1675" s="90" t="s">
        <v>4004</v>
      </c>
    </row>
    <row r="1676" spans="1:21" x14ac:dyDescent="0.25">
      <c r="A1676" s="90" t="s">
        <v>4005</v>
      </c>
      <c r="B1676" s="119">
        <v>4</v>
      </c>
      <c r="C1676" s="90" t="s">
        <v>3994</v>
      </c>
      <c r="D1676" s="90" t="s">
        <v>80</v>
      </c>
      <c r="E1676">
        <v>3345</v>
      </c>
      <c r="F1676">
        <v>3364</v>
      </c>
      <c r="G1676" s="93" t="s">
        <v>68</v>
      </c>
      <c r="H1676" t="s">
        <v>610</v>
      </c>
      <c r="I1676">
        <v>1</v>
      </c>
      <c r="J1676">
        <f>SUM(K1677,K1678,K1679,K1680,K1681,K1682,K1683,K1684,K1685)</f>
        <v>11176.71252644</v>
      </c>
      <c r="K1676">
        <f>I1676*J1676</f>
        <v>11176.71252644</v>
      </c>
      <c r="L1676">
        <f>100*(1-(M1676/K1676))</f>
        <v>39.999999999999993</v>
      </c>
      <c r="M1676">
        <f>I1676*SUM(M1677,M1678,M1679,M1680,M1681,M1682,M1683,M1684,M1685)</f>
        <v>6706.0275158640015</v>
      </c>
      <c r="N1676" s="90">
        <v>1676</v>
      </c>
      <c r="O1676" s="90" t="s">
        <v>4006</v>
      </c>
      <c r="R1676" s="90" t="s">
        <v>4631</v>
      </c>
      <c r="S1676" s="90" t="s">
        <v>5695</v>
      </c>
      <c r="T1676" s="90" t="s">
        <v>6193</v>
      </c>
      <c r="U1676" s="90" t="s">
        <v>5171</v>
      </c>
    </row>
    <row r="1677" spans="1:21" x14ac:dyDescent="0.25">
      <c r="A1677" s="90" t="s">
        <v>4007</v>
      </c>
      <c r="B1677" s="119">
        <v>5</v>
      </c>
      <c r="C1677" s="90" t="s">
        <v>4005</v>
      </c>
      <c r="D1677" s="90" t="s">
        <v>78</v>
      </c>
      <c r="E1677">
        <v>3346</v>
      </c>
      <c r="F1677">
        <v>3347</v>
      </c>
      <c r="G1677" s="93" t="s">
        <v>78</v>
      </c>
      <c r="H1677" t="s">
        <v>193</v>
      </c>
      <c r="I1677">
        <v>1</v>
      </c>
      <c r="J1677">
        <v>7211.7152680500003</v>
      </c>
      <c r="K1677">
        <f>I1677*J1677</f>
        <v>7211.7152680500003</v>
      </c>
      <c r="L1677">
        <v>40</v>
      </c>
      <c r="M1677">
        <f>(1-(L1677/100))*K1677</f>
        <v>4327.0291608300004</v>
      </c>
      <c r="N1677" s="90">
        <v>1677</v>
      </c>
      <c r="O1677" s="90" t="s">
        <v>4008</v>
      </c>
    </row>
    <row r="1678" spans="1:21" x14ac:dyDescent="0.25">
      <c r="A1678" s="90" t="s">
        <v>4009</v>
      </c>
      <c r="B1678" s="119">
        <v>5</v>
      </c>
      <c r="C1678" s="90" t="s">
        <v>4005</v>
      </c>
      <c r="D1678" s="90" t="s">
        <v>79</v>
      </c>
      <c r="E1678">
        <v>3348</v>
      </c>
      <c r="F1678">
        <v>3349</v>
      </c>
      <c r="G1678" s="93" t="s">
        <v>78</v>
      </c>
      <c r="H1678" t="s">
        <v>140</v>
      </c>
      <c r="I1678">
        <v>1</v>
      </c>
      <c r="J1678">
        <v>33.99</v>
      </c>
      <c r="K1678">
        <f>I1678*J1678</f>
        <v>33.99</v>
      </c>
      <c r="L1678">
        <v>40</v>
      </c>
      <c r="M1678">
        <f>(1-(L1678/100))*K1678</f>
        <v>20.394000000000002</v>
      </c>
      <c r="N1678" s="90">
        <v>1678</v>
      </c>
      <c r="O1678" s="90" t="s">
        <v>4010</v>
      </c>
    </row>
    <row r="1679" spans="1:21" x14ac:dyDescent="0.25">
      <c r="A1679" s="90" t="s">
        <v>4011</v>
      </c>
      <c r="B1679" s="119">
        <v>5</v>
      </c>
      <c r="C1679" s="90" t="s">
        <v>4005</v>
      </c>
      <c r="D1679" s="90" t="s">
        <v>80</v>
      </c>
      <c r="E1679">
        <v>3350</v>
      </c>
      <c r="F1679">
        <v>3351</v>
      </c>
      <c r="G1679" s="93" t="s">
        <v>78</v>
      </c>
      <c r="H1679" t="s">
        <v>458</v>
      </c>
      <c r="I1679">
        <v>1</v>
      </c>
      <c r="J1679">
        <v>537.64166561000002</v>
      </c>
      <c r="K1679">
        <f>I1679*J1679</f>
        <v>537.64166561000002</v>
      </c>
      <c r="L1679">
        <v>40</v>
      </c>
      <c r="M1679">
        <f>(1-(L1679/100))*K1679</f>
        <v>322.58499936599998</v>
      </c>
      <c r="N1679" s="90">
        <v>1679</v>
      </c>
      <c r="O1679" s="90" t="s">
        <v>4012</v>
      </c>
    </row>
    <row r="1680" spans="1:21" x14ac:dyDescent="0.25">
      <c r="A1680" s="90" t="s">
        <v>4013</v>
      </c>
      <c r="B1680" s="119">
        <v>5</v>
      </c>
      <c r="C1680" s="90" t="s">
        <v>4005</v>
      </c>
      <c r="D1680" s="90" t="s">
        <v>95</v>
      </c>
      <c r="E1680">
        <v>3352</v>
      </c>
      <c r="F1680">
        <v>3353</v>
      </c>
      <c r="G1680" s="93" t="s">
        <v>78</v>
      </c>
      <c r="H1680" t="s">
        <v>141</v>
      </c>
      <c r="I1680">
        <v>1</v>
      </c>
      <c r="J1680">
        <v>1625.87546161</v>
      </c>
      <c r="K1680">
        <f>I1680*J1680</f>
        <v>1625.87546161</v>
      </c>
      <c r="L1680">
        <v>40</v>
      </c>
      <c r="M1680">
        <f>(1-(L1680/100))*K1680</f>
        <v>975.52527696599998</v>
      </c>
      <c r="N1680" s="90">
        <v>1680</v>
      </c>
      <c r="O1680" s="90" t="s">
        <v>4014</v>
      </c>
    </row>
    <row r="1681" spans="1:21" x14ac:dyDescent="0.25">
      <c r="A1681" s="90" t="s">
        <v>4015</v>
      </c>
      <c r="B1681" s="119">
        <v>5</v>
      </c>
      <c r="C1681" s="90" t="s">
        <v>4005</v>
      </c>
      <c r="D1681" s="90" t="s">
        <v>96</v>
      </c>
      <c r="E1681">
        <v>3354</v>
      </c>
      <c r="F1681">
        <v>3355</v>
      </c>
      <c r="G1681" s="93" t="s">
        <v>78</v>
      </c>
      <c r="H1681" t="s">
        <v>189</v>
      </c>
      <c r="I1681">
        <v>0</v>
      </c>
      <c r="J1681">
        <v>10880.466063919999</v>
      </c>
      <c r="K1681">
        <f>I1681*J1681</f>
        <v>0</v>
      </c>
      <c r="L1681">
        <v>40</v>
      </c>
      <c r="M1681">
        <f>(1-(L1681/100))*K1681</f>
        <v>0</v>
      </c>
      <c r="N1681" s="90">
        <v>1681</v>
      </c>
      <c r="O1681" s="90" t="s">
        <v>4016</v>
      </c>
    </row>
    <row r="1682" spans="1:21" x14ac:dyDescent="0.25">
      <c r="A1682" s="90" t="s">
        <v>4017</v>
      </c>
      <c r="B1682" s="119">
        <v>5</v>
      </c>
      <c r="C1682" s="90" t="s">
        <v>4005</v>
      </c>
      <c r="D1682" s="90" t="s">
        <v>103</v>
      </c>
      <c r="E1682">
        <v>3356</v>
      </c>
      <c r="F1682">
        <v>3357</v>
      </c>
      <c r="G1682" s="93" t="s">
        <v>78</v>
      </c>
      <c r="H1682" t="s">
        <v>194</v>
      </c>
      <c r="I1682">
        <v>0</v>
      </c>
      <c r="J1682">
        <v>214.52947918000001</v>
      </c>
      <c r="K1682">
        <f>I1682*J1682</f>
        <v>0</v>
      </c>
      <c r="L1682">
        <v>40</v>
      </c>
      <c r="M1682">
        <f>(1-(L1682/100))*K1682</f>
        <v>0</v>
      </c>
      <c r="N1682" s="90">
        <v>1682</v>
      </c>
      <c r="O1682" s="90" t="s">
        <v>4018</v>
      </c>
    </row>
    <row r="1683" spans="1:21" x14ac:dyDescent="0.25">
      <c r="A1683" s="90" t="s">
        <v>4019</v>
      </c>
      <c r="B1683" s="119">
        <v>5</v>
      </c>
      <c r="C1683" s="90" t="s">
        <v>4005</v>
      </c>
      <c r="D1683" s="90" t="s">
        <v>796</v>
      </c>
      <c r="E1683">
        <v>3358</v>
      </c>
      <c r="F1683">
        <v>3359</v>
      </c>
      <c r="G1683" s="93" t="s">
        <v>78</v>
      </c>
      <c r="H1683" t="s">
        <v>196</v>
      </c>
      <c r="I1683">
        <v>0</v>
      </c>
      <c r="J1683">
        <v>214.52947918000001</v>
      </c>
      <c r="K1683">
        <f>I1683*J1683</f>
        <v>0</v>
      </c>
      <c r="L1683">
        <v>40</v>
      </c>
      <c r="M1683">
        <f>(1-(L1683/100))*K1683</f>
        <v>0</v>
      </c>
      <c r="N1683" s="90">
        <v>1683</v>
      </c>
      <c r="O1683" s="90" t="s">
        <v>4020</v>
      </c>
    </row>
    <row r="1684" spans="1:21" x14ac:dyDescent="0.25">
      <c r="A1684" s="90" t="s">
        <v>4021</v>
      </c>
      <c r="B1684" s="119">
        <v>5</v>
      </c>
      <c r="C1684" s="90" t="s">
        <v>4005</v>
      </c>
      <c r="D1684" s="90" t="s">
        <v>797</v>
      </c>
      <c r="E1684">
        <v>3360</v>
      </c>
      <c r="F1684">
        <v>3361</v>
      </c>
      <c r="G1684" s="93" t="s">
        <v>78</v>
      </c>
      <c r="H1684" t="s">
        <v>187</v>
      </c>
      <c r="I1684">
        <v>3</v>
      </c>
      <c r="J1684">
        <v>256.72991214000001</v>
      </c>
      <c r="K1684">
        <f>I1684*J1684</f>
        <v>770.18973642000003</v>
      </c>
      <c r="L1684">
        <v>40</v>
      </c>
      <c r="M1684">
        <f>(1-(L1684/100))*K1684</f>
        <v>462.11384185200001</v>
      </c>
      <c r="N1684" s="90">
        <v>1684</v>
      </c>
      <c r="O1684" s="90" t="s">
        <v>4022</v>
      </c>
    </row>
    <row r="1685" spans="1:21" x14ac:dyDescent="0.25">
      <c r="A1685" s="90" t="s">
        <v>4023</v>
      </c>
      <c r="B1685" s="119">
        <v>5</v>
      </c>
      <c r="C1685" s="90" t="s">
        <v>4005</v>
      </c>
      <c r="D1685" s="90" t="s">
        <v>798</v>
      </c>
      <c r="E1685">
        <v>3362</v>
      </c>
      <c r="F1685">
        <v>3363</v>
      </c>
      <c r="G1685" s="93" t="s">
        <v>78</v>
      </c>
      <c r="H1685" t="s">
        <v>468</v>
      </c>
      <c r="I1685">
        <v>1</v>
      </c>
      <c r="J1685">
        <v>997.30039475000001</v>
      </c>
      <c r="K1685">
        <f>I1685*J1685</f>
        <v>997.30039475000001</v>
      </c>
      <c r="L1685">
        <v>40</v>
      </c>
      <c r="M1685">
        <f>(1-(L1685/100))*K1685</f>
        <v>598.38023684999996</v>
      </c>
      <c r="N1685" s="90">
        <v>1685</v>
      </c>
      <c r="O1685" s="90" t="s">
        <v>4024</v>
      </c>
    </row>
    <row r="1686" spans="1:21" x14ac:dyDescent="0.25">
      <c r="A1686" s="90" t="s">
        <v>4025</v>
      </c>
      <c r="B1686" s="119">
        <v>4</v>
      </c>
      <c r="C1686" s="90" t="s">
        <v>3994</v>
      </c>
      <c r="D1686" s="90" t="s">
        <v>95</v>
      </c>
      <c r="E1686">
        <v>3365</v>
      </c>
      <c r="F1686">
        <v>3388</v>
      </c>
      <c r="G1686" s="93" t="s">
        <v>68</v>
      </c>
      <c r="H1686" t="s">
        <v>146</v>
      </c>
      <c r="I1686">
        <v>1</v>
      </c>
      <c r="J1686">
        <f>SUM(K1687)</f>
        <v>10018.349999999999</v>
      </c>
      <c r="K1686">
        <f>I1686*J1686</f>
        <v>10018.349999999999</v>
      </c>
      <c r="L1686">
        <f>100*(1-(M1686/K1686))</f>
        <v>39.999999999999993</v>
      </c>
      <c r="M1686">
        <f>I1686*SUM(M1687)</f>
        <v>6011.01</v>
      </c>
      <c r="N1686" s="90">
        <v>1686</v>
      </c>
      <c r="O1686" s="90" t="s">
        <v>4026</v>
      </c>
      <c r="R1686" s="90" t="s">
        <v>6425</v>
      </c>
      <c r="S1686" s="90" t="s">
        <v>6728</v>
      </c>
      <c r="T1686" s="90" t="s">
        <v>6873</v>
      </c>
      <c r="U1686" s="90" t="s">
        <v>6577</v>
      </c>
    </row>
    <row r="1687" spans="1:21" x14ac:dyDescent="0.25">
      <c r="A1687" s="90" t="s">
        <v>4027</v>
      </c>
      <c r="B1687" s="119">
        <v>5</v>
      </c>
      <c r="C1687" s="90" t="s">
        <v>4025</v>
      </c>
      <c r="D1687" s="90" t="s">
        <v>78</v>
      </c>
      <c r="E1687">
        <v>3366</v>
      </c>
      <c r="F1687">
        <v>3387</v>
      </c>
      <c r="G1687" s="93" t="s">
        <v>68</v>
      </c>
      <c r="H1687" t="s">
        <v>147</v>
      </c>
      <c r="I1687">
        <v>1</v>
      </c>
      <c r="J1687">
        <f>SUM(K1688,K1689,K1690,K1691,K1692,K1693,K1694,K1695,K1696,K1697)</f>
        <v>10018.349999999999</v>
      </c>
      <c r="K1687">
        <f>I1687*J1687</f>
        <v>10018.349999999999</v>
      </c>
      <c r="L1687">
        <f>100*(1-(M1687/K1687))</f>
        <v>39.999999999999993</v>
      </c>
      <c r="M1687">
        <f>I1687*SUM(M1688,M1689,M1690,M1691,M1692,M1693,M1694,M1695,M1696,M1697)</f>
        <v>6011.01</v>
      </c>
      <c r="N1687" s="90">
        <v>1687</v>
      </c>
      <c r="O1687" s="90" t="s">
        <v>4028</v>
      </c>
      <c r="R1687" s="90" t="s">
        <v>4632</v>
      </c>
      <c r="S1687" s="90" t="s">
        <v>5696</v>
      </c>
      <c r="T1687" s="90" t="s">
        <v>6194</v>
      </c>
      <c r="U1687" s="90" t="s">
        <v>5172</v>
      </c>
    </row>
    <row r="1688" spans="1:21" x14ac:dyDescent="0.25">
      <c r="A1688" s="90" t="s">
        <v>4029</v>
      </c>
      <c r="B1688" s="119">
        <v>6</v>
      </c>
      <c r="C1688" s="90" t="s">
        <v>4027</v>
      </c>
      <c r="D1688" s="90" t="s">
        <v>78</v>
      </c>
      <c r="E1688">
        <v>3367</v>
      </c>
      <c r="F1688">
        <v>3368</v>
      </c>
      <c r="G1688" s="93" t="s">
        <v>78</v>
      </c>
      <c r="H1688" t="s">
        <v>148</v>
      </c>
      <c r="I1688">
        <v>1</v>
      </c>
      <c r="J1688">
        <v>213.07</v>
      </c>
      <c r="K1688">
        <f>I1688*J1688</f>
        <v>213.07</v>
      </c>
      <c r="L1688">
        <v>40</v>
      </c>
      <c r="M1688">
        <f>(1-(L1688/100))*K1688</f>
        <v>127.84199999999998</v>
      </c>
      <c r="N1688" s="90">
        <v>1688</v>
      </c>
      <c r="O1688" s="90" t="s">
        <v>4030</v>
      </c>
    </row>
    <row r="1689" spans="1:21" x14ac:dyDescent="0.25">
      <c r="A1689" s="90" t="s">
        <v>4031</v>
      </c>
      <c r="B1689" s="119">
        <v>6</v>
      </c>
      <c r="C1689" s="90" t="s">
        <v>4027</v>
      </c>
      <c r="D1689" s="90" t="s">
        <v>79</v>
      </c>
      <c r="E1689">
        <v>3369</v>
      </c>
      <c r="F1689">
        <v>3370</v>
      </c>
      <c r="G1689" s="93" t="s">
        <v>78</v>
      </c>
      <c r="H1689" t="s">
        <v>149</v>
      </c>
      <c r="I1689">
        <v>6</v>
      </c>
      <c r="J1689">
        <v>15.02</v>
      </c>
      <c r="K1689">
        <f>I1689*J1689</f>
        <v>90.12</v>
      </c>
      <c r="L1689">
        <v>40</v>
      </c>
      <c r="M1689">
        <f>(1-(L1689/100))*K1689</f>
        <v>54.072000000000003</v>
      </c>
      <c r="N1689" s="90">
        <v>1689</v>
      </c>
      <c r="O1689" s="90" t="s">
        <v>4032</v>
      </c>
    </row>
    <row r="1690" spans="1:21" x14ac:dyDescent="0.25">
      <c r="A1690" s="90" t="s">
        <v>4033</v>
      </c>
      <c r="B1690" s="119">
        <v>6</v>
      </c>
      <c r="C1690" s="90" t="s">
        <v>4027</v>
      </c>
      <c r="D1690" s="90" t="s">
        <v>80</v>
      </c>
      <c r="E1690">
        <v>3371</v>
      </c>
      <c r="F1690">
        <v>3372</v>
      </c>
      <c r="G1690" s="93" t="s">
        <v>78</v>
      </c>
      <c r="H1690" t="s">
        <v>134</v>
      </c>
      <c r="I1690">
        <v>1</v>
      </c>
      <c r="J1690">
        <v>91.39</v>
      </c>
      <c r="K1690">
        <f>I1690*J1690</f>
        <v>91.39</v>
      </c>
      <c r="L1690">
        <v>40</v>
      </c>
      <c r="M1690">
        <f>(1-(L1690/100))*K1690</f>
        <v>54.833999999999996</v>
      </c>
      <c r="N1690" s="90">
        <v>1690</v>
      </c>
      <c r="O1690" s="90" t="s">
        <v>4034</v>
      </c>
    </row>
    <row r="1691" spans="1:21" x14ac:dyDescent="0.25">
      <c r="A1691" s="90" t="s">
        <v>4035</v>
      </c>
      <c r="B1691" s="119">
        <v>6</v>
      </c>
      <c r="C1691" s="90" t="s">
        <v>4027</v>
      </c>
      <c r="D1691" s="90" t="s">
        <v>95</v>
      </c>
      <c r="E1691">
        <v>3373</v>
      </c>
      <c r="F1691">
        <v>3374</v>
      </c>
      <c r="G1691" s="93" t="s">
        <v>78</v>
      </c>
      <c r="H1691" t="s">
        <v>150</v>
      </c>
      <c r="I1691">
        <v>1</v>
      </c>
      <c r="J1691">
        <v>11.44</v>
      </c>
      <c r="K1691">
        <f>I1691*J1691</f>
        <v>11.44</v>
      </c>
      <c r="L1691">
        <v>40</v>
      </c>
      <c r="M1691">
        <f>(1-(L1691/100))*K1691</f>
        <v>6.8639999999999999</v>
      </c>
      <c r="N1691" s="90">
        <v>1691</v>
      </c>
      <c r="O1691" s="90" t="s">
        <v>4036</v>
      </c>
    </row>
    <row r="1692" spans="1:21" x14ac:dyDescent="0.25">
      <c r="A1692" s="90" t="s">
        <v>4037</v>
      </c>
      <c r="B1692" s="119">
        <v>6</v>
      </c>
      <c r="C1692" s="90" t="s">
        <v>4027</v>
      </c>
      <c r="D1692" s="90" t="s">
        <v>96</v>
      </c>
      <c r="E1692">
        <v>3375</v>
      </c>
      <c r="F1692">
        <v>3376</v>
      </c>
      <c r="G1692" s="93" t="s">
        <v>78</v>
      </c>
      <c r="H1692" t="s">
        <v>151</v>
      </c>
      <c r="I1692">
        <v>1</v>
      </c>
      <c r="J1692">
        <v>27.03</v>
      </c>
      <c r="K1692">
        <f>I1692*J1692</f>
        <v>27.03</v>
      </c>
      <c r="L1692">
        <v>40</v>
      </c>
      <c r="M1692">
        <f>(1-(L1692/100))*K1692</f>
        <v>16.218</v>
      </c>
      <c r="N1692" s="90">
        <v>1692</v>
      </c>
      <c r="O1692" s="90" t="s">
        <v>4038</v>
      </c>
    </row>
    <row r="1693" spans="1:21" x14ac:dyDescent="0.25">
      <c r="A1693" s="90" t="s">
        <v>4039</v>
      </c>
      <c r="B1693" s="119">
        <v>6</v>
      </c>
      <c r="C1693" s="90" t="s">
        <v>4027</v>
      </c>
      <c r="D1693" s="90" t="s">
        <v>103</v>
      </c>
      <c r="E1693">
        <v>3377</v>
      </c>
      <c r="F1693">
        <v>3378</v>
      </c>
      <c r="G1693" s="93" t="s">
        <v>78</v>
      </c>
      <c r="H1693" t="s">
        <v>152</v>
      </c>
      <c r="I1693">
        <v>4</v>
      </c>
      <c r="J1693">
        <v>54.81</v>
      </c>
      <c r="K1693">
        <f>I1693*J1693</f>
        <v>219.24</v>
      </c>
      <c r="L1693">
        <v>40</v>
      </c>
      <c r="M1693">
        <f>(1-(L1693/100))*K1693</f>
        <v>131.54400000000001</v>
      </c>
      <c r="N1693" s="90">
        <v>1693</v>
      </c>
      <c r="O1693" s="90" t="s">
        <v>4040</v>
      </c>
    </row>
    <row r="1694" spans="1:21" x14ac:dyDescent="0.25">
      <c r="A1694" s="90" t="s">
        <v>4041</v>
      </c>
      <c r="B1694" s="119">
        <v>6</v>
      </c>
      <c r="C1694" s="90" t="s">
        <v>4027</v>
      </c>
      <c r="D1694" s="90" t="s">
        <v>796</v>
      </c>
      <c r="E1694">
        <v>3379</v>
      </c>
      <c r="F1694">
        <v>3380</v>
      </c>
      <c r="G1694" s="93" t="s">
        <v>78</v>
      </c>
      <c r="H1694" t="s">
        <v>153</v>
      </c>
      <c r="I1694">
        <v>1</v>
      </c>
      <c r="J1694">
        <v>9009.01</v>
      </c>
      <c r="K1694">
        <f>I1694*J1694</f>
        <v>9009.01</v>
      </c>
      <c r="L1694">
        <v>40</v>
      </c>
      <c r="M1694">
        <f>(1-(L1694/100))*K1694</f>
        <v>5405.4059999999999</v>
      </c>
      <c r="N1694" s="90">
        <v>1694</v>
      </c>
      <c r="O1694" s="90" t="s">
        <v>4042</v>
      </c>
    </row>
    <row r="1695" spans="1:21" x14ac:dyDescent="0.25">
      <c r="A1695" s="90" t="s">
        <v>4043</v>
      </c>
      <c r="B1695" s="119">
        <v>6</v>
      </c>
      <c r="C1695" s="90" t="s">
        <v>4027</v>
      </c>
      <c r="D1695" s="90" t="s">
        <v>797</v>
      </c>
      <c r="E1695">
        <v>3381</v>
      </c>
      <c r="F1695">
        <v>3382</v>
      </c>
      <c r="G1695" s="93" t="s">
        <v>78</v>
      </c>
      <c r="H1695" t="s">
        <v>154</v>
      </c>
      <c r="I1695">
        <v>1</v>
      </c>
      <c r="J1695">
        <v>90.09</v>
      </c>
      <c r="K1695">
        <f>I1695*J1695</f>
        <v>90.09</v>
      </c>
      <c r="L1695">
        <v>40</v>
      </c>
      <c r="M1695">
        <f>(1-(L1695/100))*K1695</f>
        <v>54.054000000000002</v>
      </c>
      <c r="N1695" s="90">
        <v>1695</v>
      </c>
      <c r="O1695" s="90" t="s">
        <v>4044</v>
      </c>
    </row>
    <row r="1696" spans="1:21" x14ac:dyDescent="0.25">
      <c r="A1696" s="90" t="s">
        <v>4045</v>
      </c>
      <c r="B1696" s="119">
        <v>6</v>
      </c>
      <c r="C1696" s="90" t="s">
        <v>4027</v>
      </c>
      <c r="D1696" s="90" t="s">
        <v>798</v>
      </c>
      <c r="E1696">
        <v>3383</v>
      </c>
      <c r="F1696">
        <v>3384</v>
      </c>
      <c r="G1696" s="93" t="s">
        <v>78</v>
      </c>
      <c r="H1696" t="s">
        <v>113</v>
      </c>
      <c r="I1696">
        <v>1</v>
      </c>
      <c r="J1696">
        <v>121.31</v>
      </c>
      <c r="K1696">
        <f>I1696*J1696</f>
        <v>121.31</v>
      </c>
      <c r="L1696">
        <v>40</v>
      </c>
      <c r="M1696">
        <f>(1-(L1696/100))*K1696</f>
        <v>72.786000000000001</v>
      </c>
      <c r="N1696" s="90">
        <v>1696</v>
      </c>
      <c r="O1696" s="90" t="s">
        <v>4046</v>
      </c>
    </row>
    <row r="1697" spans="1:21" x14ac:dyDescent="0.25">
      <c r="A1697" s="90" t="s">
        <v>4047</v>
      </c>
      <c r="B1697" s="119">
        <v>6</v>
      </c>
      <c r="C1697" s="90" t="s">
        <v>4027</v>
      </c>
      <c r="D1697" s="90" t="s">
        <v>799</v>
      </c>
      <c r="E1697">
        <v>3385</v>
      </c>
      <c r="F1697">
        <v>3386</v>
      </c>
      <c r="G1697" s="93" t="s">
        <v>78</v>
      </c>
      <c r="H1697" t="s">
        <v>155</v>
      </c>
      <c r="I1697">
        <v>1</v>
      </c>
      <c r="J1697">
        <v>145.65</v>
      </c>
      <c r="K1697">
        <f>I1697*J1697</f>
        <v>145.65</v>
      </c>
      <c r="L1697">
        <v>40</v>
      </c>
      <c r="M1697">
        <f>(1-(L1697/100))*K1697</f>
        <v>87.39</v>
      </c>
      <c r="N1697" s="90">
        <v>1697</v>
      </c>
      <c r="O1697" s="90" t="s">
        <v>4048</v>
      </c>
    </row>
    <row r="1698" spans="1:21" x14ac:dyDescent="0.25">
      <c r="A1698" s="90" t="s">
        <v>4049</v>
      </c>
      <c r="B1698" s="119">
        <v>3</v>
      </c>
      <c r="C1698" s="90" t="s">
        <v>3985</v>
      </c>
      <c r="D1698" s="90" t="s">
        <v>80</v>
      </c>
      <c r="E1698">
        <v>3390</v>
      </c>
      <c r="F1698">
        <v>3413</v>
      </c>
      <c r="G1698" s="93" t="s">
        <v>68</v>
      </c>
      <c r="H1698" t="s">
        <v>4050</v>
      </c>
      <c r="I1698">
        <v>1</v>
      </c>
      <c r="J1698">
        <f>SUM(K1699,K1701)</f>
        <v>15392.468692239996</v>
      </c>
      <c r="K1698">
        <f>I1698*J1698</f>
        <v>15392.468692239996</v>
      </c>
      <c r="L1698">
        <f>100*(1-(M1698/K1698))</f>
        <v>39.999999999999993</v>
      </c>
      <c r="M1698">
        <f>I1698*SUM(M1699,M1701)</f>
        <v>9235.4812153439998</v>
      </c>
      <c r="N1698" s="90">
        <v>1698</v>
      </c>
      <c r="O1698" s="90" t="s">
        <v>4051</v>
      </c>
      <c r="R1698" s="90" t="s">
        <v>6426</v>
      </c>
      <c r="S1698" s="90" t="s">
        <v>6729</v>
      </c>
      <c r="T1698" s="90" t="s">
        <v>6874</v>
      </c>
      <c r="U1698" s="90" t="s">
        <v>6578</v>
      </c>
    </row>
    <row r="1699" spans="1:21" x14ac:dyDescent="0.25">
      <c r="A1699" s="90" t="s">
        <v>4052</v>
      </c>
      <c r="B1699" s="119">
        <v>4</v>
      </c>
      <c r="C1699" s="90" t="s">
        <v>4049</v>
      </c>
      <c r="D1699" s="90" t="s">
        <v>78</v>
      </c>
      <c r="E1699">
        <v>3391</v>
      </c>
      <c r="F1699">
        <v>3394</v>
      </c>
      <c r="G1699" s="93" t="s">
        <v>68</v>
      </c>
      <c r="H1699" t="s">
        <v>186</v>
      </c>
      <c r="I1699">
        <v>3</v>
      </c>
      <c r="J1699">
        <f>SUM(K1700)</f>
        <v>256.72991214000001</v>
      </c>
      <c r="K1699">
        <f>I1699*J1699</f>
        <v>770.18973642000003</v>
      </c>
      <c r="L1699">
        <f>100*(1-(M1699/K1699))</f>
        <v>39.999999999999993</v>
      </c>
      <c r="M1699">
        <f>I1699*SUM(M1700)</f>
        <v>462.11384185200006</v>
      </c>
      <c r="N1699" s="90">
        <v>1699</v>
      </c>
      <c r="O1699" s="90" t="s">
        <v>4053</v>
      </c>
      <c r="R1699" s="90" t="s">
        <v>4633</v>
      </c>
      <c r="S1699" s="90" t="s">
        <v>5697</v>
      </c>
      <c r="T1699" s="90" t="s">
        <v>6195</v>
      </c>
      <c r="U1699" s="90" t="s">
        <v>5173</v>
      </c>
    </row>
    <row r="1700" spans="1:21" x14ac:dyDescent="0.25">
      <c r="A1700" s="90" t="s">
        <v>4054</v>
      </c>
      <c r="B1700" s="119">
        <v>5</v>
      </c>
      <c r="C1700" s="90" t="s">
        <v>4052</v>
      </c>
      <c r="D1700" s="90" t="s">
        <v>78</v>
      </c>
      <c r="E1700">
        <v>3392</v>
      </c>
      <c r="F1700">
        <v>3393</v>
      </c>
      <c r="G1700" s="93" t="s">
        <v>78</v>
      </c>
      <c r="H1700" t="s">
        <v>187</v>
      </c>
      <c r="I1700">
        <v>1</v>
      </c>
      <c r="J1700">
        <v>256.72991214000001</v>
      </c>
      <c r="K1700">
        <f>I1700*J1700</f>
        <v>256.72991214000001</v>
      </c>
      <c r="L1700">
        <v>40</v>
      </c>
      <c r="M1700">
        <f>(1-(L1700/100))*K1700</f>
        <v>154.03794728400001</v>
      </c>
      <c r="N1700" s="90">
        <v>1700</v>
      </c>
      <c r="O1700" s="90" t="s">
        <v>4055</v>
      </c>
    </row>
    <row r="1701" spans="1:21" x14ac:dyDescent="0.25">
      <c r="A1701" s="90" t="s">
        <v>4056</v>
      </c>
      <c r="B1701" s="119">
        <v>4</v>
      </c>
      <c r="C1701" s="90" t="s">
        <v>4049</v>
      </c>
      <c r="D1701" s="90" t="s">
        <v>79</v>
      </c>
      <c r="E1701">
        <v>3395</v>
      </c>
      <c r="F1701">
        <v>3412</v>
      </c>
      <c r="G1701" s="93" t="s">
        <v>68</v>
      </c>
      <c r="H1701" t="s">
        <v>337</v>
      </c>
      <c r="I1701">
        <v>1</v>
      </c>
      <c r="J1701">
        <f>SUM(K1702,K1703,K1704,K1705,K1706,K1707,K1708,K1709)</f>
        <v>14622.278955819997</v>
      </c>
      <c r="K1701">
        <f>I1701*J1701</f>
        <v>14622.278955819997</v>
      </c>
      <c r="L1701">
        <f>100*(1-(M1701/K1701))</f>
        <v>39.999999999999993</v>
      </c>
      <c r="M1701">
        <f>I1701*SUM(M1702,M1703,M1704,M1705,M1706,M1707,M1708,M1709)</f>
        <v>8773.3673734919994</v>
      </c>
      <c r="N1701" s="90">
        <v>1701</v>
      </c>
      <c r="O1701" s="90" t="s">
        <v>4057</v>
      </c>
      <c r="R1701" s="90" t="s">
        <v>4634</v>
      </c>
      <c r="S1701" s="90" t="s">
        <v>5698</v>
      </c>
      <c r="T1701" s="90" t="s">
        <v>6196</v>
      </c>
      <c r="U1701" s="90" t="s">
        <v>5174</v>
      </c>
    </row>
    <row r="1702" spans="1:21" x14ac:dyDescent="0.25">
      <c r="A1702" s="90" t="s">
        <v>4058</v>
      </c>
      <c r="B1702" s="119">
        <v>5</v>
      </c>
      <c r="C1702" s="90" t="s">
        <v>4056</v>
      </c>
      <c r="D1702" s="90" t="s">
        <v>78</v>
      </c>
      <c r="E1702">
        <v>3396</v>
      </c>
      <c r="F1702">
        <v>3397</v>
      </c>
      <c r="G1702" s="93" t="s">
        <v>78</v>
      </c>
      <c r="H1702" t="s">
        <v>189</v>
      </c>
      <c r="I1702">
        <v>1</v>
      </c>
      <c r="J1702">
        <v>10880.466063919999</v>
      </c>
      <c r="K1702">
        <f>I1702*J1702</f>
        <v>10880.466063919999</v>
      </c>
      <c r="L1702">
        <v>40</v>
      </c>
      <c r="M1702">
        <f>(1-(L1702/100))*K1702</f>
        <v>6528.279638351999</v>
      </c>
      <c r="N1702" s="90">
        <v>1702</v>
      </c>
      <c r="O1702" s="90" t="s">
        <v>4059</v>
      </c>
    </row>
    <row r="1703" spans="1:21" x14ac:dyDescent="0.25">
      <c r="A1703" s="90" t="s">
        <v>4060</v>
      </c>
      <c r="B1703" s="119">
        <v>5</v>
      </c>
      <c r="C1703" s="90" t="s">
        <v>4056</v>
      </c>
      <c r="D1703" s="90" t="s">
        <v>79</v>
      </c>
      <c r="E1703">
        <v>3398</v>
      </c>
      <c r="F1703">
        <v>3399</v>
      </c>
      <c r="G1703" s="93" t="s">
        <v>78</v>
      </c>
      <c r="H1703" t="s">
        <v>140</v>
      </c>
      <c r="I1703">
        <v>1</v>
      </c>
      <c r="J1703">
        <v>33.99</v>
      </c>
      <c r="K1703">
        <f>I1703*J1703</f>
        <v>33.99</v>
      </c>
      <c r="L1703">
        <v>40</v>
      </c>
      <c r="M1703">
        <f>(1-(L1703/100))*K1703</f>
        <v>20.394000000000002</v>
      </c>
      <c r="N1703" s="90">
        <v>1703</v>
      </c>
      <c r="O1703" s="90" t="s">
        <v>4061</v>
      </c>
    </row>
    <row r="1704" spans="1:21" x14ac:dyDescent="0.25">
      <c r="A1704" s="90" t="s">
        <v>4062</v>
      </c>
      <c r="B1704" s="119">
        <v>5</v>
      </c>
      <c r="C1704" s="90" t="s">
        <v>4056</v>
      </c>
      <c r="D1704" s="90" t="s">
        <v>80</v>
      </c>
      <c r="E1704">
        <v>3400</v>
      </c>
      <c r="F1704">
        <v>3401</v>
      </c>
      <c r="G1704" s="93" t="s">
        <v>78</v>
      </c>
      <c r="H1704" t="s">
        <v>141</v>
      </c>
      <c r="I1704">
        <v>1</v>
      </c>
      <c r="J1704">
        <v>1625.87546161</v>
      </c>
      <c r="K1704">
        <f>I1704*J1704</f>
        <v>1625.87546161</v>
      </c>
      <c r="L1704">
        <v>40</v>
      </c>
      <c r="M1704">
        <f>(1-(L1704/100))*K1704</f>
        <v>975.52527696599998</v>
      </c>
      <c r="N1704" s="90">
        <v>1704</v>
      </c>
      <c r="O1704" s="90" t="s">
        <v>4063</v>
      </c>
    </row>
    <row r="1705" spans="1:21" x14ac:dyDescent="0.25">
      <c r="A1705" s="90" t="s">
        <v>4064</v>
      </c>
      <c r="B1705" s="119">
        <v>5</v>
      </c>
      <c r="C1705" s="90" t="s">
        <v>4056</v>
      </c>
      <c r="D1705" s="90" t="s">
        <v>95</v>
      </c>
      <c r="E1705">
        <v>3402</v>
      </c>
      <c r="F1705">
        <v>3403</v>
      </c>
      <c r="G1705" s="93" t="s">
        <v>78</v>
      </c>
      <c r="H1705" t="s">
        <v>191</v>
      </c>
      <c r="I1705">
        <v>1</v>
      </c>
      <c r="J1705">
        <v>862.86769387000004</v>
      </c>
      <c r="K1705">
        <f>I1705*J1705</f>
        <v>862.86769387000004</v>
      </c>
      <c r="L1705">
        <v>40</v>
      </c>
      <c r="M1705">
        <f>(1-(L1705/100))*K1705</f>
        <v>517.72061632199996</v>
      </c>
      <c r="N1705" s="90">
        <v>1705</v>
      </c>
      <c r="O1705" s="90" t="s">
        <v>4065</v>
      </c>
    </row>
    <row r="1706" spans="1:21" x14ac:dyDescent="0.25">
      <c r="A1706" s="90" t="s">
        <v>4066</v>
      </c>
      <c r="B1706" s="119">
        <v>5</v>
      </c>
      <c r="C1706" s="90" t="s">
        <v>4056</v>
      </c>
      <c r="D1706" s="90" t="s">
        <v>96</v>
      </c>
      <c r="E1706">
        <v>3404</v>
      </c>
      <c r="F1706">
        <v>3405</v>
      </c>
      <c r="G1706" s="93" t="s">
        <v>78</v>
      </c>
      <c r="H1706" t="s">
        <v>301</v>
      </c>
      <c r="I1706">
        <v>1</v>
      </c>
      <c r="J1706">
        <v>448.89</v>
      </c>
      <c r="K1706">
        <f>I1706*J1706</f>
        <v>448.89</v>
      </c>
      <c r="L1706">
        <v>40</v>
      </c>
      <c r="M1706">
        <f>(1-(L1706/100))*K1706</f>
        <v>269.334</v>
      </c>
      <c r="N1706" s="90">
        <v>1706</v>
      </c>
      <c r="O1706" s="90" t="s">
        <v>4067</v>
      </c>
    </row>
    <row r="1707" spans="1:21" x14ac:dyDescent="0.25">
      <c r="A1707" s="90" t="s">
        <v>4068</v>
      </c>
      <c r="B1707" s="119">
        <v>5</v>
      </c>
      <c r="C1707" s="90" t="s">
        <v>4056</v>
      </c>
      <c r="D1707" s="90" t="s">
        <v>103</v>
      </c>
      <c r="E1707">
        <v>3406</v>
      </c>
      <c r="F1707">
        <v>3407</v>
      </c>
      <c r="G1707" s="93" t="s">
        <v>78</v>
      </c>
      <c r="H1707" t="s">
        <v>194</v>
      </c>
      <c r="I1707">
        <v>0</v>
      </c>
      <c r="J1707">
        <v>214.52947918000001</v>
      </c>
      <c r="K1707">
        <f>I1707*J1707</f>
        <v>0</v>
      </c>
      <c r="L1707">
        <v>40</v>
      </c>
      <c r="M1707">
        <f>(1-(L1707/100))*K1707</f>
        <v>0</v>
      </c>
      <c r="N1707" s="90">
        <v>1707</v>
      </c>
      <c r="O1707" s="90" t="s">
        <v>4069</v>
      </c>
    </row>
    <row r="1708" spans="1:21" x14ac:dyDescent="0.25">
      <c r="A1708" s="90" t="s">
        <v>4070</v>
      </c>
      <c r="B1708" s="119">
        <v>5</v>
      </c>
      <c r="C1708" s="90" t="s">
        <v>4056</v>
      </c>
      <c r="D1708" s="90" t="s">
        <v>796</v>
      </c>
      <c r="E1708">
        <v>3408</v>
      </c>
      <c r="F1708">
        <v>3409</v>
      </c>
      <c r="G1708" s="93" t="s">
        <v>78</v>
      </c>
      <c r="H1708" t="s">
        <v>196</v>
      </c>
      <c r="I1708">
        <v>0</v>
      </c>
      <c r="J1708">
        <v>214.52947918000001</v>
      </c>
      <c r="K1708">
        <f>I1708*J1708</f>
        <v>0</v>
      </c>
      <c r="L1708">
        <v>40</v>
      </c>
      <c r="M1708">
        <f>(1-(L1708/100))*K1708</f>
        <v>0</v>
      </c>
      <c r="N1708" s="90">
        <v>1708</v>
      </c>
      <c r="O1708" s="90" t="s">
        <v>4071</v>
      </c>
    </row>
    <row r="1709" spans="1:21" x14ac:dyDescent="0.25">
      <c r="A1709" s="90" t="s">
        <v>4072</v>
      </c>
      <c r="B1709" s="119">
        <v>5</v>
      </c>
      <c r="C1709" s="90" t="s">
        <v>4056</v>
      </c>
      <c r="D1709" s="90" t="s">
        <v>797</v>
      </c>
      <c r="E1709">
        <v>3410</v>
      </c>
      <c r="F1709">
        <v>3411</v>
      </c>
      <c r="G1709" s="93" t="s">
        <v>78</v>
      </c>
      <c r="H1709" t="s">
        <v>187</v>
      </c>
      <c r="I1709">
        <v>3</v>
      </c>
      <c r="J1709">
        <v>256.72991214000001</v>
      </c>
      <c r="K1709">
        <f>I1709*J1709</f>
        <v>770.18973642000003</v>
      </c>
      <c r="L1709">
        <v>40</v>
      </c>
      <c r="M1709">
        <f>(1-(L1709/100))*K1709</f>
        <v>462.11384185200001</v>
      </c>
      <c r="N1709" s="90">
        <v>1709</v>
      </c>
      <c r="O1709" s="90" t="s">
        <v>4073</v>
      </c>
    </row>
    <row r="1710" spans="1:21" x14ac:dyDescent="0.25">
      <c r="A1710" s="90" t="s">
        <v>4074</v>
      </c>
      <c r="B1710" s="119">
        <v>3</v>
      </c>
      <c r="C1710" s="90" t="s">
        <v>3985</v>
      </c>
      <c r="D1710" s="90" t="s">
        <v>95</v>
      </c>
      <c r="E1710">
        <v>3414</v>
      </c>
      <c r="F1710">
        <v>3419</v>
      </c>
      <c r="G1710" s="93" t="s">
        <v>68</v>
      </c>
      <c r="H1710" t="s">
        <v>4075</v>
      </c>
      <c r="I1710">
        <v>1</v>
      </c>
      <c r="J1710">
        <f>SUM(K1711)</f>
        <v>333.63045970000002</v>
      </c>
      <c r="K1710">
        <f>I1710*J1710</f>
        <v>333.63045970000002</v>
      </c>
      <c r="L1710">
        <f>100*(1-(M1710/K1710))</f>
        <v>76</v>
      </c>
      <c r="M1710">
        <f>I1710*SUM(M1711)</f>
        <v>80.071310327999996</v>
      </c>
      <c r="N1710" s="90">
        <v>1710</v>
      </c>
      <c r="O1710" s="90" t="s">
        <v>4076</v>
      </c>
      <c r="R1710" s="90" t="s">
        <v>6427</v>
      </c>
      <c r="S1710" s="90" t="s">
        <v>6730</v>
      </c>
      <c r="T1710" s="90" t="s">
        <v>6875</v>
      </c>
      <c r="U1710" s="90" t="s">
        <v>6579</v>
      </c>
    </row>
    <row r="1711" spans="1:21" x14ac:dyDescent="0.25">
      <c r="A1711" s="90" t="s">
        <v>4077</v>
      </c>
      <c r="B1711" s="119">
        <v>4</v>
      </c>
      <c r="C1711" s="90" t="s">
        <v>4074</v>
      </c>
      <c r="D1711" s="90" t="s">
        <v>78</v>
      </c>
      <c r="E1711">
        <v>3415</v>
      </c>
      <c r="F1711">
        <v>3418</v>
      </c>
      <c r="G1711" s="93" t="s">
        <v>68</v>
      </c>
      <c r="H1711" t="s">
        <v>399</v>
      </c>
      <c r="I1711">
        <v>1</v>
      </c>
      <c r="J1711">
        <f>SUM(K1712)</f>
        <v>333.63045970000002</v>
      </c>
      <c r="K1711">
        <f>I1711*J1711</f>
        <v>333.63045970000002</v>
      </c>
      <c r="L1711">
        <f>100*(1-(M1711/K1711))</f>
        <v>76</v>
      </c>
      <c r="M1711">
        <f>I1711*SUM(M1712)</f>
        <v>80.071310327999996</v>
      </c>
      <c r="N1711" s="90">
        <v>1711</v>
      </c>
      <c r="O1711" s="90" t="s">
        <v>4078</v>
      </c>
      <c r="R1711" s="90" t="s">
        <v>4635</v>
      </c>
      <c r="S1711" s="90" t="s">
        <v>5699</v>
      </c>
      <c r="T1711" s="90" t="s">
        <v>6197</v>
      </c>
      <c r="U1711" s="90" t="s">
        <v>5175</v>
      </c>
    </row>
    <row r="1712" spans="1:21" x14ac:dyDescent="0.25">
      <c r="A1712" s="90" t="s">
        <v>4079</v>
      </c>
      <c r="B1712" s="119">
        <v>5</v>
      </c>
      <c r="C1712" s="90" t="s">
        <v>4077</v>
      </c>
      <c r="D1712" s="90" t="s">
        <v>78</v>
      </c>
      <c r="E1712">
        <v>3416</v>
      </c>
      <c r="F1712">
        <v>3417</v>
      </c>
      <c r="G1712" s="93" t="s">
        <v>78</v>
      </c>
      <c r="H1712" t="s">
        <v>401</v>
      </c>
      <c r="I1712">
        <v>1</v>
      </c>
      <c r="J1712">
        <v>333.63045970000002</v>
      </c>
      <c r="K1712">
        <f>I1712*J1712</f>
        <v>333.63045970000002</v>
      </c>
      <c r="L1712">
        <v>76</v>
      </c>
      <c r="M1712">
        <f>(1-(L1712/100))*K1712</f>
        <v>80.071310327999996</v>
      </c>
      <c r="N1712" s="90">
        <v>1712</v>
      </c>
      <c r="O1712" s="90" t="s">
        <v>4080</v>
      </c>
    </row>
    <row r="1713" spans="1:21" x14ac:dyDescent="0.25">
      <c r="A1713" s="90" t="s">
        <v>4081</v>
      </c>
      <c r="B1713" s="119">
        <v>3</v>
      </c>
      <c r="C1713" s="90" t="s">
        <v>3985</v>
      </c>
      <c r="D1713" s="90" t="s">
        <v>96</v>
      </c>
      <c r="E1713">
        <v>3420</v>
      </c>
      <c r="F1713">
        <v>3425</v>
      </c>
      <c r="G1713" s="93" t="s">
        <v>68</v>
      </c>
      <c r="H1713" t="s">
        <v>4082</v>
      </c>
      <c r="I1713">
        <v>1</v>
      </c>
      <c r="J1713">
        <f>SUM(K1714)</f>
        <v>1749.64981536</v>
      </c>
      <c r="K1713">
        <f>I1713*J1713</f>
        <v>1749.64981536</v>
      </c>
      <c r="L1713">
        <f>100*(1-(M1713/K1713))</f>
        <v>88</v>
      </c>
      <c r="M1713">
        <f>I1713*SUM(M1714)</f>
        <v>209.95797784319998</v>
      </c>
      <c r="N1713" s="90">
        <v>1713</v>
      </c>
      <c r="O1713" s="90" t="s">
        <v>4083</v>
      </c>
      <c r="R1713" s="90" t="s">
        <v>6428</v>
      </c>
      <c r="S1713" s="90" t="s">
        <v>6731</v>
      </c>
      <c r="T1713" s="90" t="s">
        <v>6876</v>
      </c>
      <c r="U1713" s="90" t="s">
        <v>6580</v>
      </c>
    </row>
    <row r="1714" spans="1:21" x14ac:dyDescent="0.25">
      <c r="A1714" s="90" t="s">
        <v>4084</v>
      </c>
      <c r="B1714" s="119">
        <v>4</v>
      </c>
      <c r="C1714" s="90" t="s">
        <v>4081</v>
      </c>
      <c r="D1714" s="90" t="s">
        <v>78</v>
      </c>
      <c r="E1714">
        <v>3421</v>
      </c>
      <c r="F1714">
        <v>3424</v>
      </c>
      <c r="G1714" s="93" t="s">
        <v>68</v>
      </c>
      <c r="H1714" t="s">
        <v>422</v>
      </c>
      <c r="I1714">
        <v>1</v>
      </c>
      <c r="J1714">
        <f>SUM(K1715)</f>
        <v>1749.64981536</v>
      </c>
      <c r="K1714">
        <f>I1714*J1714</f>
        <v>1749.64981536</v>
      </c>
      <c r="L1714">
        <f>100*(1-(M1714/K1714))</f>
        <v>88</v>
      </c>
      <c r="M1714">
        <f>I1714*SUM(M1715)</f>
        <v>209.95797784319998</v>
      </c>
      <c r="N1714" s="90">
        <v>1714</v>
      </c>
      <c r="O1714" s="90" t="s">
        <v>4085</v>
      </c>
      <c r="R1714" s="90" t="s">
        <v>4636</v>
      </c>
      <c r="S1714" s="90" t="s">
        <v>5700</v>
      </c>
      <c r="T1714" s="90" t="s">
        <v>6198</v>
      </c>
      <c r="U1714" s="90" t="s">
        <v>5176</v>
      </c>
    </row>
    <row r="1715" spans="1:21" x14ac:dyDescent="0.25">
      <c r="A1715" s="90" t="s">
        <v>4086</v>
      </c>
      <c r="B1715" s="119">
        <v>5</v>
      </c>
      <c r="C1715" s="90" t="s">
        <v>4084</v>
      </c>
      <c r="D1715" s="90" t="s">
        <v>78</v>
      </c>
      <c r="E1715">
        <v>3422</v>
      </c>
      <c r="F1715">
        <v>3423</v>
      </c>
      <c r="G1715" s="93" t="s">
        <v>78</v>
      </c>
      <c r="H1715" t="s">
        <v>424</v>
      </c>
      <c r="I1715">
        <v>1</v>
      </c>
      <c r="J1715">
        <v>1749.64981536</v>
      </c>
      <c r="K1715">
        <f>I1715*J1715</f>
        <v>1749.64981536</v>
      </c>
      <c r="L1715">
        <v>88</v>
      </c>
      <c r="M1715">
        <f>(1-(L1715/100))*K1715</f>
        <v>209.95797784319998</v>
      </c>
      <c r="N1715" s="90">
        <v>1715</v>
      </c>
      <c r="O1715" s="90" t="s">
        <v>4087</v>
      </c>
    </row>
    <row r="1716" spans="1:21" x14ac:dyDescent="0.25">
      <c r="A1716" s="90" t="s">
        <v>4088</v>
      </c>
      <c r="B1716" s="119">
        <v>2</v>
      </c>
      <c r="C1716" s="90" t="s">
        <v>78</v>
      </c>
      <c r="D1716" s="90" t="s">
        <v>91</v>
      </c>
      <c r="E1716">
        <v>3427</v>
      </c>
      <c r="F1716">
        <v>3576</v>
      </c>
      <c r="G1716" s="93" t="s">
        <v>68</v>
      </c>
      <c r="H1716" t="s">
        <v>4089</v>
      </c>
      <c r="I1716">
        <v>1</v>
      </c>
      <c r="J1716">
        <f>SUM(K1717,K1738,K1747,K1755,K1778,K1785,K1788)</f>
        <v>62092.541977639987</v>
      </c>
      <c r="K1716">
        <f>I1716*J1716</f>
        <v>62092.541977639987</v>
      </c>
      <c r="L1716">
        <f>100*(1-(M1716/K1716))</f>
        <v>41.545980960500017</v>
      </c>
      <c r="M1716">
        <f>I1716*SUM(M1717,M1738,M1747,M1755,M1778,M1785,M1788)</f>
        <v>36295.586309719198</v>
      </c>
      <c r="N1716" s="90">
        <v>1716</v>
      </c>
      <c r="O1716" s="90" t="s">
        <v>4090</v>
      </c>
      <c r="R1716" s="90" t="s">
        <v>6952</v>
      </c>
      <c r="S1716" s="90" t="s">
        <v>7049</v>
      </c>
      <c r="T1716" s="90" t="s">
        <v>7095</v>
      </c>
      <c r="U1716" s="90" t="s">
        <v>7001</v>
      </c>
    </row>
    <row r="1717" spans="1:21" x14ac:dyDescent="0.25">
      <c r="A1717" s="90" t="s">
        <v>4091</v>
      </c>
      <c r="B1717" s="119">
        <v>3</v>
      </c>
      <c r="C1717" s="90" t="s">
        <v>4088</v>
      </c>
      <c r="D1717" s="90" t="s">
        <v>78</v>
      </c>
      <c r="E1717">
        <v>3428</v>
      </c>
      <c r="F1717">
        <v>3469</v>
      </c>
      <c r="G1717" s="93" t="s">
        <v>68</v>
      </c>
      <c r="H1717" t="s">
        <v>4092</v>
      </c>
      <c r="I1717">
        <v>1</v>
      </c>
      <c r="J1717">
        <f>SUM(K1718,K1723,K1735)</f>
        <v>19566.169442259998</v>
      </c>
      <c r="K1717">
        <f>I1717*J1717</f>
        <v>19566.169442259998</v>
      </c>
      <c r="L1717">
        <f>100*(1-(M1717/K1717))</f>
        <v>39.999999999999993</v>
      </c>
      <c r="M1717">
        <f>I1717*SUM(M1718,M1723,M1735)</f>
        <v>11739.701665356</v>
      </c>
      <c r="N1717" s="90">
        <v>1717</v>
      </c>
      <c r="O1717" s="90" t="s">
        <v>4093</v>
      </c>
      <c r="R1717" s="90" t="s">
        <v>6429</v>
      </c>
      <c r="S1717" s="90" t="s">
        <v>6732</v>
      </c>
      <c r="T1717" s="90" t="s">
        <v>6877</v>
      </c>
      <c r="U1717" s="90" t="s">
        <v>6581</v>
      </c>
    </row>
    <row r="1718" spans="1:21" x14ac:dyDescent="0.25">
      <c r="A1718" s="90" t="s">
        <v>4094</v>
      </c>
      <c r="B1718" s="119">
        <v>4</v>
      </c>
      <c r="C1718" s="90" t="s">
        <v>4091</v>
      </c>
      <c r="D1718" s="90" t="s">
        <v>78</v>
      </c>
      <c r="E1718">
        <v>3429</v>
      </c>
      <c r="F1718">
        <v>3438</v>
      </c>
      <c r="G1718" s="93" t="s">
        <v>68</v>
      </c>
      <c r="H1718" t="s">
        <v>3313</v>
      </c>
      <c r="I1718">
        <v>1</v>
      </c>
      <c r="J1718">
        <f>SUM(K1719)</f>
        <v>709.71</v>
      </c>
      <c r="K1718">
        <f>I1718*J1718</f>
        <v>709.71</v>
      </c>
      <c r="L1718">
        <f>100*(1-(M1718/K1718))</f>
        <v>40.000000000000014</v>
      </c>
      <c r="M1718">
        <f>I1718*SUM(M1719)</f>
        <v>425.82599999999996</v>
      </c>
      <c r="N1718" s="90">
        <v>1718</v>
      </c>
      <c r="O1718" s="90" t="s">
        <v>4095</v>
      </c>
      <c r="R1718" s="90" t="s">
        <v>6430</v>
      </c>
      <c r="S1718" s="90" t="s">
        <v>6733</v>
      </c>
      <c r="T1718" s="90" t="s">
        <v>6878</v>
      </c>
      <c r="U1718" s="90" t="s">
        <v>6582</v>
      </c>
    </row>
    <row r="1719" spans="1:21" x14ac:dyDescent="0.25">
      <c r="A1719" s="90" t="s">
        <v>4096</v>
      </c>
      <c r="B1719" s="119">
        <v>5</v>
      </c>
      <c r="C1719" s="90" t="s">
        <v>4094</v>
      </c>
      <c r="D1719" s="90" t="s">
        <v>78</v>
      </c>
      <c r="E1719">
        <v>3430</v>
      </c>
      <c r="F1719">
        <v>3437</v>
      </c>
      <c r="G1719" s="93" t="s">
        <v>68</v>
      </c>
      <c r="H1719" t="s">
        <v>3316</v>
      </c>
      <c r="I1719">
        <v>1</v>
      </c>
      <c r="J1719">
        <f>SUM(K1720,K1721,K1722)</f>
        <v>709.71</v>
      </c>
      <c r="K1719">
        <f>I1719*J1719</f>
        <v>709.71</v>
      </c>
      <c r="L1719">
        <f>100*(1-(M1719/K1719))</f>
        <v>40.000000000000014</v>
      </c>
      <c r="M1719">
        <f>I1719*SUM(M1720,M1721,M1722)</f>
        <v>425.82599999999996</v>
      </c>
      <c r="N1719" s="90">
        <v>1719</v>
      </c>
      <c r="O1719" s="90" t="s">
        <v>4097</v>
      </c>
      <c r="R1719" s="90" t="s">
        <v>4637</v>
      </c>
      <c r="S1719" s="90" t="s">
        <v>5701</v>
      </c>
      <c r="T1719" s="90" t="s">
        <v>6199</v>
      </c>
      <c r="U1719" s="90" t="s">
        <v>5177</v>
      </c>
    </row>
    <row r="1720" spans="1:21" x14ac:dyDescent="0.25">
      <c r="A1720" s="90" t="s">
        <v>4098</v>
      </c>
      <c r="B1720" s="119">
        <v>6</v>
      </c>
      <c r="C1720" s="90" t="s">
        <v>4096</v>
      </c>
      <c r="D1720" s="90" t="s">
        <v>78</v>
      </c>
      <c r="E1720">
        <v>3431</v>
      </c>
      <c r="F1720">
        <v>3432</v>
      </c>
      <c r="G1720" s="93" t="s">
        <v>78</v>
      </c>
      <c r="H1720" t="s">
        <v>3319</v>
      </c>
      <c r="I1720">
        <v>1</v>
      </c>
      <c r="J1720">
        <v>96.1</v>
      </c>
      <c r="K1720">
        <f>I1720*J1720</f>
        <v>96.1</v>
      </c>
      <c r="L1720">
        <v>40</v>
      </c>
      <c r="M1720">
        <f>(1-(L1720/100))*K1720</f>
        <v>57.66</v>
      </c>
      <c r="N1720" s="90">
        <v>1720</v>
      </c>
      <c r="O1720" s="90" t="s">
        <v>4099</v>
      </c>
    </row>
    <row r="1721" spans="1:21" x14ac:dyDescent="0.25">
      <c r="A1721" s="90" t="s">
        <v>4100</v>
      </c>
      <c r="B1721" s="119">
        <v>6</v>
      </c>
      <c r="C1721" s="90" t="s">
        <v>4096</v>
      </c>
      <c r="D1721" s="90" t="s">
        <v>79</v>
      </c>
      <c r="E1721">
        <v>3433</v>
      </c>
      <c r="F1721">
        <v>3434</v>
      </c>
      <c r="G1721" s="93" t="s">
        <v>78</v>
      </c>
      <c r="H1721" t="s">
        <v>3322</v>
      </c>
      <c r="I1721">
        <v>1</v>
      </c>
      <c r="J1721">
        <v>84.08</v>
      </c>
      <c r="K1721">
        <f>I1721*J1721</f>
        <v>84.08</v>
      </c>
      <c r="L1721">
        <v>40</v>
      </c>
      <c r="M1721">
        <f>(1-(L1721/100))*K1721</f>
        <v>50.448</v>
      </c>
      <c r="N1721" s="90">
        <v>1721</v>
      </c>
      <c r="O1721" s="90" t="s">
        <v>4101</v>
      </c>
    </row>
    <row r="1722" spans="1:21" x14ac:dyDescent="0.25">
      <c r="A1722" s="90" t="s">
        <v>4102</v>
      </c>
      <c r="B1722" s="119">
        <v>6</v>
      </c>
      <c r="C1722" s="90" t="s">
        <v>4096</v>
      </c>
      <c r="D1722" s="90" t="s">
        <v>80</v>
      </c>
      <c r="E1722">
        <v>3435</v>
      </c>
      <c r="F1722">
        <v>3436</v>
      </c>
      <c r="G1722" s="93" t="s">
        <v>78</v>
      </c>
      <c r="H1722" t="s">
        <v>3325</v>
      </c>
      <c r="I1722">
        <v>1</v>
      </c>
      <c r="J1722">
        <v>529.53</v>
      </c>
      <c r="K1722">
        <f>I1722*J1722</f>
        <v>529.53</v>
      </c>
      <c r="L1722">
        <v>40</v>
      </c>
      <c r="M1722">
        <f>(1-(L1722/100))*K1722</f>
        <v>317.71799999999996</v>
      </c>
      <c r="N1722" s="90">
        <v>1722</v>
      </c>
      <c r="O1722" s="90" t="s">
        <v>4103</v>
      </c>
    </row>
    <row r="1723" spans="1:21" x14ac:dyDescent="0.25">
      <c r="A1723" s="90" t="s">
        <v>4104</v>
      </c>
      <c r="B1723" s="119">
        <v>4</v>
      </c>
      <c r="C1723" s="90" t="s">
        <v>4091</v>
      </c>
      <c r="D1723" s="90" t="s">
        <v>79</v>
      </c>
      <c r="E1723">
        <v>3439</v>
      </c>
      <c r="F1723">
        <v>3462</v>
      </c>
      <c r="G1723" s="93" t="s">
        <v>68</v>
      </c>
      <c r="H1723" t="s">
        <v>3328</v>
      </c>
      <c r="I1723">
        <v>2</v>
      </c>
      <c r="J1723">
        <f>SUM(K1724,K1725,K1726,K1727,K1728,K1729,K1730,K1731,K1732,K1733,K1734)</f>
        <v>9132.2297211299992</v>
      </c>
      <c r="K1723">
        <f>I1723*J1723</f>
        <v>18264.459442259998</v>
      </c>
      <c r="L1723">
        <f>100*(1-(M1723/K1723))</f>
        <v>39.999999999999993</v>
      </c>
      <c r="M1723">
        <f>I1723*SUM(M1724,M1725,M1726,M1727,M1728,M1729,M1730,M1731,M1732,M1733,M1734)</f>
        <v>10958.675665356001</v>
      </c>
      <c r="N1723" s="90">
        <v>1723</v>
      </c>
      <c r="O1723" s="90" t="s">
        <v>4105</v>
      </c>
      <c r="R1723" s="90" t="s">
        <v>4638</v>
      </c>
      <c r="S1723" s="90" t="s">
        <v>5702</v>
      </c>
      <c r="T1723" s="90" t="s">
        <v>6200</v>
      </c>
      <c r="U1723" s="90" t="s">
        <v>5178</v>
      </c>
    </row>
    <row r="1724" spans="1:21" x14ac:dyDescent="0.25">
      <c r="A1724" s="90" t="s">
        <v>4106</v>
      </c>
      <c r="B1724" s="119">
        <v>5</v>
      </c>
      <c r="C1724" s="90" t="s">
        <v>4104</v>
      </c>
      <c r="D1724" s="90" t="s">
        <v>78</v>
      </c>
      <c r="E1724">
        <v>3440</v>
      </c>
      <c r="F1724">
        <v>3441</v>
      </c>
      <c r="G1724" s="93" t="s">
        <v>78</v>
      </c>
      <c r="H1724" t="s">
        <v>119</v>
      </c>
      <c r="I1724">
        <v>1</v>
      </c>
      <c r="J1724">
        <v>594.85546925000006</v>
      </c>
      <c r="K1724">
        <f>I1724*J1724</f>
        <v>594.85546925000006</v>
      </c>
      <c r="L1724">
        <v>40</v>
      </c>
      <c r="M1724">
        <f>(1-(L1724/100))*K1724</f>
        <v>356.91328155000002</v>
      </c>
      <c r="N1724" s="90">
        <v>1724</v>
      </c>
      <c r="O1724" s="90" t="s">
        <v>4107</v>
      </c>
    </row>
    <row r="1725" spans="1:21" x14ac:dyDescent="0.25">
      <c r="A1725" s="90" t="s">
        <v>4108</v>
      </c>
      <c r="B1725" s="119">
        <v>5</v>
      </c>
      <c r="C1725" s="90" t="s">
        <v>4104</v>
      </c>
      <c r="D1725" s="90" t="s">
        <v>79</v>
      </c>
      <c r="E1725">
        <v>3442</v>
      </c>
      <c r="F1725">
        <v>3443</v>
      </c>
      <c r="G1725" s="93" t="s">
        <v>78</v>
      </c>
      <c r="H1725" t="s">
        <v>137</v>
      </c>
      <c r="I1725">
        <v>0</v>
      </c>
      <c r="J1725">
        <v>36.08811919</v>
      </c>
      <c r="K1725">
        <f>I1725*J1725</f>
        <v>0</v>
      </c>
      <c r="L1725">
        <v>40</v>
      </c>
      <c r="M1725">
        <f>(1-(L1725/100))*K1725</f>
        <v>0</v>
      </c>
      <c r="N1725" s="90">
        <v>1725</v>
      </c>
      <c r="O1725" s="90" t="s">
        <v>4109</v>
      </c>
    </row>
    <row r="1726" spans="1:21" x14ac:dyDescent="0.25">
      <c r="A1726" s="90" t="s">
        <v>4110</v>
      </c>
      <c r="B1726" s="119">
        <v>5</v>
      </c>
      <c r="C1726" s="90" t="s">
        <v>4104</v>
      </c>
      <c r="D1726" s="90" t="s">
        <v>80</v>
      </c>
      <c r="E1726">
        <v>3444</v>
      </c>
      <c r="F1726">
        <v>3445</v>
      </c>
      <c r="G1726" s="93" t="s">
        <v>78</v>
      </c>
      <c r="H1726" t="s">
        <v>138</v>
      </c>
      <c r="I1726">
        <v>1</v>
      </c>
      <c r="J1726">
        <v>227.32713613000001</v>
      </c>
      <c r="K1726">
        <f>I1726*J1726</f>
        <v>227.32713613000001</v>
      </c>
      <c r="L1726">
        <v>40</v>
      </c>
      <c r="M1726">
        <f>(1-(L1726/100))*K1726</f>
        <v>136.39628167800001</v>
      </c>
      <c r="N1726" s="90">
        <v>1726</v>
      </c>
      <c r="O1726" s="90" t="s">
        <v>4111</v>
      </c>
    </row>
    <row r="1727" spans="1:21" x14ac:dyDescent="0.25">
      <c r="A1727" s="90" t="s">
        <v>4112</v>
      </c>
      <c r="B1727" s="119">
        <v>5</v>
      </c>
      <c r="C1727" s="90" t="s">
        <v>4104</v>
      </c>
      <c r="D1727" s="90" t="s">
        <v>95</v>
      </c>
      <c r="E1727">
        <v>3446</v>
      </c>
      <c r="F1727">
        <v>3447</v>
      </c>
      <c r="G1727" s="93" t="s">
        <v>78</v>
      </c>
      <c r="H1727" t="s">
        <v>139</v>
      </c>
      <c r="I1727">
        <v>1</v>
      </c>
      <c r="J1727">
        <v>2631.3510760200002</v>
      </c>
      <c r="K1727">
        <f>I1727*J1727</f>
        <v>2631.3510760200002</v>
      </c>
      <c r="L1727">
        <v>40</v>
      </c>
      <c r="M1727">
        <f>(1-(L1727/100))*K1727</f>
        <v>1578.8106456120001</v>
      </c>
      <c r="N1727" s="90">
        <v>1727</v>
      </c>
      <c r="O1727" s="90" t="s">
        <v>4113</v>
      </c>
    </row>
    <row r="1728" spans="1:21" x14ac:dyDescent="0.25">
      <c r="A1728" s="90" t="s">
        <v>4114</v>
      </c>
      <c r="B1728" s="119">
        <v>5</v>
      </c>
      <c r="C1728" s="90" t="s">
        <v>4104</v>
      </c>
      <c r="D1728" s="90" t="s">
        <v>96</v>
      </c>
      <c r="E1728">
        <v>3448</v>
      </c>
      <c r="F1728">
        <v>3449</v>
      </c>
      <c r="G1728" s="93" t="s">
        <v>78</v>
      </c>
      <c r="H1728" t="s">
        <v>120</v>
      </c>
      <c r="I1728">
        <v>0</v>
      </c>
      <c r="J1728">
        <v>967.93582071000003</v>
      </c>
      <c r="K1728">
        <f>I1728*J1728</f>
        <v>0</v>
      </c>
      <c r="L1728">
        <v>40</v>
      </c>
      <c r="M1728">
        <f>(1-(L1728/100))*K1728</f>
        <v>0</v>
      </c>
      <c r="N1728" s="90">
        <v>1728</v>
      </c>
      <c r="O1728" s="90" t="s">
        <v>4115</v>
      </c>
    </row>
    <row r="1729" spans="1:21" x14ac:dyDescent="0.25">
      <c r="A1729" s="90" t="s">
        <v>4116</v>
      </c>
      <c r="B1729" s="119">
        <v>5</v>
      </c>
      <c r="C1729" s="90" t="s">
        <v>4104</v>
      </c>
      <c r="D1729" s="90" t="s">
        <v>103</v>
      </c>
      <c r="E1729">
        <v>3450</v>
      </c>
      <c r="F1729">
        <v>3451</v>
      </c>
      <c r="G1729" s="93" t="s">
        <v>78</v>
      </c>
      <c r="H1729" t="s">
        <v>123</v>
      </c>
      <c r="I1729">
        <v>2</v>
      </c>
      <c r="J1729">
        <v>313.76543995999998</v>
      </c>
      <c r="K1729">
        <f>I1729*J1729</f>
        <v>627.53087991999996</v>
      </c>
      <c r="L1729">
        <v>40</v>
      </c>
      <c r="M1729">
        <f>(1-(L1729/100))*K1729</f>
        <v>376.51852795199994</v>
      </c>
      <c r="N1729" s="90">
        <v>1729</v>
      </c>
      <c r="O1729" s="90" t="s">
        <v>4117</v>
      </c>
    </row>
    <row r="1730" spans="1:21" x14ac:dyDescent="0.25">
      <c r="A1730" s="90" t="s">
        <v>4118</v>
      </c>
      <c r="B1730" s="119">
        <v>5</v>
      </c>
      <c r="C1730" s="90" t="s">
        <v>4104</v>
      </c>
      <c r="D1730" s="90" t="s">
        <v>796</v>
      </c>
      <c r="E1730">
        <v>3452</v>
      </c>
      <c r="F1730">
        <v>3453</v>
      </c>
      <c r="G1730" s="93" t="s">
        <v>78</v>
      </c>
      <c r="H1730" t="s">
        <v>3343</v>
      </c>
      <c r="I1730">
        <v>1</v>
      </c>
      <c r="J1730">
        <v>3158.4872023399998</v>
      </c>
      <c r="K1730">
        <f>I1730*J1730</f>
        <v>3158.4872023399998</v>
      </c>
      <c r="L1730">
        <v>40</v>
      </c>
      <c r="M1730">
        <f>(1-(L1730/100))*K1730</f>
        <v>1895.0923214039999</v>
      </c>
      <c r="N1730" s="90">
        <v>1730</v>
      </c>
      <c r="O1730" s="90" t="s">
        <v>4119</v>
      </c>
    </row>
    <row r="1731" spans="1:21" x14ac:dyDescent="0.25">
      <c r="A1731" s="90" t="s">
        <v>4120</v>
      </c>
      <c r="B1731" s="119">
        <v>5</v>
      </c>
      <c r="C1731" s="90" t="s">
        <v>4104</v>
      </c>
      <c r="D1731" s="90" t="s">
        <v>797</v>
      </c>
      <c r="E1731">
        <v>3454</v>
      </c>
      <c r="F1731">
        <v>3455</v>
      </c>
      <c r="G1731" s="93" t="s">
        <v>78</v>
      </c>
      <c r="H1731" t="s">
        <v>125</v>
      </c>
      <c r="I1731">
        <v>0</v>
      </c>
      <c r="J1731">
        <v>967.93582071000003</v>
      </c>
      <c r="K1731">
        <f>I1731*J1731</f>
        <v>0</v>
      </c>
      <c r="L1731">
        <v>40</v>
      </c>
      <c r="M1731">
        <f>(1-(L1731/100))*K1731</f>
        <v>0</v>
      </c>
      <c r="N1731" s="90">
        <v>1731</v>
      </c>
      <c r="O1731" s="90" t="s">
        <v>4121</v>
      </c>
    </row>
    <row r="1732" spans="1:21" x14ac:dyDescent="0.25">
      <c r="A1732" s="90" t="s">
        <v>4122</v>
      </c>
      <c r="B1732" s="119">
        <v>5</v>
      </c>
      <c r="C1732" s="90" t="s">
        <v>4104</v>
      </c>
      <c r="D1732" s="90" t="s">
        <v>798</v>
      </c>
      <c r="E1732">
        <v>3456</v>
      </c>
      <c r="F1732">
        <v>3457</v>
      </c>
      <c r="G1732" s="93" t="s">
        <v>78</v>
      </c>
      <c r="H1732" t="s">
        <v>3348</v>
      </c>
      <c r="I1732">
        <v>1</v>
      </c>
      <c r="J1732">
        <v>1400.7385712499999</v>
      </c>
      <c r="K1732">
        <f>I1732*J1732</f>
        <v>1400.7385712499999</v>
      </c>
      <c r="L1732">
        <v>40</v>
      </c>
      <c r="M1732">
        <f>(1-(L1732/100))*K1732</f>
        <v>840.44314274999999</v>
      </c>
      <c r="N1732" s="90">
        <v>1732</v>
      </c>
      <c r="O1732" s="90" t="s">
        <v>4123</v>
      </c>
    </row>
    <row r="1733" spans="1:21" x14ac:dyDescent="0.25">
      <c r="A1733" s="90" t="s">
        <v>4124</v>
      </c>
      <c r="B1733" s="119">
        <v>5</v>
      </c>
      <c r="C1733" s="90" t="s">
        <v>4104</v>
      </c>
      <c r="D1733" s="90" t="s">
        <v>799</v>
      </c>
      <c r="E1733">
        <v>3458</v>
      </c>
      <c r="F1733">
        <v>3459</v>
      </c>
      <c r="G1733" s="93" t="s">
        <v>78</v>
      </c>
      <c r="H1733" t="s">
        <v>126</v>
      </c>
      <c r="I1733">
        <v>1</v>
      </c>
      <c r="J1733">
        <v>491.93938622000002</v>
      </c>
      <c r="K1733">
        <f>I1733*J1733</f>
        <v>491.93938622000002</v>
      </c>
      <c r="L1733">
        <v>40</v>
      </c>
      <c r="M1733">
        <f>(1-(L1733/100))*K1733</f>
        <v>295.163631732</v>
      </c>
      <c r="N1733" s="90">
        <v>1733</v>
      </c>
      <c r="O1733" s="90" t="s">
        <v>4125</v>
      </c>
    </row>
    <row r="1734" spans="1:21" x14ac:dyDescent="0.25">
      <c r="A1734" s="90" t="s">
        <v>4126</v>
      </c>
      <c r="B1734" s="119">
        <v>5</v>
      </c>
      <c r="C1734" s="90" t="s">
        <v>4104</v>
      </c>
      <c r="D1734" s="90" t="s">
        <v>97</v>
      </c>
      <c r="E1734">
        <v>3460</v>
      </c>
      <c r="F1734">
        <v>3461</v>
      </c>
      <c r="G1734" s="93" t="s">
        <v>78</v>
      </c>
      <c r="H1734" t="s">
        <v>3353</v>
      </c>
      <c r="I1734">
        <v>0</v>
      </c>
      <c r="J1734">
        <v>508.08608175000001</v>
      </c>
      <c r="K1734">
        <f>I1734*J1734</f>
        <v>0</v>
      </c>
      <c r="L1734">
        <v>40</v>
      </c>
      <c r="M1734">
        <f>(1-(L1734/100))*K1734</f>
        <v>0</v>
      </c>
      <c r="N1734" s="90">
        <v>1734</v>
      </c>
      <c r="O1734" s="90" t="s">
        <v>4127</v>
      </c>
    </row>
    <row r="1735" spans="1:21" x14ac:dyDescent="0.25">
      <c r="A1735" s="90" t="s">
        <v>4128</v>
      </c>
      <c r="B1735" s="119">
        <v>4</v>
      </c>
      <c r="C1735" s="90" t="s">
        <v>4091</v>
      </c>
      <c r="D1735" s="90" t="s">
        <v>80</v>
      </c>
      <c r="E1735">
        <v>3463</v>
      </c>
      <c r="F1735">
        <v>3468</v>
      </c>
      <c r="G1735" s="93" t="s">
        <v>68</v>
      </c>
      <c r="H1735" t="s">
        <v>3356</v>
      </c>
      <c r="I1735">
        <v>1</v>
      </c>
      <c r="J1735">
        <f>SUM(K1736)</f>
        <v>592</v>
      </c>
      <c r="K1735">
        <f>I1735*J1735</f>
        <v>592</v>
      </c>
      <c r="L1735">
        <f>100*(1-(M1735/K1735))</f>
        <v>40</v>
      </c>
      <c r="M1735">
        <f>I1735*SUM(M1736)</f>
        <v>355.2</v>
      </c>
      <c r="N1735" s="90">
        <v>1735</v>
      </c>
      <c r="O1735" s="90" t="s">
        <v>4129</v>
      </c>
      <c r="R1735" s="90" t="s">
        <v>6431</v>
      </c>
      <c r="S1735" s="90" t="s">
        <v>6734</v>
      </c>
      <c r="T1735" s="90" t="s">
        <v>6879</v>
      </c>
      <c r="U1735" s="90" t="s">
        <v>6583</v>
      </c>
    </row>
    <row r="1736" spans="1:21" x14ac:dyDescent="0.25">
      <c r="A1736" s="90" t="s">
        <v>4130</v>
      </c>
      <c r="B1736" s="119">
        <v>5</v>
      </c>
      <c r="C1736" s="90" t="s">
        <v>4128</v>
      </c>
      <c r="D1736" s="90" t="s">
        <v>78</v>
      </c>
      <c r="E1736">
        <v>3464</v>
      </c>
      <c r="F1736">
        <v>3467</v>
      </c>
      <c r="G1736" s="93" t="s">
        <v>68</v>
      </c>
      <c r="H1736" t="s">
        <v>3359</v>
      </c>
      <c r="I1736">
        <v>1</v>
      </c>
      <c r="J1736">
        <f>SUM(K1737)</f>
        <v>592</v>
      </c>
      <c r="K1736">
        <f>I1736*J1736</f>
        <v>592</v>
      </c>
      <c r="L1736">
        <f>100*(1-(M1736/K1736))</f>
        <v>40</v>
      </c>
      <c r="M1736">
        <f>I1736*SUM(M1737)</f>
        <v>355.2</v>
      </c>
      <c r="N1736" s="90">
        <v>1736</v>
      </c>
      <c r="O1736" s="90" t="s">
        <v>4131</v>
      </c>
      <c r="R1736" s="90" t="s">
        <v>4639</v>
      </c>
      <c r="S1736" s="90" t="s">
        <v>5703</v>
      </c>
      <c r="T1736" s="90" t="s">
        <v>6201</v>
      </c>
      <c r="U1736" s="90" t="s">
        <v>5179</v>
      </c>
    </row>
    <row r="1737" spans="1:21" x14ac:dyDescent="0.25">
      <c r="A1737" s="90" t="s">
        <v>4132</v>
      </c>
      <c r="B1737" s="119">
        <v>6</v>
      </c>
      <c r="C1737" s="90" t="s">
        <v>4130</v>
      </c>
      <c r="D1737" s="90" t="s">
        <v>78</v>
      </c>
      <c r="E1737">
        <v>3465</v>
      </c>
      <c r="F1737">
        <v>3466</v>
      </c>
      <c r="G1737" s="93" t="s">
        <v>78</v>
      </c>
      <c r="H1737" t="s">
        <v>3362</v>
      </c>
      <c r="I1737">
        <v>1</v>
      </c>
      <c r="J1737">
        <v>592</v>
      </c>
      <c r="K1737">
        <f>I1737*J1737</f>
        <v>592</v>
      </c>
      <c r="L1737">
        <v>40</v>
      </c>
      <c r="M1737">
        <f>(1-(L1737/100))*K1737</f>
        <v>355.2</v>
      </c>
      <c r="N1737" s="90">
        <v>1737</v>
      </c>
      <c r="O1737" s="90" t="s">
        <v>4133</v>
      </c>
    </row>
    <row r="1738" spans="1:21" x14ac:dyDescent="0.25">
      <c r="A1738" s="90" t="s">
        <v>4134</v>
      </c>
      <c r="B1738" s="119">
        <v>3</v>
      </c>
      <c r="C1738" s="90" t="s">
        <v>4088</v>
      </c>
      <c r="D1738" s="90" t="s">
        <v>79</v>
      </c>
      <c r="E1738">
        <v>3470</v>
      </c>
      <c r="F1738">
        <v>3487</v>
      </c>
      <c r="G1738" s="93" t="s">
        <v>68</v>
      </c>
      <c r="H1738" t="s">
        <v>4135</v>
      </c>
      <c r="I1738">
        <v>1</v>
      </c>
      <c r="J1738">
        <f>SUM(K1739,K1741,K1743,K1745)</f>
        <v>4936.15178913</v>
      </c>
      <c r="K1738">
        <f>I1738*J1738</f>
        <v>4936.15178913</v>
      </c>
      <c r="L1738">
        <f>100*(1-(M1738/K1738))</f>
        <v>40</v>
      </c>
      <c r="M1738">
        <f>I1738*SUM(M1739,M1741,M1743,M1745)</f>
        <v>2961.6910734779999</v>
      </c>
      <c r="N1738" s="90">
        <v>1738</v>
      </c>
      <c r="O1738" s="90" t="s">
        <v>4136</v>
      </c>
      <c r="R1738" s="90" t="s">
        <v>6432</v>
      </c>
      <c r="S1738" s="90" t="s">
        <v>6735</v>
      </c>
      <c r="T1738" s="90" t="s">
        <v>6880</v>
      </c>
      <c r="U1738" s="90" t="s">
        <v>6584</v>
      </c>
    </row>
    <row r="1739" spans="1:21" x14ac:dyDescent="0.25">
      <c r="A1739" s="90" t="s">
        <v>4137</v>
      </c>
      <c r="B1739" s="119">
        <v>4</v>
      </c>
      <c r="C1739" s="90" t="s">
        <v>4134</v>
      </c>
      <c r="D1739" s="90" t="s">
        <v>78</v>
      </c>
      <c r="E1739">
        <v>3471</v>
      </c>
      <c r="F1739">
        <v>3474</v>
      </c>
      <c r="G1739" s="93" t="s">
        <v>68</v>
      </c>
      <c r="H1739" t="s">
        <v>1246</v>
      </c>
      <c r="I1739">
        <v>1</v>
      </c>
      <c r="J1739">
        <f>SUM(K1740)</f>
        <v>967.93582071000003</v>
      </c>
      <c r="K1739">
        <f>I1739*J1739</f>
        <v>967.93582071000003</v>
      </c>
      <c r="L1739">
        <f>100*(1-(M1739/K1739))</f>
        <v>40</v>
      </c>
      <c r="M1739">
        <f>I1739*SUM(M1740)</f>
        <v>580.76149242600002</v>
      </c>
      <c r="N1739" s="90">
        <v>1739</v>
      </c>
      <c r="O1739" s="90" t="s">
        <v>4138</v>
      </c>
      <c r="R1739" s="90" t="s">
        <v>4640</v>
      </c>
      <c r="S1739" s="90" t="s">
        <v>5704</v>
      </c>
      <c r="T1739" s="90" t="s">
        <v>6202</v>
      </c>
      <c r="U1739" s="90" t="s">
        <v>5180</v>
      </c>
    </row>
    <row r="1740" spans="1:21" x14ac:dyDescent="0.25">
      <c r="A1740" s="90" t="s">
        <v>4139</v>
      </c>
      <c r="B1740" s="119">
        <v>5</v>
      </c>
      <c r="C1740" s="90" t="s">
        <v>4137</v>
      </c>
      <c r="D1740" s="90" t="s">
        <v>78</v>
      </c>
      <c r="E1740">
        <v>3472</v>
      </c>
      <c r="F1740">
        <v>3473</v>
      </c>
      <c r="G1740" s="93" t="s">
        <v>78</v>
      </c>
      <c r="H1740" t="s">
        <v>120</v>
      </c>
      <c r="I1740">
        <v>1</v>
      </c>
      <c r="J1740">
        <v>967.93582071000003</v>
      </c>
      <c r="K1740">
        <f>I1740*J1740</f>
        <v>967.93582071000003</v>
      </c>
      <c r="L1740">
        <v>40</v>
      </c>
      <c r="M1740">
        <f>(1-(L1740/100))*K1740</f>
        <v>580.76149242600002</v>
      </c>
      <c r="N1740" s="90">
        <v>1740</v>
      </c>
      <c r="O1740" s="90" t="s">
        <v>4140</v>
      </c>
    </row>
    <row r="1741" spans="1:21" x14ac:dyDescent="0.25">
      <c r="A1741" s="90" t="s">
        <v>4141</v>
      </c>
      <c r="B1741" s="119">
        <v>4</v>
      </c>
      <c r="C1741" s="90" t="s">
        <v>4134</v>
      </c>
      <c r="D1741" s="90" t="s">
        <v>79</v>
      </c>
      <c r="E1741">
        <v>3475</v>
      </c>
      <c r="F1741">
        <v>3478</v>
      </c>
      <c r="G1741" s="93" t="s">
        <v>68</v>
      </c>
      <c r="H1741" t="s">
        <v>1251</v>
      </c>
      <c r="I1741">
        <v>1</v>
      </c>
      <c r="J1741">
        <f>SUM(K1742)</f>
        <v>967.93582071000003</v>
      </c>
      <c r="K1741">
        <f>I1741*J1741</f>
        <v>967.93582071000003</v>
      </c>
      <c r="L1741">
        <f>100*(1-(M1741/K1741))</f>
        <v>40</v>
      </c>
      <c r="M1741">
        <f>I1741*SUM(M1742)</f>
        <v>580.76149242600002</v>
      </c>
      <c r="N1741" s="90">
        <v>1741</v>
      </c>
      <c r="O1741" s="90" t="s">
        <v>4142</v>
      </c>
      <c r="R1741" s="90" t="s">
        <v>4641</v>
      </c>
      <c r="S1741" s="90" t="s">
        <v>5705</v>
      </c>
      <c r="T1741" s="90" t="s">
        <v>6203</v>
      </c>
      <c r="U1741" s="90" t="s">
        <v>5181</v>
      </c>
    </row>
    <row r="1742" spans="1:21" x14ac:dyDescent="0.25">
      <c r="A1742" s="90" t="s">
        <v>4143</v>
      </c>
      <c r="B1742" s="119">
        <v>5</v>
      </c>
      <c r="C1742" s="90" t="s">
        <v>4141</v>
      </c>
      <c r="D1742" s="90" t="s">
        <v>78</v>
      </c>
      <c r="E1742">
        <v>3476</v>
      </c>
      <c r="F1742">
        <v>3477</v>
      </c>
      <c r="G1742" s="93" t="s">
        <v>78</v>
      </c>
      <c r="H1742" t="s">
        <v>125</v>
      </c>
      <c r="I1742">
        <v>1</v>
      </c>
      <c r="J1742">
        <v>967.93582071000003</v>
      </c>
      <c r="K1742">
        <f>I1742*J1742</f>
        <v>967.93582071000003</v>
      </c>
      <c r="L1742">
        <v>40</v>
      </c>
      <c r="M1742">
        <f>(1-(L1742/100))*K1742</f>
        <v>580.76149242600002</v>
      </c>
      <c r="N1742" s="90">
        <v>1742</v>
      </c>
      <c r="O1742" s="90" t="s">
        <v>4144</v>
      </c>
    </row>
    <row r="1743" spans="1:21" x14ac:dyDescent="0.25">
      <c r="A1743" s="90" t="s">
        <v>4145</v>
      </c>
      <c r="B1743" s="119">
        <v>4</v>
      </c>
      <c r="C1743" s="90" t="s">
        <v>4134</v>
      </c>
      <c r="D1743" s="90" t="s">
        <v>80</v>
      </c>
      <c r="E1743">
        <v>3479</v>
      </c>
      <c r="F1743">
        <v>3482</v>
      </c>
      <c r="G1743" s="93" t="s">
        <v>68</v>
      </c>
      <c r="H1743" t="s">
        <v>4146</v>
      </c>
      <c r="I1743">
        <v>1</v>
      </c>
      <c r="J1743">
        <f>SUM(K1744)</f>
        <v>967.93582071000003</v>
      </c>
      <c r="K1743">
        <f>I1743*J1743</f>
        <v>967.93582071000003</v>
      </c>
      <c r="L1743">
        <f>100*(1-(M1743/K1743))</f>
        <v>40</v>
      </c>
      <c r="M1743">
        <f>I1743*SUM(M1744)</f>
        <v>580.76149242600002</v>
      </c>
      <c r="N1743" s="90">
        <v>1743</v>
      </c>
      <c r="O1743" s="90" t="s">
        <v>4147</v>
      </c>
      <c r="R1743" s="90" t="s">
        <v>4642</v>
      </c>
      <c r="S1743" s="90" t="s">
        <v>5706</v>
      </c>
      <c r="T1743" s="90" t="s">
        <v>6204</v>
      </c>
      <c r="U1743" s="90" t="s">
        <v>5182</v>
      </c>
    </row>
    <row r="1744" spans="1:21" x14ac:dyDescent="0.25">
      <c r="A1744" s="90" t="s">
        <v>4148</v>
      </c>
      <c r="B1744" s="119">
        <v>5</v>
      </c>
      <c r="C1744" s="90" t="s">
        <v>4145</v>
      </c>
      <c r="D1744" s="90" t="s">
        <v>78</v>
      </c>
      <c r="E1744">
        <v>3480</v>
      </c>
      <c r="F1744">
        <v>3481</v>
      </c>
      <c r="G1744" s="93" t="s">
        <v>78</v>
      </c>
      <c r="H1744" t="s">
        <v>4149</v>
      </c>
      <c r="I1744">
        <v>1</v>
      </c>
      <c r="J1744">
        <v>967.93582071000003</v>
      </c>
      <c r="K1744">
        <f>I1744*J1744</f>
        <v>967.93582071000003</v>
      </c>
      <c r="L1744">
        <v>40</v>
      </c>
      <c r="M1744">
        <f>(1-(L1744/100))*K1744</f>
        <v>580.76149242600002</v>
      </c>
      <c r="N1744" s="90">
        <v>1744</v>
      </c>
      <c r="O1744" s="90" t="s">
        <v>4150</v>
      </c>
    </row>
    <row r="1745" spans="1:21" x14ac:dyDescent="0.25">
      <c r="A1745" s="90" t="s">
        <v>4151</v>
      </c>
      <c r="B1745" s="119">
        <v>4</v>
      </c>
      <c r="C1745" s="90" t="s">
        <v>4134</v>
      </c>
      <c r="D1745" s="90" t="s">
        <v>95</v>
      </c>
      <c r="E1745">
        <v>3483</v>
      </c>
      <c r="F1745">
        <v>3486</v>
      </c>
      <c r="G1745" s="93" t="s">
        <v>68</v>
      </c>
      <c r="H1745" t="s">
        <v>3372</v>
      </c>
      <c r="I1745">
        <v>4</v>
      </c>
      <c r="J1745">
        <f>SUM(K1746)</f>
        <v>508.08608175000001</v>
      </c>
      <c r="K1745">
        <f>I1745*J1745</f>
        <v>2032.344327</v>
      </c>
      <c r="L1745">
        <f>100*(1-(M1745/K1745))</f>
        <v>40</v>
      </c>
      <c r="M1745">
        <f>I1745*SUM(M1746)</f>
        <v>1219.4065962</v>
      </c>
      <c r="N1745" s="90">
        <v>1745</v>
      </c>
      <c r="O1745" s="90" t="s">
        <v>4152</v>
      </c>
      <c r="R1745" s="90" t="s">
        <v>4643</v>
      </c>
      <c r="S1745" s="90" t="s">
        <v>5707</v>
      </c>
      <c r="T1745" s="90" t="s">
        <v>6205</v>
      </c>
      <c r="U1745" s="90" t="s">
        <v>5183</v>
      </c>
    </row>
    <row r="1746" spans="1:21" x14ac:dyDescent="0.25">
      <c r="A1746" s="90" t="s">
        <v>4153</v>
      </c>
      <c r="B1746" s="119">
        <v>5</v>
      </c>
      <c r="C1746" s="90" t="s">
        <v>4151</v>
      </c>
      <c r="D1746" s="90" t="s">
        <v>78</v>
      </c>
      <c r="E1746">
        <v>3484</v>
      </c>
      <c r="F1746">
        <v>3485</v>
      </c>
      <c r="G1746" s="93" t="s">
        <v>78</v>
      </c>
      <c r="H1746" t="s">
        <v>3353</v>
      </c>
      <c r="I1746">
        <v>1</v>
      </c>
      <c r="J1746">
        <v>508.08608175000001</v>
      </c>
      <c r="K1746">
        <f>I1746*J1746</f>
        <v>508.08608175000001</v>
      </c>
      <c r="L1746">
        <v>40</v>
      </c>
      <c r="M1746">
        <f>(1-(L1746/100))*K1746</f>
        <v>304.85164904999999</v>
      </c>
      <c r="N1746" s="90">
        <v>1746</v>
      </c>
      <c r="O1746" s="90" t="s">
        <v>4154</v>
      </c>
    </row>
    <row r="1747" spans="1:21" x14ac:dyDescent="0.25">
      <c r="A1747" s="90" t="s">
        <v>4155</v>
      </c>
      <c r="B1747" s="119">
        <v>3</v>
      </c>
      <c r="C1747" s="90" t="s">
        <v>4088</v>
      </c>
      <c r="D1747" s="90" t="s">
        <v>80</v>
      </c>
      <c r="E1747">
        <v>3488</v>
      </c>
      <c r="F1747">
        <v>3503</v>
      </c>
      <c r="G1747" s="93" t="s">
        <v>68</v>
      </c>
      <c r="H1747" t="s">
        <v>4156</v>
      </c>
      <c r="I1747">
        <v>1</v>
      </c>
      <c r="J1747">
        <f>SUM(K1748,K1750)</f>
        <v>2719.84</v>
      </c>
      <c r="K1747">
        <f>I1747*J1747</f>
        <v>2719.84</v>
      </c>
      <c r="L1747">
        <f>100*(1-(M1747/K1747))</f>
        <v>40</v>
      </c>
      <c r="M1747">
        <f>I1747*SUM(M1748,M1750)</f>
        <v>1631.904</v>
      </c>
      <c r="N1747" s="90">
        <v>1747</v>
      </c>
      <c r="O1747" s="90" t="s">
        <v>4157</v>
      </c>
      <c r="R1747" s="90" t="s">
        <v>6433</v>
      </c>
      <c r="S1747" s="90" t="s">
        <v>6736</v>
      </c>
      <c r="T1747" s="90" t="s">
        <v>6881</v>
      </c>
      <c r="U1747" s="90" t="s">
        <v>6585</v>
      </c>
    </row>
    <row r="1748" spans="1:21" x14ac:dyDescent="0.25">
      <c r="A1748" s="90" t="s">
        <v>4158</v>
      </c>
      <c r="B1748" s="119">
        <v>4</v>
      </c>
      <c r="C1748" s="90" t="s">
        <v>4155</v>
      </c>
      <c r="D1748" s="90" t="s">
        <v>78</v>
      </c>
      <c r="E1748">
        <v>3489</v>
      </c>
      <c r="F1748">
        <v>3492</v>
      </c>
      <c r="G1748" s="93" t="s">
        <v>68</v>
      </c>
      <c r="H1748" t="s">
        <v>104</v>
      </c>
      <c r="I1748">
        <v>1</v>
      </c>
      <c r="J1748">
        <f>SUM(K1749)</f>
        <v>1419</v>
      </c>
      <c r="K1748">
        <f>I1748*J1748</f>
        <v>1419</v>
      </c>
      <c r="L1748">
        <f>100*(1-(M1748/K1748))</f>
        <v>40</v>
      </c>
      <c r="M1748">
        <f>I1748*SUM(M1749)</f>
        <v>851.4</v>
      </c>
      <c r="N1748" s="90">
        <v>1748</v>
      </c>
      <c r="O1748" s="90" t="s">
        <v>4159</v>
      </c>
      <c r="R1748" s="90" t="s">
        <v>4644</v>
      </c>
      <c r="S1748" s="90" t="s">
        <v>5708</v>
      </c>
      <c r="T1748" s="90" t="s">
        <v>6206</v>
      </c>
      <c r="U1748" s="90" t="s">
        <v>5184</v>
      </c>
    </row>
    <row r="1749" spans="1:21" x14ac:dyDescent="0.25">
      <c r="A1749" s="90" t="s">
        <v>4160</v>
      </c>
      <c r="B1749" s="119">
        <v>5</v>
      </c>
      <c r="C1749" s="90" t="s">
        <v>4158</v>
      </c>
      <c r="D1749" s="90" t="s">
        <v>78</v>
      </c>
      <c r="E1749">
        <v>3490</v>
      </c>
      <c r="F1749">
        <v>3491</v>
      </c>
      <c r="G1749" s="93" t="s">
        <v>78</v>
      </c>
      <c r="H1749" t="s">
        <v>105</v>
      </c>
      <c r="I1749">
        <v>1</v>
      </c>
      <c r="J1749">
        <v>1419</v>
      </c>
      <c r="K1749">
        <f>I1749*J1749</f>
        <v>1419</v>
      </c>
      <c r="L1749">
        <v>40</v>
      </c>
      <c r="M1749">
        <f>(1-(L1749/100))*K1749</f>
        <v>851.4</v>
      </c>
      <c r="N1749" s="90">
        <v>1749</v>
      </c>
      <c r="O1749" s="90" t="s">
        <v>4161</v>
      </c>
    </row>
    <row r="1750" spans="1:21" x14ac:dyDescent="0.25">
      <c r="A1750" s="90" t="s">
        <v>4162</v>
      </c>
      <c r="B1750" s="119">
        <v>4</v>
      </c>
      <c r="C1750" s="90" t="s">
        <v>4155</v>
      </c>
      <c r="D1750" s="90" t="s">
        <v>79</v>
      </c>
      <c r="E1750">
        <v>3493</v>
      </c>
      <c r="F1750">
        <v>3502</v>
      </c>
      <c r="G1750" s="93" t="s">
        <v>68</v>
      </c>
      <c r="H1750" t="s">
        <v>108</v>
      </c>
      <c r="I1750">
        <v>1</v>
      </c>
      <c r="J1750">
        <f>SUM(K1751,K1752,K1753,K1754)</f>
        <v>1300.8400000000001</v>
      </c>
      <c r="K1750">
        <f>I1750*J1750</f>
        <v>1300.8400000000001</v>
      </c>
      <c r="L1750">
        <f>100*(1-(M1750/K1750))</f>
        <v>40.000000000000014</v>
      </c>
      <c r="M1750">
        <f>I1750*SUM(M1751,M1752,M1753,M1754)</f>
        <v>780.50399999999991</v>
      </c>
      <c r="N1750" s="90">
        <v>1750</v>
      </c>
      <c r="O1750" s="90" t="s">
        <v>4163</v>
      </c>
      <c r="R1750" s="90" t="s">
        <v>4645</v>
      </c>
      <c r="S1750" s="90" t="s">
        <v>5709</v>
      </c>
      <c r="T1750" s="90" t="s">
        <v>6207</v>
      </c>
      <c r="U1750" s="90" t="s">
        <v>5185</v>
      </c>
    </row>
    <row r="1751" spans="1:21" x14ac:dyDescent="0.25">
      <c r="A1751" s="90" t="s">
        <v>4164</v>
      </c>
      <c r="B1751" s="119">
        <v>5</v>
      </c>
      <c r="C1751" s="90" t="s">
        <v>4162</v>
      </c>
      <c r="D1751" s="90" t="s">
        <v>78</v>
      </c>
      <c r="E1751">
        <v>3494</v>
      </c>
      <c r="F1751">
        <v>3495</v>
      </c>
      <c r="G1751" s="93" t="s">
        <v>78</v>
      </c>
      <c r="H1751" t="s">
        <v>109</v>
      </c>
      <c r="I1751">
        <v>1</v>
      </c>
      <c r="J1751">
        <v>290.63</v>
      </c>
      <c r="K1751">
        <f>I1751*J1751</f>
        <v>290.63</v>
      </c>
      <c r="L1751">
        <v>40</v>
      </c>
      <c r="M1751">
        <f>(1-(L1751/100))*K1751</f>
        <v>174.37799999999999</v>
      </c>
      <c r="N1751" s="90">
        <v>1751</v>
      </c>
      <c r="O1751" s="90" t="s">
        <v>4165</v>
      </c>
    </row>
    <row r="1752" spans="1:21" x14ac:dyDescent="0.25">
      <c r="A1752" s="90" t="s">
        <v>4166</v>
      </c>
      <c r="B1752" s="119">
        <v>5</v>
      </c>
      <c r="C1752" s="90" t="s">
        <v>4162</v>
      </c>
      <c r="D1752" s="90" t="s">
        <v>79</v>
      </c>
      <c r="E1752">
        <v>3496</v>
      </c>
      <c r="F1752">
        <v>3497</v>
      </c>
      <c r="G1752" s="93" t="s">
        <v>78</v>
      </c>
      <c r="H1752" t="s">
        <v>110</v>
      </c>
      <c r="I1752">
        <v>1</v>
      </c>
      <c r="J1752">
        <v>297</v>
      </c>
      <c r="K1752">
        <f>I1752*J1752</f>
        <v>297</v>
      </c>
      <c r="L1752">
        <v>40</v>
      </c>
      <c r="M1752">
        <f>(1-(L1752/100))*K1752</f>
        <v>178.2</v>
      </c>
      <c r="N1752" s="90">
        <v>1752</v>
      </c>
      <c r="O1752" s="90" t="s">
        <v>4167</v>
      </c>
    </row>
    <row r="1753" spans="1:21" x14ac:dyDescent="0.25">
      <c r="A1753" s="90" t="s">
        <v>4168</v>
      </c>
      <c r="B1753" s="119">
        <v>5</v>
      </c>
      <c r="C1753" s="90" t="s">
        <v>4162</v>
      </c>
      <c r="D1753" s="90" t="s">
        <v>80</v>
      </c>
      <c r="E1753">
        <v>3498</v>
      </c>
      <c r="F1753">
        <v>3499</v>
      </c>
      <c r="G1753" s="93" t="s">
        <v>78</v>
      </c>
      <c r="H1753" t="s">
        <v>105</v>
      </c>
      <c r="I1753">
        <v>0</v>
      </c>
      <c r="J1753">
        <v>1419</v>
      </c>
      <c r="K1753">
        <f>I1753*J1753</f>
        <v>0</v>
      </c>
      <c r="L1753">
        <v>40</v>
      </c>
      <c r="M1753">
        <f>(1-(L1753/100))*K1753</f>
        <v>0</v>
      </c>
      <c r="N1753" s="90">
        <v>1753</v>
      </c>
      <c r="O1753" s="90" t="s">
        <v>4169</v>
      </c>
    </row>
    <row r="1754" spans="1:21" x14ac:dyDescent="0.25">
      <c r="A1754" s="90" t="s">
        <v>4170</v>
      </c>
      <c r="B1754" s="119">
        <v>5</v>
      </c>
      <c r="C1754" s="90" t="s">
        <v>4162</v>
      </c>
      <c r="D1754" s="90" t="s">
        <v>95</v>
      </c>
      <c r="E1754">
        <v>3500</v>
      </c>
      <c r="F1754">
        <v>3501</v>
      </c>
      <c r="G1754" s="93" t="s">
        <v>78</v>
      </c>
      <c r="H1754" t="s">
        <v>111</v>
      </c>
      <c r="I1754">
        <v>1</v>
      </c>
      <c r="J1754">
        <v>713.21</v>
      </c>
      <c r="K1754">
        <f>I1754*J1754</f>
        <v>713.21</v>
      </c>
      <c r="L1754">
        <v>40</v>
      </c>
      <c r="M1754">
        <f>(1-(L1754/100))*K1754</f>
        <v>427.92599999999999</v>
      </c>
      <c r="N1754" s="90">
        <v>1754</v>
      </c>
      <c r="O1754" s="90" t="s">
        <v>4171</v>
      </c>
    </row>
    <row r="1755" spans="1:21" x14ac:dyDescent="0.25">
      <c r="A1755" s="90" t="s">
        <v>4172</v>
      </c>
      <c r="B1755" s="119">
        <v>3</v>
      </c>
      <c r="C1755" s="90" t="s">
        <v>4088</v>
      </c>
      <c r="D1755" s="90" t="s">
        <v>95</v>
      </c>
      <c r="E1755">
        <v>3504</v>
      </c>
      <c r="F1755">
        <v>3549</v>
      </c>
      <c r="G1755" s="93" t="s">
        <v>68</v>
      </c>
      <c r="H1755" t="s">
        <v>4173</v>
      </c>
      <c r="I1755">
        <v>1</v>
      </c>
      <c r="J1755">
        <f>SUM(K1756,K1758,K1760)</f>
        <v>19503.387240560001</v>
      </c>
      <c r="K1755">
        <f>I1755*J1755</f>
        <v>19503.387240560001</v>
      </c>
      <c r="L1755">
        <f>100*(1-(M1755/K1755))</f>
        <v>40</v>
      </c>
      <c r="M1755">
        <f>I1755*SUM(M1756,M1758,M1760)</f>
        <v>11702.032344335999</v>
      </c>
      <c r="N1755" s="90">
        <v>1755</v>
      </c>
      <c r="O1755" s="90" t="s">
        <v>4174</v>
      </c>
      <c r="R1755" s="90" t="s">
        <v>6434</v>
      </c>
      <c r="S1755" s="90" t="s">
        <v>6737</v>
      </c>
      <c r="T1755" s="90" t="s">
        <v>6882</v>
      </c>
      <c r="U1755" s="90" t="s">
        <v>6586</v>
      </c>
    </row>
    <row r="1756" spans="1:21" x14ac:dyDescent="0.25">
      <c r="A1756" s="90" t="s">
        <v>4175</v>
      </c>
      <c r="B1756" s="119">
        <v>4</v>
      </c>
      <c r="C1756" s="90" t="s">
        <v>4172</v>
      </c>
      <c r="D1756" s="90" t="s">
        <v>78</v>
      </c>
      <c r="E1756">
        <v>3505</v>
      </c>
      <c r="F1756">
        <v>3508</v>
      </c>
      <c r="G1756" s="93" t="s">
        <v>68</v>
      </c>
      <c r="H1756" t="s">
        <v>449</v>
      </c>
      <c r="I1756">
        <v>4</v>
      </c>
      <c r="J1756">
        <f>SUM(K1757)</f>
        <v>214.52947918000001</v>
      </c>
      <c r="K1756">
        <f>I1756*J1756</f>
        <v>858.11791672000004</v>
      </c>
      <c r="L1756">
        <f>100*(1-(M1756/K1756))</f>
        <v>40</v>
      </c>
      <c r="M1756">
        <f>I1756*SUM(M1757)</f>
        <v>514.87075003200005</v>
      </c>
      <c r="N1756" s="90">
        <v>1756</v>
      </c>
      <c r="O1756" s="90" t="s">
        <v>4176</v>
      </c>
      <c r="R1756" s="90" t="s">
        <v>4646</v>
      </c>
      <c r="S1756" s="90" t="s">
        <v>5710</v>
      </c>
      <c r="T1756" s="90" t="s">
        <v>6208</v>
      </c>
      <c r="U1756" s="90" t="s">
        <v>5186</v>
      </c>
    </row>
    <row r="1757" spans="1:21" x14ac:dyDescent="0.25">
      <c r="A1757" s="90" t="s">
        <v>4177</v>
      </c>
      <c r="B1757" s="119">
        <v>5</v>
      </c>
      <c r="C1757" s="90" t="s">
        <v>4175</v>
      </c>
      <c r="D1757" s="90" t="s">
        <v>78</v>
      </c>
      <c r="E1757">
        <v>3506</v>
      </c>
      <c r="F1757">
        <v>3507</v>
      </c>
      <c r="G1757" s="93" t="s">
        <v>78</v>
      </c>
      <c r="H1757" t="s">
        <v>194</v>
      </c>
      <c r="I1757">
        <v>1</v>
      </c>
      <c r="J1757">
        <v>214.52947918000001</v>
      </c>
      <c r="K1757">
        <f>I1757*J1757</f>
        <v>214.52947918000001</v>
      </c>
      <c r="L1757">
        <v>40</v>
      </c>
      <c r="M1757">
        <f>(1-(L1757/100))*K1757</f>
        <v>128.71768750800001</v>
      </c>
      <c r="N1757" s="90">
        <v>1757</v>
      </c>
      <c r="O1757" s="90" t="s">
        <v>4178</v>
      </c>
    </row>
    <row r="1758" spans="1:21" x14ac:dyDescent="0.25">
      <c r="A1758" s="90" t="s">
        <v>4179</v>
      </c>
      <c r="B1758" s="119">
        <v>4</v>
      </c>
      <c r="C1758" s="90" t="s">
        <v>4172</v>
      </c>
      <c r="D1758" s="90" t="s">
        <v>79</v>
      </c>
      <c r="E1758">
        <v>3509</v>
      </c>
      <c r="F1758">
        <v>3512</v>
      </c>
      <c r="G1758" s="93" t="s">
        <v>68</v>
      </c>
      <c r="H1758" t="s">
        <v>452</v>
      </c>
      <c r="I1758">
        <v>9</v>
      </c>
      <c r="J1758">
        <f>SUM(K1759)</f>
        <v>214.52947918000001</v>
      </c>
      <c r="K1758">
        <f>I1758*J1758</f>
        <v>1930.76531262</v>
      </c>
      <c r="L1758">
        <f>100*(1-(M1758/K1758))</f>
        <v>40</v>
      </c>
      <c r="M1758">
        <f>I1758*SUM(M1759)</f>
        <v>1158.459187572</v>
      </c>
      <c r="N1758" s="90">
        <v>1758</v>
      </c>
      <c r="O1758" s="90" t="s">
        <v>4180</v>
      </c>
      <c r="R1758" s="90" t="s">
        <v>4647</v>
      </c>
      <c r="S1758" s="90" t="s">
        <v>5711</v>
      </c>
      <c r="T1758" s="90" t="s">
        <v>6209</v>
      </c>
      <c r="U1758" s="90" t="s">
        <v>5187</v>
      </c>
    </row>
    <row r="1759" spans="1:21" x14ac:dyDescent="0.25">
      <c r="A1759" s="90" t="s">
        <v>4181</v>
      </c>
      <c r="B1759" s="119">
        <v>5</v>
      </c>
      <c r="C1759" s="90" t="s">
        <v>4179</v>
      </c>
      <c r="D1759" s="90" t="s">
        <v>78</v>
      </c>
      <c r="E1759">
        <v>3510</v>
      </c>
      <c r="F1759">
        <v>3511</v>
      </c>
      <c r="G1759" s="93" t="s">
        <v>78</v>
      </c>
      <c r="H1759" t="s">
        <v>196</v>
      </c>
      <c r="I1759">
        <v>1</v>
      </c>
      <c r="J1759">
        <v>214.52947918000001</v>
      </c>
      <c r="K1759">
        <f>I1759*J1759</f>
        <v>214.52947918000001</v>
      </c>
      <c r="L1759">
        <v>40</v>
      </c>
      <c r="M1759">
        <f>(1-(L1759/100))*K1759</f>
        <v>128.71768750800001</v>
      </c>
      <c r="N1759" s="90">
        <v>1759</v>
      </c>
      <c r="O1759" s="90" t="s">
        <v>4182</v>
      </c>
    </row>
    <row r="1760" spans="1:21" x14ac:dyDescent="0.25">
      <c r="A1760" s="90" t="s">
        <v>4183</v>
      </c>
      <c r="B1760" s="119">
        <v>4</v>
      </c>
      <c r="C1760" s="90" t="s">
        <v>4172</v>
      </c>
      <c r="D1760" s="90" t="s">
        <v>80</v>
      </c>
      <c r="E1760">
        <v>3513</v>
      </c>
      <c r="F1760">
        <v>3548</v>
      </c>
      <c r="G1760" s="93" t="s">
        <v>68</v>
      </c>
      <c r="H1760" t="s">
        <v>720</v>
      </c>
      <c r="I1760">
        <v>1</v>
      </c>
      <c r="J1760">
        <f>SUM(K1761,K1762,K1763,K1764,K1765,K1766,K1767,K1768,K1769,K1770,K1771,K1772,K1773,K1774,K1775,K1776,K1777)</f>
        <v>16714.50401122</v>
      </c>
      <c r="K1760">
        <f>I1760*J1760</f>
        <v>16714.50401122</v>
      </c>
      <c r="L1760">
        <f>100*(1-(M1760/K1760))</f>
        <v>40</v>
      </c>
      <c r="M1760">
        <f>I1760*SUM(M1761,M1762,M1763,M1764,M1765,M1766,M1767,M1768,M1769,M1770,M1771,M1772,M1773,M1774,M1775,M1776,M1777)</f>
        <v>10028.702406732</v>
      </c>
      <c r="N1760" s="90">
        <v>1760</v>
      </c>
      <c r="O1760" s="90" t="s">
        <v>4184</v>
      </c>
      <c r="R1760" s="90" t="s">
        <v>4648</v>
      </c>
      <c r="S1760" s="90" t="s">
        <v>5712</v>
      </c>
      <c r="T1760" s="90" t="s">
        <v>6210</v>
      </c>
      <c r="U1760" s="90" t="s">
        <v>5188</v>
      </c>
    </row>
    <row r="1761" spans="1:15" x14ac:dyDescent="0.25">
      <c r="A1761" s="90" t="s">
        <v>4185</v>
      </c>
      <c r="B1761" s="119">
        <v>5</v>
      </c>
      <c r="C1761" s="90" t="s">
        <v>4183</v>
      </c>
      <c r="D1761" s="90" t="s">
        <v>78</v>
      </c>
      <c r="E1761">
        <v>3514</v>
      </c>
      <c r="F1761">
        <v>3515</v>
      </c>
      <c r="G1761" s="93" t="s">
        <v>78</v>
      </c>
      <c r="H1761" t="s">
        <v>139</v>
      </c>
      <c r="I1761">
        <v>0</v>
      </c>
      <c r="J1761">
        <v>2631.3510760200002</v>
      </c>
      <c r="K1761">
        <f>I1761*J1761</f>
        <v>0</v>
      </c>
      <c r="L1761">
        <v>40</v>
      </c>
      <c r="M1761">
        <f>(1-(L1761/100))*K1761</f>
        <v>0</v>
      </c>
      <c r="N1761" s="90">
        <v>1761</v>
      </c>
      <c r="O1761" s="90" t="s">
        <v>4186</v>
      </c>
    </row>
    <row r="1762" spans="1:15" x14ac:dyDescent="0.25">
      <c r="A1762" s="90" t="s">
        <v>4187</v>
      </c>
      <c r="B1762" s="119">
        <v>5</v>
      </c>
      <c r="C1762" s="90" t="s">
        <v>4183</v>
      </c>
      <c r="D1762" s="90" t="s">
        <v>79</v>
      </c>
      <c r="E1762">
        <v>3516</v>
      </c>
      <c r="F1762">
        <v>3517</v>
      </c>
      <c r="G1762" s="93" t="s">
        <v>78</v>
      </c>
      <c r="H1762" t="s">
        <v>126</v>
      </c>
      <c r="I1762">
        <v>1</v>
      </c>
      <c r="J1762">
        <v>491.93938622000002</v>
      </c>
      <c r="K1762">
        <f>I1762*J1762</f>
        <v>491.93938622000002</v>
      </c>
      <c r="L1762">
        <v>40</v>
      </c>
      <c r="M1762">
        <f>(1-(L1762/100))*K1762</f>
        <v>295.163631732</v>
      </c>
      <c r="N1762" s="90">
        <v>1762</v>
      </c>
      <c r="O1762" s="90" t="s">
        <v>4188</v>
      </c>
    </row>
    <row r="1763" spans="1:15" x14ac:dyDescent="0.25">
      <c r="A1763" s="90" t="s">
        <v>4189</v>
      </c>
      <c r="B1763" s="119">
        <v>5</v>
      </c>
      <c r="C1763" s="90" t="s">
        <v>4183</v>
      </c>
      <c r="D1763" s="90" t="s">
        <v>80</v>
      </c>
      <c r="E1763">
        <v>3518</v>
      </c>
      <c r="F1763">
        <v>3519</v>
      </c>
      <c r="G1763" s="93" t="s">
        <v>78</v>
      </c>
      <c r="H1763" t="s">
        <v>137</v>
      </c>
      <c r="I1763">
        <v>0</v>
      </c>
      <c r="J1763">
        <v>36.08811919</v>
      </c>
      <c r="K1763">
        <f>I1763*J1763</f>
        <v>0</v>
      </c>
      <c r="L1763">
        <v>40</v>
      </c>
      <c r="M1763">
        <f>(1-(L1763/100))*K1763</f>
        <v>0</v>
      </c>
      <c r="N1763" s="90">
        <v>1763</v>
      </c>
      <c r="O1763" s="90" t="s">
        <v>4190</v>
      </c>
    </row>
    <row r="1764" spans="1:15" x14ac:dyDescent="0.25">
      <c r="A1764" s="90" t="s">
        <v>4191</v>
      </c>
      <c r="B1764" s="119">
        <v>5</v>
      </c>
      <c r="C1764" s="90" t="s">
        <v>4183</v>
      </c>
      <c r="D1764" s="90" t="s">
        <v>95</v>
      </c>
      <c r="E1764">
        <v>3520</v>
      </c>
      <c r="F1764">
        <v>3521</v>
      </c>
      <c r="G1764" s="93" t="s">
        <v>78</v>
      </c>
      <c r="H1764" t="s">
        <v>458</v>
      </c>
      <c r="I1764">
        <v>1</v>
      </c>
      <c r="J1764">
        <v>537.64166561000002</v>
      </c>
      <c r="K1764">
        <f>I1764*J1764</f>
        <v>537.64166561000002</v>
      </c>
      <c r="L1764">
        <v>40</v>
      </c>
      <c r="M1764">
        <f>(1-(L1764/100))*K1764</f>
        <v>322.58499936599998</v>
      </c>
      <c r="N1764" s="90">
        <v>1764</v>
      </c>
      <c r="O1764" s="90" t="s">
        <v>4192</v>
      </c>
    </row>
    <row r="1765" spans="1:15" x14ac:dyDescent="0.25">
      <c r="A1765" s="90" t="s">
        <v>4193</v>
      </c>
      <c r="B1765" s="119">
        <v>5</v>
      </c>
      <c r="C1765" s="90" t="s">
        <v>4183</v>
      </c>
      <c r="D1765" s="90" t="s">
        <v>96</v>
      </c>
      <c r="E1765">
        <v>3522</v>
      </c>
      <c r="F1765">
        <v>3523</v>
      </c>
      <c r="G1765" s="93" t="s">
        <v>78</v>
      </c>
      <c r="H1765" t="s">
        <v>123</v>
      </c>
      <c r="I1765">
        <v>1</v>
      </c>
      <c r="J1765">
        <v>313.76543995999998</v>
      </c>
      <c r="K1765">
        <f>I1765*J1765</f>
        <v>313.76543995999998</v>
      </c>
      <c r="L1765">
        <v>40</v>
      </c>
      <c r="M1765">
        <f>(1-(L1765/100))*K1765</f>
        <v>188.25926397599997</v>
      </c>
      <c r="N1765" s="90">
        <v>1765</v>
      </c>
      <c r="O1765" s="90" t="s">
        <v>4194</v>
      </c>
    </row>
    <row r="1766" spans="1:15" x14ac:dyDescent="0.25">
      <c r="A1766" s="90" t="s">
        <v>4195</v>
      </c>
      <c r="B1766" s="119">
        <v>5</v>
      </c>
      <c r="C1766" s="90" t="s">
        <v>4183</v>
      </c>
      <c r="D1766" s="90" t="s">
        <v>103</v>
      </c>
      <c r="E1766">
        <v>3524</v>
      </c>
      <c r="F1766">
        <v>3525</v>
      </c>
      <c r="G1766" s="93" t="s">
        <v>78</v>
      </c>
      <c r="H1766" t="s">
        <v>698</v>
      </c>
      <c r="I1766">
        <v>1</v>
      </c>
      <c r="J1766">
        <v>666.34407233000002</v>
      </c>
      <c r="K1766">
        <f>I1766*J1766</f>
        <v>666.34407233000002</v>
      </c>
      <c r="L1766">
        <v>40</v>
      </c>
      <c r="M1766">
        <f>(1-(L1766/100))*K1766</f>
        <v>399.806443398</v>
      </c>
      <c r="N1766" s="90">
        <v>1766</v>
      </c>
      <c r="O1766" s="90" t="s">
        <v>4196</v>
      </c>
    </row>
    <row r="1767" spans="1:15" x14ac:dyDescent="0.25">
      <c r="A1767" s="90" t="s">
        <v>4197</v>
      </c>
      <c r="B1767" s="119">
        <v>5</v>
      </c>
      <c r="C1767" s="90" t="s">
        <v>4183</v>
      </c>
      <c r="D1767" s="90" t="s">
        <v>796</v>
      </c>
      <c r="E1767">
        <v>3526</v>
      </c>
      <c r="F1767">
        <v>3527</v>
      </c>
      <c r="G1767" s="93" t="s">
        <v>78</v>
      </c>
      <c r="H1767" t="s">
        <v>120</v>
      </c>
      <c r="I1767">
        <v>1</v>
      </c>
      <c r="J1767">
        <v>967.93582071000003</v>
      </c>
      <c r="K1767">
        <f>I1767*J1767</f>
        <v>967.93582071000003</v>
      </c>
      <c r="L1767">
        <v>40</v>
      </c>
      <c r="M1767">
        <f>(1-(L1767/100))*K1767</f>
        <v>580.76149242600002</v>
      </c>
      <c r="N1767" s="90">
        <v>1767</v>
      </c>
      <c r="O1767" s="90" t="s">
        <v>4198</v>
      </c>
    </row>
    <row r="1768" spans="1:15" x14ac:dyDescent="0.25">
      <c r="A1768" s="90" t="s">
        <v>4199</v>
      </c>
      <c r="B1768" s="119">
        <v>5</v>
      </c>
      <c r="C1768" s="90" t="s">
        <v>4183</v>
      </c>
      <c r="D1768" s="90" t="s">
        <v>797</v>
      </c>
      <c r="E1768">
        <v>3528</v>
      </c>
      <c r="F1768">
        <v>3529</v>
      </c>
      <c r="G1768" s="93" t="s">
        <v>78</v>
      </c>
      <c r="H1768" t="s">
        <v>125</v>
      </c>
      <c r="I1768">
        <v>1</v>
      </c>
      <c r="J1768">
        <v>967.93582071000003</v>
      </c>
      <c r="K1768">
        <f>I1768*J1768</f>
        <v>967.93582071000003</v>
      </c>
      <c r="L1768">
        <v>40</v>
      </c>
      <c r="M1768">
        <f>(1-(L1768/100))*K1768</f>
        <v>580.76149242600002</v>
      </c>
      <c r="N1768" s="90">
        <v>1768</v>
      </c>
      <c r="O1768" s="90" t="s">
        <v>4200</v>
      </c>
    </row>
    <row r="1769" spans="1:15" x14ac:dyDescent="0.25">
      <c r="A1769" s="90" t="s">
        <v>4201</v>
      </c>
      <c r="B1769" s="119">
        <v>5</v>
      </c>
      <c r="C1769" s="90" t="s">
        <v>4183</v>
      </c>
      <c r="D1769" s="90" t="s">
        <v>798</v>
      </c>
      <c r="E1769">
        <v>3530</v>
      </c>
      <c r="F1769">
        <v>3531</v>
      </c>
      <c r="G1769" s="93" t="s">
        <v>78</v>
      </c>
      <c r="H1769" t="s">
        <v>191</v>
      </c>
      <c r="I1769">
        <v>2</v>
      </c>
      <c r="J1769">
        <v>862.86769387000004</v>
      </c>
      <c r="K1769">
        <f>I1769*J1769</f>
        <v>1725.7353877400001</v>
      </c>
      <c r="L1769">
        <v>40</v>
      </c>
      <c r="M1769">
        <f>(1-(L1769/100))*K1769</f>
        <v>1035.4412326439999</v>
      </c>
      <c r="N1769" s="90">
        <v>1769</v>
      </c>
      <c r="O1769" s="90" t="s">
        <v>4202</v>
      </c>
    </row>
    <row r="1770" spans="1:15" x14ac:dyDescent="0.25">
      <c r="A1770" s="90" t="s">
        <v>4203</v>
      </c>
      <c r="B1770" s="119">
        <v>5</v>
      </c>
      <c r="C1770" s="90" t="s">
        <v>4183</v>
      </c>
      <c r="D1770" s="90" t="s">
        <v>799</v>
      </c>
      <c r="E1770">
        <v>3532</v>
      </c>
      <c r="F1770">
        <v>3533</v>
      </c>
      <c r="G1770" s="93" t="s">
        <v>78</v>
      </c>
      <c r="H1770" t="s">
        <v>203</v>
      </c>
      <c r="I1770">
        <v>1</v>
      </c>
      <c r="J1770">
        <v>2064.00101872</v>
      </c>
      <c r="K1770">
        <f>I1770*J1770</f>
        <v>2064.00101872</v>
      </c>
      <c r="L1770">
        <v>40</v>
      </c>
      <c r="M1770">
        <f>(1-(L1770/100))*K1770</f>
        <v>1238.4006112320001</v>
      </c>
      <c r="N1770" s="90">
        <v>1770</v>
      </c>
      <c r="O1770" s="90" t="s">
        <v>4204</v>
      </c>
    </row>
    <row r="1771" spans="1:15" x14ac:dyDescent="0.25">
      <c r="A1771" s="90" t="s">
        <v>4205</v>
      </c>
      <c r="B1771" s="119">
        <v>5</v>
      </c>
      <c r="C1771" s="90" t="s">
        <v>4183</v>
      </c>
      <c r="D1771" s="90" t="s">
        <v>97</v>
      </c>
      <c r="E1771">
        <v>3534</v>
      </c>
      <c r="F1771">
        <v>3535</v>
      </c>
      <c r="G1771" s="93" t="s">
        <v>78</v>
      </c>
      <c r="H1771" t="s">
        <v>193</v>
      </c>
      <c r="I1771">
        <v>1</v>
      </c>
      <c r="J1771">
        <v>7211.7152680500003</v>
      </c>
      <c r="K1771">
        <f>I1771*J1771</f>
        <v>7211.7152680500003</v>
      </c>
      <c r="L1771">
        <v>40</v>
      </c>
      <c r="M1771">
        <f>(1-(L1771/100))*K1771</f>
        <v>4327.0291608300004</v>
      </c>
      <c r="N1771" s="90">
        <v>1771</v>
      </c>
      <c r="O1771" s="90" t="s">
        <v>4206</v>
      </c>
    </row>
    <row r="1772" spans="1:15" x14ac:dyDescent="0.25">
      <c r="A1772" s="90" t="s">
        <v>4207</v>
      </c>
      <c r="B1772" s="119">
        <v>5</v>
      </c>
      <c r="C1772" s="90" t="s">
        <v>4183</v>
      </c>
      <c r="D1772" s="90" t="s">
        <v>98</v>
      </c>
      <c r="E1772">
        <v>3536</v>
      </c>
      <c r="F1772">
        <v>3537</v>
      </c>
      <c r="G1772" s="93" t="s">
        <v>78</v>
      </c>
      <c r="H1772" t="s">
        <v>194</v>
      </c>
      <c r="I1772">
        <v>0</v>
      </c>
      <c r="J1772">
        <v>214.52947918000001</v>
      </c>
      <c r="K1772">
        <f>I1772*J1772</f>
        <v>0</v>
      </c>
      <c r="L1772">
        <v>40</v>
      </c>
      <c r="M1772">
        <f>(1-(L1772/100))*K1772</f>
        <v>0</v>
      </c>
      <c r="N1772" s="90">
        <v>1772</v>
      </c>
      <c r="O1772" s="90" t="s">
        <v>4208</v>
      </c>
    </row>
    <row r="1773" spans="1:15" x14ac:dyDescent="0.25">
      <c r="A1773" s="90" t="s">
        <v>4209</v>
      </c>
      <c r="B1773" s="119">
        <v>5</v>
      </c>
      <c r="C1773" s="90" t="s">
        <v>4183</v>
      </c>
      <c r="D1773" s="90" t="s">
        <v>99</v>
      </c>
      <c r="E1773">
        <v>3538</v>
      </c>
      <c r="F1773">
        <v>3539</v>
      </c>
      <c r="G1773" s="93" t="s">
        <v>78</v>
      </c>
      <c r="H1773" t="s">
        <v>196</v>
      </c>
      <c r="I1773">
        <v>0</v>
      </c>
      <c r="J1773">
        <v>214.52947918000001</v>
      </c>
      <c r="K1773">
        <f>I1773*J1773</f>
        <v>0</v>
      </c>
      <c r="L1773">
        <v>40</v>
      </c>
      <c r="M1773">
        <f>(1-(L1773/100))*K1773</f>
        <v>0</v>
      </c>
      <c r="N1773" s="90">
        <v>1773</v>
      </c>
      <c r="O1773" s="90" t="s">
        <v>4210</v>
      </c>
    </row>
    <row r="1774" spans="1:15" x14ac:dyDescent="0.25">
      <c r="A1774" s="90" t="s">
        <v>4211</v>
      </c>
      <c r="B1774" s="119">
        <v>5</v>
      </c>
      <c r="C1774" s="90" t="s">
        <v>4183</v>
      </c>
      <c r="D1774" s="90" t="s">
        <v>100</v>
      </c>
      <c r="E1774">
        <v>3540</v>
      </c>
      <c r="F1774">
        <v>3541</v>
      </c>
      <c r="G1774" s="93" t="s">
        <v>78</v>
      </c>
      <c r="H1774" t="s">
        <v>187</v>
      </c>
      <c r="I1774">
        <v>3</v>
      </c>
      <c r="J1774">
        <v>256.72991214000001</v>
      </c>
      <c r="K1774">
        <f>I1774*J1774</f>
        <v>770.18973642000003</v>
      </c>
      <c r="L1774">
        <v>40</v>
      </c>
      <c r="M1774">
        <f>(1-(L1774/100))*K1774</f>
        <v>462.11384185200001</v>
      </c>
      <c r="N1774" s="90">
        <v>1774</v>
      </c>
      <c r="O1774" s="90" t="s">
        <v>4212</v>
      </c>
    </row>
    <row r="1775" spans="1:15" x14ac:dyDescent="0.25">
      <c r="A1775" s="90" t="s">
        <v>4213</v>
      </c>
      <c r="B1775" s="119">
        <v>5</v>
      </c>
      <c r="C1775" s="90" t="s">
        <v>4183</v>
      </c>
      <c r="D1775" s="90" t="s">
        <v>81</v>
      </c>
      <c r="E1775">
        <v>3542</v>
      </c>
      <c r="F1775">
        <v>3543</v>
      </c>
      <c r="G1775" s="93" t="s">
        <v>78</v>
      </c>
      <c r="H1775" t="s">
        <v>468</v>
      </c>
      <c r="I1775">
        <v>1</v>
      </c>
      <c r="J1775">
        <v>997.30039475000001</v>
      </c>
      <c r="K1775">
        <f>I1775*J1775</f>
        <v>997.30039475000001</v>
      </c>
      <c r="L1775">
        <v>40</v>
      </c>
      <c r="M1775">
        <f>(1-(L1775/100))*K1775</f>
        <v>598.38023684999996</v>
      </c>
      <c r="N1775" s="90">
        <v>1775</v>
      </c>
      <c r="O1775" s="90" t="s">
        <v>4214</v>
      </c>
    </row>
    <row r="1776" spans="1:15" x14ac:dyDescent="0.25">
      <c r="A1776" s="90" t="s">
        <v>4215</v>
      </c>
      <c r="B1776" s="119">
        <v>5</v>
      </c>
      <c r="C1776" s="90" t="s">
        <v>4183</v>
      </c>
      <c r="D1776" s="90" t="s">
        <v>83</v>
      </c>
      <c r="E1776">
        <v>3544</v>
      </c>
      <c r="F1776">
        <v>3545</v>
      </c>
      <c r="G1776" s="93" t="s">
        <v>78</v>
      </c>
      <c r="H1776" t="s">
        <v>119</v>
      </c>
      <c r="I1776">
        <v>0</v>
      </c>
      <c r="J1776">
        <v>594.85546925000006</v>
      </c>
      <c r="K1776">
        <f>I1776*J1776</f>
        <v>0</v>
      </c>
      <c r="L1776">
        <v>40</v>
      </c>
      <c r="M1776">
        <f>(1-(L1776/100))*K1776</f>
        <v>0</v>
      </c>
      <c r="N1776" s="90">
        <v>1776</v>
      </c>
      <c r="O1776" s="90" t="s">
        <v>4216</v>
      </c>
    </row>
    <row r="1777" spans="1:21" x14ac:dyDescent="0.25">
      <c r="A1777" s="90" t="s">
        <v>4217</v>
      </c>
      <c r="B1777" s="119">
        <v>5</v>
      </c>
      <c r="C1777" s="90" t="s">
        <v>4183</v>
      </c>
      <c r="D1777" s="90" t="s">
        <v>84</v>
      </c>
      <c r="E1777">
        <v>3546</v>
      </c>
      <c r="F1777">
        <v>3547</v>
      </c>
      <c r="G1777" s="93" t="s">
        <v>78</v>
      </c>
      <c r="H1777" t="s">
        <v>138</v>
      </c>
      <c r="I1777">
        <v>0</v>
      </c>
      <c r="J1777">
        <v>227.32713613000001</v>
      </c>
      <c r="K1777">
        <f>I1777*J1777</f>
        <v>0</v>
      </c>
      <c r="L1777">
        <v>40</v>
      </c>
      <c r="M1777">
        <f>(1-(L1777/100))*K1777</f>
        <v>0</v>
      </c>
      <c r="N1777" s="90">
        <v>1777</v>
      </c>
      <c r="O1777" s="90" t="s">
        <v>4218</v>
      </c>
    </row>
    <row r="1778" spans="1:21" x14ac:dyDescent="0.25">
      <c r="A1778" s="90" t="s">
        <v>4219</v>
      </c>
      <c r="B1778" s="119">
        <v>3</v>
      </c>
      <c r="C1778" s="90" t="s">
        <v>4088</v>
      </c>
      <c r="D1778" s="90" t="s">
        <v>96</v>
      </c>
      <c r="E1778">
        <v>3550</v>
      </c>
      <c r="F1778">
        <v>3563</v>
      </c>
      <c r="G1778" s="93" t="s">
        <v>68</v>
      </c>
      <c r="H1778" t="s">
        <v>4220</v>
      </c>
      <c r="I1778">
        <v>1</v>
      </c>
      <c r="J1778">
        <f>SUM(K1779,K1781)</f>
        <v>13283.713230629997</v>
      </c>
      <c r="K1778">
        <f>I1778*J1778</f>
        <v>13283.713230629997</v>
      </c>
      <c r="L1778">
        <f>100*(1-(M1778/K1778))</f>
        <v>39.999999999999993</v>
      </c>
      <c r="M1778">
        <f>I1778*SUM(M1779,M1781)</f>
        <v>7970.2279383779996</v>
      </c>
      <c r="N1778" s="90">
        <v>1778</v>
      </c>
      <c r="O1778" s="90" t="s">
        <v>4221</v>
      </c>
      <c r="R1778" s="90" t="s">
        <v>6435</v>
      </c>
      <c r="S1778" s="90" t="s">
        <v>6738</v>
      </c>
      <c r="T1778" s="90" t="s">
        <v>6883</v>
      </c>
      <c r="U1778" s="90" t="s">
        <v>6587</v>
      </c>
    </row>
    <row r="1779" spans="1:21" x14ac:dyDescent="0.25">
      <c r="A1779" s="90" t="s">
        <v>4222</v>
      </c>
      <c r="B1779" s="119">
        <v>4</v>
      </c>
      <c r="C1779" s="90" t="s">
        <v>4219</v>
      </c>
      <c r="D1779" s="90" t="s">
        <v>78</v>
      </c>
      <c r="E1779">
        <v>3551</v>
      </c>
      <c r="F1779">
        <v>3554</v>
      </c>
      <c r="G1779" s="93" t="s">
        <v>68</v>
      </c>
      <c r="H1779" t="s">
        <v>186</v>
      </c>
      <c r="I1779">
        <v>3</v>
      </c>
      <c r="J1779">
        <f>SUM(K1780)</f>
        <v>256.72991214000001</v>
      </c>
      <c r="K1779">
        <f>I1779*J1779</f>
        <v>770.18973642000003</v>
      </c>
      <c r="L1779">
        <f>100*(1-(M1779/K1779))</f>
        <v>39.999999999999993</v>
      </c>
      <c r="M1779">
        <f>I1779*SUM(M1780)</f>
        <v>462.11384185200006</v>
      </c>
      <c r="N1779" s="90">
        <v>1779</v>
      </c>
      <c r="O1779" s="90" t="s">
        <v>4223</v>
      </c>
      <c r="R1779" s="90" t="s">
        <v>4649</v>
      </c>
      <c r="S1779" s="90" t="s">
        <v>5713</v>
      </c>
      <c r="T1779" s="90" t="s">
        <v>6211</v>
      </c>
      <c r="U1779" s="90" t="s">
        <v>5189</v>
      </c>
    </row>
    <row r="1780" spans="1:21" x14ac:dyDescent="0.25">
      <c r="A1780" s="90" t="s">
        <v>4224</v>
      </c>
      <c r="B1780" s="119">
        <v>5</v>
      </c>
      <c r="C1780" s="90" t="s">
        <v>4222</v>
      </c>
      <c r="D1780" s="90" t="s">
        <v>78</v>
      </c>
      <c r="E1780">
        <v>3552</v>
      </c>
      <c r="F1780">
        <v>3553</v>
      </c>
      <c r="G1780" s="93" t="s">
        <v>78</v>
      </c>
      <c r="H1780" t="s">
        <v>187</v>
      </c>
      <c r="I1780">
        <v>1</v>
      </c>
      <c r="J1780">
        <v>256.72991214000001</v>
      </c>
      <c r="K1780">
        <f>I1780*J1780</f>
        <v>256.72991214000001</v>
      </c>
      <c r="L1780">
        <v>40</v>
      </c>
      <c r="M1780">
        <f>(1-(L1780/100))*K1780</f>
        <v>154.03794728400001</v>
      </c>
      <c r="N1780" s="90">
        <v>1780</v>
      </c>
      <c r="O1780" s="90" t="s">
        <v>4225</v>
      </c>
    </row>
    <row r="1781" spans="1:21" x14ac:dyDescent="0.25">
      <c r="A1781" s="90" t="s">
        <v>4226</v>
      </c>
      <c r="B1781" s="119">
        <v>4</v>
      </c>
      <c r="C1781" s="90" t="s">
        <v>4219</v>
      </c>
      <c r="D1781" s="90" t="s">
        <v>79</v>
      </c>
      <c r="E1781">
        <v>3555</v>
      </c>
      <c r="F1781">
        <v>3562</v>
      </c>
      <c r="G1781" s="93" t="s">
        <v>68</v>
      </c>
      <c r="H1781" t="s">
        <v>264</v>
      </c>
      <c r="I1781">
        <v>1</v>
      </c>
      <c r="J1781">
        <f>SUM(K1782,K1783,K1784)</f>
        <v>12513.523494209998</v>
      </c>
      <c r="K1781">
        <f>I1781*J1781</f>
        <v>12513.523494209998</v>
      </c>
      <c r="L1781">
        <f>100*(1-(M1781/K1781))</f>
        <v>39.999999999999993</v>
      </c>
      <c r="M1781">
        <f>I1781*SUM(M1782,M1783,M1784)</f>
        <v>7508.1140965259992</v>
      </c>
      <c r="N1781" s="90">
        <v>1781</v>
      </c>
      <c r="O1781" s="90" t="s">
        <v>4227</v>
      </c>
      <c r="R1781" s="90" t="s">
        <v>4650</v>
      </c>
      <c r="S1781" s="90" t="s">
        <v>5714</v>
      </c>
      <c r="T1781" s="90" t="s">
        <v>6212</v>
      </c>
      <c r="U1781" s="90" t="s">
        <v>5190</v>
      </c>
    </row>
    <row r="1782" spans="1:21" x14ac:dyDescent="0.25">
      <c r="A1782" s="90" t="s">
        <v>4228</v>
      </c>
      <c r="B1782" s="119">
        <v>5</v>
      </c>
      <c r="C1782" s="90" t="s">
        <v>4226</v>
      </c>
      <c r="D1782" s="90" t="s">
        <v>78</v>
      </c>
      <c r="E1782">
        <v>3556</v>
      </c>
      <c r="F1782">
        <v>3557</v>
      </c>
      <c r="G1782" s="93" t="s">
        <v>78</v>
      </c>
      <c r="H1782" t="s">
        <v>189</v>
      </c>
      <c r="I1782">
        <v>1</v>
      </c>
      <c r="J1782">
        <v>10880.466063919999</v>
      </c>
      <c r="K1782">
        <f>I1782*J1782</f>
        <v>10880.466063919999</v>
      </c>
      <c r="L1782">
        <v>40</v>
      </c>
      <c r="M1782">
        <f>(1-(L1782/100))*K1782</f>
        <v>6528.279638351999</v>
      </c>
      <c r="N1782" s="90">
        <v>1782</v>
      </c>
      <c r="O1782" s="90" t="s">
        <v>4229</v>
      </c>
    </row>
    <row r="1783" spans="1:21" x14ac:dyDescent="0.25">
      <c r="A1783" s="90" t="s">
        <v>4230</v>
      </c>
      <c r="B1783" s="119">
        <v>5</v>
      </c>
      <c r="C1783" s="90" t="s">
        <v>4226</v>
      </c>
      <c r="D1783" s="90" t="s">
        <v>79</v>
      </c>
      <c r="E1783">
        <v>3558</v>
      </c>
      <c r="F1783">
        <v>3559</v>
      </c>
      <c r="G1783" s="93" t="s">
        <v>78</v>
      </c>
      <c r="H1783" t="s">
        <v>191</v>
      </c>
      <c r="I1783">
        <v>1</v>
      </c>
      <c r="J1783">
        <v>862.86769387000004</v>
      </c>
      <c r="K1783">
        <f>I1783*J1783</f>
        <v>862.86769387000004</v>
      </c>
      <c r="L1783">
        <v>40</v>
      </c>
      <c r="M1783">
        <f>(1-(L1783/100))*K1783</f>
        <v>517.72061632199996</v>
      </c>
      <c r="N1783" s="90">
        <v>1783</v>
      </c>
      <c r="O1783" s="90" t="s">
        <v>4231</v>
      </c>
    </row>
    <row r="1784" spans="1:21" x14ac:dyDescent="0.25">
      <c r="A1784" s="90" t="s">
        <v>4232</v>
      </c>
      <c r="B1784" s="119">
        <v>5</v>
      </c>
      <c r="C1784" s="90" t="s">
        <v>4226</v>
      </c>
      <c r="D1784" s="90" t="s">
        <v>80</v>
      </c>
      <c r="E1784">
        <v>3560</v>
      </c>
      <c r="F1784">
        <v>3561</v>
      </c>
      <c r="G1784" s="93" t="s">
        <v>78</v>
      </c>
      <c r="H1784" t="s">
        <v>187</v>
      </c>
      <c r="I1784">
        <v>3</v>
      </c>
      <c r="J1784">
        <v>256.72991214000001</v>
      </c>
      <c r="K1784">
        <f>I1784*J1784</f>
        <v>770.18973642000003</v>
      </c>
      <c r="L1784">
        <v>40</v>
      </c>
      <c r="M1784">
        <f>(1-(L1784/100))*K1784</f>
        <v>462.11384185200001</v>
      </c>
      <c r="N1784" s="90">
        <v>1784</v>
      </c>
      <c r="O1784" s="90" t="s">
        <v>4233</v>
      </c>
    </row>
    <row r="1785" spans="1:21" x14ac:dyDescent="0.25">
      <c r="A1785" s="90" t="s">
        <v>4234</v>
      </c>
      <c r="B1785" s="119">
        <v>3</v>
      </c>
      <c r="C1785" s="90" t="s">
        <v>4088</v>
      </c>
      <c r="D1785" s="90" t="s">
        <v>103</v>
      </c>
      <c r="E1785">
        <v>3564</v>
      </c>
      <c r="F1785">
        <v>3569</v>
      </c>
      <c r="G1785" s="93" t="s">
        <v>68</v>
      </c>
      <c r="H1785" t="s">
        <v>4235</v>
      </c>
      <c r="I1785">
        <v>1</v>
      </c>
      <c r="J1785">
        <f>SUM(K1786)</f>
        <v>333.63045970000002</v>
      </c>
      <c r="K1785">
        <f>I1785*J1785</f>
        <v>333.63045970000002</v>
      </c>
      <c r="L1785">
        <f>100*(1-(M1785/K1785))</f>
        <v>76</v>
      </c>
      <c r="M1785">
        <f>I1785*SUM(M1786)</f>
        <v>80.071310327999996</v>
      </c>
      <c r="N1785" s="90">
        <v>1785</v>
      </c>
      <c r="O1785" s="90" t="s">
        <v>4236</v>
      </c>
      <c r="R1785" s="90" t="s">
        <v>6436</v>
      </c>
      <c r="S1785" s="90" t="s">
        <v>6739</v>
      </c>
      <c r="T1785" s="90" t="s">
        <v>6884</v>
      </c>
      <c r="U1785" s="90" t="s">
        <v>6588</v>
      </c>
    </row>
    <row r="1786" spans="1:21" x14ac:dyDescent="0.25">
      <c r="A1786" s="90" t="s">
        <v>4237</v>
      </c>
      <c r="B1786" s="119">
        <v>4</v>
      </c>
      <c r="C1786" s="90" t="s">
        <v>4234</v>
      </c>
      <c r="D1786" s="90" t="s">
        <v>78</v>
      </c>
      <c r="E1786">
        <v>3565</v>
      </c>
      <c r="F1786">
        <v>3568</v>
      </c>
      <c r="G1786" s="93" t="s">
        <v>68</v>
      </c>
      <c r="H1786" t="s">
        <v>399</v>
      </c>
      <c r="I1786">
        <v>1</v>
      </c>
      <c r="J1786">
        <f>SUM(K1787)</f>
        <v>333.63045970000002</v>
      </c>
      <c r="K1786">
        <f>I1786*J1786</f>
        <v>333.63045970000002</v>
      </c>
      <c r="L1786">
        <f>100*(1-(M1786/K1786))</f>
        <v>76</v>
      </c>
      <c r="M1786">
        <f>I1786*SUM(M1787)</f>
        <v>80.071310327999996</v>
      </c>
      <c r="N1786" s="90">
        <v>1786</v>
      </c>
      <c r="O1786" s="90" t="s">
        <v>4238</v>
      </c>
      <c r="R1786" s="90" t="s">
        <v>4651</v>
      </c>
      <c r="S1786" s="90" t="s">
        <v>5715</v>
      </c>
      <c r="T1786" s="90" t="s">
        <v>6213</v>
      </c>
      <c r="U1786" s="90" t="s">
        <v>5191</v>
      </c>
    </row>
    <row r="1787" spans="1:21" x14ac:dyDescent="0.25">
      <c r="A1787" s="90" t="s">
        <v>4239</v>
      </c>
      <c r="B1787" s="119">
        <v>5</v>
      </c>
      <c r="C1787" s="90" t="s">
        <v>4237</v>
      </c>
      <c r="D1787" s="90" t="s">
        <v>78</v>
      </c>
      <c r="E1787">
        <v>3566</v>
      </c>
      <c r="F1787">
        <v>3567</v>
      </c>
      <c r="G1787" s="93" t="s">
        <v>78</v>
      </c>
      <c r="H1787" t="s">
        <v>401</v>
      </c>
      <c r="I1787">
        <v>1</v>
      </c>
      <c r="J1787">
        <v>333.63045970000002</v>
      </c>
      <c r="K1787">
        <f>I1787*J1787</f>
        <v>333.63045970000002</v>
      </c>
      <c r="L1787">
        <v>76</v>
      </c>
      <c r="M1787">
        <f>(1-(L1787/100))*K1787</f>
        <v>80.071310327999996</v>
      </c>
      <c r="N1787" s="90">
        <v>1787</v>
      </c>
      <c r="O1787" s="90" t="s">
        <v>4240</v>
      </c>
    </row>
    <row r="1788" spans="1:21" x14ac:dyDescent="0.25">
      <c r="A1788" s="90" t="s">
        <v>4241</v>
      </c>
      <c r="B1788" s="119">
        <v>3</v>
      </c>
      <c r="C1788" s="90" t="s">
        <v>4088</v>
      </c>
      <c r="D1788" s="90" t="s">
        <v>796</v>
      </c>
      <c r="E1788">
        <v>3570</v>
      </c>
      <c r="F1788">
        <v>3575</v>
      </c>
      <c r="G1788" s="93" t="s">
        <v>68</v>
      </c>
      <c r="H1788" t="s">
        <v>4242</v>
      </c>
      <c r="I1788">
        <v>1</v>
      </c>
      <c r="J1788">
        <f>SUM(K1789)</f>
        <v>1749.64981536</v>
      </c>
      <c r="K1788">
        <f>I1788*J1788</f>
        <v>1749.64981536</v>
      </c>
      <c r="L1788">
        <f>100*(1-(M1788/K1788))</f>
        <v>88</v>
      </c>
      <c r="M1788">
        <f>I1788*SUM(M1789)</f>
        <v>209.95797784319998</v>
      </c>
      <c r="N1788" s="90">
        <v>1788</v>
      </c>
      <c r="O1788" s="90" t="s">
        <v>4243</v>
      </c>
      <c r="R1788" s="90" t="s">
        <v>6437</v>
      </c>
      <c r="S1788" s="90" t="s">
        <v>6740</v>
      </c>
      <c r="T1788" s="90" t="s">
        <v>6885</v>
      </c>
      <c r="U1788" s="90" t="s">
        <v>6589</v>
      </c>
    </row>
    <row r="1789" spans="1:21" x14ac:dyDescent="0.25">
      <c r="A1789" s="90" t="s">
        <v>4244</v>
      </c>
      <c r="B1789" s="119">
        <v>4</v>
      </c>
      <c r="C1789" s="90" t="s">
        <v>4241</v>
      </c>
      <c r="D1789" s="90" t="s">
        <v>78</v>
      </c>
      <c r="E1789">
        <v>3571</v>
      </c>
      <c r="F1789">
        <v>3574</v>
      </c>
      <c r="G1789" s="93" t="s">
        <v>68</v>
      </c>
      <c r="H1789" t="s">
        <v>422</v>
      </c>
      <c r="I1789">
        <v>1</v>
      </c>
      <c r="J1789">
        <f>SUM(K1790)</f>
        <v>1749.64981536</v>
      </c>
      <c r="K1789">
        <f>I1789*J1789</f>
        <v>1749.64981536</v>
      </c>
      <c r="L1789">
        <f>100*(1-(M1789/K1789))</f>
        <v>88</v>
      </c>
      <c r="M1789">
        <f>I1789*SUM(M1790)</f>
        <v>209.95797784319998</v>
      </c>
      <c r="N1789" s="90">
        <v>1789</v>
      </c>
      <c r="O1789" s="90" t="s">
        <v>4245</v>
      </c>
      <c r="R1789" s="90" t="s">
        <v>4652</v>
      </c>
      <c r="S1789" s="90" t="s">
        <v>5716</v>
      </c>
      <c r="T1789" s="90" t="s">
        <v>6214</v>
      </c>
      <c r="U1789" s="90" t="s">
        <v>5192</v>
      </c>
    </row>
    <row r="1790" spans="1:21" x14ac:dyDescent="0.25">
      <c r="A1790" s="90" t="s">
        <v>4246</v>
      </c>
      <c r="B1790" s="119">
        <v>5</v>
      </c>
      <c r="C1790" s="90" t="s">
        <v>4244</v>
      </c>
      <c r="D1790" s="90" t="s">
        <v>78</v>
      </c>
      <c r="E1790">
        <v>3572</v>
      </c>
      <c r="F1790">
        <v>3573</v>
      </c>
      <c r="G1790" s="93" t="s">
        <v>78</v>
      </c>
      <c r="H1790" t="s">
        <v>424</v>
      </c>
      <c r="I1790">
        <v>1</v>
      </c>
      <c r="J1790">
        <v>1749.64981536</v>
      </c>
      <c r="K1790">
        <f>I1790*J1790</f>
        <v>1749.64981536</v>
      </c>
      <c r="L1790">
        <v>88</v>
      </c>
      <c r="M1790">
        <f>(1-(L1790/100))*K1790</f>
        <v>209.95797784319998</v>
      </c>
      <c r="N1790" s="90">
        <v>1790</v>
      </c>
      <c r="O1790" s="90" t="s">
        <v>4247</v>
      </c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2012-06-09T11:22:27Z</dcterms:modified>
</cp:coreProperties>
</file>
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Database!$A$1:$G$18</definedName>
    <definedName name="_xlnm.Print_Area" localSheetId="3">Summary!$A$1:$H$51</definedName>
  </definedNames>
  <calcPr calcId="145621"/>
</workbook>
</file>

<file path=xl/calcChain.xml><?xml version="1.0" encoding="utf-8"?>
<calcChain xmlns="http://schemas.openxmlformats.org/spreadsheetml/2006/main">
  <c r="K2" i="2" l="1"/>
  <c r="M2" i="2"/>
  <c r="J2" i="2"/>
  <c r="K45" i="2"/>
  <c r="K26" i="2"/>
  <c r="K21" i="2"/>
  <c r="K16" i="2"/>
  <c r="K3" i="2"/>
  <c r="M45" i="2"/>
  <c r="M26" i="2"/>
  <c r="M21" i="2"/>
  <c r="M16" i="2"/>
  <c r="M3" i="2"/>
  <c r="J45" i="2"/>
  <c r="J26" i="2"/>
  <c r="J21" i="2"/>
  <c r="J16" i="2"/>
  <c r="J3" i="2"/>
  <c r="K63" i="2"/>
  <c r="K49" i="2"/>
  <c r="K31" i="2"/>
  <c r="K27" i="2"/>
  <c r="K22" i="2"/>
  <c r="K17" i="2"/>
  <c r="K4" i="2"/>
  <c r="M63" i="2"/>
  <c r="M49" i="2"/>
  <c r="M31" i="2"/>
  <c r="M27" i="2"/>
  <c r="M22" i="2"/>
  <c r="M17" i="2"/>
  <c r="M4" i="2"/>
  <c r="J63" i="2"/>
  <c r="J49" i="2"/>
  <c r="J31" i="2"/>
  <c r="J27" i="2"/>
  <c r="J22" i="2"/>
  <c r="J17" i="2"/>
  <c r="J4" i="2"/>
  <c r="K64" i="2"/>
  <c r="K50" i="2"/>
  <c r="K46" i="2"/>
  <c r="K32" i="2"/>
  <c r="K28" i="2"/>
  <c r="K23" i="2"/>
  <c r="K18" i="2"/>
  <c r="K5" i="2"/>
  <c r="M64" i="2"/>
  <c r="M50" i="2"/>
  <c r="M46" i="2"/>
  <c r="M32" i="2"/>
  <c r="M28" i="2"/>
  <c r="M23" i="2"/>
  <c r="M18" i="2"/>
  <c r="M5" i="2"/>
  <c r="J64" i="2"/>
  <c r="J50" i="2"/>
  <c r="J46" i="2"/>
  <c r="J32" i="2"/>
  <c r="J28" i="2"/>
  <c r="J23" i="2"/>
  <c r="J18" i="2"/>
  <c r="J5" i="2"/>
  <c r="K68" i="2"/>
  <c r="K65" i="2"/>
  <c r="K59" i="2"/>
  <c r="K55" i="2"/>
  <c r="K51" i="2"/>
  <c r="K47" i="2"/>
  <c r="K33" i="2"/>
  <c r="K29" i="2"/>
  <c r="K24" i="2"/>
  <c r="K19" i="2"/>
  <c r="K6" i="2"/>
  <c r="M68" i="2"/>
  <c r="M65" i="2"/>
  <c r="M59" i="2"/>
  <c r="M55" i="2"/>
  <c r="M51" i="2"/>
  <c r="M47" i="2"/>
  <c r="M33" i="2"/>
  <c r="M29" i="2"/>
  <c r="M24" i="2"/>
  <c r="M19" i="2"/>
  <c r="M6" i="2"/>
  <c r="J68" i="2"/>
  <c r="J65" i="2"/>
  <c r="J59" i="2"/>
  <c r="J55" i="2"/>
  <c r="J51" i="2"/>
  <c r="J47" i="2"/>
  <c r="J33" i="2"/>
  <c r="J29" i="2"/>
  <c r="J24" i="2"/>
  <c r="J19" i="2"/>
  <c r="J6" i="2"/>
  <c r="M69" i="2" l="1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<sst xmlns="http://schemas.openxmlformats.org/spreadsheetml/2006/main" count="466" uniqueCount="231">
  <si>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</si>
  <si>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</si>
  <si>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</si>
  <si>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</si>
  <si>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</si>
  <si>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</si>
  <si>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</si>
  <si>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</si>
  <si>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</si>
  <si>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</si>
  <si>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</si>
  <si>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</si>
  <si>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</si>
  <si>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</si>
  <si>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</si>
  <si>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</si>
  <si>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</si>
  <si>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</si>
  <si>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</si>
  <si>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</si>
  <si>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</si>
  <si>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</si>
  <si>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</si>
  <si>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</si>
  <si>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</si>
  <si>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</si>
  <si>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</si>
  <si>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</si>
  <si>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</si>
  <si>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</si>
  <si>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</si>
  <si>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</si>
  <si>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</si>
  <si>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</si>
  <si>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</si>
  <si>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</si>
  <si>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</si>
  <si>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</si>
  <si>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</si>
  <si>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</si>
  <si>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</si>
  <si>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</si>
  <si>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</si>
  <si>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</si>
  <si>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</si>
  <si>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</si>
  <si>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</si>
  <si>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</si>
  <si>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</si>
  <si>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</si>
  <si>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</si>
  <si>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</si>
  <si>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</si>
  <si>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</si>
  <si>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</si>
  <si>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</si>
  <si>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</si>
  <si>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</si>
  <si>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</si>
  <si>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</si>
  <si>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</si>
  <si>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</si>
  <si>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</si>
  <si>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</si>
  <si>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</si>
  <si>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</si>
  <si>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</si>
  <si>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</si>
  <si>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</si>
  <si>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</si>
  <si>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</si>
  <si>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</si>
  <si>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</si>
  <si>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</si>
  <si>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</si>
  <si>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</si>
  <si>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</si>
  <si>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</si>
  <si>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</si>
  <si>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</si>
  <si>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</si>
  <si>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</si>
  <si>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</si>
  <si>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</si>
  <si>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</si>
  <si>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</si>
  <si>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</si>
  <si>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</si>
  <si>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</si>
  <si>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</si>
  <si>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</si>
  <si>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</si>
  <si>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</si>
  <si>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</si>
  <si>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</si>
  <si>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</si>
  <si>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</si>
  <si>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</si>
  <si>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</si>
  <si>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</si>
  <si>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</si>
  <si>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</si>
  <si>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</si>
  <si>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</si>
  <si>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</si>
  <si>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</si>
  <si>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</si>
  <si>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</si>
  <si>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</si>
  <si>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</si>
  <si>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</si>
  <si>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</si>
  <si>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</si>
  <si>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</si>
  <si>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</si>
  <si>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</si>
  <si>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</si>
  <si>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</si>
  <si>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</si>
  <si>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</si>
  <si>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</si>
  <si>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</si>
  <si>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</si>
  <si>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</si>
  <si>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</si>
  <si>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</si>
  <si>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</si>
  <si>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</si>
  <si>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</si>
  <si>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</si>
  <si>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</si>
  <si>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</si>
  <si>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</si>
  <si>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</si>
  <si>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</si>
  <si>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</si>
  <si>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</si>
  <si>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</si>
  <si>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</si>
  <si>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</si>
  <si>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</si>
  <si>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</si>
  <si>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</si>
  <si>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</si>
  <si>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</si>
  <si>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</si>
  <si>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</si>
  <si>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</si>
  <si>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</si>
  <si>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</si>
  <si>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</si>
  <si>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</si>
  <si>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</si>
  <si>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</si>
  <si>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</si>
  <si>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</si>
  <si>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</si>
  <si>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</si>
  <si>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</si>
  <si>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</si>
  <si>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</si>
  <si>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</si>
  <si>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</si>
  <si>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</si>
  <si>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</si>
  <si>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</si>
  <si>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</si>
  <si>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</si>
  <si>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</si>
  <si>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</si>
  <si>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</si>
  <si>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</si>
  <si>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</si>
  <si>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</si>
  <si>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</si>
  <si>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</si>
  <si>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</si>
  <si>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</si>
  <si>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</si>
  <si>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</si>
  <si>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</si>
  <si>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</si>
  <si>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</si>
  <si>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</si>
  <si>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</si>
  <si>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</si>
  <si>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</si>
  <si>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</si>
  <si>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</si>
  <si>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</si>
  <si>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</si>
  <si>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</si>
  <si>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</si>
  <si>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</si>
  <si>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</si>
  <si>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</si>
  <si>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</si>
  <si>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</si>
  <si>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</si>
  <si>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</si>
  <si>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</si>
  <si>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</si>
  <si>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</si>
  <si>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</si>
  <si>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</si>
  <si>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</si>
  <si>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</si>
  <si>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</si>
  <si>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</si>
  <si>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</si>
  <si>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</si>
  <si>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</si>
  <si>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</si>
  <si>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</si>
  <si>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</si>
  <si>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</si>
  <si>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</si>
  <si>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</si>
  <si>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</si>
  <si>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</si>
  <si>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</si>
  <si>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</si>
  <si>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</si>
  <si>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</si>
  <si>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</si>
  <si>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</si>
  <si>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</si>
  <si>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</si>
  <si>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</si>
  <si>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</si>
  <si>
    <t>CurrentRow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</si>
</sst>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tabSelected="1" workbookViewId="0">
      <selection activeCell="N12" sqref="N12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  <c r="N1" s="109" t="s">
        <v>230</v>
      </c>
    </row>
    <row r="2" spans="1:14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>
        <v>1</v>
      </c>
      <c r="J2" s="109">
        <f>SUM(K3,K16,K21,K26,K31,K45)</f>
        <v>4296.0304747999999</v>
      </c>
      <c r="K2" s="109">
        <f>I2*J2</f>
        <v>4296.0304747999999</v>
      </c>
      <c r="L2" s="109"/>
      <c r="M2" s="109">
        <f>I2*SUM(M3,M16,M21,M26,M31,M45)</f>
        <v>4296.0304747999999</v>
      </c>
      <c r="N2">
        <v>2</v>
      </c>
    </row>
    <row r="3" spans="1:14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  <c r="I3">
        <v>1</v>
      </c>
      <c r="J3">
        <f>SUM(K4)</f>
        <v>61.415861999999997</v>
      </c>
      <c r="K3">
        <f>I3*J3</f>
        <v>61.415861999999997</v>
      </c>
      <c r="M3">
        <f>I3*SUM(M4)</f>
        <v>61.415861999999997</v>
      </c>
      <c r="N3">
        <v>3</v>
      </c>
    </row>
    <row r="4" spans="1:14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  <c r="I4">
        <v>1</v>
      </c>
      <c r="J4">
        <f>SUM(K5)</f>
        <v>61.415861999999997</v>
      </c>
      <c r="K4">
        <f>I4*J4</f>
        <v>61.415861999999997</v>
      </c>
      <c r="M4">
        <f>I4*SUM(M5)</f>
        <v>61.415861999999997</v>
      </c>
      <c r="N4">
        <v>4</v>
      </c>
    </row>
    <row r="5" spans="1:14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  <c r="I5">
        <v>1</v>
      </c>
      <c r="J5">
        <f>SUM(K6)</f>
        <v>61.415861999999997</v>
      </c>
      <c r="K5">
        <f>I5*J5</f>
        <v>61.415861999999997</v>
      </c>
      <c r="M5">
        <f>I5*SUM(M6)</f>
        <v>61.415861999999997</v>
      </c>
      <c r="N5">
        <v>5</v>
      </c>
    </row>
    <row r="6" spans="1:14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  <c r="I6">
        <v>1</v>
      </c>
      <c r="J6">
        <f>SUM(K7,K8,K9,K10,K11,K12,K13,K14,K15)</f>
        <v>61.415861999999997</v>
      </c>
      <c r="K6">
        <f>I6*J6</f>
        <v>61.415861999999997</v>
      </c>
      <c r="M6">
        <f>I6*SUM(M7,M8,M9,M10,M11,M12,M13,M14,M15)</f>
        <v>61.415861999999997</v>
      </c>
      <c r="N6">
        <v>6</v>
      </c>
    </row>
    <row r="7" spans="1:14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 t="shared" ref="K7:K15" si="0">I7*J7</f>
        <v>7.4031723999999999</v>
      </c>
      <c r="L7">
        <v>0</v>
      </c>
      <c r="M7">
        <f t="shared" ref="M7:M15" si="1">(1-(L7/100))*K7</f>
        <v>7.4031723999999999</v>
      </c>
      <c r="N7">
        <v>7</v>
      </c>
    </row>
    <row r="8" spans="1:14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 t="shared" si="0"/>
        <v>7.4031723999999999</v>
      </c>
      <c r="L8">
        <v>0</v>
      </c>
      <c r="M8">
        <f t="shared" si="1"/>
        <v>7.4031723999999999</v>
      </c>
      <c r="N8">
        <v>8</v>
      </c>
    </row>
    <row r="9" spans="1:14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 t="shared" si="0"/>
        <v>3.7015861999999999</v>
      </c>
      <c r="L9">
        <v>0</v>
      </c>
      <c r="M9">
        <f t="shared" si="1"/>
        <v>3.7015861999999999</v>
      </c>
      <c r="N9">
        <v>9</v>
      </c>
    </row>
    <row r="10" spans="1:14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 t="shared" si="0"/>
        <v>11.1047586</v>
      </c>
      <c r="L10">
        <v>0</v>
      </c>
      <c r="M10">
        <f t="shared" si="1"/>
        <v>11.1047586</v>
      </c>
      <c r="N10">
        <v>10</v>
      </c>
    </row>
    <row r="11" spans="1:14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 t="shared" si="0"/>
        <v>7.4031723999999999</v>
      </c>
      <c r="L11">
        <v>0</v>
      </c>
      <c r="M11">
        <f t="shared" si="1"/>
        <v>7.4031723999999999</v>
      </c>
      <c r="N11">
        <v>11</v>
      </c>
    </row>
    <row r="12" spans="1:14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 t="shared" si="0"/>
        <v>3.1</v>
      </c>
      <c r="L12">
        <v>0</v>
      </c>
      <c r="M12">
        <f t="shared" si="1"/>
        <v>3.1</v>
      </c>
      <c r="N12">
        <v>12</v>
      </c>
    </row>
    <row r="13" spans="1:14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 t="shared" si="0"/>
        <v>2.5</v>
      </c>
      <c r="L13">
        <v>0</v>
      </c>
      <c r="M13">
        <f t="shared" si="1"/>
        <v>2.5</v>
      </c>
      <c r="N13">
        <v>13</v>
      </c>
    </row>
    <row r="14" spans="1:14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 t="shared" si="0"/>
        <v>4.4000000000000004</v>
      </c>
      <c r="L14">
        <v>0</v>
      </c>
      <c r="M14">
        <f t="shared" si="1"/>
        <v>4.4000000000000004</v>
      </c>
      <c r="N14">
        <v>14</v>
      </c>
    </row>
    <row r="15" spans="1:14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 t="shared" si="0"/>
        <v>14.4</v>
      </c>
      <c r="L15">
        <v>0</v>
      </c>
      <c r="M15">
        <f t="shared" si="1"/>
        <v>14.4</v>
      </c>
      <c r="N15">
        <v>15</v>
      </c>
    </row>
    <row r="16" spans="1:14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  <c r="I16">
        <v>1</v>
      </c>
      <c r="J16">
        <f>SUM(K17)</f>
        <v>3.7015861999999999</v>
      </c>
      <c r="K16">
        <f t="shared" ref="K16:K33" si="2">I16*J16</f>
        <v>3.7015861999999999</v>
      </c>
      <c r="M16">
        <f>I16*SUM(M17)</f>
        <v>3.7015861999999999</v>
      </c>
      <c r="N16">
        <v>16</v>
      </c>
    </row>
    <row r="17" spans="1:14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  <c r="I17">
        <v>1</v>
      </c>
      <c r="J17">
        <f>SUM(K18)</f>
        <v>3.7015861999999999</v>
      </c>
      <c r="K17">
        <f t="shared" si="2"/>
        <v>3.7015861999999999</v>
      </c>
      <c r="M17">
        <f>I17*SUM(M18)</f>
        <v>3.7015861999999999</v>
      </c>
      <c r="N17">
        <v>17</v>
      </c>
    </row>
    <row r="18" spans="1:14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  <c r="I18">
        <v>1</v>
      </c>
      <c r="J18">
        <f>SUM(K19)</f>
        <v>3.7015861999999999</v>
      </c>
      <c r="K18">
        <f t="shared" si="2"/>
        <v>3.7015861999999999</v>
      </c>
      <c r="M18">
        <f>I18*SUM(M19)</f>
        <v>3.7015861999999999</v>
      </c>
      <c r="N18">
        <v>18</v>
      </c>
    </row>
    <row r="19" spans="1:14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  <c r="I19">
        <v>1</v>
      </c>
      <c r="J19">
        <f>SUM(K20)</f>
        <v>3.7015861999999999</v>
      </c>
      <c r="K19">
        <f t="shared" si="2"/>
        <v>3.7015861999999999</v>
      </c>
      <c r="M19">
        <f>I19*SUM(M20)</f>
        <v>3.7015861999999999</v>
      </c>
      <c r="N19">
        <v>19</v>
      </c>
    </row>
    <row r="20" spans="1:14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 t="shared" si="2"/>
        <v>3.7015861999999999</v>
      </c>
      <c r="L20">
        <v>0</v>
      </c>
      <c r="M20">
        <f>(1-(L20/100))*K20</f>
        <v>3.7015861999999999</v>
      </c>
      <c r="N20">
        <v>20</v>
      </c>
    </row>
    <row r="21" spans="1:14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  <c r="I21">
        <v>1</v>
      </c>
      <c r="J21">
        <f>SUM(K22)</f>
        <v>7.4031723999999999</v>
      </c>
      <c r="K21">
        <f t="shared" si="2"/>
        <v>7.4031723999999999</v>
      </c>
      <c r="M21">
        <f>I21*SUM(M22)</f>
        <v>7.4031723999999999</v>
      </c>
      <c r="N21">
        <v>21</v>
      </c>
    </row>
    <row r="22" spans="1:14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  <c r="I22">
        <v>1</v>
      </c>
      <c r="J22">
        <f>SUM(K23)</f>
        <v>7.4031723999999999</v>
      </c>
      <c r="K22">
        <f t="shared" si="2"/>
        <v>7.4031723999999999</v>
      </c>
      <c r="M22">
        <f>I22*SUM(M23)</f>
        <v>7.4031723999999999</v>
      </c>
      <c r="N22">
        <v>22</v>
      </c>
    </row>
    <row r="23" spans="1:14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  <c r="I23">
        <v>1</v>
      </c>
      <c r="J23">
        <f>SUM(K24)</f>
        <v>7.4031723999999999</v>
      </c>
      <c r="K23">
        <f t="shared" si="2"/>
        <v>7.4031723999999999</v>
      </c>
      <c r="M23">
        <f>I23*SUM(M24)</f>
        <v>7.4031723999999999</v>
      </c>
      <c r="N23">
        <v>23</v>
      </c>
    </row>
    <row r="24" spans="1:14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  <c r="I24">
        <v>1</v>
      </c>
      <c r="J24">
        <f>SUM(K25)</f>
        <v>7.4031723999999999</v>
      </c>
      <c r="K24">
        <f t="shared" si="2"/>
        <v>7.4031723999999999</v>
      </c>
      <c r="M24">
        <f>I24*SUM(M25)</f>
        <v>7.4031723999999999</v>
      </c>
      <c r="N24">
        <v>24</v>
      </c>
    </row>
    <row r="25" spans="1:14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 t="shared" si="2"/>
        <v>7.4031723999999999</v>
      </c>
      <c r="L25">
        <v>0</v>
      </c>
      <c r="M25">
        <f>(1-(L25/100))*K25</f>
        <v>7.4031723999999999</v>
      </c>
      <c r="N25">
        <v>25</v>
      </c>
    </row>
    <row r="26" spans="1:14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  <c r="I26">
        <v>1</v>
      </c>
      <c r="J26">
        <f>SUM(K27)</f>
        <v>7.4031723999999999</v>
      </c>
      <c r="K26">
        <f t="shared" si="2"/>
        <v>7.4031723999999999</v>
      </c>
      <c r="M26">
        <f>I26*SUM(M27)</f>
        <v>7.4031723999999999</v>
      </c>
      <c r="N26">
        <v>26</v>
      </c>
    </row>
    <row r="27" spans="1:14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  <c r="I27">
        <v>1</v>
      </c>
      <c r="J27">
        <f>SUM(K28)</f>
        <v>7.4031723999999999</v>
      </c>
      <c r="K27">
        <f t="shared" si="2"/>
        <v>7.4031723999999999</v>
      </c>
      <c r="M27">
        <f>I27*SUM(M28)</f>
        <v>7.4031723999999999</v>
      </c>
      <c r="N27">
        <v>27</v>
      </c>
    </row>
    <row r="28" spans="1:14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  <c r="I28">
        <v>1</v>
      </c>
      <c r="J28">
        <f>SUM(K29)</f>
        <v>7.4031723999999999</v>
      </c>
      <c r="K28">
        <f t="shared" si="2"/>
        <v>7.4031723999999999</v>
      </c>
      <c r="M28">
        <f>I28*SUM(M29)</f>
        <v>7.4031723999999999</v>
      </c>
      <c r="N28">
        <v>28</v>
      </c>
    </row>
    <row r="29" spans="1:14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  <c r="I29">
        <v>1</v>
      </c>
      <c r="J29">
        <f>SUM(K30)</f>
        <v>7.4031723999999999</v>
      </c>
      <c r="K29">
        <f t="shared" si="2"/>
        <v>7.4031723999999999</v>
      </c>
      <c r="M29">
        <f>I29*SUM(M30)</f>
        <v>7.4031723999999999</v>
      </c>
      <c r="N29">
        <v>29</v>
      </c>
    </row>
    <row r="30" spans="1:14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 t="shared" si="2"/>
        <v>7.4031723999999999</v>
      </c>
      <c r="L30">
        <v>0</v>
      </c>
      <c r="M30">
        <f>(1-(L30/100))*K30</f>
        <v>7.4031723999999999</v>
      </c>
      <c r="N30">
        <v>30</v>
      </c>
    </row>
    <row r="31" spans="1:14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  <c r="I31">
        <v>1</v>
      </c>
      <c r="J31">
        <f>SUM(K32)</f>
        <v>3364.7418557999999</v>
      </c>
      <c r="K31">
        <f t="shared" si="2"/>
        <v>3364.7418557999999</v>
      </c>
      <c r="M31">
        <f>I31*SUM(M32)</f>
        <v>3364.7418557999999</v>
      </c>
      <c r="N31">
        <v>31</v>
      </c>
    </row>
    <row r="32" spans="1:14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  <c r="I32">
        <v>1</v>
      </c>
      <c r="J32">
        <f>SUM(K33)</f>
        <v>3364.7418557999999</v>
      </c>
      <c r="K32">
        <f t="shared" si="2"/>
        <v>3364.7418557999999</v>
      </c>
      <c r="M32">
        <f>I32*SUM(M33)</f>
        <v>3364.7418557999999</v>
      </c>
      <c r="N32">
        <v>32</v>
      </c>
    </row>
    <row r="33" spans="1:14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  <c r="I33">
        <v>1</v>
      </c>
      <c r="J33">
        <f>SUM(K34,K35,K36,K37,K38,K39,K40,K41,K42,K43,K44)</f>
        <v>3364.7418557999999</v>
      </c>
      <c r="K33">
        <f t="shared" si="2"/>
        <v>3364.7418557999999</v>
      </c>
      <c r="M33">
        <f>I33*SUM(M34,M35,M36,M37,M38,M39,M40,M41,M42,M43,M44)</f>
        <v>3364.7418557999999</v>
      </c>
      <c r="N33">
        <v>33</v>
      </c>
    </row>
    <row r="34" spans="1:14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 t="shared" ref="K34:K44" si="3">I34*J34</f>
        <v>0</v>
      </c>
      <c r="L34">
        <v>0</v>
      </c>
      <c r="M34">
        <f t="shared" ref="M34:M44" si="4">(1-(L34/100))*K34</f>
        <v>0</v>
      </c>
      <c r="N34">
        <v>34</v>
      </c>
    </row>
    <row r="35" spans="1:14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 t="shared" si="3"/>
        <v>0</v>
      </c>
      <c r="L35">
        <v>0</v>
      </c>
      <c r="M35">
        <f t="shared" si="4"/>
        <v>0</v>
      </c>
      <c r="N35">
        <v>35</v>
      </c>
    </row>
    <row r="36" spans="1:14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 t="shared" si="3"/>
        <v>0</v>
      </c>
      <c r="L36">
        <v>0</v>
      </c>
      <c r="M36">
        <f t="shared" si="4"/>
        <v>0</v>
      </c>
      <c r="N36">
        <v>36</v>
      </c>
    </row>
    <row r="37" spans="1:14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 t="shared" si="3"/>
        <v>0</v>
      </c>
      <c r="L37">
        <v>0</v>
      </c>
      <c r="M37">
        <f t="shared" si="4"/>
        <v>0</v>
      </c>
      <c r="N37">
        <v>37</v>
      </c>
    </row>
    <row r="38" spans="1:14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 t="shared" si="3"/>
        <v>0</v>
      </c>
      <c r="L38">
        <v>0</v>
      </c>
      <c r="M38">
        <f t="shared" si="4"/>
        <v>0</v>
      </c>
      <c r="N38">
        <v>38</v>
      </c>
    </row>
    <row r="39" spans="1:14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 t="shared" si="3"/>
        <v>0</v>
      </c>
      <c r="L39">
        <v>0</v>
      </c>
      <c r="M39">
        <f t="shared" si="4"/>
        <v>0</v>
      </c>
      <c r="N39">
        <v>39</v>
      </c>
    </row>
    <row r="40" spans="1:14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 t="shared" si="3"/>
        <v>1295.5551700000001</v>
      </c>
      <c r="L40">
        <v>0</v>
      </c>
      <c r="M40">
        <f t="shared" si="4"/>
        <v>1295.5551700000001</v>
      </c>
      <c r="N40">
        <v>40</v>
      </c>
    </row>
    <row r="41" spans="1:14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 t="shared" si="3"/>
        <v>1295.5551700000001</v>
      </c>
      <c r="L41">
        <v>0</v>
      </c>
      <c r="M41">
        <f t="shared" si="4"/>
        <v>1295.5551700000001</v>
      </c>
      <c r="N41">
        <v>41</v>
      </c>
    </row>
    <row r="42" spans="1:14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 t="shared" si="3"/>
        <v>740.31723999999997</v>
      </c>
      <c r="L42">
        <v>0</v>
      </c>
      <c r="M42">
        <f t="shared" si="4"/>
        <v>740.31723999999997</v>
      </c>
      <c r="N42">
        <v>42</v>
      </c>
    </row>
    <row r="43" spans="1:14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 t="shared" si="3"/>
        <v>3.7015861999999999</v>
      </c>
      <c r="L43">
        <v>0</v>
      </c>
      <c r="M43">
        <f t="shared" si="4"/>
        <v>3.7015861999999999</v>
      </c>
      <c r="N43">
        <v>43</v>
      </c>
    </row>
    <row r="44" spans="1:14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 t="shared" si="3"/>
        <v>29.6126896</v>
      </c>
      <c r="L44">
        <v>0</v>
      </c>
      <c r="M44">
        <f t="shared" si="4"/>
        <v>29.6126896</v>
      </c>
      <c r="N44">
        <v>44</v>
      </c>
    </row>
    <row r="45" spans="1:14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  <c r="I45">
        <v>1</v>
      </c>
      <c r="J45">
        <f>SUM(K46,K49,K63,K68)</f>
        <v>851.36482599999988</v>
      </c>
      <c r="K45">
        <f t="shared" ref="K45:K69" si="5">I45*J45</f>
        <v>851.36482599999988</v>
      </c>
      <c r="M45">
        <f>I45*SUM(M46,M49,M63,M68)</f>
        <v>851.36482599999988</v>
      </c>
      <c r="N45">
        <v>45</v>
      </c>
    </row>
    <row r="46" spans="1:14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  <c r="I46">
        <v>1</v>
      </c>
      <c r="J46">
        <f>SUM(K47)</f>
        <v>3.7015861999999999</v>
      </c>
      <c r="K46">
        <f t="shared" si="5"/>
        <v>3.7015861999999999</v>
      </c>
      <c r="M46">
        <f>I46*SUM(M47)</f>
        <v>3.7015861999999999</v>
      </c>
      <c r="N46">
        <v>46</v>
      </c>
    </row>
    <row r="47" spans="1:14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  <c r="I47">
        <v>1</v>
      </c>
      <c r="J47">
        <f>SUM(K48)</f>
        <v>3.7015861999999999</v>
      </c>
      <c r="K47">
        <f t="shared" si="5"/>
        <v>3.7015861999999999</v>
      </c>
      <c r="M47">
        <f>I47*SUM(M48)</f>
        <v>3.7015861999999999</v>
      </c>
      <c r="N47">
        <v>47</v>
      </c>
    </row>
    <row r="48" spans="1:14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 t="shared" si="5"/>
        <v>3.7015861999999999</v>
      </c>
      <c r="L48">
        <v>0</v>
      </c>
      <c r="M48">
        <f>(1-(L48/100))*K48</f>
        <v>3.7015861999999999</v>
      </c>
      <c r="N48">
        <v>48</v>
      </c>
    </row>
    <row r="49" spans="1:14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  <c r="I49">
        <v>1</v>
      </c>
      <c r="J49">
        <f>SUM(K50)</f>
        <v>644.07599879999998</v>
      </c>
      <c r="K49">
        <f t="shared" si="5"/>
        <v>644.07599879999998</v>
      </c>
      <c r="M49">
        <f>I49*SUM(M50)</f>
        <v>644.07599879999998</v>
      </c>
      <c r="N49">
        <v>49</v>
      </c>
    </row>
    <row r="50" spans="1:14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  <c r="I50">
        <v>1</v>
      </c>
      <c r="J50">
        <f>SUM(K51,K55,K59)</f>
        <v>644.07599879999998</v>
      </c>
      <c r="K50">
        <f t="shared" si="5"/>
        <v>644.07599879999998</v>
      </c>
      <c r="M50">
        <f>I50*SUM(M51,M55,M59)</f>
        <v>644.07599879999998</v>
      </c>
      <c r="N50">
        <v>50</v>
      </c>
    </row>
    <row r="51" spans="1:14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  <c r="I51">
        <v>1</v>
      </c>
      <c r="J51">
        <f>SUM(K52,K53,K54)</f>
        <v>214.69199959999997</v>
      </c>
      <c r="K51">
        <f t="shared" si="5"/>
        <v>214.69199959999997</v>
      </c>
      <c r="M51">
        <f>I51*SUM(M52,M53,M54)</f>
        <v>214.69199959999997</v>
      </c>
      <c r="N51">
        <v>51</v>
      </c>
    </row>
    <row r="52" spans="1:14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 t="shared" si="5"/>
        <v>14.8063448</v>
      </c>
      <c r="L52">
        <v>0</v>
      </c>
      <c r="M52">
        <f>(1-(L52/100))*K52</f>
        <v>14.8063448</v>
      </c>
      <c r="N52">
        <v>52</v>
      </c>
    </row>
    <row r="53" spans="1:14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 t="shared" si="5"/>
        <v>51.822206799999996</v>
      </c>
      <c r="L53">
        <v>0</v>
      </c>
      <c r="M53">
        <f>(1-(L53/100))*K53</f>
        <v>51.822206799999996</v>
      </c>
      <c r="N53">
        <v>53</v>
      </c>
    </row>
    <row r="54" spans="1:14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 t="shared" si="5"/>
        <v>148.06344799999999</v>
      </c>
      <c r="L54">
        <v>0</v>
      </c>
      <c r="M54">
        <f>(1-(L54/100))*K54</f>
        <v>148.06344799999999</v>
      </c>
      <c r="N54">
        <v>54</v>
      </c>
    </row>
    <row r="55" spans="1:14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  <c r="I55">
        <v>1</v>
      </c>
      <c r="J55">
        <f>SUM(K56,K57,K58)</f>
        <v>214.69199959999997</v>
      </c>
      <c r="K55">
        <f t="shared" si="5"/>
        <v>214.69199959999997</v>
      </c>
      <c r="M55">
        <f>I55*SUM(M56,M57,M58)</f>
        <v>214.69199959999997</v>
      </c>
      <c r="N55">
        <v>55</v>
      </c>
    </row>
    <row r="56" spans="1:14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 t="shared" si="5"/>
        <v>14.8063448</v>
      </c>
      <c r="L56">
        <v>0</v>
      </c>
      <c r="M56">
        <f>(1-(L56/100))*K56</f>
        <v>14.8063448</v>
      </c>
      <c r="N56">
        <v>56</v>
      </c>
    </row>
    <row r="57" spans="1:14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 t="shared" si="5"/>
        <v>51.822206799999996</v>
      </c>
      <c r="L57">
        <v>0</v>
      </c>
      <c r="M57">
        <f>(1-(L57/100))*K57</f>
        <v>51.822206799999996</v>
      </c>
      <c r="N57">
        <v>57</v>
      </c>
    </row>
    <row r="58" spans="1:14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 t="shared" si="5"/>
        <v>148.06344799999999</v>
      </c>
      <c r="L58">
        <v>0</v>
      </c>
      <c r="M58">
        <f>(1-(L58/100))*K58</f>
        <v>148.06344799999999</v>
      </c>
      <c r="N58">
        <v>58</v>
      </c>
    </row>
    <row r="59" spans="1:14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  <c r="I59">
        <v>1</v>
      </c>
      <c r="J59">
        <f>SUM(K60,K61,K62)</f>
        <v>214.69199959999997</v>
      </c>
      <c r="K59">
        <f t="shared" si="5"/>
        <v>214.69199959999997</v>
      </c>
      <c r="M59">
        <f>I59*SUM(M60,M61,M62)</f>
        <v>214.69199959999997</v>
      </c>
      <c r="N59">
        <v>59</v>
      </c>
    </row>
    <row r="60" spans="1:14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 t="shared" si="5"/>
        <v>14.8063448</v>
      </c>
      <c r="L60">
        <v>0</v>
      </c>
      <c r="M60">
        <f>(1-(L60/100))*K60</f>
        <v>14.8063448</v>
      </c>
      <c r="N60">
        <v>60</v>
      </c>
    </row>
    <row r="61" spans="1:14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 t="shared" si="5"/>
        <v>51.822206799999996</v>
      </c>
      <c r="L61">
        <v>0</v>
      </c>
      <c r="M61">
        <f>(1-(L61/100))*K61</f>
        <v>51.822206799999996</v>
      </c>
      <c r="N61">
        <v>61</v>
      </c>
    </row>
    <row r="62" spans="1:14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 t="shared" si="5"/>
        <v>148.06344799999999</v>
      </c>
      <c r="L62">
        <v>0</v>
      </c>
      <c r="M62">
        <f>(1-(L62/100))*K62</f>
        <v>148.06344799999999</v>
      </c>
      <c r="N62">
        <v>62</v>
      </c>
    </row>
    <row r="63" spans="1:14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  <c r="I63">
        <v>1</v>
      </c>
      <c r="J63">
        <f>SUM(K64)</f>
        <v>199.8856548</v>
      </c>
      <c r="K63">
        <f t="shared" si="5"/>
        <v>199.8856548</v>
      </c>
      <c r="M63">
        <f>I63*SUM(M64)</f>
        <v>199.8856548</v>
      </c>
      <c r="N63">
        <v>63</v>
      </c>
    </row>
    <row r="64" spans="1:14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  <c r="I64">
        <v>1</v>
      </c>
      <c r="J64">
        <f>SUM(K65)</f>
        <v>199.8856548</v>
      </c>
      <c r="K64">
        <f t="shared" si="5"/>
        <v>199.8856548</v>
      </c>
      <c r="M64">
        <f>I64*SUM(M65)</f>
        <v>199.8856548</v>
      </c>
      <c r="N64">
        <v>64</v>
      </c>
    </row>
    <row r="65" spans="1:14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  <c r="I65">
        <v>1</v>
      </c>
      <c r="J65">
        <f>SUM(K66,K67)</f>
        <v>199.8856548</v>
      </c>
      <c r="K65">
        <f t="shared" si="5"/>
        <v>199.8856548</v>
      </c>
      <c r="M65">
        <f>I65*SUM(M66,M67)</f>
        <v>199.8856548</v>
      </c>
      <c r="N65">
        <v>65</v>
      </c>
    </row>
    <row r="66" spans="1:14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 t="shared" si="5"/>
        <v>148.06344799999999</v>
      </c>
      <c r="L66">
        <v>0</v>
      </c>
      <c r="M66">
        <f>(1-(L66/100))*K66</f>
        <v>148.06344799999999</v>
      </c>
      <c r="N66">
        <v>66</v>
      </c>
    </row>
    <row r="67" spans="1:14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 t="shared" si="5"/>
        <v>51.822206799999996</v>
      </c>
      <c r="L67">
        <v>0</v>
      </c>
      <c r="M67">
        <f>(1-(L67/100))*K67</f>
        <v>51.822206799999996</v>
      </c>
      <c r="N67">
        <v>67</v>
      </c>
    </row>
    <row r="68" spans="1:14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  <c r="I68">
        <v>1</v>
      </c>
      <c r="J68">
        <f>SUM(K69)</f>
        <v>3.7015861999999999</v>
      </c>
      <c r="K68">
        <f t="shared" si="5"/>
        <v>3.7015861999999999</v>
      </c>
      <c r="M68">
        <f>I68*SUM(M69)</f>
        <v>3.7015861999999999</v>
      </c>
      <c r="N68">
        <v>68</v>
      </c>
    </row>
    <row r="69" spans="1:14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 t="shared" si="5"/>
        <v>3.7015861999999999</v>
      </c>
      <c r="L69">
        <v>0</v>
      </c>
      <c r="M69">
        <f>(1-(L69/100))*K69</f>
        <v>3.7015861999999999</v>
      </c>
      <c r="N69">
        <v>69</v>
      </c>
    </row>
    <row r="70" spans="1:14" x14ac:dyDescent="0.25">
      <c r="G70" s="121"/>
    </row>
  </sheetData>
  <autoFilter ref="A1:G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0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2012-04-13T03:06:08Z</dcterms:modified>
</cp:coreProperties>
</file>